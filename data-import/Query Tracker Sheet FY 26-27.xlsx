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ncha\Downloads\FY 25 - 26\"/>
    </mc:Choice>
  </mc:AlternateContent>
  <xr:revisionPtr revIDLastSave="21048" documentId="13_ncr:1_{480D592A-7744-418A-820D-5A5883201284}" xr6:coauthVersionLast="47" xr6:coauthVersionMax="47" xr10:uidLastSave="{338B572A-5336-482F-9580-8B293410A065}"/>
  <bookViews>
    <workbookView xWindow="-108" yWindow="-108" windowWidth="23256" windowHeight="12456" xr2:uid="{00000000-000D-0000-FFFF-FFFF00000000}"/>
  </bookViews>
  <sheets>
    <sheet name="QTS - EMP" sheetId="3" r:id="rId1"/>
    <sheet name="Sheet2" sheetId="10" r:id="rId2"/>
    <sheet name="Sheet1" sheetId="9" r:id="rId3"/>
    <sheet name="Sheet3" sheetId="11" r:id="rId4"/>
  </sheets>
  <definedNames>
    <definedName name="_xlnm.Print_Area" localSheetId="0">'QTS - EMP'!$B$3:$AV$694</definedName>
    <definedName name="_xlnm.Print_Area" localSheetId="1">Sheet2!$BR$2:$BV$22</definedName>
    <definedName name="RoutingList">OFFSET('QTS - EMP'!BR1, 0, 0, 1, COUNTA(_xlfn._xlws.FILTER('QTS - EMP'!BQ:BQ, 'QTS - EMP'!BP:BP='QTS - EMP'!XET1, "")))</definedName>
  </definedNames>
  <calcPr calcId="191028"/>
  <pivotCaches>
    <pivotCache cacheId="86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17" i="3" l="1"/>
  <c r="E319" i="3"/>
  <c r="F319" i="3"/>
  <c r="E318" i="3"/>
  <c r="F318" i="3"/>
  <c r="R303" i="3"/>
  <c r="E279" i="3"/>
  <c r="F279" i="3"/>
  <c r="R271" i="3"/>
  <c r="T271" i="3"/>
  <c r="U271" i="3"/>
  <c r="V271" i="3"/>
  <c r="W271" i="3" a="1"/>
  <c r="W271" i="3"/>
  <c r="Z271" i="3"/>
  <c r="AE271" i="3"/>
  <c r="AF271" i="3"/>
  <c r="AG271" i="3"/>
  <c r="AH271" i="3"/>
  <c r="AF268" i="3"/>
  <c r="AH268" i="3"/>
  <c r="AH258" i="3"/>
  <c r="AF258" i="3"/>
  <c r="AE258" i="3"/>
  <c r="AG258" i="3" s="1"/>
  <c r="Z258" i="3"/>
  <c r="E228" i="3"/>
  <c r="F228" i="3"/>
  <c r="R228" i="3"/>
  <c r="T228" i="3"/>
  <c r="U228" i="3"/>
  <c r="V228" i="3"/>
  <c r="W228" i="3" a="1"/>
  <c r="W228" i="3"/>
  <c r="AE222" i="3"/>
  <c r="AF222" i="3"/>
  <c r="AG222" i="3"/>
  <c r="AH222" i="3"/>
  <c r="R222" i="3"/>
  <c r="T222" i="3"/>
  <c r="AE216" i="3"/>
  <c r="AF216" i="3"/>
  <c r="AG216" i="3"/>
  <c r="AH216" i="3"/>
  <c r="AE195" i="3"/>
  <c r="AF195" i="3"/>
  <c r="AG195" i="3"/>
  <c r="AH195" i="3"/>
  <c r="AE194" i="3"/>
  <c r="AF194" i="3"/>
  <c r="AG194" i="3"/>
  <c r="AH194" i="3"/>
  <c r="F192" i="3"/>
  <c r="E192" i="3"/>
  <c r="AE191" i="3"/>
  <c r="F188" i="3"/>
  <c r="E188" i="3"/>
  <c r="W126" i="3" a="1"/>
  <c r="W126" i="3"/>
  <c r="F126" i="3"/>
  <c r="E126" i="3"/>
  <c r="E123" i="3"/>
  <c r="F123" i="3"/>
  <c r="AE104" i="3"/>
  <c r="AG104" i="3" s="1"/>
  <c r="AF104" i="3"/>
  <c r="AH104" i="3"/>
  <c r="Y70" i="3"/>
  <c r="Y41" i="3"/>
  <c r="F6" i="3"/>
  <c r="AE12" i="3"/>
  <c r="T282" i="3"/>
  <c r="U282" i="3"/>
  <c r="R266" i="3"/>
  <c r="Z134" i="3"/>
  <c r="R209" i="3"/>
  <c r="V166" i="3"/>
  <c r="U20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7" i="3"/>
  <c r="U128" i="3"/>
  <c r="U129" i="3"/>
  <c r="U130" i="3"/>
  <c r="U131" i="3"/>
  <c r="U132" i="3"/>
  <c r="U133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6" i="3"/>
  <c r="U207" i="3"/>
  <c r="U208" i="3"/>
  <c r="U209" i="3"/>
  <c r="U210" i="3"/>
  <c r="U211" i="3"/>
  <c r="U212" i="3"/>
  <c r="U213" i="3"/>
  <c r="U214" i="3"/>
  <c r="U215" i="3"/>
  <c r="U217" i="3"/>
  <c r="U218" i="3"/>
  <c r="U219" i="3"/>
  <c r="U220" i="3"/>
  <c r="U221" i="3"/>
  <c r="U222" i="3"/>
  <c r="U223" i="3"/>
  <c r="U224" i="3"/>
  <c r="U225" i="3"/>
  <c r="U226" i="3"/>
  <c r="U227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2" i="3"/>
  <c r="U273" i="3"/>
  <c r="U274" i="3"/>
  <c r="U275" i="3"/>
  <c r="U276" i="3"/>
  <c r="U277" i="3"/>
  <c r="U278" i="3"/>
  <c r="U279" i="3"/>
  <c r="U280" i="3"/>
  <c r="U281" i="3"/>
  <c r="U5" i="3"/>
  <c r="E5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73" i="3"/>
  <c r="AH74" i="3"/>
  <c r="AH75" i="3"/>
  <c r="AH76" i="3"/>
  <c r="AH77" i="3"/>
  <c r="AH78" i="3"/>
  <c r="AH79" i="3"/>
  <c r="AH80" i="3"/>
  <c r="AH81" i="3"/>
  <c r="AH82" i="3"/>
  <c r="AH83" i="3"/>
  <c r="AH84" i="3"/>
  <c r="AH85" i="3"/>
  <c r="AH86" i="3"/>
  <c r="AH87" i="3"/>
  <c r="AH88" i="3"/>
  <c r="AH89" i="3"/>
  <c r="AH90" i="3"/>
  <c r="AH91" i="3"/>
  <c r="AH92" i="3"/>
  <c r="AH93" i="3"/>
  <c r="AH94" i="3"/>
  <c r="AH95" i="3"/>
  <c r="AH96" i="3"/>
  <c r="AH97" i="3"/>
  <c r="AH98" i="3"/>
  <c r="AH99" i="3"/>
  <c r="AH100" i="3"/>
  <c r="AH101" i="3"/>
  <c r="AH102" i="3"/>
  <c r="AH103" i="3"/>
  <c r="AH105" i="3"/>
  <c r="AH106" i="3"/>
  <c r="AH107" i="3"/>
  <c r="AH108" i="3"/>
  <c r="AH109" i="3"/>
  <c r="AH110" i="3"/>
  <c r="AH111" i="3"/>
  <c r="AH112" i="3"/>
  <c r="AH113" i="3"/>
  <c r="AH114" i="3"/>
  <c r="AH115" i="3"/>
  <c r="AH116" i="3"/>
  <c r="AH117" i="3"/>
  <c r="AH118" i="3"/>
  <c r="AH119" i="3"/>
  <c r="AH120" i="3"/>
  <c r="AH121" i="3"/>
  <c r="AH122" i="3"/>
  <c r="AH123" i="3"/>
  <c r="AH124" i="3"/>
  <c r="AH125" i="3"/>
  <c r="AH126" i="3"/>
  <c r="AH127" i="3"/>
  <c r="AH128" i="3"/>
  <c r="AH129" i="3"/>
  <c r="AH130" i="3"/>
  <c r="AH131" i="3"/>
  <c r="AH132" i="3"/>
  <c r="AH133" i="3"/>
  <c r="AH134" i="3"/>
  <c r="AH135" i="3"/>
  <c r="AH136" i="3"/>
  <c r="AH137" i="3"/>
  <c r="AH138" i="3"/>
  <c r="AH139" i="3"/>
  <c r="AH140" i="3"/>
  <c r="AH141" i="3"/>
  <c r="AH142" i="3"/>
  <c r="AH143" i="3"/>
  <c r="AH144" i="3"/>
  <c r="AH145" i="3"/>
  <c r="AH146" i="3"/>
  <c r="AH147" i="3"/>
  <c r="AH148" i="3"/>
  <c r="AH149" i="3"/>
  <c r="AH150" i="3"/>
  <c r="AH151" i="3"/>
  <c r="AH152" i="3"/>
  <c r="AH153" i="3"/>
  <c r="AH154" i="3"/>
  <c r="AH155" i="3"/>
  <c r="AH156" i="3"/>
  <c r="AH157" i="3"/>
  <c r="AH158" i="3"/>
  <c r="AH159" i="3"/>
  <c r="AH160" i="3"/>
  <c r="AH161" i="3"/>
  <c r="AH162" i="3"/>
  <c r="AH163" i="3"/>
  <c r="AH164" i="3"/>
  <c r="AH165" i="3"/>
  <c r="AH166" i="3"/>
  <c r="AH167" i="3"/>
  <c r="AH168" i="3"/>
  <c r="AH169" i="3"/>
  <c r="AH170" i="3"/>
  <c r="AH171" i="3"/>
  <c r="AH172" i="3"/>
  <c r="AH173" i="3"/>
  <c r="AH174" i="3"/>
  <c r="AH175" i="3"/>
  <c r="AH176" i="3"/>
  <c r="AH177" i="3"/>
  <c r="AH178" i="3"/>
  <c r="AH179" i="3"/>
  <c r="AH180" i="3"/>
  <c r="AH181" i="3"/>
  <c r="AH182" i="3"/>
  <c r="AH183" i="3"/>
  <c r="AH184" i="3"/>
  <c r="AH185" i="3"/>
  <c r="AH186" i="3"/>
  <c r="AH187" i="3"/>
  <c r="AH188" i="3"/>
  <c r="AH189" i="3"/>
  <c r="AH190" i="3"/>
  <c r="AH191" i="3"/>
  <c r="AH192" i="3"/>
  <c r="AH193" i="3"/>
  <c r="AH196" i="3"/>
  <c r="AH197" i="3"/>
  <c r="AH198" i="3"/>
  <c r="AH199" i="3"/>
  <c r="AH200" i="3"/>
  <c r="AH201" i="3"/>
  <c r="AH202" i="3"/>
  <c r="AH203" i="3"/>
  <c r="AH204" i="3"/>
  <c r="AH205" i="3"/>
  <c r="AH206" i="3"/>
  <c r="AH207" i="3"/>
  <c r="AH208" i="3"/>
  <c r="AH209" i="3"/>
  <c r="AH210" i="3"/>
  <c r="AH211" i="3"/>
  <c r="AH212" i="3"/>
  <c r="AH213" i="3"/>
  <c r="AH214" i="3"/>
  <c r="AH215" i="3"/>
  <c r="AH217" i="3"/>
  <c r="AH218" i="3"/>
  <c r="AH219" i="3"/>
  <c r="AH220" i="3"/>
  <c r="AH221" i="3"/>
  <c r="AH223" i="3"/>
  <c r="AH224" i="3"/>
  <c r="AH225" i="3"/>
  <c r="AH226" i="3"/>
  <c r="AH227" i="3"/>
  <c r="AH228" i="3"/>
  <c r="AH229" i="3"/>
  <c r="AH231" i="3"/>
  <c r="AH232" i="3"/>
  <c r="AH233" i="3"/>
  <c r="AH234" i="3"/>
  <c r="AH235" i="3"/>
  <c r="AH236" i="3"/>
  <c r="AH237" i="3"/>
  <c r="AH238" i="3"/>
  <c r="AH239" i="3"/>
  <c r="AH240" i="3"/>
  <c r="AH241" i="3"/>
  <c r="AH242" i="3"/>
  <c r="AH243" i="3"/>
  <c r="AH244" i="3"/>
  <c r="AH245" i="3"/>
  <c r="AH246" i="3"/>
  <c r="AH247" i="3"/>
  <c r="AH248" i="3"/>
  <c r="AH249" i="3"/>
  <c r="AH250" i="3"/>
  <c r="AH251" i="3"/>
  <c r="AH252" i="3"/>
  <c r="AH253" i="3"/>
  <c r="AH254" i="3"/>
  <c r="AH255" i="3"/>
  <c r="AH259" i="3"/>
  <c r="AH260" i="3"/>
  <c r="AH261" i="3"/>
  <c r="AH262" i="3"/>
  <c r="AH263" i="3"/>
  <c r="AH264" i="3"/>
  <c r="AH265" i="3"/>
  <c r="AH266" i="3"/>
  <c r="AH267" i="3"/>
  <c r="AH269" i="3"/>
  <c r="AH270" i="3"/>
  <c r="AH272" i="3"/>
  <c r="AH273" i="3"/>
  <c r="AH274" i="3"/>
  <c r="AH275" i="3"/>
  <c r="AH276" i="3"/>
  <c r="AH277" i="3"/>
  <c r="AH278" i="3"/>
  <c r="AH279" i="3"/>
  <c r="AH280" i="3"/>
  <c r="AH281" i="3"/>
  <c r="AH282" i="3"/>
  <c r="AH283" i="3"/>
  <c r="AH284" i="3"/>
  <c r="AH285" i="3"/>
  <c r="AH286" i="3"/>
  <c r="AH287" i="3"/>
  <c r="AH288" i="3"/>
  <c r="AH289" i="3"/>
  <c r="AH290" i="3"/>
  <c r="AH291" i="3"/>
  <c r="AH292" i="3"/>
  <c r="AH293" i="3"/>
  <c r="AH294" i="3"/>
  <c r="AH295" i="3"/>
  <c r="AH296" i="3"/>
  <c r="AH297" i="3"/>
  <c r="AH298" i="3"/>
  <c r="AH299" i="3"/>
  <c r="AH300" i="3"/>
  <c r="AH301" i="3"/>
  <c r="AH302" i="3"/>
  <c r="AH303" i="3"/>
  <c r="AH304" i="3"/>
  <c r="AH305" i="3"/>
  <c r="AH306" i="3"/>
  <c r="AH307" i="3"/>
  <c r="AH308" i="3"/>
  <c r="AH309" i="3"/>
  <c r="AH310" i="3"/>
  <c r="AH311" i="3"/>
  <c r="AH312" i="3"/>
  <c r="AH313" i="3"/>
  <c r="AH314" i="3"/>
  <c r="AH315" i="3"/>
  <c r="AH316" i="3"/>
  <c r="AH318" i="3"/>
  <c r="AH319" i="3"/>
  <c r="AH320" i="3"/>
  <c r="AH321" i="3"/>
  <c r="AH322" i="3"/>
  <c r="AH323" i="3"/>
  <c r="AH324" i="3"/>
  <c r="AH325" i="3"/>
  <c r="AH326" i="3"/>
  <c r="AH327" i="3"/>
  <c r="AH328" i="3"/>
  <c r="AH329" i="3"/>
  <c r="AH330" i="3"/>
  <c r="AH331" i="3"/>
  <c r="AH332" i="3"/>
  <c r="AH333" i="3"/>
  <c r="AH334" i="3"/>
  <c r="AH335" i="3"/>
  <c r="AH336" i="3"/>
  <c r="AH337" i="3"/>
  <c r="AH338" i="3"/>
  <c r="AH339" i="3"/>
  <c r="AH340" i="3"/>
  <c r="AH341" i="3"/>
  <c r="AH342" i="3"/>
  <c r="AH343" i="3"/>
  <c r="AH344" i="3"/>
  <c r="AH345" i="3"/>
  <c r="AH346" i="3"/>
  <c r="AH347" i="3"/>
  <c r="AH348" i="3"/>
  <c r="AH349" i="3"/>
  <c r="AH350" i="3"/>
  <c r="AH351" i="3"/>
  <c r="AH352" i="3"/>
  <c r="AH353" i="3"/>
  <c r="AH354" i="3"/>
  <c r="AH355" i="3"/>
  <c r="AH356" i="3"/>
  <c r="AH357" i="3"/>
  <c r="AH358" i="3"/>
  <c r="AH359" i="3"/>
  <c r="AH360" i="3"/>
  <c r="AH361" i="3"/>
  <c r="AH362" i="3"/>
  <c r="AH363" i="3"/>
  <c r="AH364" i="3"/>
  <c r="AH365" i="3"/>
  <c r="AH366" i="3"/>
  <c r="AH367" i="3"/>
  <c r="AH368" i="3"/>
  <c r="AH369" i="3"/>
  <c r="AH370" i="3"/>
  <c r="AH371" i="3"/>
  <c r="AH372" i="3"/>
  <c r="AH373" i="3"/>
  <c r="AH374" i="3"/>
  <c r="AH375" i="3"/>
  <c r="AH376" i="3"/>
  <c r="AH377" i="3"/>
  <c r="AH378" i="3"/>
  <c r="AH379" i="3"/>
  <c r="AH380" i="3"/>
  <c r="AH381" i="3"/>
  <c r="AH382" i="3"/>
  <c r="AH383" i="3"/>
  <c r="AH384" i="3"/>
  <c r="AH385" i="3"/>
  <c r="AH386" i="3"/>
  <c r="AH387" i="3"/>
  <c r="AH388" i="3"/>
  <c r="AH389" i="3"/>
  <c r="AH390" i="3"/>
  <c r="AH391" i="3"/>
  <c r="AH392" i="3"/>
  <c r="AH393" i="3"/>
  <c r="AH394" i="3"/>
  <c r="AH395" i="3"/>
  <c r="AH396" i="3"/>
  <c r="AH397" i="3"/>
  <c r="AH398" i="3"/>
  <c r="AH399" i="3"/>
  <c r="AH400" i="3"/>
  <c r="AH401" i="3"/>
  <c r="AH402" i="3"/>
  <c r="AH403" i="3"/>
  <c r="AH404" i="3"/>
  <c r="AH405" i="3"/>
  <c r="AH406" i="3"/>
  <c r="AH407" i="3"/>
  <c r="AH408" i="3"/>
  <c r="AH409" i="3"/>
  <c r="AH410" i="3"/>
  <c r="AH411" i="3"/>
  <c r="AH412" i="3"/>
  <c r="AH413" i="3"/>
  <c r="AH414" i="3"/>
  <c r="AH415" i="3"/>
  <c r="AH416" i="3"/>
  <c r="AH417" i="3"/>
  <c r="AH418" i="3"/>
  <c r="AH419" i="3"/>
  <c r="AH420" i="3"/>
  <c r="AH421" i="3"/>
  <c r="AH422" i="3"/>
  <c r="AH423" i="3"/>
  <c r="AH424" i="3"/>
  <c r="AH425" i="3"/>
  <c r="AH426" i="3"/>
  <c r="AH427" i="3"/>
  <c r="AH428" i="3"/>
  <c r="AH429" i="3"/>
  <c r="AH430" i="3"/>
  <c r="AH431" i="3"/>
  <c r="AH432" i="3"/>
  <c r="AH433" i="3"/>
  <c r="AH434" i="3"/>
  <c r="AH435" i="3"/>
  <c r="AH436" i="3"/>
  <c r="AH437" i="3"/>
  <c r="AH438" i="3"/>
  <c r="AH439" i="3"/>
  <c r="AH440" i="3"/>
  <c r="AH441" i="3"/>
  <c r="AH442" i="3"/>
  <c r="AH443" i="3"/>
  <c r="AH444" i="3"/>
  <c r="AH445" i="3"/>
  <c r="AH446" i="3"/>
  <c r="AH447" i="3"/>
  <c r="AH448" i="3"/>
  <c r="AH449" i="3"/>
  <c r="AH450" i="3"/>
  <c r="AH451" i="3"/>
  <c r="AH452" i="3"/>
  <c r="AH453" i="3"/>
  <c r="AH454" i="3"/>
  <c r="AH455" i="3"/>
  <c r="AH456" i="3"/>
  <c r="AH457" i="3"/>
  <c r="AH458" i="3"/>
  <c r="AH459" i="3"/>
  <c r="AH460" i="3"/>
  <c r="AH461" i="3"/>
  <c r="AH462" i="3"/>
  <c r="AH463" i="3"/>
  <c r="AH464" i="3"/>
  <c r="AH465" i="3"/>
  <c r="AH466" i="3"/>
  <c r="AH467" i="3"/>
  <c r="AH468" i="3"/>
  <c r="AH469" i="3"/>
  <c r="AH470" i="3"/>
  <c r="AH471" i="3"/>
  <c r="AH472" i="3"/>
  <c r="AH473" i="3"/>
  <c r="AH474" i="3"/>
  <c r="AH475" i="3"/>
  <c r="AH476" i="3"/>
  <c r="AH477" i="3"/>
  <c r="AH478" i="3"/>
  <c r="AH479" i="3"/>
  <c r="AH480" i="3"/>
  <c r="AH481" i="3"/>
  <c r="AH482" i="3"/>
  <c r="AH483" i="3"/>
  <c r="AH484" i="3"/>
  <c r="AH485" i="3"/>
  <c r="AH486" i="3"/>
  <c r="AH487" i="3"/>
  <c r="AH488" i="3"/>
  <c r="AH489" i="3"/>
  <c r="AH490" i="3"/>
  <c r="AH491" i="3"/>
  <c r="AH492" i="3"/>
  <c r="AH493" i="3"/>
  <c r="AH494" i="3"/>
  <c r="AH495" i="3"/>
  <c r="AH496" i="3"/>
  <c r="AH497" i="3"/>
  <c r="AH498" i="3"/>
  <c r="AH499" i="3"/>
  <c r="AH500" i="3"/>
  <c r="AH501" i="3"/>
  <c r="AH502" i="3"/>
  <c r="AH503" i="3"/>
  <c r="AH504" i="3"/>
  <c r="AH505" i="3"/>
  <c r="AH506" i="3"/>
  <c r="AH507" i="3"/>
  <c r="AH508" i="3"/>
  <c r="AH509" i="3"/>
  <c r="AH510" i="3"/>
  <c r="AH511" i="3"/>
  <c r="AH512" i="3"/>
  <c r="AH513" i="3"/>
  <c r="AH514" i="3"/>
  <c r="AH515" i="3"/>
  <c r="AH516" i="3"/>
  <c r="AH517" i="3"/>
  <c r="AH518" i="3"/>
  <c r="AH519" i="3"/>
  <c r="AH520" i="3"/>
  <c r="AH521" i="3"/>
  <c r="AH522" i="3"/>
  <c r="AH523" i="3"/>
  <c r="AH524" i="3"/>
  <c r="AH525" i="3"/>
  <c r="AH526" i="3"/>
  <c r="AH527" i="3"/>
  <c r="AH528" i="3"/>
  <c r="AH529" i="3"/>
  <c r="AH530" i="3"/>
  <c r="AH531" i="3"/>
  <c r="AH532" i="3"/>
  <c r="AH533" i="3"/>
  <c r="AH534" i="3"/>
  <c r="AH535" i="3"/>
  <c r="AH536" i="3"/>
  <c r="AH537" i="3"/>
  <c r="AH538" i="3"/>
  <c r="AH539" i="3"/>
  <c r="AH540" i="3"/>
  <c r="AH541" i="3"/>
  <c r="AH542" i="3"/>
  <c r="AH543" i="3"/>
  <c r="AH544" i="3"/>
  <c r="AH545" i="3"/>
  <c r="AH546" i="3"/>
  <c r="AH547" i="3"/>
  <c r="AH548" i="3"/>
  <c r="AH549" i="3"/>
  <c r="AH550" i="3"/>
  <c r="AH551" i="3"/>
  <c r="AH552" i="3"/>
  <c r="AH553" i="3"/>
  <c r="AH554" i="3"/>
  <c r="AH555" i="3"/>
  <c r="AH556" i="3"/>
  <c r="AH557" i="3"/>
  <c r="AH558" i="3"/>
  <c r="AH559" i="3"/>
  <c r="AH560" i="3"/>
  <c r="AH561" i="3"/>
  <c r="AH562" i="3"/>
  <c r="AH563" i="3"/>
  <c r="AH564" i="3"/>
  <c r="AH565" i="3"/>
  <c r="AH566" i="3"/>
  <c r="AH567" i="3"/>
  <c r="AH568" i="3"/>
  <c r="AH569" i="3"/>
  <c r="AH570" i="3"/>
  <c r="AH571" i="3"/>
  <c r="AH572" i="3"/>
  <c r="AH573" i="3"/>
  <c r="AH574" i="3"/>
  <c r="AH575" i="3"/>
  <c r="AH576" i="3"/>
  <c r="AH577" i="3"/>
  <c r="AH578" i="3"/>
  <c r="AH579" i="3"/>
  <c r="AH580" i="3"/>
  <c r="AH581" i="3"/>
  <c r="AH582" i="3"/>
  <c r="AH583" i="3"/>
  <c r="AH584" i="3"/>
  <c r="AH585" i="3"/>
  <c r="AH586" i="3"/>
  <c r="AH587" i="3"/>
  <c r="AH588" i="3"/>
  <c r="AH589" i="3"/>
  <c r="AH590" i="3"/>
  <c r="AH591" i="3"/>
  <c r="AH592" i="3"/>
  <c r="AH593" i="3"/>
  <c r="AH594" i="3"/>
  <c r="AH595" i="3"/>
  <c r="AH596" i="3"/>
  <c r="AH597" i="3"/>
  <c r="AH598" i="3"/>
  <c r="AH599" i="3"/>
  <c r="AH600" i="3"/>
  <c r="AH601" i="3"/>
  <c r="AH602" i="3"/>
  <c r="AH603" i="3"/>
  <c r="AH604" i="3"/>
  <c r="AH605" i="3"/>
  <c r="AH606" i="3"/>
  <c r="AH607" i="3"/>
  <c r="AH608" i="3"/>
  <c r="AH609" i="3"/>
  <c r="AH610" i="3"/>
  <c r="AH611" i="3"/>
  <c r="AH612" i="3"/>
  <c r="AH613" i="3"/>
  <c r="AH614" i="3"/>
  <c r="AH615" i="3"/>
  <c r="AH616" i="3"/>
  <c r="AH617" i="3"/>
  <c r="AH618" i="3"/>
  <c r="AH619" i="3"/>
  <c r="AH620" i="3"/>
  <c r="AH621" i="3"/>
  <c r="AH622" i="3"/>
  <c r="AH623" i="3"/>
  <c r="AH624" i="3"/>
  <c r="AH625" i="3"/>
  <c r="AH626" i="3"/>
  <c r="AH627" i="3"/>
  <c r="AH628" i="3"/>
  <c r="AH629" i="3"/>
  <c r="AH630" i="3"/>
  <c r="AH631" i="3"/>
  <c r="AH632" i="3"/>
  <c r="AH633" i="3"/>
  <c r="AH634" i="3"/>
  <c r="AH635" i="3"/>
  <c r="AH636" i="3"/>
  <c r="AH637" i="3"/>
  <c r="AH638" i="3"/>
  <c r="AH639" i="3"/>
  <c r="AH640" i="3"/>
  <c r="AH641" i="3"/>
  <c r="AH642" i="3"/>
  <c r="AH643" i="3"/>
  <c r="AH644" i="3"/>
  <c r="AH645" i="3"/>
  <c r="AH646" i="3"/>
  <c r="AH647" i="3"/>
  <c r="AH648" i="3"/>
  <c r="AH649" i="3"/>
  <c r="AH650" i="3"/>
  <c r="AH651" i="3"/>
  <c r="AH652" i="3"/>
  <c r="AH653" i="3"/>
  <c r="AH654" i="3"/>
  <c r="AH655" i="3"/>
  <c r="AH656" i="3"/>
  <c r="AH657" i="3"/>
  <c r="AH658" i="3"/>
  <c r="AH659" i="3"/>
  <c r="AH660" i="3"/>
  <c r="AH661" i="3"/>
  <c r="AH662" i="3"/>
  <c r="AH663" i="3"/>
  <c r="AH664" i="3"/>
  <c r="AH665" i="3"/>
  <c r="AH666" i="3"/>
  <c r="AH667" i="3"/>
  <c r="AH668" i="3"/>
  <c r="AH669" i="3"/>
  <c r="AH670" i="3"/>
  <c r="AH671" i="3"/>
  <c r="AH672" i="3"/>
  <c r="AH673" i="3"/>
  <c r="AH674" i="3"/>
  <c r="AH675" i="3"/>
  <c r="AH676" i="3"/>
  <c r="AH677" i="3"/>
  <c r="AH678" i="3"/>
  <c r="AH679" i="3"/>
  <c r="AH680" i="3"/>
  <c r="AH681" i="3"/>
  <c r="AH682" i="3"/>
  <c r="AH683" i="3"/>
  <c r="AH684" i="3"/>
  <c r="AH685" i="3"/>
  <c r="AH686" i="3"/>
  <c r="AH687" i="3"/>
  <c r="AH688" i="3"/>
  <c r="AH689" i="3"/>
  <c r="AH690" i="3"/>
  <c r="AH691" i="3"/>
  <c r="AH692" i="3"/>
  <c r="AH693" i="3"/>
  <c r="AH694" i="3"/>
  <c r="AH695" i="3"/>
  <c r="AH696" i="3"/>
  <c r="AH697" i="3"/>
  <c r="AH698" i="3"/>
  <c r="AH699" i="3"/>
  <c r="AH700" i="3"/>
  <c r="AH701" i="3"/>
  <c r="AH702" i="3"/>
  <c r="AH703" i="3"/>
  <c r="AH704" i="3"/>
  <c r="AH705" i="3"/>
  <c r="AH706" i="3"/>
  <c r="AH707" i="3"/>
  <c r="AH708" i="3"/>
  <c r="AH709" i="3"/>
  <c r="AH710" i="3"/>
  <c r="AH711" i="3"/>
  <c r="AH712" i="3"/>
  <c r="AH713" i="3"/>
  <c r="AH714" i="3"/>
  <c r="AH715" i="3"/>
  <c r="AH716" i="3"/>
  <c r="AH717" i="3"/>
  <c r="AH718" i="3"/>
  <c r="AH719" i="3"/>
  <c r="AH720" i="3"/>
  <c r="AH721" i="3"/>
  <c r="AH722" i="3"/>
  <c r="AH723" i="3"/>
  <c r="AH724" i="3"/>
  <c r="AH725" i="3"/>
  <c r="AH726" i="3"/>
  <c r="AH727" i="3"/>
  <c r="AH728" i="3"/>
  <c r="AH729" i="3"/>
  <c r="AH730" i="3"/>
  <c r="AH731" i="3"/>
  <c r="AH732" i="3"/>
  <c r="AH733" i="3"/>
  <c r="AH734" i="3"/>
  <c r="AH735" i="3"/>
  <c r="AH736" i="3"/>
  <c r="AH737" i="3"/>
  <c r="AH738" i="3"/>
  <c r="AH739" i="3"/>
  <c r="AH740" i="3"/>
  <c r="AH741" i="3"/>
  <c r="AH742" i="3"/>
  <c r="AH743" i="3"/>
  <c r="AH744" i="3"/>
  <c r="AH745" i="3"/>
  <c r="AH746" i="3"/>
  <c r="AH747" i="3"/>
  <c r="AH748" i="3"/>
  <c r="AH749" i="3"/>
  <c r="AH750" i="3"/>
  <c r="AH751" i="3"/>
  <c r="AH752" i="3"/>
  <c r="AH753" i="3"/>
  <c r="AH754" i="3"/>
  <c r="AH755" i="3"/>
  <c r="AH756" i="3"/>
  <c r="AH757" i="3"/>
  <c r="AH758" i="3"/>
  <c r="AH759" i="3"/>
  <c r="AH760" i="3"/>
  <c r="AH761" i="3"/>
  <c r="AH762" i="3"/>
  <c r="AH763" i="3"/>
  <c r="AH764" i="3"/>
  <c r="AH765" i="3"/>
  <c r="AH766" i="3"/>
  <c r="AH767" i="3"/>
  <c r="AH768" i="3"/>
  <c r="AH769" i="3"/>
  <c r="AH770" i="3"/>
  <c r="AH771" i="3"/>
  <c r="AH772" i="3"/>
  <c r="AH773" i="3"/>
  <c r="AH774" i="3"/>
  <c r="AH775" i="3"/>
  <c r="AH776" i="3"/>
  <c r="AH777" i="3"/>
  <c r="AH778" i="3"/>
  <c r="AH779" i="3"/>
  <c r="AH780" i="3"/>
  <c r="AH781" i="3"/>
  <c r="AH782" i="3"/>
  <c r="AH783" i="3"/>
  <c r="AH784" i="3"/>
  <c r="AH785" i="3"/>
  <c r="AH786" i="3"/>
  <c r="AH787" i="3"/>
  <c r="AH788" i="3"/>
  <c r="AH789" i="3"/>
  <c r="AH790" i="3"/>
  <c r="AH791" i="3"/>
  <c r="AH792" i="3"/>
  <c r="AH793" i="3"/>
  <c r="AH794" i="3"/>
  <c r="AH795" i="3"/>
  <c r="AH796" i="3"/>
  <c r="AH797" i="3"/>
  <c r="AH798" i="3"/>
  <c r="AH799" i="3"/>
  <c r="AH800" i="3"/>
  <c r="AH801" i="3"/>
  <c r="AH802" i="3"/>
  <c r="AH803" i="3"/>
  <c r="AH804" i="3"/>
  <c r="AH805" i="3"/>
  <c r="AH806" i="3"/>
  <c r="AH807" i="3"/>
  <c r="AH808" i="3"/>
  <c r="AH809" i="3"/>
  <c r="AH810" i="3"/>
  <c r="AH811" i="3"/>
  <c r="AH812" i="3"/>
  <c r="AH813" i="3"/>
  <c r="AH814" i="3"/>
  <c r="AH815" i="3"/>
  <c r="AH816" i="3"/>
  <c r="AH817" i="3"/>
  <c r="AH818" i="3"/>
  <c r="AH819" i="3"/>
  <c r="AH820" i="3"/>
  <c r="AH821" i="3"/>
  <c r="AH822" i="3"/>
  <c r="AH823" i="3"/>
  <c r="AH824" i="3"/>
  <c r="AH825" i="3"/>
  <c r="AH826" i="3"/>
  <c r="AH827" i="3"/>
  <c r="AH828" i="3"/>
  <c r="AH829" i="3"/>
  <c r="AH830" i="3"/>
  <c r="AH831" i="3"/>
  <c r="AH832" i="3"/>
  <c r="AH833" i="3"/>
  <c r="AH834" i="3"/>
  <c r="AH835" i="3"/>
  <c r="AH836" i="3"/>
  <c r="AH837" i="3"/>
  <c r="AH838" i="3"/>
  <c r="AH839" i="3"/>
  <c r="AH840" i="3"/>
  <c r="AH841" i="3"/>
  <c r="AH842" i="3"/>
  <c r="AH843" i="3"/>
  <c r="AH844" i="3"/>
  <c r="AH845" i="3"/>
  <c r="AH846" i="3"/>
  <c r="AH847" i="3"/>
  <c r="AH848" i="3"/>
  <c r="AH849" i="3"/>
  <c r="AH850" i="3"/>
  <c r="AH851" i="3"/>
  <c r="AH852" i="3"/>
  <c r="AH853" i="3"/>
  <c r="AH854" i="3"/>
  <c r="AH855" i="3"/>
  <c r="AH856" i="3"/>
  <c r="AH857" i="3"/>
  <c r="AH858" i="3"/>
  <c r="AH859" i="3"/>
  <c r="AH860" i="3"/>
  <c r="AH861" i="3"/>
  <c r="AH862" i="3"/>
  <c r="AH863" i="3"/>
  <c r="AH864" i="3"/>
  <c r="AH865" i="3"/>
  <c r="AH866" i="3"/>
  <c r="AH867" i="3"/>
  <c r="AH868" i="3"/>
  <c r="AH869" i="3"/>
  <c r="AH870" i="3"/>
  <c r="AH871" i="3"/>
  <c r="AH872" i="3"/>
  <c r="AH873" i="3"/>
  <c r="AH874" i="3"/>
  <c r="AH875" i="3"/>
  <c r="AH876" i="3"/>
  <c r="AH877" i="3"/>
  <c r="AH878" i="3"/>
  <c r="AH879" i="3"/>
  <c r="AH880" i="3"/>
  <c r="AH881" i="3"/>
  <c r="AH882" i="3"/>
  <c r="AH883" i="3"/>
  <c r="AH884" i="3"/>
  <c r="AH885" i="3"/>
  <c r="AH886" i="3"/>
  <c r="AH887" i="3"/>
  <c r="AH888" i="3"/>
  <c r="AH889" i="3"/>
  <c r="AH890" i="3"/>
  <c r="AH891" i="3"/>
  <c r="AH892" i="3"/>
  <c r="AH893" i="3"/>
  <c r="AH894" i="3"/>
  <c r="AH895" i="3"/>
  <c r="AH896" i="3"/>
  <c r="AH897" i="3"/>
  <c r="AH898" i="3"/>
  <c r="AH899" i="3"/>
  <c r="AH900" i="3"/>
  <c r="AH901" i="3"/>
  <c r="AH902" i="3"/>
  <c r="AH903" i="3"/>
  <c r="AH904" i="3"/>
  <c r="AH905" i="3"/>
  <c r="AH906" i="3"/>
  <c r="AH907" i="3"/>
  <c r="AH908" i="3"/>
  <c r="AH909" i="3"/>
  <c r="AH910" i="3"/>
  <c r="AH911" i="3"/>
  <c r="AH912" i="3"/>
  <c r="AH913" i="3"/>
  <c r="AH914" i="3"/>
  <c r="AH915" i="3"/>
  <c r="AH916" i="3"/>
  <c r="AH917" i="3"/>
  <c r="AH918" i="3"/>
  <c r="AH919" i="3"/>
  <c r="AH920" i="3"/>
  <c r="AH921" i="3"/>
  <c r="AH922" i="3"/>
  <c r="AH923" i="3"/>
  <c r="AH924" i="3"/>
  <c r="AH925" i="3"/>
  <c r="AH926" i="3"/>
  <c r="AH927" i="3"/>
  <c r="AH928" i="3"/>
  <c r="AH929" i="3"/>
  <c r="AH930" i="3"/>
  <c r="AH931" i="3"/>
  <c r="AH932" i="3"/>
  <c r="AH933" i="3"/>
  <c r="AH934" i="3"/>
  <c r="AH935" i="3"/>
  <c r="AH936" i="3"/>
  <c r="AH937" i="3"/>
  <c r="AH938" i="3"/>
  <c r="AH939" i="3"/>
  <c r="AH940" i="3"/>
  <c r="AH941" i="3"/>
  <c r="AH942" i="3"/>
  <c r="AH943" i="3"/>
  <c r="AH944" i="3"/>
  <c r="AH945" i="3"/>
  <c r="AH946" i="3"/>
  <c r="AH947" i="3"/>
  <c r="AH948" i="3"/>
  <c r="AH949" i="3"/>
  <c r="AH950" i="3"/>
  <c r="AH951" i="3"/>
  <c r="AH952" i="3"/>
  <c r="AH953" i="3"/>
  <c r="AH954" i="3"/>
  <c r="AH955" i="3"/>
  <c r="AH956" i="3"/>
  <c r="AH957" i="3"/>
  <c r="AH958" i="3"/>
  <c r="AH959" i="3"/>
  <c r="AH960" i="3"/>
  <c r="AH961" i="3"/>
  <c r="AH962" i="3"/>
  <c r="AH963" i="3"/>
  <c r="AH964" i="3"/>
  <c r="AH965" i="3"/>
  <c r="AH966" i="3"/>
  <c r="AH967" i="3"/>
  <c r="AH968" i="3"/>
  <c r="AH969" i="3"/>
  <c r="AH970" i="3"/>
  <c r="AH971" i="3"/>
  <c r="AH972" i="3"/>
  <c r="AH973" i="3"/>
  <c r="AH974" i="3"/>
  <c r="AH975" i="3"/>
  <c r="AH976" i="3"/>
  <c r="AH977" i="3"/>
  <c r="AH978" i="3"/>
  <c r="AH979" i="3"/>
  <c r="AH980" i="3"/>
  <c r="AH981" i="3"/>
  <c r="AH982" i="3"/>
  <c r="AH983" i="3"/>
  <c r="AH984" i="3"/>
  <c r="AH985" i="3"/>
  <c r="AH986" i="3"/>
  <c r="AH987" i="3"/>
  <c r="AH988" i="3"/>
  <c r="AH989" i="3"/>
  <c r="AH990" i="3"/>
  <c r="AH991" i="3"/>
  <c r="AH992" i="3"/>
  <c r="AH993" i="3"/>
  <c r="AH994" i="3"/>
  <c r="AH995" i="3"/>
  <c r="AH996" i="3"/>
  <c r="AH997" i="3"/>
  <c r="AH998" i="3"/>
  <c r="AH999" i="3"/>
  <c r="AH1000" i="3"/>
  <c r="AH1001" i="3"/>
  <c r="AH1002" i="3"/>
  <c r="AH1003" i="3"/>
  <c r="AH1004" i="3"/>
  <c r="AH19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5" i="3"/>
  <c r="W5" i="3" a="1"/>
  <c r="W5" i="3" s="1"/>
  <c r="W6" i="3" a="1"/>
  <c r="W6" i="3" s="1"/>
  <c r="W7" i="3" a="1"/>
  <c r="W7" i="3" s="1"/>
  <c r="W8" i="3" a="1"/>
  <c r="W8" i="3" s="1"/>
  <c r="W9" i="3" a="1"/>
  <c r="W9" i="3" s="1"/>
  <c r="W10" i="3" a="1"/>
  <c r="W10" i="3" s="1"/>
  <c r="W11" i="3" a="1"/>
  <c r="W11" i="3" s="1"/>
  <c r="W12" i="3" a="1"/>
  <c r="W12" i="3" s="1"/>
  <c r="W13" i="3" a="1"/>
  <c r="W13" i="3" s="1"/>
  <c r="W14" i="3" a="1"/>
  <c r="W14" i="3" s="1"/>
  <c r="W15" i="3" a="1"/>
  <c r="W15" i="3" s="1"/>
  <c r="W16" i="3" a="1"/>
  <c r="W16" i="3" s="1"/>
  <c r="W17" i="3" a="1"/>
  <c r="W17" i="3" s="1"/>
  <c r="W18" i="3" a="1"/>
  <c r="W18" i="3" s="1"/>
  <c r="W19" i="3" a="1"/>
  <c r="W19" i="3" s="1"/>
  <c r="W20" i="3" a="1"/>
  <c r="W20" i="3" s="1"/>
  <c r="W21" i="3" a="1"/>
  <c r="W21" i="3" s="1"/>
  <c r="W22" i="3" a="1"/>
  <c r="W22" i="3" s="1"/>
  <c r="W23" i="3" a="1"/>
  <c r="W23" i="3" s="1"/>
  <c r="W24" i="3" a="1"/>
  <c r="W24" i="3" s="1"/>
  <c r="W25" i="3" a="1"/>
  <c r="W25" i="3" s="1"/>
  <c r="W26" i="3" a="1"/>
  <c r="W26" i="3" s="1"/>
  <c r="W27" i="3" a="1"/>
  <c r="W27" i="3" s="1"/>
  <c r="W28" i="3" a="1"/>
  <c r="W28" i="3" s="1"/>
  <c r="W29" i="3" a="1"/>
  <c r="W29" i="3" s="1"/>
  <c r="W30" i="3" a="1"/>
  <c r="W30" i="3" s="1"/>
  <c r="W31" i="3" a="1"/>
  <c r="W31" i="3" s="1"/>
  <c r="W32" i="3" a="1"/>
  <c r="W32" i="3" s="1"/>
  <c r="W33" i="3" a="1"/>
  <c r="W33" i="3" s="1"/>
  <c r="W34" i="3" a="1"/>
  <c r="W34" i="3" s="1"/>
  <c r="W35" i="3" a="1"/>
  <c r="W35" i="3" s="1"/>
  <c r="W36" i="3" a="1"/>
  <c r="W36" i="3" s="1"/>
  <c r="W37" i="3" a="1"/>
  <c r="W37" i="3" s="1"/>
  <c r="W38" i="3" a="1"/>
  <c r="W38" i="3" s="1"/>
  <c r="W39" i="3" a="1"/>
  <c r="W39" i="3" s="1"/>
  <c r="W40" i="3" a="1"/>
  <c r="W40" i="3" s="1"/>
  <c r="W41" i="3" a="1"/>
  <c r="W41" i="3" s="1"/>
  <c r="W42" i="3" a="1"/>
  <c r="W42" i="3" s="1"/>
  <c r="W43" i="3" a="1"/>
  <c r="W43" i="3" s="1"/>
  <c r="W44" i="3" a="1"/>
  <c r="W44" i="3" s="1"/>
  <c r="W45" i="3" a="1"/>
  <c r="W45" i="3" s="1"/>
  <c r="W46" i="3" a="1"/>
  <c r="W46" i="3" s="1"/>
  <c r="W47" i="3" a="1"/>
  <c r="W47" i="3" s="1"/>
  <c r="W48" i="3" a="1"/>
  <c r="W48" i="3" s="1"/>
  <c r="W49" i="3" a="1"/>
  <c r="W49" i="3" s="1"/>
  <c r="W50" i="3" a="1"/>
  <c r="W50" i="3" s="1"/>
  <c r="W51" i="3" a="1"/>
  <c r="W51" i="3" s="1"/>
  <c r="W52" i="3" a="1"/>
  <c r="W52" i="3" s="1"/>
  <c r="W53" i="3" a="1"/>
  <c r="W53" i="3" s="1"/>
  <c r="W54" i="3" a="1"/>
  <c r="W54" i="3" s="1"/>
  <c r="W55" i="3" a="1"/>
  <c r="W55" i="3" s="1"/>
  <c r="W56" i="3" a="1"/>
  <c r="W56" i="3" s="1"/>
  <c r="W57" i="3" a="1"/>
  <c r="W57" i="3" s="1"/>
  <c r="W58" i="3" a="1"/>
  <c r="W58" i="3" s="1"/>
  <c r="W59" i="3" a="1"/>
  <c r="W59" i="3" s="1"/>
  <c r="W60" i="3" a="1"/>
  <c r="W60" i="3" s="1"/>
  <c r="W61" i="3" a="1"/>
  <c r="W61" i="3" s="1"/>
  <c r="W62" i="3" a="1"/>
  <c r="W62" i="3" s="1"/>
  <c r="W63" i="3" a="1"/>
  <c r="W63" i="3" s="1"/>
  <c r="W64" i="3" a="1"/>
  <c r="W64" i="3" s="1"/>
  <c r="W65" i="3" a="1"/>
  <c r="W65" i="3" s="1"/>
  <c r="W66" i="3" a="1"/>
  <c r="W66" i="3" s="1"/>
  <c r="W67" i="3" a="1"/>
  <c r="W67" i="3" s="1"/>
  <c r="W68" i="3" a="1"/>
  <c r="W68" i="3" s="1"/>
  <c r="W69" i="3" a="1"/>
  <c r="W69" i="3" s="1"/>
  <c r="W70" i="3" a="1"/>
  <c r="W70" i="3" s="1"/>
  <c r="W71" i="3" a="1"/>
  <c r="W71" i="3" s="1"/>
  <c r="W72" i="3" a="1"/>
  <c r="W72" i="3" s="1"/>
  <c r="W73" i="3" a="1"/>
  <c r="W73" i="3" s="1"/>
  <c r="W74" i="3" a="1"/>
  <c r="W74" i="3" s="1"/>
  <c r="W75" i="3" a="1"/>
  <c r="W75" i="3" s="1"/>
  <c r="W76" i="3" a="1"/>
  <c r="W76" i="3" s="1"/>
  <c r="W77" i="3" a="1"/>
  <c r="W77" i="3" s="1"/>
  <c r="W78" i="3" a="1"/>
  <c r="W78" i="3" s="1"/>
  <c r="W79" i="3" a="1"/>
  <c r="W79" i="3" s="1"/>
  <c r="W80" i="3" a="1"/>
  <c r="W80" i="3" s="1"/>
  <c r="W81" i="3" a="1"/>
  <c r="W81" i="3" s="1"/>
  <c r="W82" i="3" a="1"/>
  <c r="W82" i="3" s="1"/>
  <c r="W83" i="3" a="1"/>
  <c r="W83" i="3" s="1"/>
  <c r="W84" i="3" a="1"/>
  <c r="W84" i="3" s="1"/>
  <c r="W85" i="3" a="1"/>
  <c r="W85" i="3" s="1"/>
  <c r="W86" i="3" a="1"/>
  <c r="W86" i="3" s="1"/>
  <c r="W87" i="3" a="1"/>
  <c r="W87" i="3" s="1"/>
  <c r="W88" i="3" a="1"/>
  <c r="W88" i="3" s="1"/>
  <c r="W89" i="3" a="1"/>
  <c r="W89" i="3" s="1"/>
  <c r="W90" i="3" a="1"/>
  <c r="W90" i="3" s="1"/>
  <c r="W91" i="3" a="1"/>
  <c r="W91" i="3" s="1"/>
  <c r="W92" i="3" a="1"/>
  <c r="W92" i="3" s="1"/>
  <c r="W93" i="3" a="1"/>
  <c r="W93" i="3" s="1"/>
  <c r="W94" i="3" a="1"/>
  <c r="W94" i="3" s="1"/>
  <c r="W95" i="3" a="1"/>
  <c r="W95" i="3" s="1"/>
  <c r="W96" i="3" a="1"/>
  <c r="W96" i="3" s="1"/>
  <c r="W97" i="3" a="1"/>
  <c r="W97" i="3" s="1"/>
  <c r="W98" i="3" a="1"/>
  <c r="W98" i="3" s="1"/>
  <c r="W99" i="3" a="1"/>
  <c r="W99" i="3" s="1"/>
  <c r="W100" i="3" a="1"/>
  <c r="W100" i="3" s="1"/>
  <c r="W101" i="3" a="1"/>
  <c r="W101" i="3" s="1"/>
  <c r="W102" i="3" a="1"/>
  <c r="W102" i="3" s="1"/>
  <c r="W103" i="3" a="1"/>
  <c r="W103" i="3" s="1"/>
  <c r="W104" i="3" a="1"/>
  <c r="W104" i="3" s="1"/>
  <c r="W105" i="3" a="1"/>
  <c r="W105" i="3" s="1"/>
  <c r="W106" i="3" a="1"/>
  <c r="W106" i="3" s="1"/>
  <c r="W107" i="3" a="1"/>
  <c r="W107" i="3" s="1"/>
  <c r="W108" i="3" a="1"/>
  <c r="W108" i="3" s="1"/>
  <c r="W109" i="3" a="1"/>
  <c r="W109" i="3" s="1"/>
  <c r="W110" i="3" a="1"/>
  <c r="W110" i="3" s="1"/>
  <c r="W111" i="3" a="1"/>
  <c r="W111" i="3" s="1"/>
  <c r="W112" i="3" a="1"/>
  <c r="W112" i="3" s="1"/>
  <c r="W113" i="3" a="1"/>
  <c r="W113" i="3" s="1"/>
  <c r="W114" i="3" a="1"/>
  <c r="W114" i="3" s="1"/>
  <c r="W115" i="3" a="1"/>
  <c r="W115" i="3" s="1"/>
  <c r="W116" i="3" a="1"/>
  <c r="W116" i="3" s="1"/>
  <c r="W117" i="3" a="1"/>
  <c r="W117" i="3" s="1"/>
  <c r="W118" i="3" a="1"/>
  <c r="W118" i="3" s="1"/>
  <c r="W119" i="3" a="1"/>
  <c r="W119" i="3" s="1"/>
  <c r="W120" i="3" a="1"/>
  <c r="W120" i="3" s="1"/>
  <c r="W121" i="3" a="1"/>
  <c r="W121" i="3" s="1"/>
  <c r="W122" i="3" a="1"/>
  <c r="W122" i="3" s="1"/>
  <c r="W123" i="3" a="1"/>
  <c r="W123" i="3" s="1"/>
  <c r="W124" i="3" a="1"/>
  <c r="W124" i="3" s="1"/>
  <c r="W125" i="3" a="1"/>
  <c r="W125" i="3" s="1"/>
  <c r="W127" i="3" a="1"/>
  <c r="W127" i="3" s="1"/>
  <c r="W128" i="3" a="1"/>
  <c r="W128" i="3" s="1"/>
  <c r="W129" i="3" a="1"/>
  <c r="W129" i="3" s="1"/>
  <c r="W130" i="3" a="1"/>
  <c r="W130" i="3" s="1"/>
  <c r="W131" i="3" a="1"/>
  <c r="W131" i="3" s="1"/>
  <c r="W132" i="3" a="1"/>
  <c r="W132" i="3" s="1"/>
  <c r="W133" i="3" a="1"/>
  <c r="W133" i="3" s="1"/>
  <c r="W134" i="3" a="1"/>
  <c r="W134" i="3" s="1"/>
  <c r="W135" i="3" a="1"/>
  <c r="W135" i="3" s="1"/>
  <c r="W136" i="3" a="1"/>
  <c r="W136" i="3" s="1"/>
  <c r="W137" i="3" a="1"/>
  <c r="W137" i="3" s="1"/>
  <c r="W138" i="3" a="1"/>
  <c r="W138" i="3" s="1"/>
  <c r="W139" i="3" a="1"/>
  <c r="W139" i="3" s="1"/>
  <c r="W140" i="3" a="1"/>
  <c r="W140" i="3" s="1"/>
  <c r="W141" i="3" a="1"/>
  <c r="W141" i="3" s="1"/>
  <c r="W142" i="3" a="1"/>
  <c r="W142" i="3" s="1"/>
  <c r="W143" i="3" a="1"/>
  <c r="W143" i="3" s="1"/>
  <c r="W144" i="3" a="1"/>
  <c r="W144" i="3" s="1"/>
  <c r="W145" i="3" a="1"/>
  <c r="W145" i="3" s="1"/>
  <c r="W146" i="3" a="1"/>
  <c r="W146" i="3" s="1"/>
  <c r="W147" i="3" a="1"/>
  <c r="W147" i="3" s="1"/>
  <c r="W148" i="3" a="1"/>
  <c r="W148" i="3" s="1"/>
  <c r="W149" i="3" a="1"/>
  <c r="W149" i="3" s="1"/>
  <c r="W150" i="3" a="1"/>
  <c r="W150" i="3" s="1"/>
  <c r="W151" i="3" a="1"/>
  <c r="W151" i="3" s="1"/>
  <c r="W152" i="3" a="1"/>
  <c r="W152" i="3" s="1"/>
  <c r="W153" i="3" a="1"/>
  <c r="W153" i="3" s="1"/>
  <c r="W154" i="3" a="1"/>
  <c r="W154" i="3" s="1"/>
  <c r="W155" i="3" a="1"/>
  <c r="W155" i="3" s="1"/>
  <c r="W156" i="3" a="1"/>
  <c r="W156" i="3" s="1"/>
  <c r="W157" i="3" a="1"/>
  <c r="W157" i="3" s="1"/>
  <c r="W158" i="3" a="1"/>
  <c r="W158" i="3" s="1"/>
  <c r="W159" i="3" a="1"/>
  <c r="W159" i="3" s="1"/>
  <c r="W160" i="3" a="1"/>
  <c r="W160" i="3" s="1"/>
  <c r="W161" i="3" a="1"/>
  <c r="W161" i="3" s="1"/>
  <c r="W162" i="3" a="1"/>
  <c r="W162" i="3" s="1"/>
  <c r="W163" i="3" a="1"/>
  <c r="W163" i="3" s="1"/>
  <c r="W164" i="3" a="1"/>
  <c r="W164" i="3" s="1"/>
  <c r="W165" i="3" a="1"/>
  <c r="W165" i="3" s="1"/>
  <c r="W166" i="3" a="1"/>
  <c r="W166" i="3" s="1"/>
  <c r="W167" i="3" a="1"/>
  <c r="W167" i="3" s="1"/>
  <c r="W168" i="3" a="1"/>
  <c r="W168" i="3" s="1"/>
  <c r="W169" i="3" a="1"/>
  <c r="W169" i="3" s="1"/>
  <c r="W170" i="3" a="1"/>
  <c r="W170" i="3" s="1"/>
  <c r="W171" i="3" a="1"/>
  <c r="W171" i="3" s="1"/>
  <c r="W172" i="3" a="1"/>
  <c r="W172" i="3" s="1"/>
  <c r="W173" i="3" a="1"/>
  <c r="W173" i="3" s="1"/>
  <c r="W174" i="3" a="1"/>
  <c r="W174" i="3" s="1"/>
  <c r="W175" i="3" a="1"/>
  <c r="W175" i="3" s="1"/>
  <c r="W176" i="3" a="1"/>
  <c r="W176" i="3" s="1"/>
  <c r="W177" i="3" a="1"/>
  <c r="W177" i="3" s="1"/>
  <c r="W178" i="3" a="1"/>
  <c r="W178" i="3" s="1"/>
  <c r="W179" i="3" a="1"/>
  <c r="W179" i="3" s="1"/>
  <c r="W180" i="3" a="1"/>
  <c r="W180" i="3" s="1"/>
  <c r="W181" i="3" a="1"/>
  <c r="W181" i="3" s="1"/>
  <c r="W182" i="3" a="1"/>
  <c r="W182" i="3" s="1"/>
  <c r="W183" i="3" a="1"/>
  <c r="W183" i="3" s="1"/>
  <c r="W184" i="3" a="1"/>
  <c r="W184" i="3" s="1"/>
  <c r="W185" i="3" a="1"/>
  <c r="W185" i="3" s="1"/>
  <c r="W186" i="3" a="1"/>
  <c r="W186" i="3" s="1"/>
  <c r="W187" i="3" a="1"/>
  <c r="W187" i="3" s="1"/>
  <c r="W188" i="3" a="1"/>
  <c r="W188" i="3" s="1"/>
  <c r="W189" i="3" a="1"/>
  <c r="W189" i="3" s="1"/>
  <c r="W190" i="3" a="1"/>
  <c r="W190" i="3" s="1"/>
  <c r="W191" i="3" a="1"/>
  <c r="W191" i="3" s="1"/>
  <c r="W192" i="3" a="1"/>
  <c r="W192" i="3" s="1"/>
  <c r="W193" i="3" a="1"/>
  <c r="W193" i="3" s="1"/>
  <c r="W194" i="3" a="1"/>
  <c r="W194" i="3" s="1"/>
  <c r="W195" i="3" a="1"/>
  <c r="W195" i="3" s="1"/>
  <c r="W196" i="3" a="1"/>
  <c r="W196" i="3" s="1"/>
  <c r="W197" i="3" a="1"/>
  <c r="W197" i="3" s="1"/>
  <c r="W198" i="3" a="1"/>
  <c r="W198" i="3" s="1"/>
  <c r="W199" i="3" a="1"/>
  <c r="W199" i="3" s="1"/>
  <c r="W200" i="3" a="1"/>
  <c r="W200" i="3" s="1"/>
  <c r="W201" i="3" a="1"/>
  <c r="W201" i="3" s="1"/>
  <c r="W202" i="3" a="1"/>
  <c r="W202" i="3" s="1"/>
  <c r="W203" i="3" a="1"/>
  <c r="W203" i="3" s="1"/>
  <c r="W204" i="3" a="1"/>
  <c r="W204" i="3" s="1"/>
  <c r="W205" i="3" a="1"/>
  <c r="W205" i="3" s="1"/>
  <c r="W206" i="3" a="1"/>
  <c r="W206" i="3" s="1"/>
  <c r="W207" i="3" a="1"/>
  <c r="W207" i="3" s="1"/>
  <c r="W208" i="3" a="1"/>
  <c r="W208" i="3" s="1"/>
  <c r="W209" i="3" a="1"/>
  <c r="W209" i="3" s="1"/>
  <c r="W210" i="3" a="1"/>
  <c r="W210" i="3" s="1"/>
  <c r="W211" i="3" a="1"/>
  <c r="W211" i="3" s="1"/>
  <c r="W212" i="3" a="1"/>
  <c r="W212" i="3" s="1"/>
  <c r="W213" i="3" a="1"/>
  <c r="W213" i="3" s="1"/>
  <c r="W214" i="3" a="1"/>
  <c r="W214" i="3" s="1"/>
  <c r="W215" i="3" a="1"/>
  <c r="W215" i="3" s="1"/>
  <c r="W216" i="3" a="1"/>
  <c r="W216" i="3" s="1"/>
  <c r="W217" i="3" a="1"/>
  <c r="W217" i="3" s="1"/>
  <c r="W218" i="3" a="1"/>
  <c r="W218" i="3" s="1"/>
  <c r="W219" i="3" a="1"/>
  <c r="W219" i="3" s="1"/>
  <c r="W220" i="3" a="1"/>
  <c r="W220" i="3" s="1"/>
  <c r="W221" i="3" a="1"/>
  <c r="W221" i="3" s="1"/>
  <c r="W222" i="3" a="1"/>
  <c r="W222" i="3" s="1"/>
  <c r="W223" i="3" a="1"/>
  <c r="W223" i="3" s="1"/>
  <c r="W224" i="3" a="1"/>
  <c r="W224" i="3" s="1"/>
  <c r="W225" i="3" a="1"/>
  <c r="W225" i="3" s="1"/>
  <c r="W226" i="3" a="1"/>
  <c r="W226" i="3" s="1"/>
  <c r="W227" i="3" a="1"/>
  <c r="W227" i="3" s="1"/>
  <c r="W229" i="3" a="1"/>
  <c r="W229" i="3" s="1"/>
  <c r="W230" i="3" a="1"/>
  <c r="W230" i="3" s="1"/>
  <c r="W231" i="3" a="1"/>
  <c r="W231" i="3" s="1"/>
  <c r="W232" i="3" a="1"/>
  <c r="W232" i="3" s="1"/>
  <c r="W233" i="3" a="1"/>
  <c r="W233" i="3" s="1"/>
  <c r="W234" i="3" a="1"/>
  <c r="W234" i="3" s="1"/>
  <c r="W235" i="3" a="1"/>
  <c r="W235" i="3" s="1"/>
  <c r="W236" i="3" a="1"/>
  <c r="W236" i="3" s="1"/>
  <c r="W237" i="3" a="1"/>
  <c r="W237" i="3" s="1"/>
  <c r="W238" i="3" a="1"/>
  <c r="W238" i="3" s="1"/>
  <c r="W239" i="3" a="1"/>
  <c r="W239" i="3" s="1"/>
  <c r="W240" i="3" a="1"/>
  <c r="W240" i="3" s="1"/>
  <c r="W241" i="3" a="1"/>
  <c r="W241" i="3" s="1"/>
  <c r="W242" i="3" a="1"/>
  <c r="W242" i="3" s="1"/>
  <c r="W243" i="3" a="1"/>
  <c r="W243" i="3" s="1"/>
  <c r="W244" i="3" a="1"/>
  <c r="W244" i="3" s="1"/>
  <c r="W245" i="3" a="1"/>
  <c r="W245" i="3" s="1"/>
  <c r="W246" i="3" a="1"/>
  <c r="W246" i="3" s="1"/>
  <c r="W247" i="3" a="1"/>
  <c r="W247" i="3" s="1"/>
  <c r="W248" i="3" a="1"/>
  <c r="W248" i="3" s="1"/>
  <c r="W249" i="3" a="1"/>
  <c r="W249" i="3" s="1"/>
  <c r="W250" i="3" a="1"/>
  <c r="W250" i="3" s="1"/>
  <c r="W251" i="3" a="1"/>
  <c r="W251" i="3" s="1"/>
  <c r="W252" i="3" a="1"/>
  <c r="W252" i="3" s="1"/>
  <c r="W253" i="3" a="1"/>
  <c r="W253" i="3" s="1"/>
  <c r="W254" i="3" a="1"/>
  <c r="W254" i="3" s="1"/>
  <c r="W255" i="3" a="1"/>
  <c r="W255" i="3" s="1"/>
  <c r="W256" i="3" a="1"/>
  <c r="W256" i="3" s="1"/>
  <c r="W257" i="3" a="1"/>
  <c r="W257" i="3" s="1"/>
  <c r="W258" i="3" a="1"/>
  <c r="W258" i="3" s="1"/>
  <c r="W259" i="3" a="1"/>
  <c r="W259" i="3" s="1"/>
  <c r="W260" i="3" a="1"/>
  <c r="W260" i="3" s="1"/>
  <c r="W261" i="3" a="1"/>
  <c r="W261" i="3" s="1"/>
  <c r="W262" i="3" a="1"/>
  <c r="W262" i="3" s="1"/>
  <c r="W263" i="3" a="1"/>
  <c r="W263" i="3" s="1"/>
  <c r="W264" i="3" a="1"/>
  <c r="W264" i="3" s="1"/>
  <c r="W265" i="3" a="1"/>
  <c r="W265" i="3" s="1"/>
  <c r="W266" i="3" a="1"/>
  <c r="W266" i="3" s="1"/>
  <c r="W267" i="3" a="1"/>
  <c r="W267" i="3" s="1"/>
  <c r="W268" i="3" a="1"/>
  <c r="W268" i="3" s="1"/>
  <c r="W269" i="3" a="1"/>
  <c r="W269" i="3" s="1"/>
  <c r="W270" i="3" a="1"/>
  <c r="W270" i="3" s="1"/>
  <c r="W272" i="3" a="1"/>
  <c r="W272" i="3" s="1"/>
  <c r="W273" i="3" a="1"/>
  <c r="W273" i="3" s="1"/>
  <c r="W274" i="3" a="1"/>
  <c r="W274" i="3" s="1"/>
  <c r="W275" i="3" a="1"/>
  <c r="W275" i="3" s="1"/>
  <c r="W276" i="3" a="1"/>
  <c r="W276" i="3" s="1"/>
  <c r="W277" i="3" a="1"/>
  <c r="W277" i="3" s="1"/>
  <c r="W278" i="3" a="1"/>
  <c r="W278" i="3" s="1"/>
  <c r="W279" i="3" a="1"/>
  <c r="W279" i="3" s="1"/>
  <c r="W280" i="3" a="1"/>
  <c r="W280" i="3" s="1"/>
  <c r="W281" i="3" a="1"/>
  <c r="W281" i="3" s="1"/>
  <c r="W282" i="3" a="1"/>
  <c r="W282" i="3" s="1"/>
  <c r="W283" i="3" a="1"/>
  <c r="W283" i="3" s="1"/>
  <c r="W284" i="3" a="1"/>
  <c r="W284" i="3" s="1"/>
  <c r="W285" i="3" a="1"/>
  <c r="W285" i="3" s="1"/>
  <c r="W286" i="3" a="1"/>
  <c r="W286" i="3" s="1"/>
  <c r="W287" i="3" a="1"/>
  <c r="W287" i="3" s="1"/>
  <c r="W288" i="3" a="1"/>
  <c r="W288" i="3" s="1"/>
  <c r="W289" i="3" a="1"/>
  <c r="W289" i="3" s="1"/>
  <c r="W290" i="3" a="1"/>
  <c r="W290" i="3" s="1"/>
  <c r="W291" i="3" a="1"/>
  <c r="W291" i="3" s="1"/>
  <c r="W292" i="3" a="1"/>
  <c r="W292" i="3" s="1"/>
  <c r="W293" i="3" a="1"/>
  <c r="W293" i="3" s="1"/>
  <c r="W294" i="3" a="1"/>
  <c r="W294" i="3" s="1"/>
  <c r="W295" i="3" a="1"/>
  <c r="W295" i="3" s="1"/>
  <c r="W296" i="3" a="1"/>
  <c r="W296" i="3" s="1"/>
  <c r="W297" i="3" a="1"/>
  <c r="W297" i="3" s="1"/>
  <c r="W298" i="3" a="1"/>
  <c r="W298" i="3" s="1"/>
  <c r="W299" i="3" a="1"/>
  <c r="W299" i="3" s="1"/>
  <c r="W300" i="3" a="1"/>
  <c r="W300" i="3" s="1"/>
  <c r="W301" i="3" a="1"/>
  <c r="W301" i="3" s="1"/>
  <c r="W302" i="3" a="1"/>
  <c r="W302" i="3" s="1"/>
  <c r="W303" i="3" a="1"/>
  <c r="W303" i="3" s="1"/>
  <c r="W304" i="3" a="1"/>
  <c r="W304" i="3" s="1"/>
  <c r="W305" i="3" a="1"/>
  <c r="W305" i="3" s="1"/>
  <c r="W306" i="3" a="1"/>
  <c r="W306" i="3" s="1"/>
  <c r="W307" i="3" a="1"/>
  <c r="W307" i="3" s="1"/>
  <c r="W308" i="3" a="1"/>
  <c r="W308" i="3" s="1"/>
  <c r="W309" i="3" a="1"/>
  <c r="W309" i="3" s="1"/>
  <c r="W310" i="3" a="1"/>
  <c r="W310" i="3" s="1"/>
  <c r="W311" i="3" a="1"/>
  <c r="W311" i="3" s="1"/>
  <c r="W312" i="3" a="1"/>
  <c r="W312" i="3" s="1"/>
  <c r="W313" i="3" a="1"/>
  <c r="W313" i="3" s="1"/>
  <c r="W314" i="3" a="1"/>
  <c r="W314" i="3" s="1"/>
  <c r="W315" i="3" a="1"/>
  <c r="W315" i="3" s="1"/>
  <c r="W316" i="3" a="1"/>
  <c r="W316" i="3" s="1"/>
  <c r="W317" i="3" a="1"/>
  <c r="W317" i="3" s="1"/>
  <c r="W318" i="3" a="1"/>
  <c r="W318" i="3" s="1"/>
  <c r="W319" i="3" a="1"/>
  <c r="W319" i="3" s="1"/>
  <c r="W320" i="3" a="1"/>
  <c r="W320" i="3" s="1"/>
  <c r="W321" i="3" a="1"/>
  <c r="W321" i="3" s="1"/>
  <c r="W322" i="3" a="1"/>
  <c r="W322" i="3" s="1"/>
  <c r="W323" i="3" a="1"/>
  <c r="W323" i="3" s="1"/>
  <c r="W324" i="3" a="1"/>
  <c r="W324" i="3" s="1"/>
  <c r="W325" i="3" a="1"/>
  <c r="W325" i="3" s="1"/>
  <c r="W326" i="3" a="1"/>
  <c r="W326" i="3" s="1"/>
  <c r="W327" i="3" a="1"/>
  <c r="W327" i="3" s="1"/>
  <c r="W328" i="3" a="1"/>
  <c r="W328" i="3" s="1"/>
  <c r="W329" i="3" a="1"/>
  <c r="W329" i="3" s="1"/>
  <c r="W330" i="3" a="1"/>
  <c r="W330" i="3" s="1"/>
  <c r="W331" i="3" a="1"/>
  <c r="W331" i="3" s="1"/>
  <c r="W332" i="3" a="1"/>
  <c r="W332" i="3" s="1"/>
  <c r="W333" i="3" a="1"/>
  <c r="W333" i="3" s="1"/>
  <c r="W334" i="3" a="1"/>
  <c r="W334" i="3" s="1"/>
  <c r="W335" i="3" a="1"/>
  <c r="W335" i="3" s="1"/>
  <c r="W336" i="3" a="1"/>
  <c r="W336" i="3" s="1"/>
  <c r="W337" i="3" a="1"/>
  <c r="W337" i="3" s="1"/>
  <c r="W338" i="3" a="1"/>
  <c r="W338" i="3" s="1"/>
  <c r="W339" i="3" a="1"/>
  <c r="W339" i="3" s="1"/>
  <c r="W340" i="3" a="1"/>
  <c r="W340" i="3" s="1"/>
  <c r="W341" i="3" a="1"/>
  <c r="W341" i="3" s="1"/>
  <c r="W342" i="3" a="1"/>
  <c r="W342" i="3" s="1"/>
  <c r="W343" i="3" a="1"/>
  <c r="W343" i="3" s="1"/>
  <c r="W344" i="3" a="1"/>
  <c r="W344" i="3" s="1"/>
  <c r="W345" i="3" a="1"/>
  <c r="W345" i="3" s="1"/>
  <c r="W346" i="3" a="1"/>
  <c r="W346" i="3" s="1"/>
  <c r="W347" i="3" a="1"/>
  <c r="W347" i="3" s="1"/>
  <c r="W348" i="3" a="1"/>
  <c r="W348" i="3" s="1"/>
  <c r="W349" i="3" a="1"/>
  <c r="W349" i="3" s="1"/>
  <c r="W350" i="3" a="1"/>
  <c r="W350" i="3" s="1"/>
  <c r="W351" i="3" a="1"/>
  <c r="W351" i="3" s="1"/>
  <c r="W352" i="3" a="1"/>
  <c r="W352" i="3" s="1"/>
  <c r="W353" i="3" a="1"/>
  <c r="W353" i="3" s="1"/>
  <c r="W354" i="3" a="1"/>
  <c r="W354" i="3" s="1"/>
  <c r="W355" i="3" a="1"/>
  <c r="W355" i="3" s="1"/>
  <c r="W356" i="3" a="1"/>
  <c r="W356" i="3" s="1"/>
  <c r="W357" i="3" a="1"/>
  <c r="W357" i="3" s="1"/>
  <c r="W358" i="3" a="1"/>
  <c r="W358" i="3" s="1"/>
  <c r="W359" i="3" a="1"/>
  <c r="W359" i="3" s="1"/>
  <c r="W360" i="3" a="1"/>
  <c r="W360" i="3" s="1"/>
  <c r="W361" i="3" a="1"/>
  <c r="W361" i="3" s="1"/>
  <c r="W362" i="3" a="1"/>
  <c r="W362" i="3" s="1"/>
  <c r="W363" i="3" a="1"/>
  <c r="W363" i="3" s="1"/>
  <c r="W364" i="3" a="1"/>
  <c r="W364" i="3" s="1"/>
  <c r="W365" i="3" a="1"/>
  <c r="W365" i="3" s="1"/>
  <c r="W366" i="3" a="1"/>
  <c r="W366" i="3" s="1"/>
  <c r="W367" i="3" a="1"/>
  <c r="W367" i="3" s="1"/>
  <c r="W368" i="3" a="1"/>
  <c r="W368" i="3" s="1"/>
  <c r="W369" i="3" a="1"/>
  <c r="W369" i="3" s="1"/>
  <c r="W370" i="3" a="1"/>
  <c r="W370" i="3" s="1"/>
  <c r="W371" i="3" a="1"/>
  <c r="W371" i="3" s="1"/>
  <c r="W372" i="3" a="1"/>
  <c r="W372" i="3" s="1"/>
  <c r="W373" i="3" a="1"/>
  <c r="W373" i="3" s="1"/>
  <c r="W374" i="3" a="1"/>
  <c r="W374" i="3" s="1"/>
  <c r="W375" i="3" a="1"/>
  <c r="W375" i="3" s="1"/>
  <c r="W376" i="3" a="1"/>
  <c r="W376" i="3" s="1"/>
  <c r="W377" i="3" a="1"/>
  <c r="W377" i="3" s="1"/>
  <c r="W378" i="3" a="1"/>
  <c r="W378" i="3" s="1"/>
  <c r="W379" i="3" a="1"/>
  <c r="W379" i="3" s="1"/>
  <c r="W380" i="3" a="1"/>
  <c r="W380" i="3" s="1"/>
  <c r="W381" i="3" a="1"/>
  <c r="W381" i="3" s="1"/>
  <c r="W382" i="3" a="1"/>
  <c r="W382" i="3" s="1"/>
  <c r="W383" i="3" a="1"/>
  <c r="W383" i="3" s="1"/>
  <c r="W384" i="3" a="1"/>
  <c r="W384" i="3" s="1"/>
  <c r="W385" i="3" a="1"/>
  <c r="W385" i="3" s="1"/>
  <c r="W386" i="3" a="1"/>
  <c r="W386" i="3" s="1"/>
  <c r="W387" i="3" a="1"/>
  <c r="W387" i="3" s="1"/>
  <c r="W388" i="3" a="1"/>
  <c r="W388" i="3" s="1"/>
  <c r="W389" i="3" a="1"/>
  <c r="W389" i="3" s="1"/>
  <c r="W390" i="3" a="1"/>
  <c r="W390" i="3" s="1"/>
  <c r="W391" i="3" a="1"/>
  <c r="W391" i="3" s="1"/>
  <c r="W392" i="3" a="1"/>
  <c r="W392" i="3" s="1"/>
  <c r="W393" i="3" a="1"/>
  <c r="W393" i="3" s="1"/>
  <c r="W394" i="3" a="1"/>
  <c r="W394" i="3" s="1"/>
  <c r="W395" i="3" a="1"/>
  <c r="W395" i="3" s="1"/>
  <c r="W396" i="3" a="1"/>
  <c r="W396" i="3" s="1"/>
  <c r="W397" i="3" a="1"/>
  <c r="W397" i="3" s="1"/>
  <c r="W398" i="3" a="1"/>
  <c r="W398" i="3" s="1"/>
  <c r="W399" i="3" a="1"/>
  <c r="W399" i="3" s="1"/>
  <c r="W400" i="3" a="1"/>
  <c r="W400" i="3" s="1"/>
  <c r="W401" i="3" a="1"/>
  <c r="W401" i="3" s="1"/>
  <c r="W402" i="3" a="1"/>
  <c r="W402" i="3" s="1"/>
  <c r="W403" i="3" a="1"/>
  <c r="W403" i="3" s="1"/>
  <c r="W404" i="3" a="1"/>
  <c r="W404" i="3" s="1"/>
  <c r="W405" i="3" a="1"/>
  <c r="W405" i="3" s="1"/>
  <c r="W406" i="3" a="1"/>
  <c r="W406" i="3" s="1"/>
  <c r="W407" i="3" a="1"/>
  <c r="W407" i="3" s="1"/>
  <c r="W408" i="3" a="1"/>
  <c r="W408" i="3" s="1"/>
  <c r="W409" i="3" a="1"/>
  <c r="W409" i="3" s="1"/>
  <c r="W410" i="3" a="1"/>
  <c r="W410" i="3" s="1"/>
  <c r="W411" i="3" a="1"/>
  <c r="W411" i="3" s="1"/>
  <c r="W412" i="3" a="1"/>
  <c r="W412" i="3" s="1"/>
  <c r="W413" i="3" a="1"/>
  <c r="W413" i="3" s="1"/>
  <c r="W414" i="3" a="1"/>
  <c r="W414" i="3" s="1"/>
  <c r="W415" i="3" a="1"/>
  <c r="W415" i="3" s="1"/>
  <c r="W416" i="3" a="1"/>
  <c r="W416" i="3" s="1"/>
  <c r="W417" i="3" a="1"/>
  <c r="W417" i="3" s="1"/>
  <c r="W418" i="3" a="1"/>
  <c r="W418" i="3" s="1"/>
  <c r="W419" i="3" a="1"/>
  <c r="W419" i="3" s="1"/>
  <c r="W420" i="3" a="1"/>
  <c r="W420" i="3" s="1"/>
  <c r="W421" i="3" a="1"/>
  <c r="W421" i="3" s="1"/>
  <c r="W422" i="3" a="1"/>
  <c r="W422" i="3" s="1"/>
  <c r="W423" i="3" a="1"/>
  <c r="W423" i="3" s="1"/>
  <c r="W424" i="3" a="1"/>
  <c r="W424" i="3" s="1"/>
  <c r="W425" i="3" a="1"/>
  <c r="W425" i="3" s="1"/>
  <c r="W426" i="3" a="1"/>
  <c r="W426" i="3" s="1"/>
  <c r="W427" i="3" a="1"/>
  <c r="W427" i="3" s="1"/>
  <c r="W428" i="3" a="1"/>
  <c r="W428" i="3" s="1"/>
  <c r="W429" i="3" a="1"/>
  <c r="W429" i="3" s="1"/>
  <c r="W430" i="3" a="1"/>
  <c r="W430" i="3" s="1"/>
  <c r="W431" i="3" a="1"/>
  <c r="W431" i="3" s="1"/>
  <c r="W432" i="3" a="1"/>
  <c r="W432" i="3" s="1"/>
  <c r="W433" i="3" a="1"/>
  <c r="W433" i="3" s="1"/>
  <c r="W434" i="3" a="1"/>
  <c r="W434" i="3" s="1"/>
  <c r="W435" i="3" a="1"/>
  <c r="W435" i="3" s="1"/>
  <c r="W436" i="3" a="1"/>
  <c r="W436" i="3" s="1"/>
  <c r="W437" i="3" a="1"/>
  <c r="W437" i="3" s="1"/>
  <c r="W438" i="3" a="1"/>
  <c r="W438" i="3" s="1"/>
  <c r="W439" i="3" a="1"/>
  <c r="W439" i="3" s="1"/>
  <c r="W440" i="3" a="1"/>
  <c r="W440" i="3" s="1"/>
  <c r="W441" i="3" a="1"/>
  <c r="W441" i="3" s="1"/>
  <c r="W442" i="3" a="1"/>
  <c r="W442" i="3" s="1"/>
  <c r="W443" i="3" a="1"/>
  <c r="W443" i="3" s="1"/>
  <c r="W444" i="3" a="1"/>
  <c r="W444" i="3" s="1"/>
  <c r="W445" i="3" a="1"/>
  <c r="W445" i="3" s="1"/>
  <c r="W446" i="3" a="1"/>
  <c r="W446" i="3" s="1"/>
  <c r="W447" i="3" a="1"/>
  <c r="W447" i="3" s="1"/>
  <c r="W448" i="3" a="1"/>
  <c r="W448" i="3" s="1"/>
  <c r="W449" i="3" a="1"/>
  <c r="W449" i="3" s="1"/>
  <c r="W450" i="3" a="1"/>
  <c r="W450" i="3" s="1"/>
  <c r="W451" i="3" a="1"/>
  <c r="W451" i="3" s="1"/>
  <c r="W452" i="3" a="1"/>
  <c r="W452" i="3" s="1"/>
  <c r="W453" i="3" a="1"/>
  <c r="W453" i="3" s="1"/>
  <c r="W454" i="3" a="1"/>
  <c r="W454" i="3" s="1"/>
  <c r="W455" i="3" a="1"/>
  <c r="W455" i="3" s="1"/>
  <c r="W456" i="3" a="1"/>
  <c r="W456" i="3" s="1"/>
  <c r="W457" i="3" a="1"/>
  <c r="W457" i="3" s="1"/>
  <c r="W458" i="3" a="1"/>
  <c r="W458" i="3" s="1"/>
  <c r="W459" i="3" a="1"/>
  <c r="W459" i="3" s="1"/>
  <c r="W460" i="3" a="1"/>
  <c r="W460" i="3" s="1"/>
  <c r="W461" i="3" a="1"/>
  <c r="W461" i="3" s="1"/>
  <c r="W462" i="3" a="1"/>
  <c r="W462" i="3" s="1"/>
  <c r="W463" i="3" a="1"/>
  <c r="W463" i="3" s="1"/>
  <c r="W464" i="3" a="1"/>
  <c r="W464" i="3" s="1"/>
  <c r="W465" i="3" a="1"/>
  <c r="W465" i="3" s="1"/>
  <c r="W466" i="3" a="1"/>
  <c r="W466" i="3" s="1"/>
  <c r="W467" i="3" a="1"/>
  <c r="W467" i="3" s="1"/>
  <c r="W468" i="3" a="1"/>
  <c r="W468" i="3" s="1"/>
  <c r="W469" i="3" a="1"/>
  <c r="W469" i="3" s="1"/>
  <c r="W470" i="3" a="1"/>
  <c r="W470" i="3" s="1"/>
  <c r="W471" i="3" a="1"/>
  <c r="W471" i="3" s="1"/>
  <c r="W472" i="3" a="1"/>
  <c r="W472" i="3" s="1"/>
  <c r="W473" i="3" a="1"/>
  <c r="W473" i="3" s="1"/>
  <c r="W474" i="3" a="1"/>
  <c r="W474" i="3" s="1"/>
  <c r="W475" i="3" a="1"/>
  <c r="W475" i="3" s="1"/>
  <c r="W476" i="3" a="1"/>
  <c r="W476" i="3" s="1"/>
  <c r="W477" i="3" a="1"/>
  <c r="W477" i="3" s="1"/>
  <c r="W478" i="3" a="1"/>
  <c r="W478" i="3" s="1"/>
  <c r="W479" i="3" a="1"/>
  <c r="W479" i="3" s="1"/>
  <c r="W480" i="3" a="1"/>
  <c r="W480" i="3" s="1"/>
  <c r="W481" i="3" a="1"/>
  <c r="W481" i="3" s="1"/>
  <c r="W482" i="3" a="1"/>
  <c r="W482" i="3" s="1"/>
  <c r="W483" i="3" a="1"/>
  <c r="W483" i="3" s="1"/>
  <c r="W484" i="3" a="1"/>
  <c r="W484" i="3" s="1"/>
  <c r="W485" i="3" a="1"/>
  <c r="W485" i="3" s="1"/>
  <c r="W486" i="3" a="1"/>
  <c r="W486" i="3" s="1"/>
  <c r="W487" i="3" a="1"/>
  <c r="W487" i="3" s="1"/>
  <c r="W488" i="3" a="1"/>
  <c r="W488" i="3" s="1"/>
  <c r="W489" i="3" a="1"/>
  <c r="W489" i="3" s="1"/>
  <c r="W490" i="3" a="1"/>
  <c r="W490" i="3" s="1"/>
  <c r="W491" i="3" a="1"/>
  <c r="W491" i="3" s="1"/>
  <c r="W492" i="3" a="1"/>
  <c r="W492" i="3" s="1"/>
  <c r="W493" i="3" a="1"/>
  <c r="W493" i="3" s="1"/>
  <c r="W494" i="3" a="1"/>
  <c r="W494" i="3" s="1"/>
  <c r="W495" i="3" a="1"/>
  <c r="W495" i="3" s="1"/>
  <c r="W496" i="3" a="1"/>
  <c r="W496" i="3" s="1"/>
  <c r="W497" i="3" a="1"/>
  <c r="W497" i="3" s="1"/>
  <c r="W498" i="3" a="1"/>
  <c r="W498" i="3" s="1"/>
  <c r="W499" i="3" a="1"/>
  <c r="W499" i="3" s="1"/>
  <c r="W500" i="3" a="1"/>
  <c r="W500" i="3" s="1"/>
  <c r="W501" i="3" a="1"/>
  <c r="W501" i="3" s="1"/>
  <c r="W502" i="3" a="1"/>
  <c r="W502" i="3" s="1"/>
  <c r="W503" i="3" a="1"/>
  <c r="W503" i="3" s="1"/>
  <c r="W504" i="3" a="1"/>
  <c r="W504" i="3" s="1"/>
  <c r="W505" i="3" a="1"/>
  <c r="W505" i="3" s="1"/>
  <c r="W506" i="3" a="1"/>
  <c r="W506" i="3" s="1"/>
  <c r="W507" i="3" a="1"/>
  <c r="W507" i="3" s="1"/>
  <c r="W508" i="3" a="1"/>
  <c r="W508" i="3" s="1"/>
  <c r="W509" i="3" a="1"/>
  <c r="W509" i="3" s="1"/>
  <c r="W510" i="3" a="1"/>
  <c r="W510" i="3" s="1"/>
  <c r="W511" i="3" a="1"/>
  <c r="W511" i="3" s="1"/>
  <c r="W512" i="3" a="1"/>
  <c r="W512" i="3" s="1"/>
  <c r="W513" i="3" a="1"/>
  <c r="W513" i="3" s="1"/>
  <c r="W514" i="3" a="1"/>
  <c r="W514" i="3" s="1"/>
  <c r="W515" i="3" a="1"/>
  <c r="W515" i="3" s="1"/>
  <c r="W516" i="3" a="1"/>
  <c r="W516" i="3" s="1"/>
  <c r="W517" i="3" a="1"/>
  <c r="W517" i="3" s="1"/>
  <c r="W518" i="3" a="1"/>
  <c r="W518" i="3" s="1"/>
  <c r="W519" i="3" a="1"/>
  <c r="W519" i="3" s="1"/>
  <c r="W520" i="3" a="1"/>
  <c r="W520" i="3" s="1"/>
  <c r="W521" i="3" a="1"/>
  <c r="W521" i="3" s="1"/>
  <c r="W522" i="3" a="1"/>
  <c r="W522" i="3" s="1"/>
  <c r="W523" i="3" a="1"/>
  <c r="W523" i="3" s="1"/>
  <c r="W524" i="3" a="1"/>
  <c r="W524" i="3" s="1"/>
  <c r="W525" i="3" a="1"/>
  <c r="W525" i="3" s="1"/>
  <c r="W526" i="3" a="1"/>
  <c r="W526" i="3" s="1"/>
  <c r="W527" i="3" a="1"/>
  <c r="W527" i="3" s="1"/>
  <c r="W528" i="3" a="1"/>
  <c r="W528" i="3" s="1"/>
  <c r="W529" i="3" a="1"/>
  <c r="W529" i="3" s="1"/>
  <c r="W530" i="3" a="1"/>
  <c r="W530" i="3" s="1"/>
  <c r="W531" i="3" a="1"/>
  <c r="W531" i="3" s="1"/>
  <c r="W532" i="3" a="1"/>
  <c r="W532" i="3" s="1"/>
  <c r="W533" i="3" a="1"/>
  <c r="W533" i="3" s="1"/>
  <c r="W534" i="3" a="1"/>
  <c r="W534" i="3" s="1"/>
  <c r="W535" i="3" a="1"/>
  <c r="W535" i="3" s="1"/>
  <c r="W536" i="3" a="1"/>
  <c r="W536" i="3" s="1"/>
  <c r="W537" i="3" a="1"/>
  <c r="W537" i="3" s="1"/>
  <c r="W538" i="3" a="1"/>
  <c r="W538" i="3" s="1"/>
  <c r="W539" i="3" a="1"/>
  <c r="W539" i="3" s="1"/>
  <c r="W540" i="3" a="1"/>
  <c r="W540" i="3" s="1"/>
  <c r="W541" i="3" a="1"/>
  <c r="W541" i="3" s="1"/>
  <c r="W542" i="3" a="1"/>
  <c r="W542" i="3" s="1"/>
  <c r="W543" i="3" a="1"/>
  <c r="W543" i="3" s="1"/>
  <c r="W544" i="3" a="1"/>
  <c r="W544" i="3" s="1"/>
  <c r="W545" i="3" a="1"/>
  <c r="W545" i="3" s="1"/>
  <c r="W546" i="3" a="1"/>
  <c r="W546" i="3" s="1"/>
  <c r="W547" i="3" a="1"/>
  <c r="W547" i="3" s="1"/>
  <c r="W548" i="3" a="1"/>
  <c r="W548" i="3" s="1"/>
  <c r="W549" i="3" a="1"/>
  <c r="W549" i="3" s="1"/>
  <c r="W550" i="3" a="1"/>
  <c r="W550" i="3" s="1"/>
  <c r="W551" i="3" a="1"/>
  <c r="W551" i="3" s="1"/>
  <c r="W552" i="3" a="1"/>
  <c r="W552" i="3" s="1"/>
  <c r="W553" i="3" a="1"/>
  <c r="W553" i="3" s="1"/>
  <c r="W554" i="3" a="1"/>
  <c r="W554" i="3" s="1"/>
  <c r="W555" i="3" a="1"/>
  <c r="W555" i="3" s="1"/>
  <c r="W556" i="3" a="1"/>
  <c r="W556" i="3" s="1"/>
  <c r="W557" i="3" a="1"/>
  <c r="W557" i="3" s="1"/>
  <c r="W558" i="3" a="1"/>
  <c r="W558" i="3" s="1"/>
  <c r="W559" i="3" a="1"/>
  <c r="W559" i="3" s="1"/>
  <c r="W560" i="3" a="1"/>
  <c r="W560" i="3" s="1"/>
  <c r="W561" i="3" a="1"/>
  <c r="W561" i="3" s="1"/>
  <c r="W562" i="3" a="1"/>
  <c r="W562" i="3" s="1"/>
  <c r="W563" i="3" a="1"/>
  <c r="W563" i="3" s="1"/>
  <c r="W564" i="3" a="1"/>
  <c r="W564" i="3" s="1"/>
  <c r="W565" i="3" a="1"/>
  <c r="W565" i="3" s="1"/>
  <c r="W566" i="3" a="1"/>
  <c r="W566" i="3" s="1"/>
  <c r="W567" i="3" a="1"/>
  <c r="W567" i="3" s="1"/>
  <c r="W568" i="3" a="1"/>
  <c r="W568" i="3" s="1"/>
  <c r="W569" i="3" a="1"/>
  <c r="W569" i="3" s="1"/>
  <c r="W570" i="3" a="1"/>
  <c r="W570" i="3" s="1"/>
  <c r="W571" i="3" a="1"/>
  <c r="W571" i="3" s="1"/>
  <c r="W572" i="3" a="1"/>
  <c r="W572" i="3" s="1"/>
  <c r="W573" i="3" a="1"/>
  <c r="W573" i="3" s="1"/>
  <c r="W574" i="3" a="1"/>
  <c r="W574" i="3" s="1"/>
  <c r="W575" i="3" a="1"/>
  <c r="W575" i="3" s="1"/>
  <c r="W576" i="3" a="1"/>
  <c r="W576" i="3" s="1"/>
  <c r="W577" i="3" a="1"/>
  <c r="W577" i="3" s="1"/>
  <c r="W578" i="3" a="1"/>
  <c r="W578" i="3" s="1"/>
  <c r="W579" i="3" a="1"/>
  <c r="W579" i="3" s="1"/>
  <c r="W580" i="3" a="1"/>
  <c r="W580" i="3" s="1"/>
  <c r="W581" i="3" a="1"/>
  <c r="W581" i="3" s="1"/>
  <c r="W582" i="3" a="1"/>
  <c r="W582" i="3" s="1"/>
  <c r="W583" i="3" a="1"/>
  <c r="W583" i="3" s="1"/>
  <c r="W584" i="3" a="1"/>
  <c r="W584" i="3" s="1"/>
  <c r="W585" i="3" a="1"/>
  <c r="W585" i="3" s="1"/>
  <c r="W586" i="3" a="1"/>
  <c r="W586" i="3" s="1"/>
  <c r="W587" i="3" a="1"/>
  <c r="W587" i="3" s="1"/>
  <c r="W588" i="3" a="1"/>
  <c r="W588" i="3" s="1"/>
  <c r="W589" i="3" a="1"/>
  <c r="W589" i="3" s="1"/>
  <c r="W590" i="3" a="1"/>
  <c r="W590" i="3" s="1"/>
  <c r="W591" i="3" a="1"/>
  <c r="W591" i="3" s="1"/>
  <c r="W592" i="3" a="1"/>
  <c r="W592" i="3" s="1"/>
  <c r="W593" i="3" a="1"/>
  <c r="W593" i="3" s="1"/>
  <c r="W594" i="3" a="1"/>
  <c r="W594" i="3" s="1"/>
  <c r="W595" i="3" a="1"/>
  <c r="W595" i="3" s="1"/>
  <c r="W596" i="3" a="1"/>
  <c r="W596" i="3" s="1"/>
  <c r="W597" i="3" a="1"/>
  <c r="W597" i="3" s="1"/>
  <c r="W598" i="3" a="1"/>
  <c r="W598" i="3" s="1"/>
  <c r="W599" i="3" a="1"/>
  <c r="W599" i="3" s="1"/>
  <c r="W600" i="3" a="1"/>
  <c r="W600" i="3" s="1"/>
  <c r="W601" i="3" a="1"/>
  <c r="W601" i="3" s="1"/>
  <c r="W602" i="3" a="1"/>
  <c r="W602" i="3" s="1"/>
  <c r="W603" i="3" a="1"/>
  <c r="W603" i="3" s="1"/>
  <c r="W604" i="3" a="1"/>
  <c r="W604" i="3" s="1"/>
  <c r="W605" i="3" a="1"/>
  <c r="W605" i="3" s="1"/>
  <c r="W606" i="3" a="1"/>
  <c r="W606" i="3" s="1"/>
  <c r="W607" i="3" a="1"/>
  <c r="W607" i="3" s="1"/>
  <c r="W608" i="3" a="1"/>
  <c r="W608" i="3" s="1"/>
  <c r="W609" i="3" a="1"/>
  <c r="W609" i="3" s="1"/>
  <c r="W610" i="3" a="1"/>
  <c r="W610" i="3" s="1"/>
  <c r="W611" i="3" a="1"/>
  <c r="W611" i="3" s="1"/>
  <c r="W612" i="3" a="1"/>
  <c r="W612" i="3" s="1"/>
  <c r="W613" i="3" a="1"/>
  <c r="W613" i="3" s="1"/>
  <c r="W614" i="3" a="1"/>
  <c r="W614" i="3" s="1"/>
  <c r="W615" i="3" a="1"/>
  <c r="W615" i="3" s="1"/>
  <c r="W616" i="3" a="1"/>
  <c r="W616" i="3" s="1"/>
  <c r="W617" i="3" a="1"/>
  <c r="W617" i="3" s="1"/>
  <c r="W618" i="3" a="1"/>
  <c r="W618" i="3" s="1"/>
  <c r="W619" i="3" a="1"/>
  <c r="W619" i="3" s="1"/>
  <c r="W620" i="3" a="1"/>
  <c r="W620" i="3" s="1"/>
  <c r="W621" i="3" a="1"/>
  <c r="W621" i="3" s="1"/>
  <c r="W622" i="3" a="1"/>
  <c r="W622" i="3" s="1"/>
  <c r="W623" i="3" a="1"/>
  <c r="W623" i="3" s="1"/>
  <c r="W624" i="3" a="1"/>
  <c r="W624" i="3" s="1"/>
  <c r="W625" i="3" a="1"/>
  <c r="W625" i="3" s="1"/>
  <c r="W626" i="3" a="1"/>
  <c r="W626" i="3" s="1"/>
  <c r="W627" i="3" a="1"/>
  <c r="W627" i="3" s="1"/>
  <c r="W628" i="3" a="1"/>
  <c r="W628" i="3" s="1"/>
  <c r="W629" i="3" a="1"/>
  <c r="W629" i="3" s="1"/>
  <c r="W630" i="3" a="1"/>
  <c r="W630" i="3" s="1"/>
  <c r="W631" i="3" a="1"/>
  <c r="W631" i="3" s="1"/>
  <c r="W632" i="3" a="1"/>
  <c r="W632" i="3" s="1"/>
  <c r="W633" i="3" a="1"/>
  <c r="W633" i="3" s="1"/>
  <c r="W634" i="3" a="1"/>
  <c r="W634" i="3" s="1"/>
  <c r="W635" i="3" a="1"/>
  <c r="W635" i="3" s="1"/>
  <c r="W636" i="3" a="1"/>
  <c r="W636" i="3" s="1"/>
  <c r="W637" i="3" a="1"/>
  <c r="W637" i="3" s="1"/>
  <c r="W638" i="3" a="1"/>
  <c r="W638" i="3" s="1"/>
  <c r="W639" i="3" a="1"/>
  <c r="W639" i="3" s="1"/>
  <c r="W640" i="3" a="1"/>
  <c r="W640" i="3" s="1"/>
  <c r="W641" i="3" a="1"/>
  <c r="W641" i="3" s="1"/>
  <c r="W642" i="3" a="1"/>
  <c r="W642" i="3" s="1"/>
  <c r="W643" i="3" a="1"/>
  <c r="W643" i="3" s="1"/>
  <c r="W644" i="3" a="1"/>
  <c r="W644" i="3" s="1"/>
  <c r="W645" i="3" a="1"/>
  <c r="W645" i="3" s="1"/>
  <c r="W646" i="3" a="1"/>
  <c r="W646" i="3" s="1"/>
  <c r="W647" i="3" a="1"/>
  <c r="W647" i="3" s="1"/>
  <c r="W648" i="3" a="1"/>
  <c r="W648" i="3" s="1"/>
  <c r="W649" i="3" a="1"/>
  <c r="W649" i="3" s="1"/>
  <c r="W650" i="3" a="1"/>
  <c r="W650" i="3" s="1"/>
  <c r="W651" i="3" a="1"/>
  <c r="W651" i="3" s="1"/>
  <c r="W652" i="3" a="1"/>
  <c r="W652" i="3" s="1"/>
  <c r="W653" i="3" a="1"/>
  <c r="W653" i="3" s="1"/>
  <c r="W654" i="3" a="1"/>
  <c r="W654" i="3" s="1"/>
  <c r="W655" i="3" a="1"/>
  <c r="W655" i="3" s="1"/>
  <c r="W656" i="3" a="1"/>
  <c r="W656" i="3" s="1"/>
  <c r="W657" i="3" a="1"/>
  <c r="W657" i="3" s="1"/>
  <c r="W658" i="3" a="1"/>
  <c r="W658" i="3" s="1"/>
  <c r="W659" i="3" a="1"/>
  <c r="W659" i="3" s="1"/>
  <c r="W660" i="3" a="1"/>
  <c r="W660" i="3" s="1"/>
  <c r="W661" i="3" a="1"/>
  <c r="W661" i="3" s="1"/>
  <c r="W662" i="3" a="1"/>
  <c r="W662" i="3" s="1"/>
  <c r="W663" i="3" a="1"/>
  <c r="W663" i="3" s="1"/>
  <c r="W664" i="3" a="1"/>
  <c r="W664" i="3" s="1"/>
  <c r="W665" i="3" a="1"/>
  <c r="W665" i="3" s="1"/>
  <c r="W666" i="3" a="1"/>
  <c r="W666" i="3" s="1"/>
  <c r="W667" i="3" a="1"/>
  <c r="W667" i="3" s="1"/>
  <c r="W668" i="3" a="1"/>
  <c r="W668" i="3" s="1"/>
  <c r="W669" i="3" a="1"/>
  <c r="W669" i="3" s="1"/>
  <c r="W670" i="3" a="1"/>
  <c r="W670" i="3" s="1"/>
  <c r="W671" i="3" a="1"/>
  <c r="W671" i="3" s="1"/>
  <c r="W672" i="3" a="1"/>
  <c r="W672" i="3" s="1"/>
  <c r="W673" i="3" a="1"/>
  <c r="W673" i="3" s="1"/>
  <c r="W674" i="3" a="1"/>
  <c r="W674" i="3" s="1"/>
  <c r="W675" i="3" a="1"/>
  <c r="W675" i="3" s="1"/>
  <c r="W676" i="3" a="1"/>
  <c r="W676" i="3" s="1"/>
  <c r="W677" i="3" a="1"/>
  <c r="W677" i="3" s="1"/>
  <c r="W678" i="3" a="1"/>
  <c r="W678" i="3" s="1"/>
  <c r="W679" i="3" a="1"/>
  <c r="W679" i="3" s="1"/>
  <c r="W680" i="3" a="1"/>
  <c r="W680" i="3" s="1"/>
  <c r="W681" i="3" a="1"/>
  <c r="W681" i="3" s="1"/>
  <c r="W682" i="3" a="1"/>
  <c r="W682" i="3" s="1"/>
  <c r="W683" i="3" a="1"/>
  <c r="W683" i="3" s="1"/>
  <c r="W684" i="3" a="1"/>
  <c r="W684" i="3" s="1"/>
  <c r="W685" i="3" a="1"/>
  <c r="W685" i="3" s="1"/>
  <c r="W686" i="3" a="1"/>
  <c r="W686" i="3" s="1"/>
  <c r="W687" i="3" a="1"/>
  <c r="W687" i="3" s="1"/>
  <c r="W688" i="3" a="1"/>
  <c r="W688" i="3" s="1"/>
  <c r="W689" i="3" a="1"/>
  <c r="W689" i="3" s="1"/>
  <c r="W690" i="3" a="1"/>
  <c r="W690" i="3" s="1"/>
  <c r="W691" i="3" a="1"/>
  <c r="W691" i="3" s="1"/>
  <c r="W692" i="3" a="1"/>
  <c r="W692" i="3" s="1"/>
  <c r="W693" i="3" a="1"/>
  <c r="W693" i="3" s="1"/>
  <c r="W694" i="3" a="1"/>
  <c r="W694" i="3" s="1"/>
  <c r="W695" i="3" a="1"/>
  <c r="W695" i="3" s="1"/>
  <c r="W696" i="3" a="1"/>
  <c r="W696" i="3" s="1"/>
  <c r="W697" i="3" a="1"/>
  <c r="W697" i="3" s="1"/>
  <c r="W698" i="3" a="1"/>
  <c r="W698" i="3" s="1"/>
  <c r="W699" i="3" a="1"/>
  <c r="W699" i="3" s="1"/>
  <c r="W700" i="3" a="1"/>
  <c r="W700" i="3" s="1"/>
  <c r="W701" i="3" a="1"/>
  <c r="W701" i="3" s="1"/>
  <c r="W702" i="3" a="1"/>
  <c r="W702" i="3" s="1"/>
  <c r="W703" i="3" a="1"/>
  <c r="W703" i="3" s="1"/>
  <c r="W704" i="3" a="1"/>
  <c r="W704" i="3" s="1"/>
  <c r="W705" i="3" a="1"/>
  <c r="W705" i="3" s="1"/>
  <c r="W706" i="3" a="1"/>
  <c r="W706" i="3" s="1"/>
  <c r="W707" i="3" a="1"/>
  <c r="W707" i="3" s="1"/>
  <c r="W708" i="3" a="1"/>
  <c r="W708" i="3" s="1"/>
  <c r="W709" i="3" a="1"/>
  <c r="W709" i="3" s="1"/>
  <c r="W710" i="3" a="1"/>
  <c r="W710" i="3" s="1"/>
  <c r="W711" i="3" a="1"/>
  <c r="W711" i="3" s="1"/>
  <c r="W712" i="3" a="1"/>
  <c r="W712" i="3" s="1"/>
  <c r="W713" i="3" a="1"/>
  <c r="W713" i="3" s="1"/>
  <c r="W714" i="3" a="1"/>
  <c r="W714" i="3" s="1"/>
  <c r="W715" i="3" a="1"/>
  <c r="W715" i="3" s="1"/>
  <c r="W716" i="3" a="1"/>
  <c r="W716" i="3" s="1"/>
  <c r="W717" i="3" a="1"/>
  <c r="W717" i="3" s="1"/>
  <c r="W718" i="3" a="1"/>
  <c r="W718" i="3" s="1"/>
  <c r="W719" i="3" a="1"/>
  <c r="W719" i="3" s="1"/>
  <c r="W720" i="3" a="1"/>
  <c r="W720" i="3" s="1"/>
  <c r="W721" i="3" a="1"/>
  <c r="W721" i="3" s="1"/>
  <c r="W722" i="3" a="1"/>
  <c r="W722" i="3" s="1"/>
  <c r="W723" i="3" a="1"/>
  <c r="W723" i="3" s="1"/>
  <c r="W724" i="3" a="1"/>
  <c r="W724" i="3" s="1"/>
  <c r="W725" i="3" a="1"/>
  <c r="W725" i="3" s="1"/>
  <c r="W726" i="3" a="1"/>
  <c r="W726" i="3" s="1"/>
  <c r="W727" i="3" a="1"/>
  <c r="W727" i="3" s="1"/>
  <c r="W728" i="3" a="1"/>
  <c r="W728" i="3" s="1"/>
  <c r="W729" i="3" a="1"/>
  <c r="W729" i="3" s="1"/>
  <c r="W730" i="3" a="1"/>
  <c r="W730" i="3" s="1"/>
  <c r="W731" i="3" a="1"/>
  <c r="W731" i="3" s="1"/>
  <c r="W732" i="3" a="1"/>
  <c r="W732" i="3" s="1"/>
  <c r="W733" i="3" a="1"/>
  <c r="W733" i="3" s="1"/>
  <c r="W734" i="3" a="1"/>
  <c r="W734" i="3" s="1"/>
  <c r="W735" i="3" a="1"/>
  <c r="W735" i="3" s="1"/>
  <c r="W736" i="3" a="1"/>
  <c r="W736" i="3" s="1"/>
  <c r="W737" i="3" a="1"/>
  <c r="W737" i="3" s="1"/>
  <c r="W738" i="3" a="1"/>
  <c r="W738" i="3" s="1"/>
  <c r="W739" i="3" a="1"/>
  <c r="W739" i="3" s="1"/>
  <c r="W740" i="3" a="1"/>
  <c r="W740" i="3" s="1"/>
  <c r="W741" i="3" a="1"/>
  <c r="W741" i="3" s="1"/>
  <c r="W742" i="3" a="1"/>
  <c r="W742" i="3" s="1"/>
  <c r="W743" i="3" a="1"/>
  <c r="W743" i="3" s="1"/>
  <c r="W744" i="3" a="1"/>
  <c r="W744" i="3" s="1"/>
  <c r="W745" i="3" a="1"/>
  <c r="W745" i="3" s="1"/>
  <c r="W746" i="3" a="1"/>
  <c r="W746" i="3" s="1"/>
  <c r="W747" i="3" a="1"/>
  <c r="W747" i="3" s="1"/>
  <c r="W748" i="3" a="1"/>
  <c r="W748" i="3" s="1"/>
  <c r="W749" i="3" a="1"/>
  <c r="W749" i="3" s="1"/>
  <c r="W750" i="3" a="1"/>
  <c r="W750" i="3" s="1"/>
  <c r="W751" i="3" a="1"/>
  <c r="W751" i="3" s="1"/>
  <c r="W752" i="3" a="1"/>
  <c r="W752" i="3" s="1"/>
  <c r="W753" i="3" a="1"/>
  <c r="W753" i="3" s="1"/>
  <c r="W754" i="3" a="1"/>
  <c r="W754" i="3" s="1"/>
  <c r="W755" i="3" a="1"/>
  <c r="W755" i="3" s="1"/>
  <c r="W756" i="3" a="1"/>
  <c r="W756" i="3" s="1"/>
  <c r="W757" i="3" a="1"/>
  <c r="W757" i="3" s="1"/>
  <c r="W758" i="3" a="1"/>
  <c r="W758" i="3" s="1"/>
  <c r="W759" i="3" a="1"/>
  <c r="W759" i="3" s="1"/>
  <c r="W760" i="3" a="1"/>
  <c r="W760" i="3" s="1"/>
  <c r="W761" i="3" a="1"/>
  <c r="W761" i="3" s="1"/>
  <c r="W762" i="3" a="1"/>
  <c r="W762" i="3" s="1"/>
  <c r="W763" i="3" a="1"/>
  <c r="W763" i="3" s="1"/>
  <c r="W764" i="3" a="1"/>
  <c r="W764" i="3" s="1"/>
  <c r="W765" i="3" a="1"/>
  <c r="W765" i="3" s="1"/>
  <c r="W766" i="3" a="1"/>
  <c r="W766" i="3" s="1"/>
  <c r="W767" i="3" a="1"/>
  <c r="W767" i="3" s="1"/>
  <c r="W768" i="3" a="1"/>
  <c r="W768" i="3" s="1"/>
  <c r="W769" i="3" a="1"/>
  <c r="W769" i="3" s="1"/>
  <c r="W770" i="3" a="1"/>
  <c r="W770" i="3" s="1"/>
  <c r="W771" i="3" a="1"/>
  <c r="W771" i="3" s="1"/>
  <c r="W772" i="3" a="1"/>
  <c r="W772" i="3" s="1"/>
  <c r="W773" i="3" a="1"/>
  <c r="W773" i="3" s="1"/>
  <c r="W774" i="3" a="1"/>
  <c r="W774" i="3" s="1"/>
  <c r="W775" i="3" a="1"/>
  <c r="W775" i="3" s="1"/>
  <c r="W776" i="3" a="1"/>
  <c r="W776" i="3" s="1"/>
  <c r="W777" i="3" a="1"/>
  <c r="W777" i="3" s="1"/>
  <c r="W778" i="3" a="1"/>
  <c r="W778" i="3" s="1"/>
  <c r="W779" i="3" a="1"/>
  <c r="W779" i="3" s="1"/>
  <c r="W780" i="3" a="1"/>
  <c r="W780" i="3" s="1"/>
  <c r="W781" i="3" a="1"/>
  <c r="W781" i="3" s="1"/>
  <c r="W782" i="3" a="1"/>
  <c r="W782" i="3" s="1"/>
  <c r="W783" i="3" a="1"/>
  <c r="W783" i="3" s="1"/>
  <c r="W784" i="3" a="1"/>
  <c r="W784" i="3" s="1"/>
  <c r="W785" i="3" a="1"/>
  <c r="W785" i="3" s="1"/>
  <c r="W786" i="3" a="1"/>
  <c r="W786" i="3" s="1"/>
  <c r="W787" i="3" a="1"/>
  <c r="W787" i="3" s="1"/>
  <c r="W788" i="3" a="1"/>
  <c r="W788" i="3" s="1"/>
  <c r="W789" i="3" a="1"/>
  <c r="W789" i="3" s="1"/>
  <c r="W790" i="3" a="1"/>
  <c r="W790" i="3" s="1"/>
  <c r="W791" i="3" a="1"/>
  <c r="W791" i="3" s="1"/>
  <c r="W792" i="3" a="1"/>
  <c r="W792" i="3" s="1"/>
  <c r="W793" i="3" a="1"/>
  <c r="W793" i="3" s="1"/>
  <c r="W794" i="3" a="1"/>
  <c r="W794" i="3" s="1"/>
  <c r="W795" i="3" a="1"/>
  <c r="W795" i="3" s="1"/>
  <c r="W796" i="3" a="1"/>
  <c r="W796" i="3" s="1"/>
  <c r="W797" i="3" a="1"/>
  <c r="W797" i="3" s="1"/>
  <c r="W798" i="3" a="1"/>
  <c r="W798" i="3" s="1"/>
  <c r="W799" i="3" a="1"/>
  <c r="W799" i="3" s="1"/>
  <c r="W800" i="3" a="1"/>
  <c r="W800" i="3" s="1"/>
  <c r="W801" i="3" a="1"/>
  <c r="W801" i="3" s="1"/>
  <c r="W802" i="3" a="1"/>
  <c r="W802" i="3" s="1"/>
  <c r="W803" i="3" a="1"/>
  <c r="W803" i="3" s="1"/>
  <c r="W804" i="3" a="1"/>
  <c r="W804" i="3" s="1"/>
  <c r="W805" i="3" a="1"/>
  <c r="W805" i="3" s="1"/>
  <c r="W806" i="3" a="1"/>
  <c r="W806" i="3" s="1"/>
  <c r="W807" i="3" a="1"/>
  <c r="W807" i="3" s="1"/>
  <c r="W808" i="3" a="1"/>
  <c r="W808" i="3" s="1"/>
  <c r="W809" i="3" a="1"/>
  <c r="W809" i="3" s="1"/>
  <c r="W810" i="3" a="1"/>
  <c r="W810" i="3" s="1"/>
  <c r="W811" i="3" a="1"/>
  <c r="W811" i="3" s="1"/>
  <c r="W812" i="3" a="1"/>
  <c r="W812" i="3" s="1"/>
  <c r="W813" i="3" a="1"/>
  <c r="W813" i="3" s="1"/>
  <c r="W814" i="3" a="1"/>
  <c r="W814" i="3" s="1"/>
  <c r="W815" i="3" a="1"/>
  <c r="W815" i="3" s="1"/>
  <c r="W816" i="3" a="1"/>
  <c r="W816" i="3" s="1"/>
  <c r="W817" i="3" a="1"/>
  <c r="W817" i="3" s="1"/>
  <c r="W818" i="3" a="1"/>
  <c r="W818" i="3" s="1"/>
  <c r="W819" i="3" a="1"/>
  <c r="W819" i="3" s="1"/>
  <c r="W820" i="3" a="1"/>
  <c r="W820" i="3" s="1"/>
  <c r="W821" i="3" a="1"/>
  <c r="W821" i="3" s="1"/>
  <c r="W822" i="3" a="1"/>
  <c r="W822" i="3" s="1"/>
  <c r="W823" i="3" a="1"/>
  <c r="W823" i="3" s="1"/>
  <c r="W824" i="3" a="1"/>
  <c r="W824" i="3" s="1"/>
  <c r="W825" i="3" a="1"/>
  <c r="W825" i="3" s="1"/>
  <c r="W826" i="3" a="1"/>
  <c r="W826" i="3" s="1"/>
  <c r="W827" i="3" a="1"/>
  <c r="W827" i="3" s="1"/>
  <c r="W828" i="3" a="1"/>
  <c r="W828" i="3" s="1"/>
  <c r="W829" i="3" a="1"/>
  <c r="W829" i="3" s="1"/>
  <c r="W830" i="3" a="1"/>
  <c r="W830" i="3" s="1"/>
  <c r="W831" i="3" a="1"/>
  <c r="W831" i="3" s="1"/>
  <c r="W832" i="3" a="1"/>
  <c r="W832" i="3" s="1"/>
  <c r="W833" i="3" a="1"/>
  <c r="W833" i="3" s="1"/>
  <c r="W834" i="3" a="1"/>
  <c r="W834" i="3" s="1"/>
  <c r="W835" i="3" a="1"/>
  <c r="W835" i="3" s="1"/>
  <c r="W836" i="3" a="1"/>
  <c r="W836" i="3" s="1"/>
  <c r="W837" i="3" a="1"/>
  <c r="W837" i="3" s="1"/>
  <c r="W838" i="3" a="1"/>
  <c r="W838" i="3" s="1"/>
  <c r="W839" i="3" a="1"/>
  <c r="W839" i="3" s="1"/>
  <c r="W840" i="3" a="1"/>
  <c r="W840" i="3" s="1"/>
  <c r="W841" i="3" a="1"/>
  <c r="W841" i="3" s="1"/>
  <c r="W842" i="3" a="1"/>
  <c r="W842" i="3" s="1"/>
  <c r="W843" i="3" a="1"/>
  <c r="W843" i="3" s="1"/>
  <c r="W844" i="3" a="1"/>
  <c r="W844" i="3" s="1"/>
  <c r="W845" i="3" a="1"/>
  <c r="W845" i="3" s="1"/>
  <c r="W846" i="3" a="1"/>
  <c r="W846" i="3" s="1"/>
  <c r="W847" i="3" a="1"/>
  <c r="W847" i="3" s="1"/>
  <c r="W848" i="3" a="1"/>
  <c r="W848" i="3" s="1"/>
  <c r="W849" i="3" a="1"/>
  <c r="W849" i="3" s="1"/>
  <c r="W850" i="3" a="1"/>
  <c r="W850" i="3" s="1"/>
  <c r="W851" i="3" a="1"/>
  <c r="W851" i="3" s="1"/>
  <c r="W852" i="3" a="1"/>
  <c r="W852" i="3" s="1"/>
  <c r="W853" i="3" a="1"/>
  <c r="W853" i="3" s="1"/>
  <c r="W854" i="3" a="1"/>
  <c r="W854" i="3" s="1"/>
  <c r="W855" i="3" a="1"/>
  <c r="W855" i="3" s="1"/>
  <c r="W856" i="3" a="1"/>
  <c r="W856" i="3" s="1"/>
  <c r="W857" i="3" a="1"/>
  <c r="W857" i="3" s="1"/>
  <c r="W858" i="3" a="1"/>
  <c r="W858" i="3" s="1"/>
  <c r="W859" i="3" a="1"/>
  <c r="W859" i="3" s="1"/>
  <c r="W860" i="3" a="1"/>
  <c r="W860" i="3" s="1"/>
  <c r="W861" i="3" a="1"/>
  <c r="W861" i="3" s="1"/>
  <c r="W862" i="3" a="1"/>
  <c r="W862" i="3" s="1"/>
  <c r="W863" i="3" a="1"/>
  <c r="W863" i="3" s="1"/>
  <c r="W864" i="3" a="1"/>
  <c r="W864" i="3" s="1"/>
  <c r="W865" i="3" a="1"/>
  <c r="W865" i="3" s="1"/>
  <c r="W866" i="3" a="1"/>
  <c r="W866" i="3" s="1"/>
  <c r="W867" i="3" a="1"/>
  <c r="W867" i="3" s="1"/>
  <c r="W868" i="3" a="1"/>
  <c r="W868" i="3" s="1"/>
  <c r="W869" i="3" a="1"/>
  <c r="W869" i="3" s="1"/>
  <c r="W870" i="3" a="1"/>
  <c r="W870" i="3" s="1"/>
  <c r="W871" i="3" a="1"/>
  <c r="W871" i="3" s="1"/>
  <c r="W872" i="3" a="1"/>
  <c r="W872" i="3" s="1"/>
  <c r="W873" i="3" a="1"/>
  <c r="W873" i="3" s="1"/>
  <c r="W874" i="3" a="1"/>
  <c r="W874" i="3" s="1"/>
  <c r="W875" i="3" a="1"/>
  <c r="W875" i="3" s="1"/>
  <c r="W876" i="3" a="1"/>
  <c r="W876" i="3" s="1"/>
  <c r="W877" i="3" a="1"/>
  <c r="W877" i="3" s="1"/>
  <c r="W878" i="3" a="1"/>
  <c r="W878" i="3" s="1"/>
  <c r="W879" i="3" a="1"/>
  <c r="W879" i="3" s="1"/>
  <c r="W880" i="3" a="1"/>
  <c r="W880" i="3" s="1"/>
  <c r="W881" i="3" a="1"/>
  <c r="W881" i="3" s="1"/>
  <c r="W882" i="3" a="1"/>
  <c r="W882" i="3" s="1"/>
  <c r="W883" i="3" a="1"/>
  <c r="W883" i="3" s="1"/>
  <c r="W884" i="3" a="1"/>
  <c r="W884" i="3" s="1"/>
  <c r="W885" i="3" a="1"/>
  <c r="W885" i="3" s="1"/>
  <c r="W886" i="3" a="1"/>
  <c r="W886" i="3" s="1"/>
  <c r="W887" i="3" a="1"/>
  <c r="W887" i="3" s="1"/>
  <c r="W888" i="3" a="1"/>
  <c r="W888" i="3" s="1"/>
  <c r="W889" i="3" a="1"/>
  <c r="W889" i="3" s="1"/>
  <c r="W890" i="3" a="1"/>
  <c r="W890" i="3" s="1"/>
  <c r="W891" i="3" a="1"/>
  <c r="W891" i="3" s="1"/>
  <c r="W892" i="3" a="1"/>
  <c r="W892" i="3" s="1"/>
  <c r="W893" i="3" a="1"/>
  <c r="W893" i="3" s="1"/>
  <c r="W894" i="3" a="1"/>
  <c r="W894" i="3" s="1"/>
  <c r="W895" i="3" a="1"/>
  <c r="W895" i="3" s="1"/>
  <c r="W896" i="3" a="1"/>
  <c r="W896" i="3" s="1"/>
  <c r="W897" i="3" a="1"/>
  <c r="W897" i="3" s="1"/>
  <c r="W898" i="3" a="1"/>
  <c r="W898" i="3" s="1"/>
  <c r="W899" i="3" a="1"/>
  <c r="W899" i="3" s="1"/>
  <c r="W900" i="3" a="1"/>
  <c r="W900" i="3" s="1"/>
  <c r="W901" i="3" a="1"/>
  <c r="W901" i="3" s="1"/>
  <c r="W902" i="3" a="1"/>
  <c r="W902" i="3" s="1"/>
  <c r="W903" i="3" a="1"/>
  <c r="W903" i="3" s="1"/>
  <c r="W904" i="3" a="1"/>
  <c r="W904" i="3" s="1"/>
  <c r="W905" i="3" a="1"/>
  <c r="W905" i="3" s="1"/>
  <c r="W906" i="3" a="1"/>
  <c r="W906" i="3" s="1"/>
  <c r="W907" i="3" a="1"/>
  <c r="W907" i="3" s="1"/>
  <c r="W908" i="3" a="1"/>
  <c r="W908" i="3" s="1"/>
  <c r="W909" i="3" a="1"/>
  <c r="W909" i="3" s="1"/>
  <c r="W910" i="3" a="1"/>
  <c r="W910" i="3" s="1"/>
  <c r="W911" i="3" a="1"/>
  <c r="W911" i="3" s="1"/>
  <c r="W912" i="3" a="1"/>
  <c r="W912" i="3" s="1"/>
  <c r="W913" i="3" a="1"/>
  <c r="W913" i="3" s="1"/>
  <c r="W914" i="3" a="1"/>
  <c r="W914" i="3" s="1"/>
  <c r="W915" i="3" a="1"/>
  <c r="W915" i="3" s="1"/>
  <c r="W916" i="3" a="1"/>
  <c r="W916" i="3" s="1"/>
  <c r="W917" i="3" a="1"/>
  <c r="W917" i="3" s="1"/>
  <c r="W918" i="3" a="1"/>
  <c r="W918" i="3" s="1"/>
  <c r="W919" i="3" a="1"/>
  <c r="W919" i="3" s="1"/>
  <c r="W920" i="3" a="1"/>
  <c r="W920" i="3" s="1"/>
  <c r="W921" i="3" a="1"/>
  <c r="W921" i="3" s="1"/>
  <c r="W922" i="3" a="1"/>
  <c r="W922" i="3" s="1"/>
  <c r="W923" i="3" a="1"/>
  <c r="W923" i="3" s="1"/>
  <c r="W924" i="3" a="1"/>
  <c r="W924" i="3" s="1"/>
  <c r="W925" i="3" a="1"/>
  <c r="W925" i="3" s="1"/>
  <c r="W926" i="3" a="1"/>
  <c r="W926" i="3" s="1"/>
  <c r="W927" i="3" a="1"/>
  <c r="W927" i="3" s="1"/>
  <c r="W928" i="3" a="1"/>
  <c r="W928" i="3" s="1"/>
  <c r="W929" i="3" a="1"/>
  <c r="W929" i="3" s="1"/>
  <c r="W930" i="3" a="1"/>
  <c r="W930" i="3" s="1"/>
  <c r="W931" i="3" a="1"/>
  <c r="W931" i="3" s="1"/>
  <c r="W932" i="3" a="1"/>
  <c r="W932" i="3" s="1"/>
  <c r="W933" i="3" a="1"/>
  <c r="W933" i="3" s="1"/>
  <c r="W934" i="3" a="1"/>
  <c r="W934" i="3" s="1"/>
  <c r="W935" i="3" a="1"/>
  <c r="W935" i="3" s="1"/>
  <c r="W936" i="3" a="1"/>
  <c r="W936" i="3" s="1"/>
  <c r="W937" i="3" a="1"/>
  <c r="W937" i="3" s="1"/>
  <c r="W938" i="3" a="1"/>
  <c r="W938" i="3" s="1"/>
  <c r="W939" i="3" a="1"/>
  <c r="W939" i="3" s="1"/>
  <c r="W940" i="3" a="1"/>
  <c r="W940" i="3" s="1"/>
  <c r="W941" i="3" a="1"/>
  <c r="W941" i="3" s="1"/>
  <c r="W942" i="3" a="1"/>
  <c r="W942" i="3" s="1"/>
  <c r="W943" i="3" a="1"/>
  <c r="W943" i="3" s="1"/>
  <c r="W944" i="3" a="1"/>
  <c r="W944" i="3" s="1"/>
  <c r="W945" i="3" a="1"/>
  <c r="W945" i="3" s="1"/>
  <c r="W946" i="3" a="1"/>
  <c r="W946" i="3" s="1"/>
  <c r="W947" i="3" a="1"/>
  <c r="W947" i="3" s="1"/>
  <c r="W948" i="3" a="1"/>
  <c r="W948" i="3" s="1"/>
  <c r="W949" i="3" a="1"/>
  <c r="W949" i="3" s="1"/>
  <c r="W950" i="3" a="1"/>
  <c r="W950" i="3" s="1"/>
  <c r="W951" i="3" a="1"/>
  <c r="W951" i="3" s="1"/>
  <c r="W952" i="3" a="1"/>
  <c r="W952" i="3" s="1"/>
  <c r="W953" i="3" a="1"/>
  <c r="W953" i="3" s="1"/>
  <c r="W954" i="3" a="1"/>
  <c r="W954" i="3" s="1"/>
  <c r="W955" i="3" a="1"/>
  <c r="W955" i="3" s="1"/>
  <c r="W956" i="3" a="1"/>
  <c r="W956" i="3" s="1"/>
  <c r="W957" i="3" a="1"/>
  <c r="W957" i="3" s="1"/>
  <c r="W958" i="3" a="1"/>
  <c r="W958" i="3" s="1"/>
  <c r="W959" i="3" a="1"/>
  <c r="W959" i="3" s="1"/>
  <c r="W960" i="3" a="1"/>
  <c r="W960" i="3" s="1"/>
  <c r="W961" i="3" a="1"/>
  <c r="W961" i="3" s="1"/>
  <c r="W962" i="3" a="1"/>
  <c r="W962" i="3" s="1"/>
  <c r="W963" i="3" a="1"/>
  <c r="W963" i="3" s="1"/>
  <c r="W964" i="3" a="1"/>
  <c r="W964" i="3" s="1"/>
  <c r="W965" i="3" a="1"/>
  <c r="W965" i="3" s="1"/>
  <c r="W966" i="3" a="1"/>
  <c r="W966" i="3" s="1"/>
  <c r="W967" i="3" a="1"/>
  <c r="W967" i="3" s="1"/>
  <c r="W968" i="3" a="1"/>
  <c r="W968" i="3" s="1"/>
  <c r="W969" i="3" a="1"/>
  <c r="W969" i="3" s="1"/>
  <c r="W970" i="3" a="1"/>
  <c r="W970" i="3" s="1"/>
  <c r="W971" i="3" a="1"/>
  <c r="W971" i="3" s="1"/>
  <c r="W972" i="3" a="1"/>
  <c r="W972" i="3" s="1"/>
  <c r="W973" i="3" a="1"/>
  <c r="W973" i="3" s="1"/>
  <c r="W974" i="3" a="1"/>
  <c r="W974" i="3" s="1"/>
  <c r="W975" i="3" a="1"/>
  <c r="W975" i="3" s="1"/>
  <c r="W976" i="3" a="1"/>
  <c r="W976" i="3" s="1"/>
  <c r="W977" i="3" a="1"/>
  <c r="W977" i="3" s="1"/>
  <c r="W978" i="3" a="1"/>
  <c r="W978" i="3" s="1"/>
  <c r="W979" i="3" a="1"/>
  <c r="W979" i="3" s="1"/>
  <c r="W980" i="3" a="1"/>
  <c r="W980" i="3" s="1"/>
  <c r="W981" i="3" a="1"/>
  <c r="W981" i="3" s="1"/>
  <c r="W982" i="3" a="1"/>
  <c r="W982" i="3" s="1"/>
  <c r="W983" i="3" a="1"/>
  <c r="W983" i="3" s="1"/>
  <c r="W984" i="3" a="1"/>
  <c r="W984" i="3" s="1"/>
  <c r="W985" i="3" a="1"/>
  <c r="W985" i="3" s="1"/>
  <c r="W986" i="3" a="1"/>
  <c r="W986" i="3" s="1"/>
  <c r="W987" i="3" a="1"/>
  <c r="W987" i="3" s="1"/>
  <c r="W988" i="3" a="1"/>
  <c r="W988" i="3" s="1"/>
  <c r="W989" i="3" a="1"/>
  <c r="W989" i="3" s="1"/>
  <c r="W990" i="3" a="1"/>
  <c r="W990" i="3" s="1"/>
  <c r="W991" i="3" a="1"/>
  <c r="W991" i="3" s="1"/>
  <c r="W992" i="3" a="1"/>
  <c r="W992" i="3" s="1"/>
  <c r="W993" i="3" a="1"/>
  <c r="W993" i="3" s="1"/>
  <c r="W994" i="3" a="1"/>
  <c r="W994" i="3" s="1"/>
  <c r="W995" i="3" a="1"/>
  <c r="W995" i="3" s="1"/>
  <c r="W996" i="3" a="1"/>
  <c r="W996" i="3" s="1"/>
  <c r="W997" i="3" a="1"/>
  <c r="W997" i="3" s="1"/>
  <c r="W998" i="3" a="1"/>
  <c r="W998" i="3" s="1"/>
  <c r="W999" i="3" a="1"/>
  <c r="W999" i="3" s="1"/>
  <c r="W1000" i="3" a="1"/>
  <c r="W1000" i="3" s="1"/>
  <c r="W1001" i="3" a="1"/>
  <c r="W1001" i="3" s="1"/>
  <c r="W1002" i="3" a="1"/>
  <c r="W1002" i="3" s="1"/>
  <c r="W1003" i="3" a="1"/>
  <c r="W1003" i="3" s="1"/>
  <c r="W1004" i="3" a="1"/>
  <c r="W1004" i="3" s="1"/>
  <c r="R5" i="3"/>
  <c r="V5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502" i="3"/>
  <c r="V503" i="3"/>
  <c r="V504" i="3"/>
  <c r="V505" i="3"/>
  <c r="V506" i="3"/>
  <c r="V507" i="3"/>
  <c r="V508" i="3"/>
  <c r="V509" i="3"/>
  <c r="V510" i="3"/>
  <c r="V511" i="3"/>
  <c r="V512" i="3"/>
  <c r="V513" i="3"/>
  <c r="V514" i="3"/>
  <c r="V515" i="3"/>
  <c r="V516" i="3"/>
  <c r="V517" i="3"/>
  <c r="V518" i="3"/>
  <c r="V519" i="3"/>
  <c r="V520" i="3"/>
  <c r="V521" i="3"/>
  <c r="V522" i="3"/>
  <c r="V523" i="3"/>
  <c r="V524" i="3"/>
  <c r="V525" i="3"/>
  <c r="V526" i="3"/>
  <c r="V527" i="3"/>
  <c r="V528" i="3"/>
  <c r="V529" i="3"/>
  <c r="V530" i="3"/>
  <c r="V531" i="3"/>
  <c r="V532" i="3"/>
  <c r="V533" i="3"/>
  <c r="V534" i="3"/>
  <c r="V535" i="3"/>
  <c r="V536" i="3"/>
  <c r="V537" i="3"/>
  <c r="V538" i="3"/>
  <c r="V539" i="3"/>
  <c r="V540" i="3"/>
  <c r="V541" i="3"/>
  <c r="V542" i="3"/>
  <c r="V543" i="3"/>
  <c r="V544" i="3"/>
  <c r="V545" i="3"/>
  <c r="V546" i="3"/>
  <c r="V547" i="3"/>
  <c r="V548" i="3"/>
  <c r="V549" i="3"/>
  <c r="V550" i="3"/>
  <c r="V551" i="3"/>
  <c r="V552" i="3"/>
  <c r="V553" i="3"/>
  <c r="V554" i="3"/>
  <c r="V555" i="3"/>
  <c r="V556" i="3"/>
  <c r="V557" i="3"/>
  <c r="V558" i="3"/>
  <c r="V559" i="3"/>
  <c r="V560" i="3"/>
  <c r="V561" i="3"/>
  <c r="V562" i="3"/>
  <c r="V563" i="3"/>
  <c r="V564" i="3"/>
  <c r="V565" i="3"/>
  <c r="V566" i="3"/>
  <c r="V567" i="3"/>
  <c r="V568" i="3"/>
  <c r="V569" i="3"/>
  <c r="V570" i="3"/>
  <c r="V571" i="3"/>
  <c r="V572" i="3"/>
  <c r="V573" i="3"/>
  <c r="V574" i="3"/>
  <c r="V575" i="3"/>
  <c r="V576" i="3"/>
  <c r="V577" i="3"/>
  <c r="V578" i="3"/>
  <c r="V579" i="3"/>
  <c r="V580" i="3"/>
  <c r="V581" i="3"/>
  <c r="V582" i="3"/>
  <c r="V583" i="3"/>
  <c r="V584" i="3"/>
  <c r="V585" i="3"/>
  <c r="V586" i="3"/>
  <c r="V587" i="3"/>
  <c r="V588" i="3"/>
  <c r="V589" i="3"/>
  <c r="V590" i="3"/>
  <c r="V591" i="3"/>
  <c r="V592" i="3"/>
  <c r="V593" i="3"/>
  <c r="V594" i="3"/>
  <c r="V595" i="3"/>
  <c r="V596" i="3"/>
  <c r="V597" i="3"/>
  <c r="V598" i="3"/>
  <c r="V599" i="3"/>
  <c r="V600" i="3"/>
  <c r="V601" i="3"/>
  <c r="V602" i="3"/>
  <c r="V603" i="3"/>
  <c r="V604" i="3"/>
  <c r="V605" i="3"/>
  <c r="V606" i="3"/>
  <c r="V607" i="3"/>
  <c r="V608" i="3"/>
  <c r="V609" i="3"/>
  <c r="V610" i="3"/>
  <c r="V611" i="3"/>
  <c r="V612" i="3"/>
  <c r="V613" i="3"/>
  <c r="V614" i="3"/>
  <c r="V615" i="3"/>
  <c r="V616" i="3"/>
  <c r="V617" i="3"/>
  <c r="V618" i="3"/>
  <c r="V619" i="3"/>
  <c r="V620" i="3"/>
  <c r="V621" i="3"/>
  <c r="V622" i="3"/>
  <c r="V623" i="3"/>
  <c r="V624" i="3"/>
  <c r="V625" i="3"/>
  <c r="V626" i="3"/>
  <c r="V627" i="3"/>
  <c r="V628" i="3"/>
  <c r="V629" i="3"/>
  <c r="V630" i="3"/>
  <c r="V631" i="3"/>
  <c r="V632" i="3"/>
  <c r="V633" i="3"/>
  <c r="V634" i="3"/>
  <c r="V635" i="3"/>
  <c r="V636" i="3"/>
  <c r="V637" i="3"/>
  <c r="V638" i="3"/>
  <c r="V639" i="3"/>
  <c r="V640" i="3"/>
  <c r="V641" i="3"/>
  <c r="V642" i="3"/>
  <c r="V643" i="3"/>
  <c r="V644" i="3"/>
  <c r="V645" i="3"/>
  <c r="V646" i="3"/>
  <c r="V647" i="3"/>
  <c r="V648" i="3"/>
  <c r="V649" i="3"/>
  <c r="V650" i="3"/>
  <c r="V651" i="3"/>
  <c r="V652" i="3"/>
  <c r="V653" i="3"/>
  <c r="V654" i="3"/>
  <c r="V655" i="3"/>
  <c r="V656" i="3"/>
  <c r="V657" i="3"/>
  <c r="V658" i="3"/>
  <c r="V659" i="3"/>
  <c r="V660" i="3"/>
  <c r="V661" i="3"/>
  <c r="V662" i="3"/>
  <c r="V663" i="3"/>
  <c r="V664" i="3"/>
  <c r="V665" i="3"/>
  <c r="V666" i="3"/>
  <c r="V667" i="3"/>
  <c r="V668" i="3"/>
  <c r="V669" i="3"/>
  <c r="V670" i="3"/>
  <c r="V671" i="3"/>
  <c r="V672" i="3"/>
  <c r="V673" i="3"/>
  <c r="V674" i="3"/>
  <c r="V675" i="3"/>
  <c r="V676" i="3"/>
  <c r="V677" i="3"/>
  <c r="V678" i="3"/>
  <c r="V679" i="3"/>
  <c r="V680" i="3"/>
  <c r="V681" i="3"/>
  <c r="V682" i="3"/>
  <c r="V683" i="3"/>
  <c r="V684" i="3"/>
  <c r="V685" i="3"/>
  <c r="V686" i="3"/>
  <c r="V687" i="3"/>
  <c r="V688" i="3"/>
  <c r="V689" i="3"/>
  <c r="V690" i="3"/>
  <c r="V691" i="3"/>
  <c r="V692" i="3"/>
  <c r="V693" i="3"/>
  <c r="V694" i="3"/>
  <c r="V695" i="3"/>
  <c r="V696" i="3"/>
  <c r="V697" i="3"/>
  <c r="V698" i="3"/>
  <c r="V699" i="3"/>
  <c r="V700" i="3"/>
  <c r="V701" i="3"/>
  <c r="V702" i="3"/>
  <c r="V703" i="3"/>
  <c r="V704" i="3"/>
  <c r="V705" i="3"/>
  <c r="V706" i="3"/>
  <c r="V707" i="3"/>
  <c r="V708" i="3"/>
  <c r="V709" i="3"/>
  <c r="V710" i="3"/>
  <c r="V711" i="3"/>
  <c r="V712" i="3"/>
  <c r="V713" i="3"/>
  <c r="V714" i="3"/>
  <c r="V715" i="3"/>
  <c r="V716" i="3"/>
  <c r="V717" i="3"/>
  <c r="V718" i="3"/>
  <c r="V719" i="3"/>
  <c r="V720" i="3"/>
  <c r="V721" i="3"/>
  <c r="V722" i="3"/>
  <c r="V723" i="3"/>
  <c r="V724" i="3"/>
  <c r="V725" i="3"/>
  <c r="V726" i="3"/>
  <c r="V727" i="3"/>
  <c r="V728" i="3"/>
  <c r="V729" i="3"/>
  <c r="V730" i="3"/>
  <c r="V731" i="3"/>
  <c r="V732" i="3"/>
  <c r="V733" i="3"/>
  <c r="V734" i="3"/>
  <c r="V735" i="3"/>
  <c r="V736" i="3"/>
  <c r="V737" i="3"/>
  <c r="V738" i="3"/>
  <c r="V739" i="3"/>
  <c r="V740" i="3"/>
  <c r="V741" i="3"/>
  <c r="V742" i="3"/>
  <c r="V743" i="3"/>
  <c r="V744" i="3"/>
  <c r="V745" i="3"/>
  <c r="V746" i="3"/>
  <c r="V747" i="3"/>
  <c r="V748" i="3"/>
  <c r="V749" i="3"/>
  <c r="V750" i="3"/>
  <c r="V751" i="3"/>
  <c r="V752" i="3"/>
  <c r="V753" i="3"/>
  <c r="V754" i="3"/>
  <c r="V755" i="3"/>
  <c r="V756" i="3"/>
  <c r="V757" i="3"/>
  <c r="V758" i="3"/>
  <c r="V759" i="3"/>
  <c r="V760" i="3"/>
  <c r="V761" i="3"/>
  <c r="V762" i="3"/>
  <c r="V763" i="3"/>
  <c r="V764" i="3"/>
  <c r="V765" i="3"/>
  <c r="V766" i="3"/>
  <c r="V767" i="3"/>
  <c r="V768" i="3"/>
  <c r="V769" i="3"/>
  <c r="V770" i="3"/>
  <c r="V771" i="3"/>
  <c r="V772" i="3"/>
  <c r="V773" i="3"/>
  <c r="V774" i="3"/>
  <c r="V775" i="3"/>
  <c r="V776" i="3"/>
  <c r="V777" i="3"/>
  <c r="V778" i="3"/>
  <c r="V779" i="3"/>
  <c r="V780" i="3"/>
  <c r="V781" i="3"/>
  <c r="V782" i="3"/>
  <c r="V783" i="3"/>
  <c r="V784" i="3"/>
  <c r="V785" i="3"/>
  <c r="V786" i="3"/>
  <c r="V787" i="3"/>
  <c r="V788" i="3"/>
  <c r="V789" i="3"/>
  <c r="V790" i="3"/>
  <c r="V791" i="3"/>
  <c r="V792" i="3"/>
  <c r="V793" i="3"/>
  <c r="V794" i="3"/>
  <c r="V795" i="3"/>
  <c r="V796" i="3"/>
  <c r="V797" i="3"/>
  <c r="V798" i="3"/>
  <c r="V799" i="3"/>
  <c r="V800" i="3"/>
  <c r="V801" i="3"/>
  <c r="V802" i="3"/>
  <c r="V803" i="3"/>
  <c r="V804" i="3"/>
  <c r="V805" i="3"/>
  <c r="V806" i="3"/>
  <c r="V807" i="3"/>
  <c r="V808" i="3"/>
  <c r="V809" i="3"/>
  <c r="V810" i="3"/>
  <c r="V811" i="3"/>
  <c r="V812" i="3"/>
  <c r="V813" i="3"/>
  <c r="V814" i="3"/>
  <c r="V815" i="3"/>
  <c r="V816" i="3"/>
  <c r="V817" i="3"/>
  <c r="V818" i="3"/>
  <c r="V819" i="3"/>
  <c r="V820" i="3"/>
  <c r="V821" i="3"/>
  <c r="V822" i="3"/>
  <c r="V823" i="3"/>
  <c r="V824" i="3"/>
  <c r="V825" i="3"/>
  <c r="V826" i="3"/>
  <c r="V827" i="3"/>
  <c r="V828" i="3"/>
  <c r="V829" i="3"/>
  <c r="V830" i="3"/>
  <c r="V831" i="3"/>
  <c r="V832" i="3"/>
  <c r="V833" i="3"/>
  <c r="V834" i="3"/>
  <c r="V835" i="3"/>
  <c r="V836" i="3"/>
  <c r="V837" i="3"/>
  <c r="V838" i="3"/>
  <c r="V839" i="3"/>
  <c r="V840" i="3"/>
  <c r="V841" i="3"/>
  <c r="V842" i="3"/>
  <c r="V843" i="3"/>
  <c r="V844" i="3"/>
  <c r="V845" i="3"/>
  <c r="V846" i="3"/>
  <c r="V847" i="3"/>
  <c r="V848" i="3"/>
  <c r="V849" i="3"/>
  <c r="V850" i="3"/>
  <c r="V851" i="3"/>
  <c r="V852" i="3"/>
  <c r="V853" i="3"/>
  <c r="V854" i="3"/>
  <c r="V855" i="3"/>
  <c r="V856" i="3"/>
  <c r="V857" i="3"/>
  <c r="V858" i="3"/>
  <c r="V859" i="3"/>
  <c r="V860" i="3"/>
  <c r="V861" i="3"/>
  <c r="V862" i="3"/>
  <c r="V863" i="3"/>
  <c r="V864" i="3"/>
  <c r="V865" i="3"/>
  <c r="V866" i="3"/>
  <c r="V867" i="3"/>
  <c r="V868" i="3"/>
  <c r="V869" i="3"/>
  <c r="V870" i="3"/>
  <c r="V871" i="3"/>
  <c r="V872" i="3"/>
  <c r="V873" i="3"/>
  <c r="V874" i="3"/>
  <c r="V875" i="3"/>
  <c r="V876" i="3"/>
  <c r="V877" i="3"/>
  <c r="V878" i="3"/>
  <c r="V879" i="3"/>
  <c r="V880" i="3"/>
  <c r="V881" i="3"/>
  <c r="V882" i="3"/>
  <c r="V883" i="3"/>
  <c r="V884" i="3"/>
  <c r="V885" i="3"/>
  <c r="V886" i="3"/>
  <c r="V887" i="3"/>
  <c r="V888" i="3"/>
  <c r="V889" i="3"/>
  <c r="V890" i="3"/>
  <c r="V891" i="3"/>
  <c r="V892" i="3"/>
  <c r="V893" i="3"/>
  <c r="V894" i="3"/>
  <c r="V895" i="3"/>
  <c r="V896" i="3"/>
  <c r="V897" i="3"/>
  <c r="V898" i="3"/>
  <c r="V899" i="3"/>
  <c r="V900" i="3"/>
  <c r="V901" i="3"/>
  <c r="V902" i="3"/>
  <c r="V903" i="3"/>
  <c r="V904" i="3"/>
  <c r="V905" i="3"/>
  <c r="V906" i="3"/>
  <c r="V907" i="3"/>
  <c r="V908" i="3"/>
  <c r="V909" i="3"/>
  <c r="V910" i="3"/>
  <c r="V911" i="3"/>
  <c r="V912" i="3"/>
  <c r="V913" i="3"/>
  <c r="V914" i="3"/>
  <c r="V915" i="3"/>
  <c r="V916" i="3"/>
  <c r="V917" i="3"/>
  <c r="V918" i="3"/>
  <c r="V919" i="3"/>
  <c r="V920" i="3"/>
  <c r="V921" i="3"/>
  <c r="V922" i="3"/>
  <c r="V923" i="3"/>
  <c r="V924" i="3"/>
  <c r="V925" i="3"/>
  <c r="V926" i="3"/>
  <c r="V927" i="3"/>
  <c r="V928" i="3"/>
  <c r="V929" i="3"/>
  <c r="V930" i="3"/>
  <c r="V931" i="3"/>
  <c r="V932" i="3"/>
  <c r="V933" i="3"/>
  <c r="V934" i="3"/>
  <c r="V935" i="3"/>
  <c r="V936" i="3"/>
  <c r="V937" i="3"/>
  <c r="V938" i="3"/>
  <c r="V939" i="3"/>
  <c r="V940" i="3"/>
  <c r="V941" i="3"/>
  <c r="V942" i="3"/>
  <c r="V943" i="3"/>
  <c r="V944" i="3"/>
  <c r="V945" i="3"/>
  <c r="V946" i="3"/>
  <c r="V947" i="3"/>
  <c r="V948" i="3"/>
  <c r="V949" i="3"/>
  <c r="V950" i="3"/>
  <c r="V951" i="3"/>
  <c r="V952" i="3"/>
  <c r="V953" i="3"/>
  <c r="V954" i="3"/>
  <c r="V955" i="3"/>
  <c r="V956" i="3"/>
  <c r="V957" i="3"/>
  <c r="V958" i="3"/>
  <c r="V959" i="3"/>
  <c r="V960" i="3"/>
  <c r="V961" i="3"/>
  <c r="V962" i="3"/>
  <c r="V963" i="3"/>
  <c r="V964" i="3"/>
  <c r="V965" i="3"/>
  <c r="V966" i="3"/>
  <c r="V967" i="3"/>
  <c r="V968" i="3"/>
  <c r="V969" i="3"/>
  <c r="V970" i="3"/>
  <c r="V971" i="3"/>
  <c r="V972" i="3"/>
  <c r="V973" i="3"/>
  <c r="V974" i="3"/>
  <c r="V975" i="3"/>
  <c r="V976" i="3"/>
  <c r="V977" i="3"/>
  <c r="V978" i="3"/>
  <c r="V979" i="3"/>
  <c r="V980" i="3"/>
  <c r="V981" i="3"/>
  <c r="V982" i="3"/>
  <c r="V983" i="3"/>
  <c r="V984" i="3"/>
  <c r="V985" i="3"/>
  <c r="V986" i="3"/>
  <c r="V987" i="3"/>
  <c r="V988" i="3"/>
  <c r="V989" i="3"/>
  <c r="V990" i="3"/>
  <c r="V991" i="3"/>
  <c r="V992" i="3"/>
  <c r="V993" i="3"/>
  <c r="V994" i="3"/>
  <c r="V995" i="3"/>
  <c r="V996" i="3"/>
  <c r="V997" i="3"/>
  <c r="V998" i="3"/>
  <c r="V999" i="3"/>
  <c r="V1000" i="3"/>
  <c r="V1001" i="3"/>
  <c r="V1002" i="3"/>
  <c r="V1003" i="3"/>
  <c r="V1004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78" i="3"/>
  <c r="AF79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102" i="3"/>
  <c r="AF103" i="3"/>
  <c r="AF105" i="3"/>
  <c r="AF106" i="3"/>
  <c r="AF107" i="3"/>
  <c r="AF108" i="3"/>
  <c r="AF109" i="3"/>
  <c r="AF110" i="3"/>
  <c r="AF111" i="3"/>
  <c r="AF112" i="3"/>
  <c r="AF113" i="3"/>
  <c r="AF114" i="3"/>
  <c r="AF115" i="3"/>
  <c r="AF116" i="3"/>
  <c r="AF117" i="3"/>
  <c r="AF118" i="3"/>
  <c r="AF119" i="3"/>
  <c r="AF120" i="3"/>
  <c r="AF121" i="3"/>
  <c r="AF122" i="3"/>
  <c r="AF123" i="3"/>
  <c r="AF124" i="3"/>
  <c r="AF125" i="3"/>
  <c r="AF126" i="3"/>
  <c r="AF127" i="3"/>
  <c r="AF128" i="3"/>
  <c r="AF129" i="3"/>
  <c r="AF130" i="3"/>
  <c r="AF131" i="3"/>
  <c r="AF132" i="3"/>
  <c r="AF133" i="3"/>
  <c r="AF134" i="3"/>
  <c r="AF135" i="3"/>
  <c r="AF136" i="3"/>
  <c r="AF137" i="3"/>
  <c r="AF138" i="3"/>
  <c r="AF139" i="3"/>
  <c r="AF140" i="3"/>
  <c r="AF141" i="3"/>
  <c r="AF142" i="3"/>
  <c r="AF143" i="3"/>
  <c r="AF144" i="3"/>
  <c r="AF145" i="3"/>
  <c r="AF146" i="3"/>
  <c r="AF147" i="3"/>
  <c r="AF148" i="3"/>
  <c r="AF149" i="3"/>
  <c r="AF150" i="3"/>
  <c r="AF151" i="3"/>
  <c r="AF152" i="3"/>
  <c r="AF153" i="3"/>
  <c r="AF154" i="3"/>
  <c r="AF155" i="3"/>
  <c r="AF156" i="3"/>
  <c r="AF157" i="3"/>
  <c r="AF158" i="3"/>
  <c r="AF159" i="3"/>
  <c r="AF160" i="3"/>
  <c r="AF161" i="3"/>
  <c r="AF162" i="3"/>
  <c r="AF163" i="3"/>
  <c r="AF164" i="3"/>
  <c r="AF165" i="3"/>
  <c r="AF166" i="3"/>
  <c r="AF167" i="3"/>
  <c r="AF168" i="3"/>
  <c r="AF169" i="3"/>
  <c r="AF170" i="3"/>
  <c r="AF171" i="3"/>
  <c r="AF172" i="3"/>
  <c r="AF173" i="3"/>
  <c r="AF174" i="3"/>
  <c r="AF175" i="3"/>
  <c r="AF176" i="3"/>
  <c r="AF177" i="3"/>
  <c r="AF178" i="3"/>
  <c r="AF179" i="3"/>
  <c r="AF180" i="3"/>
  <c r="AF181" i="3"/>
  <c r="AF182" i="3"/>
  <c r="AF183" i="3"/>
  <c r="AF184" i="3"/>
  <c r="AF185" i="3"/>
  <c r="AF186" i="3"/>
  <c r="AF187" i="3"/>
  <c r="AF188" i="3"/>
  <c r="AF189" i="3"/>
  <c r="AF190" i="3"/>
  <c r="AF191" i="3"/>
  <c r="AF192" i="3"/>
  <c r="AF193" i="3"/>
  <c r="AF196" i="3"/>
  <c r="AF197" i="3"/>
  <c r="AF198" i="3"/>
  <c r="AF199" i="3"/>
  <c r="AF200" i="3"/>
  <c r="AF201" i="3"/>
  <c r="AF202" i="3"/>
  <c r="AF203" i="3"/>
  <c r="AF204" i="3"/>
  <c r="AF205" i="3"/>
  <c r="AF206" i="3"/>
  <c r="AF207" i="3"/>
  <c r="AF208" i="3"/>
  <c r="AF209" i="3"/>
  <c r="AF210" i="3"/>
  <c r="AF211" i="3"/>
  <c r="AF212" i="3"/>
  <c r="AF213" i="3"/>
  <c r="AF214" i="3"/>
  <c r="AF215" i="3"/>
  <c r="AF217" i="3"/>
  <c r="AF218" i="3"/>
  <c r="AF219" i="3"/>
  <c r="AF220" i="3"/>
  <c r="AF221" i="3"/>
  <c r="AF223" i="3"/>
  <c r="AF224" i="3"/>
  <c r="AF225" i="3"/>
  <c r="AF226" i="3"/>
  <c r="AF227" i="3"/>
  <c r="AF228" i="3"/>
  <c r="AF229" i="3"/>
  <c r="AF231" i="3"/>
  <c r="AF232" i="3"/>
  <c r="AF233" i="3"/>
  <c r="AF234" i="3"/>
  <c r="AF235" i="3"/>
  <c r="AF236" i="3"/>
  <c r="AF237" i="3"/>
  <c r="AF238" i="3"/>
  <c r="AF239" i="3"/>
  <c r="AF240" i="3"/>
  <c r="AF241" i="3"/>
  <c r="AF242" i="3"/>
  <c r="AF243" i="3"/>
  <c r="AF244" i="3"/>
  <c r="AF245" i="3"/>
  <c r="AF246" i="3"/>
  <c r="AF247" i="3"/>
  <c r="AF248" i="3"/>
  <c r="AF249" i="3"/>
  <c r="AF250" i="3"/>
  <c r="AF251" i="3"/>
  <c r="AF252" i="3"/>
  <c r="AF253" i="3"/>
  <c r="AF254" i="3"/>
  <c r="AF255" i="3"/>
  <c r="AF259" i="3"/>
  <c r="AF260" i="3"/>
  <c r="AF261" i="3"/>
  <c r="AF262" i="3"/>
  <c r="AF263" i="3"/>
  <c r="AF264" i="3"/>
  <c r="AF265" i="3"/>
  <c r="AF266" i="3"/>
  <c r="AF267" i="3"/>
  <c r="AF269" i="3"/>
  <c r="AF270" i="3"/>
  <c r="AF272" i="3"/>
  <c r="AF273" i="3"/>
  <c r="AF274" i="3"/>
  <c r="AF275" i="3"/>
  <c r="AF276" i="3"/>
  <c r="AF277" i="3"/>
  <c r="AF278" i="3"/>
  <c r="AF279" i="3"/>
  <c r="AF280" i="3"/>
  <c r="AF281" i="3"/>
  <c r="AF282" i="3"/>
  <c r="AF283" i="3"/>
  <c r="AF284" i="3"/>
  <c r="AF285" i="3"/>
  <c r="AF286" i="3"/>
  <c r="AF287" i="3"/>
  <c r="AF288" i="3"/>
  <c r="AF289" i="3"/>
  <c r="AF290" i="3"/>
  <c r="AF291" i="3"/>
  <c r="AF292" i="3"/>
  <c r="AF293" i="3"/>
  <c r="AF294" i="3"/>
  <c r="AF295" i="3"/>
  <c r="AF296" i="3"/>
  <c r="AF297" i="3"/>
  <c r="AF298" i="3"/>
  <c r="AF299" i="3"/>
  <c r="AF300" i="3"/>
  <c r="AF301" i="3"/>
  <c r="AF302" i="3"/>
  <c r="AF303" i="3"/>
  <c r="AF304" i="3"/>
  <c r="AF305" i="3"/>
  <c r="AF306" i="3"/>
  <c r="AF307" i="3"/>
  <c r="AF308" i="3"/>
  <c r="AF309" i="3"/>
  <c r="AF310" i="3"/>
  <c r="AF311" i="3"/>
  <c r="AF312" i="3"/>
  <c r="AF313" i="3"/>
  <c r="AF314" i="3"/>
  <c r="AF315" i="3"/>
  <c r="AF316" i="3"/>
  <c r="AF317" i="3"/>
  <c r="AF318" i="3"/>
  <c r="AF319" i="3"/>
  <c r="AF320" i="3"/>
  <c r="AF321" i="3"/>
  <c r="AF322" i="3"/>
  <c r="AF323" i="3"/>
  <c r="AF324" i="3"/>
  <c r="AF325" i="3"/>
  <c r="AF326" i="3"/>
  <c r="AF327" i="3"/>
  <c r="AF328" i="3"/>
  <c r="AF329" i="3"/>
  <c r="AF330" i="3"/>
  <c r="AF331" i="3"/>
  <c r="AF332" i="3"/>
  <c r="AF333" i="3"/>
  <c r="AF334" i="3"/>
  <c r="AF335" i="3"/>
  <c r="AF336" i="3"/>
  <c r="AF337" i="3"/>
  <c r="AF338" i="3"/>
  <c r="AF339" i="3"/>
  <c r="AF340" i="3"/>
  <c r="AF341" i="3"/>
  <c r="AF342" i="3"/>
  <c r="AF343" i="3"/>
  <c r="AF344" i="3"/>
  <c r="AF345" i="3"/>
  <c r="AF346" i="3"/>
  <c r="AF347" i="3"/>
  <c r="AF348" i="3"/>
  <c r="AF349" i="3"/>
  <c r="AF350" i="3"/>
  <c r="AF351" i="3"/>
  <c r="AF352" i="3"/>
  <c r="AF353" i="3"/>
  <c r="AF354" i="3"/>
  <c r="AF355" i="3"/>
  <c r="AF356" i="3"/>
  <c r="AF357" i="3"/>
  <c r="AF358" i="3"/>
  <c r="AF359" i="3"/>
  <c r="AF360" i="3"/>
  <c r="AF361" i="3"/>
  <c r="AF362" i="3"/>
  <c r="AF363" i="3"/>
  <c r="AF364" i="3"/>
  <c r="AF365" i="3"/>
  <c r="AF366" i="3"/>
  <c r="AF367" i="3"/>
  <c r="AF368" i="3"/>
  <c r="AF369" i="3"/>
  <c r="AF370" i="3"/>
  <c r="AF371" i="3"/>
  <c r="AF372" i="3"/>
  <c r="AF373" i="3"/>
  <c r="AF374" i="3"/>
  <c r="AF375" i="3"/>
  <c r="AF376" i="3"/>
  <c r="AF377" i="3"/>
  <c r="AF378" i="3"/>
  <c r="AF379" i="3"/>
  <c r="AF380" i="3"/>
  <c r="AF381" i="3"/>
  <c r="AF382" i="3"/>
  <c r="AF383" i="3"/>
  <c r="AF384" i="3"/>
  <c r="AF385" i="3"/>
  <c r="AF386" i="3"/>
  <c r="AF387" i="3"/>
  <c r="AF388" i="3"/>
  <c r="AF389" i="3"/>
  <c r="AF390" i="3"/>
  <c r="AF391" i="3"/>
  <c r="AF392" i="3"/>
  <c r="AF393" i="3"/>
  <c r="AF394" i="3"/>
  <c r="AF395" i="3"/>
  <c r="AF396" i="3"/>
  <c r="AF397" i="3"/>
  <c r="AF398" i="3"/>
  <c r="AF399" i="3"/>
  <c r="AF400" i="3"/>
  <c r="AF401" i="3"/>
  <c r="AF402" i="3"/>
  <c r="AF403" i="3"/>
  <c r="AF404" i="3"/>
  <c r="AF405" i="3"/>
  <c r="AF406" i="3"/>
  <c r="AF407" i="3"/>
  <c r="AF408" i="3"/>
  <c r="AF409" i="3"/>
  <c r="AF410" i="3"/>
  <c r="AF411" i="3"/>
  <c r="AF412" i="3"/>
  <c r="AF413" i="3"/>
  <c r="AF414" i="3"/>
  <c r="AF415" i="3"/>
  <c r="AF416" i="3"/>
  <c r="AF417" i="3"/>
  <c r="AF418" i="3"/>
  <c r="AF419" i="3"/>
  <c r="AF420" i="3"/>
  <c r="AF421" i="3"/>
  <c r="AF422" i="3"/>
  <c r="AF423" i="3"/>
  <c r="AF424" i="3"/>
  <c r="AF425" i="3"/>
  <c r="AF426" i="3"/>
  <c r="AF427" i="3"/>
  <c r="AF428" i="3"/>
  <c r="AF429" i="3"/>
  <c r="AF430" i="3"/>
  <c r="AF431" i="3"/>
  <c r="AF432" i="3"/>
  <c r="AF433" i="3"/>
  <c r="AF434" i="3"/>
  <c r="AF435" i="3"/>
  <c r="AF436" i="3"/>
  <c r="AF437" i="3"/>
  <c r="AF438" i="3"/>
  <c r="AF439" i="3"/>
  <c r="AF440" i="3"/>
  <c r="AF441" i="3"/>
  <c r="AF442" i="3"/>
  <c r="AF443" i="3"/>
  <c r="AF444" i="3"/>
  <c r="AF445" i="3"/>
  <c r="AF446" i="3"/>
  <c r="AF447" i="3"/>
  <c r="AF448" i="3"/>
  <c r="AF449" i="3"/>
  <c r="AF450" i="3"/>
  <c r="AF451" i="3"/>
  <c r="AF452" i="3"/>
  <c r="AF453" i="3"/>
  <c r="AF454" i="3"/>
  <c r="AF455" i="3"/>
  <c r="AF456" i="3"/>
  <c r="AF457" i="3"/>
  <c r="AF458" i="3"/>
  <c r="AF459" i="3"/>
  <c r="AF460" i="3"/>
  <c r="AF461" i="3"/>
  <c r="AF462" i="3"/>
  <c r="AF463" i="3"/>
  <c r="AF464" i="3"/>
  <c r="AF465" i="3"/>
  <c r="AF466" i="3"/>
  <c r="AF467" i="3"/>
  <c r="AF468" i="3"/>
  <c r="AF469" i="3"/>
  <c r="AF470" i="3"/>
  <c r="AF471" i="3"/>
  <c r="AF472" i="3"/>
  <c r="AF473" i="3"/>
  <c r="AF474" i="3"/>
  <c r="AF475" i="3"/>
  <c r="AF476" i="3"/>
  <c r="AF477" i="3"/>
  <c r="AF478" i="3"/>
  <c r="AF479" i="3"/>
  <c r="AF480" i="3"/>
  <c r="AF481" i="3"/>
  <c r="AF482" i="3"/>
  <c r="AF483" i="3"/>
  <c r="AF484" i="3"/>
  <c r="AF485" i="3"/>
  <c r="AF486" i="3"/>
  <c r="AF487" i="3"/>
  <c r="AF488" i="3"/>
  <c r="AF489" i="3"/>
  <c r="AF490" i="3"/>
  <c r="AF491" i="3"/>
  <c r="AF492" i="3"/>
  <c r="AF493" i="3"/>
  <c r="AF494" i="3"/>
  <c r="AF495" i="3"/>
  <c r="AF496" i="3"/>
  <c r="AF497" i="3"/>
  <c r="AF498" i="3"/>
  <c r="AF499" i="3"/>
  <c r="AF500" i="3"/>
  <c r="AF501" i="3"/>
  <c r="AF502" i="3"/>
  <c r="AF503" i="3"/>
  <c r="AF504" i="3"/>
  <c r="AF505" i="3"/>
  <c r="AF506" i="3"/>
  <c r="AF507" i="3"/>
  <c r="AF508" i="3"/>
  <c r="AF509" i="3"/>
  <c r="AF510" i="3"/>
  <c r="AF511" i="3"/>
  <c r="AF512" i="3"/>
  <c r="AF513" i="3"/>
  <c r="AF514" i="3"/>
  <c r="AF515" i="3"/>
  <c r="AF516" i="3"/>
  <c r="AF517" i="3"/>
  <c r="AF518" i="3"/>
  <c r="AF519" i="3"/>
  <c r="AF520" i="3"/>
  <c r="AF521" i="3"/>
  <c r="AF522" i="3"/>
  <c r="AF523" i="3"/>
  <c r="AF524" i="3"/>
  <c r="AF525" i="3"/>
  <c r="AF526" i="3"/>
  <c r="AF527" i="3"/>
  <c r="AF528" i="3"/>
  <c r="AF529" i="3"/>
  <c r="AF530" i="3"/>
  <c r="AF531" i="3"/>
  <c r="AF532" i="3"/>
  <c r="AF533" i="3"/>
  <c r="AF534" i="3"/>
  <c r="AF535" i="3"/>
  <c r="AF536" i="3"/>
  <c r="AF537" i="3"/>
  <c r="AF538" i="3"/>
  <c r="AF539" i="3"/>
  <c r="AF540" i="3"/>
  <c r="AF541" i="3"/>
  <c r="AF542" i="3"/>
  <c r="AF543" i="3"/>
  <c r="AF544" i="3"/>
  <c r="AF545" i="3"/>
  <c r="AF546" i="3"/>
  <c r="AF547" i="3"/>
  <c r="AF548" i="3"/>
  <c r="AF549" i="3"/>
  <c r="AF550" i="3"/>
  <c r="AF551" i="3"/>
  <c r="AF552" i="3"/>
  <c r="AF553" i="3"/>
  <c r="AF554" i="3"/>
  <c r="AF555" i="3"/>
  <c r="AF556" i="3"/>
  <c r="AF557" i="3"/>
  <c r="AF558" i="3"/>
  <c r="AF559" i="3"/>
  <c r="AF560" i="3"/>
  <c r="AF561" i="3"/>
  <c r="AF562" i="3"/>
  <c r="AF563" i="3"/>
  <c r="AF564" i="3"/>
  <c r="AF565" i="3"/>
  <c r="AF566" i="3"/>
  <c r="AF567" i="3"/>
  <c r="AF568" i="3"/>
  <c r="AF569" i="3"/>
  <c r="AF570" i="3"/>
  <c r="AF571" i="3"/>
  <c r="AF572" i="3"/>
  <c r="AF573" i="3"/>
  <c r="AF574" i="3"/>
  <c r="AF575" i="3"/>
  <c r="AF576" i="3"/>
  <c r="AF577" i="3"/>
  <c r="AF578" i="3"/>
  <c r="AF579" i="3"/>
  <c r="AF580" i="3"/>
  <c r="AF581" i="3"/>
  <c r="AF582" i="3"/>
  <c r="AF583" i="3"/>
  <c r="AF584" i="3"/>
  <c r="AF585" i="3"/>
  <c r="AF586" i="3"/>
  <c r="AF587" i="3"/>
  <c r="AF588" i="3"/>
  <c r="AF589" i="3"/>
  <c r="AF590" i="3"/>
  <c r="AF591" i="3"/>
  <c r="AF592" i="3"/>
  <c r="AF593" i="3"/>
  <c r="AF594" i="3"/>
  <c r="AF595" i="3"/>
  <c r="AF596" i="3"/>
  <c r="AF597" i="3"/>
  <c r="AF598" i="3"/>
  <c r="AF599" i="3"/>
  <c r="AF600" i="3"/>
  <c r="AF601" i="3"/>
  <c r="AF602" i="3"/>
  <c r="AF603" i="3"/>
  <c r="AF604" i="3"/>
  <c r="AF605" i="3"/>
  <c r="AF606" i="3"/>
  <c r="AF607" i="3"/>
  <c r="AF608" i="3"/>
  <c r="AF609" i="3"/>
  <c r="AF610" i="3"/>
  <c r="AF611" i="3"/>
  <c r="AF612" i="3"/>
  <c r="AF613" i="3"/>
  <c r="AF614" i="3"/>
  <c r="AF615" i="3"/>
  <c r="AF616" i="3"/>
  <c r="AF617" i="3"/>
  <c r="AF618" i="3"/>
  <c r="AF619" i="3"/>
  <c r="AF620" i="3"/>
  <c r="AF621" i="3"/>
  <c r="AF622" i="3"/>
  <c r="AF623" i="3"/>
  <c r="AF624" i="3"/>
  <c r="AF625" i="3"/>
  <c r="AF626" i="3"/>
  <c r="AF627" i="3"/>
  <c r="AF628" i="3"/>
  <c r="AF629" i="3"/>
  <c r="AF630" i="3"/>
  <c r="AF631" i="3"/>
  <c r="AF632" i="3"/>
  <c r="AF633" i="3"/>
  <c r="AF634" i="3"/>
  <c r="AF635" i="3"/>
  <c r="AF636" i="3"/>
  <c r="AF637" i="3"/>
  <c r="AF638" i="3"/>
  <c r="AF639" i="3"/>
  <c r="AF640" i="3"/>
  <c r="AF641" i="3"/>
  <c r="AF642" i="3"/>
  <c r="AF643" i="3"/>
  <c r="AF644" i="3"/>
  <c r="AF645" i="3"/>
  <c r="AF646" i="3"/>
  <c r="AF647" i="3"/>
  <c r="AF648" i="3"/>
  <c r="AF649" i="3"/>
  <c r="AF650" i="3"/>
  <c r="AF651" i="3"/>
  <c r="AF652" i="3"/>
  <c r="AF653" i="3"/>
  <c r="AF654" i="3"/>
  <c r="AF655" i="3"/>
  <c r="AF656" i="3"/>
  <c r="AF657" i="3"/>
  <c r="AF658" i="3"/>
  <c r="AF659" i="3"/>
  <c r="AF660" i="3"/>
  <c r="AF661" i="3"/>
  <c r="AF662" i="3"/>
  <c r="AF663" i="3"/>
  <c r="AF664" i="3"/>
  <c r="AF665" i="3"/>
  <c r="AF666" i="3"/>
  <c r="AF667" i="3"/>
  <c r="AF668" i="3"/>
  <c r="AF669" i="3"/>
  <c r="AF670" i="3"/>
  <c r="AF671" i="3"/>
  <c r="AF672" i="3"/>
  <c r="AF673" i="3"/>
  <c r="AF674" i="3"/>
  <c r="AF675" i="3"/>
  <c r="AF676" i="3"/>
  <c r="AF677" i="3"/>
  <c r="AF678" i="3"/>
  <c r="AF679" i="3"/>
  <c r="AF680" i="3"/>
  <c r="AF681" i="3"/>
  <c r="AF682" i="3"/>
  <c r="AF683" i="3"/>
  <c r="AF684" i="3"/>
  <c r="AF685" i="3"/>
  <c r="AF686" i="3"/>
  <c r="AF687" i="3"/>
  <c r="AF688" i="3"/>
  <c r="AF689" i="3"/>
  <c r="AF690" i="3"/>
  <c r="AF691" i="3"/>
  <c r="AF692" i="3"/>
  <c r="AF693" i="3"/>
  <c r="AF694" i="3"/>
  <c r="AF695" i="3"/>
  <c r="AF696" i="3"/>
  <c r="AF697" i="3"/>
  <c r="AF698" i="3"/>
  <c r="AF699" i="3"/>
  <c r="AF700" i="3"/>
  <c r="AF701" i="3"/>
  <c r="AF702" i="3"/>
  <c r="AF703" i="3"/>
  <c r="AF704" i="3"/>
  <c r="AF705" i="3"/>
  <c r="AF706" i="3"/>
  <c r="AF707" i="3"/>
  <c r="AF708" i="3"/>
  <c r="AF709" i="3"/>
  <c r="AF710" i="3"/>
  <c r="AF711" i="3"/>
  <c r="AF712" i="3"/>
  <c r="AF713" i="3"/>
  <c r="AF714" i="3"/>
  <c r="AF715" i="3"/>
  <c r="AF716" i="3"/>
  <c r="AF717" i="3"/>
  <c r="AF718" i="3"/>
  <c r="AF719" i="3"/>
  <c r="AF720" i="3"/>
  <c r="AF721" i="3"/>
  <c r="AF722" i="3"/>
  <c r="AF723" i="3"/>
  <c r="AF724" i="3"/>
  <c r="AF725" i="3"/>
  <c r="AF726" i="3"/>
  <c r="AF727" i="3"/>
  <c r="AF728" i="3"/>
  <c r="AF729" i="3"/>
  <c r="AF730" i="3"/>
  <c r="AF731" i="3"/>
  <c r="AF732" i="3"/>
  <c r="AF733" i="3"/>
  <c r="AF734" i="3"/>
  <c r="AF735" i="3"/>
  <c r="AF736" i="3"/>
  <c r="AF737" i="3"/>
  <c r="AF738" i="3"/>
  <c r="AF739" i="3"/>
  <c r="AF740" i="3"/>
  <c r="AF741" i="3"/>
  <c r="AF742" i="3"/>
  <c r="AF743" i="3"/>
  <c r="AF744" i="3"/>
  <c r="AF745" i="3"/>
  <c r="AF746" i="3"/>
  <c r="AF747" i="3"/>
  <c r="AF748" i="3"/>
  <c r="AF749" i="3"/>
  <c r="AF750" i="3"/>
  <c r="AF751" i="3"/>
  <c r="AF752" i="3"/>
  <c r="AF753" i="3"/>
  <c r="AF754" i="3"/>
  <c r="AF755" i="3"/>
  <c r="AF756" i="3"/>
  <c r="AF757" i="3"/>
  <c r="AF758" i="3"/>
  <c r="AF759" i="3"/>
  <c r="AF760" i="3"/>
  <c r="AF761" i="3"/>
  <c r="AF762" i="3"/>
  <c r="AF763" i="3"/>
  <c r="AF764" i="3"/>
  <c r="AF765" i="3"/>
  <c r="AF766" i="3"/>
  <c r="AF767" i="3"/>
  <c r="AF768" i="3"/>
  <c r="AF769" i="3"/>
  <c r="AF770" i="3"/>
  <c r="AF771" i="3"/>
  <c r="AF772" i="3"/>
  <c r="AF773" i="3"/>
  <c r="AF774" i="3"/>
  <c r="AF775" i="3"/>
  <c r="AF776" i="3"/>
  <c r="AF777" i="3"/>
  <c r="AF778" i="3"/>
  <c r="AF779" i="3"/>
  <c r="AF780" i="3"/>
  <c r="AF781" i="3"/>
  <c r="AF782" i="3"/>
  <c r="AF783" i="3"/>
  <c r="AF784" i="3"/>
  <c r="AF785" i="3"/>
  <c r="AF786" i="3"/>
  <c r="AF787" i="3"/>
  <c r="AF788" i="3"/>
  <c r="AF789" i="3"/>
  <c r="AF790" i="3"/>
  <c r="AF791" i="3"/>
  <c r="AF792" i="3"/>
  <c r="AF793" i="3"/>
  <c r="AF794" i="3"/>
  <c r="AF795" i="3"/>
  <c r="AF796" i="3"/>
  <c r="AF797" i="3"/>
  <c r="AF798" i="3"/>
  <c r="AF799" i="3"/>
  <c r="AF800" i="3"/>
  <c r="AF801" i="3"/>
  <c r="AF802" i="3"/>
  <c r="AF803" i="3"/>
  <c r="AF804" i="3"/>
  <c r="AF805" i="3"/>
  <c r="AF806" i="3"/>
  <c r="AF807" i="3"/>
  <c r="AF808" i="3"/>
  <c r="AF809" i="3"/>
  <c r="AF810" i="3"/>
  <c r="AF811" i="3"/>
  <c r="AF812" i="3"/>
  <c r="AF813" i="3"/>
  <c r="AF814" i="3"/>
  <c r="AF815" i="3"/>
  <c r="AF816" i="3"/>
  <c r="AF817" i="3"/>
  <c r="AF818" i="3"/>
  <c r="AF819" i="3"/>
  <c r="AF820" i="3"/>
  <c r="AF821" i="3"/>
  <c r="AF822" i="3"/>
  <c r="AF823" i="3"/>
  <c r="AF824" i="3"/>
  <c r="AF825" i="3"/>
  <c r="AF826" i="3"/>
  <c r="AF827" i="3"/>
  <c r="AF828" i="3"/>
  <c r="AF829" i="3"/>
  <c r="AF830" i="3"/>
  <c r="AF831" i="3"/>
  <c r="AF832" i="3"/>
  <c r="AF833" i="3"/>
  <c r="AF834" i="3"/>
  <c r="AF835" i="3"/>
  <c r="AF836" i="3"/>
  <c r="AF837" i="3"/>
  <c r="AF838" i="3"/>
  <c r="AF839" i="3"/>
  <c r="AF840" i="3"/>
  <c r="AF841" i="3"/>
  <c r="AF842" i="3"/>
  <c r="AF843" i="3"/>
  <c r="AF844" i="3"/>
  <c r="AF845" i="3"/>
  <c r="AF846" i="3"/>
  <c r="AF847" i="3"/>
  <c r="AF848" i="3"/>
  <c r="AF849" i="3"/>
  <c r="AF850" i="3"/>
  <c r="AF851" i="3"/>
  <c r="AF852" i="3"/>
  <c r="AF853" i="3"/>
  <c r="AF854" i="3"/>
  <c r="AF855" i="3"/>
  <c r="AF856" i="3"/>
  <c r="AF857" i="3"/>
  <c r="AF858" i="3"/>
  <c r="AF859" i="3"/>
  <c r="AF860" i="3"/>
  <c r="AF861" i="3"/>
  <c r="AF862" i="3"/>
  <c r="AF863" i="3"/>
  <c r="AF864" i="3"/>
  <c r="AF865" i="3"/>
  <c r="AF866" i="3"/>
  <c r="AF867" i="3"/>
  <c r="AF868" i="3"/>
  <c r="AF869" i="3"/>
  <c r="AF870" i="3"/>
  <c r="AF871" i="3"/>
  <c r="AF872" i="3"/>
  <c r="AF873" i="3"/>
  <c r="AF874" i="3"/>
  <c r="AF875" i="3"/>
  <c r="AF876" i="3"/>
  <c r="AF877" i="3"/>
  <c r="AF878" i="3"/>
  <c r="AF879" i="3"/>
  <c r="AF880" i="3"/>
  <c r="AF881" i="3"/>
  <c r="AF882" i="3"/>
  <c r="AF883" i="3"/>
  <c r="AF884" i="3"/>
  <c r="AF885" i="3"/>
  <c r="AF886" i="3"/>
  <c r="AF887" i="3"/>
  <c r="AF888" i="3"/>
  <c r="AF889" i="3"/>
  <c r="AF890" i="3"/>
  <c r="AF891" i="3"/>
  <c r="AF892" i="3"/>
  <c r="AF893" i="3"/>
  <c r="AF894" i="3"/>
  <c r="AF895" i="3"/>
  <c r="AF896" i="3"/>
  <c r="AF897" i="3"/>
  <c r="AF898" i="3"/>
  <c r="AF899" i="3"/>
  <c r="AF900" i="3"/>
  <c r="AF901" i="3"/>
  <c r="AF902" i="3"/>
  <c r="AF903" i="3"/>
  <c r="AF904" i="3"/>
  <c r="AF905" i="3"/>
  <c r="AF906" i="3"/>
  <c r="AF907" i="3"/>
  <c r="AF908" i="3"/>
  <c r="AF909" i="3"/>
  <c r="AF910" i="3"/>
  <c r="AF911" i="3"/>
  <c r="AF912" i="3"/>
  <c r="AF913" i="3"/>
  <c r="AF914" i="3"/>
  <c r="AF915" i="3"/>
  <c r="AF916" i="3"/>
  <c r="AF917" i="3"/>
  <c r="AF918" i="3"/>
  <c r="AF919" i="3"/>
  <c r="AF920" i="3"/>
  <c r="AF921" i="3"/>
  <c r="AF922" i="3"/>
  <c r="AF923" i="3"/>
  <c r="AF924" i="3"/>
  <c r="AF925" i="3"/>
  <c r="AF926" i="3"/>
  <c r="AF927" i="3"/>
  <c r="AF928" i="3"/>
  <c r="AF929" i="3"/>
  <c r="AF930" i="3"/>
  <c r="AF931" i="3"/>
  <c r="AF932" i="3"/>
  <c r="AF933" i="3"/>
  <c r="AF934" i="3"/>
  <c r="AF935" i="3"/>
  <c r="AF936" i="3"/>
  <c r="AF937" i="3"/>
  <c r="AF938" i="3"/>
  <c r="AF939" i="3"/>
  <c r="AF940" i="3"/>
  <c r="AF941" i="3"/>
  <c r="AF942" i="3"/>
  <c r="AF943" i="3"/>
  <c r="AF944" i="3"/>
  <c r="AF945" i="3"/>
  <c r="AF946" i="3"/>
  <c r="AF947" i="3"/>
  <c r="AF948" i="3"/>
  <c r="AF949" i="3"/>
  <c r="AF950" i="3"/>
  <c r="AF951" i="3"/>
  <c r="AF952" i="3"/>
  <c r="AF953" i="3"/>
  <c r="AF954" i="3"/>
  <c r="AF955" i="3"/>
  <c r="AF956" i="3"/>
  <c r="AF957" i="3"/>
  <c r="AF958" i="3"/>
  <c r="AF959" i="3"/>
  <c r="AF960" i="3"/>
  <c r="AF961" i="3"/>
  <c r="AF962" i="3"/>
  <c r="AF963" i="3"/>
  <c r="AF964" i="3"/>
  <c r="AF965" i="3"/>
  <c r="AF966" i="3"/>
  <c r="AF967" i="3"/>
  <c r="AF968" i="3"/>
  <c r="AF969" i="3"/>
  <c r="AF970" i="3"/>
  <c r="AF971" i="3"/>
  <c r="AF972" i="3"/>
  <c r="AF973" i="3"/>
  <c r="AF974" i="3"/>
  <c r="AF975" i="3"/>
  <c r="AF976" i="3"/>
  <c r="AF977" i="3"/>
  <c r="AF978" i="3"/>
  <c r="AF979" i="3"/>
  <c r="AF980" i="3"/>
  <c r="AF981" i="3"/>
  <c r="AF982" i="3"/>
  <c r="AF983" i="3"/>
  <c r="AF984" i="3"/>
  <c r="AF985" i="3"/>
  <c r="AF986" i="3"/>
  <c r="AF987" i="3"/>
  <c r="AF988" i="3"/>
  <c r="AF989" i="3"/>
  <c r="AF990" i="3"/>
  <c r="AF991" i="3"/>
  <c r="AF992" i="3"/>
  <c r="AF993" i="3"/>
  <c r="AF994" i="3"/>
  <c r="AF995" i="3"/>
  <c r="AF996" i="3"/>
  <c r="AF997" i="3"/>
  <c r="AF998" i="3"/>
  <c r="AF999" i="3"/>
  <c r="AF1000" i="3"/>
  <c r="AF1001" i="3"/>
  <c r="AF1002" i="3"/>
  <c r="AF1003" i="3"/>
  <c r="AF1004" i="3"/>
  <c r="AF5" i="3"/>
  <c r="AE6" i="3"/>
  <c r="AG6" i="3" s="1"/>
  <c r="AE7" i="3"/>
  <c r="AG7" i="3" s="1"/>
  <c r="AE8" i="3"/>
  <c r="AG8" i="3" s="1"/>
  <c r="AE9" i="3"/>
  <c r="AG9" i="3" s="1"/>
  <c r="AE10" i="3"/>
  <c r="AG10" i="3" s="1"/>
  <c r="AE11" i="3"/>
  <c r="AG11" i="3" s="1"/>
  <c r="AG12" i="3"/>
  <c r="AE13" i="3"/>
  <c r="AG13" i="3" s="1"/>
  <c r="AE14" i="3"/>
  <c r="AG14" i="3" s="1"/>
  <c r="AE15" i="3"/>
  <c r="AG15" i="3" s="1"/>
  <c r="AE16" i="3"/>
  <c r="AG16" i="3" s="1"/>
  <c r="AE17" i="3"/>
  <c r="AG17" i="3" s="1"/>
  <c r="AE18" i="3"/>
  <c r="AG18" i="3" s="1"/>
  <c r="AE19" i="3"/>
  <c r="AG19" i="3" s="1"/>
  <c r="AE20" i="3"/>
  <c r="AG20" i="3" s="1"/>
  <c r="AE21" i="3"/>
  <c r="AG21" i="3" s="1"/>
  <c r="AE22" i="3"/>
  <c r="AG22" i="3" s="1"/>
  <c r="AE23" i="3"/>
  <c r="AG23" i="3" s="1"/>
  <c r="AE24" i="3"/>
  <c r="AG24" i="3" s="1"/>
  <c r="AE25" i="3"/>
  <c r="AG25" i="3" s="1"/>
  <c r="AE26" i="3"/>
  <c r="AG26" i="3" s="1"/>
  <c r="AE27" i="3"/>
  <c r="AG27" i="3" s="1"/>
  <c r="AE28" i="3"/>
  <c r="AG28" i="3" s="1"/>
  <c r="AE29" i="3"/>
  <c r="AG29" i="3" s="1"/>
  <c r="AE30" i="3"/>
  <c r="AG30" i="3" s="1"/>
  <c r="AE31" i="3"/>
  <c r="AG31" i="3" s="1"/>
  <c r="AE32" i="3"/>
  <c r="AG32" i="3" s="1"/>
  <c r="AE33" i="3"/>
  <c r="AG33" i="3" s="1"/>
  <c r="AE34" i="3"/>
  <c r="AG34" i="3" s="1"/>
  <c r="AE35" i="3"/>
  <c r="AG35" i="3" s="1"/>
  <c r="AE36" i="3"/>
  <c r="AG36" i="3" s="1"/>
  <c r="AE37" i="3"/>
  <c r="AG37" i="3" s="1"/>
  <c r="AE38" i="3"/>
  <c r="AG38" i="3" s="1"/>
  <c r="AE39" i="3"/>
  <c r="AG39" i="3" s="1"/>
  <c r="AE40" i="3"/>
  <c r="AG40" i="3" s="1"/>
  <c r="AE41" i="3"/>
  <c r="AG41" i="3" s="1"/>
  <c r="AE42" i="3"/>
  <c r="AG42" i="3" s="1"/>
  <c r="AE43" i="3"/>
  <c r="AG43" i="3" s="1"/>
  <c r="AE44" i="3"/>
  <c r="AG44" i="3" s="1"/>
  <c r="AE45" i="3"/>
  <c r="AG45" i="3" s="1"/>
  <c r="AE46" i="3"/>
  <c r="AG46" i="3" s="1"/>
  <c r="AE47" i="3"/>
  <c r="AG47" i="3" s="1"/>
  <c r="AE48" i="3"/>
  <c r="AG48" i="3" s="1"/>
  <c r="AE49" i="3"/>
  <c r="AG49" i="3" s="1"/>
  <c r="AE50" i="3"/>
  <c r="AG50" i="3" s="1"/>
  <c r="AE51" i="3"/>
  <c r="AG51" i="3" s="1"/>
  <c r="AE52" i="3"/>
  <c r="AG52" i="3" s="1"/>
  <c r="AE53" i="3"/>
  <c r="AG53" i="3" s="1"/>
  <c r="AE54" i="3"/>
  <c r="AG54" i="3" s="1"/>
  <c r="AE55" i="3"/>
  <c r="AG55" i="3" s="1"/>
  <c r="AE56" i="3"/>
  <c r="AG56" i="3" s="1"/>
  <c r="AE57" i="3"/>
  <c r="AG57" i="3" s="1"/>
  <c r="AE58" i="3"/>
  <c r="AG58" i="3" s="1"/>
  <c r="AE59" i="3"/>
  <c r="AG59" i="3" s="1"/>
  <c r="AE60" i="3"/>
  <c r="AG60" i="3" s="1"/>
  <c r="AE61" i="3"/>
  <c r="AG61" i="3" s="1"/>
  <c r="AE62" i="3"/>
  <c r="AG62" i="3" s="1"/>
  <c r="AE63" i="3"/>
  <c r="AG63" i="3" s="1"/>
  <c r="AE64" i="3"/>
  <c r="AG64" i="3" s="1"/>
  <c r="AE65" i="3"/>
  <c r="AG65" i="3" s="1"/>
  <c r="AE66" i="3"/>
  <c r="AG66" i="3" s="1"/>
  <c r="AE67" i="3"/>
  <c r="AG67" i="3" s="1"/>
  <c r="AE68" i="3"/>
  <c r="AG68" i="3" s="1"/>
  <c r="AE69" i="3"/>
  <c r="AG69" i="3" s="1"/>
  <c r="AE70" i="3"/>
  <c r="AG70" i="3" s="1"/>
  <c r="AE71" i="3"/>
  <c r="AG71" i="3" s="1"/>
  <c r="AE72" i="3"/>
  <c r="AG72" i="3" s="1"/>
  <c r="AE73" i="3"/>
  <c r="AG73" i="3" s="1"/>
  <c r="AE74" i="3"/>
  <c r="AG74" i="3" s="1"/>
  <c r="AE75" i="3"/>
  <c r="AG75" i="3" s="1"/>
  <c r="AE76" i="3"/>
  <c r="AG76" i="3" s="1"/>
  <c r="AE77" i="3"/>
  <c r="AG77" i="3" s="1"/>
  <c r="AE78" i="3"/>
  <c r="AG78" i="3" s="1"/>
  <c r="AE79" i="3"/>
  <c r="AG79" i="3" s="1"/>
  <c r="AE80" i="3"/>
  <c r="AG80" i="3" s="1"/>
  <c r="AE81" i="3"/>
  <c r="AG81" i="3" s="1"/>
  <c r="AE82" i="3"/>
  <c r="AG82" i="3" s="1"/>
  <c r="AE83" i="3"/>
  <c r="AG83" i="3" s="1"/>
  <c r="AE84" i="3"/>
  <c r="AG84" i="3" s="1"/>
  <c r="AE85" i="3"/>
  <c r="AG85" i="3" s="1"/>
  <c r="AE86" i="3"/>
  <c r="AG86" i="3" s="1"/>
  <c r="AE87" i="3"/>
  <c r="AG87" i="3" s="1"/>
  <c r="AE88" i="3"/>
  <c r="AG88" i="3" s="1"/>
  <c r="AE89" i="3"/>
  <c r="AG89" i="3" s="1"/>
  <c r="AE90" i="3"/>
  <c r="AG90" i="3" s="1"/>
  <c r="AE91" i="3"/>
  <c r="AG91" i="3" s="1"/>
  <c r="AE92" i="3"/>
  <c r="AG92" i="3" s="1"/>
  <c r="AE93" i="3"/>
  <c r="AG93" i="3" s="1"/>
  <c r="AE94" i="3"/>
  <c r="AG94" i="3" s="1"/>
  <c r="AE95" i="3"/>
  <c r="AG95" i="3" s="1"/>
  <c r="AE96" i="3"/>
  <c r="AG96" i="3" s="1"/>
  <c r="AE97" i="3"/>
  <c r="AG97" i="3" s="1"/>
  <c r="AE98" i="3"/>
  <c r="AG98" i="3" s="1"/>
  <c r="AE99" i="3"/>
  <c r="AG99" i="3" s="1"/>
  <c r="AE100" i="3"/>
  <c r="AG100" i="3" s="1"/>
  <c r="AE101" i="3"/>
  <c r="AG101" i="3" s="1"/>
  <c r="AE102" i="3"/>
  <c r="AG102" i="3" s="1"/>
  <c r="AE103" i="3"/>
  <c r="AG103" i="3" s="1"/>
  <c r="AE105" i="3"/>
  <c r="AG105" i="3" s="1"/>
  <c r="AE106" i="3"/>
  <c r="AG106" i="3" s="1"/>
  <c r="AE107" i="3"/>
  <c r="AG107" i="3" s="1"/>
  <c r="AE108" i="3"/>
  <c r="AG108" i="3" s="1"/>
  <c r="AE109" i="3"/>
  <c r="AG109" i="3" s="1"/>
  <c r="AE110" i="3"/>
  <c r="AG110" i="3" s="1"/>
  <c r="AE111" i="3"/>
  <c r="AG111" i="3" s="1"/>
  <c r="AE112" i="3"/>
  <c r="AG112" i="3" s="1"/>
  <c r="AE113" i="3"/>
  <c r="AG113" i="3" s="1"/>
  <c r="AE114" i="3"/>
  <c r="AG114" i="3" s="1"/>
  <c r="AE115" i="3"/>
  <c r="AG115" i="3" s="1"/>
  <c r="AE116" i="3"/>
  <c r="AG116" i="3" s="1"/>
  <c r="AE117" i="3"/>
  <c r="AG117" i="3" s="1"/>
  <c r="AE118" i="3"/>
  <c r="AG118" i="3" s="1"/>
  <c r="AE119" i="3"/>
  <c r="AG119" i="3" s="1"/>
  <c r="AE120" i="3"/>
  <c r="AG120" i="3" s="1"/>
  <c r="AE121" i="3"/>
  <c r="AG121" i="3" s="1"/>
  <c r="AE122" i="3"/>
  <c r="AG122" i="3" s="1"/>
  <c r="AE123" i="3"/>
  <c r="AG123" i="3" s="1"/>
  <c r="AE124" i="3"/>
  <c r="AG124" i="3" s="1"/>
  <c r="AE125" i="3"/>
  <c r="AG125" i="3" s="1"/>
  <c r="AE126" i="3"/>
  <c r="AG126" i="3" s="1"/>
  <c r="AE127" i="3"/>
  <c r="AG127" i="3" s="1"/>
  <c r="AE128" i="3"/>
  <c r="AG128" i="3" s="1"/>
  <c r="AE129" i="3"/>
  <c r="AG129" i="3" s="1"/>
  <c r="AE130" i="3"/>
  <c r="AG130" i="3" s="1"/>
  <c r="AE131" i="3"/>
  <c r="AG131" i="3" s="1"/>
  <c r="AE132" i="3"/>
  <c r="AG132" i="3" s="1"/>
  <c r="AE133" i="3"/>
  <c r="AG133" i="3" s="1"/>
  <c r="AE134" i="3"/>
  <c r="AG134" i="3" s="1"/>
  <c r="AE135" i="3"/>
  <c r="AG135" i="3" s="1"/>
  <c r="AE136" i="3"/>
  <c r="AG136" i="3" s="1"/>
  <c r="AE137" i="3"/>
  <c r="AG137" i="3" s="1"/>
  <c r="AE138" i="3"/>
  <c r="AG138" i="3" s="1"/>
  <c r="AE139" i="3"/>
  <c r="AG139" i="3" s="1"/>
  <c r="AE140" i="3"/>
  <c r="AG140" i="3" s="1"/>
  <c r="AE141" i="3"/>
  <c r="AG141" i="3" s="1"/>
  <c r="AE142" i="3"/>
  <c r="AG142" i="3" s="1"/>
  <c r="AE143" i="3"/>
  <c r="AG143" i="3" s="1"/>
  <c r="AE144" i="3"/>
  <c r="AG144" i="3" s="1"/>
  <c r="AE145" i="3"/>
  <c r="AG145" i="3" s="1"/>
  <c r="AE146" i="3"/>
  <c r="AG146" i="3" s="1"/>
  <c r="AE147" i="3"/>
  <c r="AG147" i="3" s="1"/>
  <c r="AE148" i="3"/>
  <c r="AG148" i="3" s="1"/>
  <c r="AE149" i="3"/>
  <c r="AG149" i="3" s="1"/>
  <c r="AE150" i="3"/>
  <c r="AG150" i="3" s="1"/>
  <c r="AE151" i="3"/>
  <c r="AG151" i="3" s="1"/>
  <c r="AE152" i="3"/>
  <c r="AG152" i="3" s="1"/>
  <c r="AE153" i="3"/>
  <c r="AG153" i="3" s="1"/>
  <c r="AE154" i="3"/>
  <c r="AG154" i="3" s="1"/>
  <c r="AE155" i="3"/>
  <c r="AG155" i="3" s="1"/>
  <c r="AE156" i="3"/>
  <c r="AG156" i="3" s="1"/>
  <c r="AE157" i="3"/>
  <c r="AG157" i="3" s="1"/>
  <c r="AE158" i="3"/>
  <c r="AG158" i="3" s="1"/>
  <c r="AE159" i="3"/>
  <c r="AG159" i="3" s="1"/>
  <c r="AE160" i="3"/>
  <c r="AG160" i="3" s="1"/>
  <c r="AE161" i="3"/>
  <c r="AG161" i="3" s="1"/>
  <c r="AE162" i="3"/>
  <c r="AG162" i="3" s="1"/>
  <c r="AE163" i="3"/>
  <c r="AG163" i="3" s="1"/>
  <c r="AE164" i="3"/>
  <c r="AG164" i="3" s="1"/>
  <c r="AE165" i="3"/>
  <c r="AG165" i="3" s="1"/>
  <c r="AE166" i="3"/>
  <c r="AG166" i="3" s="1"/>
  <c r="AE167" i="3"/>
  <c r="AG167" i="3" s="1"/>
  <c r="AE168" i="3"/>
  <c r="AG168" i="3" s="1"/>
  <c r="AE169" i="3"/>
  <c r="AG169" i="3" s="1"/>
  <c r="AE170" i="3"/>
  <c r="AG170" i="3" s="1"/>
  <c r="AE171" i="3"/>
  <c r="AG171" i="3" s="1"/>
  <c r="AE172" i="3"/>
  <c r="AG172" i="3" s="1"/>
  <c r="AE173" i="3"/>
  <c r="AG173" i="3" s="1"/>
  <c r="AE174" i="3"/>
  <c r="AG174" i="3" s="1"/>
  <c r="AE175" i="3"/>
  <c r="AG175" i="3" s="1"/>
  <c r="AE176" i="3"/>
  <c r="AG176" i="3" s="1"/>
  <c r="AE177" i="3"/>
  <c r="AG177" i="3" s="1"/>
  <c r="AE178" i="3"/>
  <c r="AG178" i="3" s="1"/>
  <c r="AE179" i="3"/>
  <c r="AG179" i="3" s="1"/>
  <c r="AE180" i="3"/>
  <c r="AG180" i="3" s="1"/>
  <c r="AE181" i="3"/>
  <c r="AG181" i="3" s="1"/>
  <c r="AE182" i="3"/>
  <c r="AG182" i="3" s="1"/>
  <c r="AE183" i="3"/>
  <c r="AG183" i="3" s="1"/>
  <c r="AE184" i="3"/>
  <c r="AG184" i="3" s="1"/>
  <c r="AE185" i="3"/>
  <c r="AG185" i="3" s="1"/>
  <c r="AE186" i="3"/>
  <c r="AG186" i="3" s="1"/>
  <c r="AE187" i="3"/>
  <c r="AG187" i="3" s="1"/>
  <c r="AE188" i="3"/>
  <c r="AG188" i="3" s="1"/>
  <c r="AE189" i="3"/>
  <c r="AG189" i="3" s="1"/>
  <c r="AE190" i="3"/>
  <c r="AG190" i="3" s="1"/>
  <c r="AG191" i="3"/>
  <c r="AE192" i="3"/>
  <c r="AG192" i="3" s="1"/>
  <c r="AE193" i="3"/>
  <c r="AG193" i="3" s="1"/>
  <c r="AE196" i="3"/>
  <c r="AG196" i="3" s="1"/>
  <c r="AE197" i="3"/>
  <c r="AG197" i="3" s="1"/>
  <c r="AE198" i="3"/>
  <c r="AG198" i="3" s="1"/>
  <c r="AE199" i="3"/>
  <c r="AG199" i="3" s="1"/>
  <c r="AE200" i="3"/>
  <c r="AG200" i="3" s="1"/>
  <c r="AE201" i="3"/>
  <c r="AG201" i="3" s="1"/>
  <c r="AE202" i="3"/>
  <c r="AG202" i="3" s="1"/>
  <c r="AE203" i="3"/>
  <c r="AG203" i="3" s="1"/>
  <c r="AE204" i="3"/>
  <c r="AG204" i="3" s="1"/>
  <c r="AE205" i="3"/>
  <c r="AG205" i="3" s="1"/>
  <c r="AE206" i="3"/>
  <c r="AG206" i="3" s="1"/>
  <c r="AE207" i="3"/>
  <c r="AG207" i="3" s="1"/>
  <c r="AE208" i="3"/>
  <c r="AG208" i="3" s="1"/>
  <c r="AE209" i="3"/>
  <c r="AG209" i="3" s="1"/>
  <c r="AE210" i="3"/>
  <c r="AG210" i="3" s="1"/>
  <c r="AE211" i="3"/>
  <c r="AG211" i="3" s="1"/>
  <c r="AE212" i="3"/>
  <c r="AG212" i="3" s="1"/>
  <c r="AE213" i="3"/>
  <c r="AG213" i="3" s="1"/>
  <c r="AE214" i="3"/>
  <c r="AG214" i="3" s="1"/>
  <c r="AE215" i="3"/>
  <c r="AG215" i="3" s="1"/>
  <c r="AE217" i="3"/>
  <c r="AG217" i="3" s="1"/>
  <c r="AE218" i="3"/>
  <c r="AG218" i="3" s="1"/>
  <c r="AE219" i="3"/>
  <c r="AG219" i="3" s="1"/>
  <c r="AE220" i="3"/>
  <c r="AG220" i="3" s="1"/>
  <c r="AE221" i="3"/>
  <c r="AG221" i="3" s="1"/>
  <c r="AE223" i="3"/>
  <c r="AG223" i="3" s="1"/>
  <c r="AE224" i="3"/>
  <c r="AG224" i="3" s="1"/>
  <c r="AE225" i="3"/>
  <c r="AG225" i="3" s="1"/>
  <c r="AE226" i="3"/>
  <c r="AG226" i="3" s="1"/>
  <c r="AE227" i="3"/>
  <c r="AG227" i="3" s="1"/>
  <c r="AE228" i="3"/>
  <c r="AG228" i="3" s="1"/>
  <c r="AE229" i="3"/>
  <c r="AG229" i="3" s="1"/>
  <c r="AE231" i="3"/>
  <c r="AG231" i="3" s="1"/>
  <c r="AE232" i="3"/>
  <c r="AG232" i="3" s="1"/>
  <c r="AE233" i="3"/>
  <c r="AG233" i="3" s="1"/>
  <c r="AE234" i="3"/>
  <c r="AG234" i="3" s="1"/>
  <c r="AE235" i="3"/>
  <c r="AG235" i="3" s="1"/>
  <c r="AE236" i="3"/>
  <c r="AG236" i="3" s="1"/>
  <c r="AE237" i="3"/>
  <c r="AG237" i="3" s="1"/>
  <c r="AE238" i="3"/>
  <c r="AG238" i="3" s="1"/>
  <c r="AE239" i="3"/>
  <c r="AG239" i="3" s="1"/>
  <c r="AE240" i="3"/>
  <c r="AG240" i="3" s="1"/>
  <c r="AE241" i="3"/>
  <c r="AG241" i="3" s="1"/>
  <c r="AE242" i="3"/>
  <c r="AG242" i="3" s="1"/>
  <c r="AE243" i="3"/>
  <c r="AG243" i="3" s="1"/>
  <c r="AE244" i="3"/>
  <c r="AG244" i="3" s="1"/>
  <c r="AE245" i="3"/>
  <c r="AG245" i="3" s="1"/>
  <c r="AE246" i="3"/>
  <c r="AG246" i="3" s="1"/>
  <c r="AE247" i="3"/>
  <c r="AG247" i="3" s="1"/>
  <c r="AE248" i="3"/>
  <c r="AG248" i="3" s="1"/>
  <c r="AE249" i="3"/>
  <c r="AG249" i="3" s="1"/>
  <c r="AE250" i="3"/>
  <c r="AG250" i="3" s="1"/>
  <c r="AE251" i="3"/>
  <c r="AG251" i="3" s="1"/>
  <c r="AE252" i="3"/>
  <c r="AG252" i="3" s="1"/>
  <c r="AE253" i="3"/>
  <c r="AG253" i="3" s="1"/>
  <c r="AE254" i="3"/>
  <c r="AG254" i="3" s="1"/>
  <c r="AE255" i="3"/>
  <c r="AG255" i="3" s="1"/>
  <c r="AE259" i="3"/>
  <c r="AG259" i="3" s="1"/>
  <c r="AE260" i="3"/>
  <c r="AG260" i="3" s="1"/>
  <c r="AE261" i="3"/>
  <c r="AG261" i="3" s="1"/>
  <c r="AE262" i="3"/>
  <c r="AG262" i="3" s="1"/>
  <c r="AE263" i="3"/>
  <c r="AG263" i="3" s="1"/>
  <c r="AE264" i="3"/>
  <c r="AG264" i="3" s="1"/>
  <c r="AE265" i="3"/>
  <c r="AG265" i="3" s="1"/>
  <c r="AE266" i="3"/>
  <c r="AG266" i="3" s="1"/>
  <c r="AE269" i="3"/>
  <c r="AG269" i="3" s="1"/>
  <c r="AE270" i="3"/>
  <c r="AG270" i="3" s="1"/>
  <c r="AE272" i="3"/>
  <c r="AG272" i="3" s="1"/>
  <c r="AE273" i="3"/>
  <c r="AG273" i="3" s="1"/>
  <c r="AE274" i="3"/>
  <c r="AG274" i="3" s="1"/>
  <c r="AE275" i="3"/>
  <c r="AG275" i="3" s="1"/>
  <c r="AE276" i="3"/>
  <c r="AG276" i="3" s="1"/>
  <c r="AE277" i="3"/>
  <c r="AG277" i="3" s="1"/>
  <c r="AE278" i="3"/>
  <c r="AG278" i="3" s="1"/>
  <c r="AE279" i="3"/>
  <c r="AG279" i="3" s="1"/>
  <c r="AE280" i="3"/>
  <c r="AG280" i="3" s="1"/>
  <c r="AE281" i="3"/>
  <c r="AG281" i="3" s="1"/>
  <c r="AE282" i="3"/>
  <c r="AG282" i="3" s="1"/>
  <c r="AE283" i="3"/>
  <c r="AG283" i="3" s="1"/>
  <c r="AE284" i="3"/>
  <c r="AG284" i="3" s="1"/>
  <c r="AE285" i="3"/>
  <c r="AG285" i="3" s="1"/>
  <c r="AE286" i="3"/>
  <c r="AG286" i="3" s="1"/>
  <c r="AE287" i="3"/>
  <c r="AG287" i="3" s="1"/>
  <c r="AE288" i="3"/>
  <c r="AG288" i="3" s="1"/>
  <c r="AE289" i="3"/>
  <c r="AG289" i="3" s="1"/>
  <c r="AE290" i="3"/>
  <c r="AG290" i="3" s="1"/>
  <c r="AE291" i="3"/>
  <c r="AG291" i="3" s="1"/>
  <c r="AE292" i="3"/>
  <c r="AG292" i="3" s="1"/>
  <c r="AE293" i="3"/>
  <c r="AG293" i="3" s="1"/>
  <c r="AE294" i="3"/>
  <c r="AG294" i="3" s="1"/>
  <c r="AE295" i="3"/>
  <c r="AG295" i="3" s="1"/>
  <c r="AE296" i="3"/>
  <c r="AG296" i="3" s="1"/>
  <c r="AE297" i="3"/>
  <c r="AG297" i="3" s="1"/>
  <c r="AE298" i="3"/>
  <c r="AG298" i="3" s="1"/>
  <c r="AE299" i="3"/>
  <c r="AG299" i="3" s="1"/>
  <c r="AE300" i="3"/>
  <c r="AG300" i="3" s="1"/>
  <c r="AE301" i="3"/>
  <c r="AG301" i="3" s="1"/>
  <c r="AE302" i="3"/>
  <c r="AG302" i="3" s="1"/>
  <c r="AE303" i="3"/>
  <c r="AG303" i="3" s="1"/>
  <c r="AE304" i="3"/>
  <c r="AG304" i="3" s="1"/>
  <c r="AE305" i="3"/>
  <c r="AG305" i="3" s="1"/>
  <c r="AE306" i="3"/>
  <c r="AG306" i="3" s="1"/>
  <c r="AE307" i="3"/>
  <c r="AG307" i="3" s="1"/>
  <c r="AE308" i="3"/>
  <c r="AG308" i="3" s="1"/>
  <c r="AE309" i="3"/>
  <c r="AG309" i="3" s="1"/>
  <c r="AE310" i="3"/>
  <c r="AG310" i="3" s="1"/>
  <c r="AE311" i="3"/>
  <c r="AG311" i="3" s="1"/>
  <c r="AE312" i="3"/>
  <c r="AG312" i="3" s="1"/>
  <c r="AE313" i="3"/>
  <c r="AG313" i="3" s="1"/>
  <c r="AE314" i="3"/>
  <c r="AG314" i="3" s="1"/>
  <c r="AE315" i="3"/>
  <c r="AG315" i="3" s="1"/>
  <c r="AE316" i="3"/>
  <c r="AG316" i="3" s="1"/>
  <c r="AE317" i="3"/>
  <c r="AG317" i="3" s="1"/>
  <c r="AE318" i="3"/>
  <c r="AG318" i="3" s="1"/>
  <c r="AE319" i="3"/>
  <c r="AG319" i="3" s="1"/>
  <c r="AE320" i="3"/>
  <c r="AG320" i="3" s="1"/>
  <c r="AE321" i="3"/>
  <c r="AG321" i="3" s="1"/>
  <c r="AE322" i="3"/>
  <c r="AG322" i="3" s="1"/>
  <c r="AE323" i="3"/>
  <c r="AG323" i="3" s="1"/>
  <c r="AE324" i="3"/>
  <c r="AG324" i="3" s="1"/>
  <c r="AE325" i="3"/>
  <c r="AG325" i="3" s="1"/>
  <c r="AE326" i="3"/>
  <c r="AG326" i="3" s="1"/>
  <c r="AE327" i="3"/>
  <c r="AG327" i="3" s="1"/>
  <c r="AE328" i="3"/>
  <c r="AG328" i="3" s="1"/>
  <c r="AE329" i="3"/>
  <c r="AG329" i="3" s="1"/>
  <c r="AE330" i="3"/>
  <c r="AG330" i="3" s="1"/>
  <c r="AE331" i="3"/>
  <c r="AG331" i="3" s="1"/>
  <c r="AE332" i="3"/>
  <c r="AG332" i="3" s="1"/>
  <c r="AE333" i="3"/>
  <c r="AG333" i="3" s="1"/>
  <c r="AE334" i="3"/>
  <c r="AG334" i="3" s="1"/>
  <c r="AE335" i="3"/>
  <c r="AG335" i="3" s="1"/>
  <c r="AE336" i="3"/>
  <c r="AG336" i="3" s="1"/>
  <c r="AE337" i="3"/>
  <c r="AG337" i="3" s="1"/>
  <c r="AE338" i="3"/>
  <c r="AG338" i="3" s="1"/>
  <c r="AE339" i="3"/>
  <c r="AG339" i="3" s="1"/>
  <c r="AE340" i="3"/>
  <c r="AG340" i="3" s="1"/>
  <c r="AE341" i="3"/>
  <c r="AG341" i="3" s="1"/>
  <c r="AE342" i="3"/>
  <c r="AG342" i="3" s="1"/>
  <c r="AE343" i="3"/>
  <c r="AG343" i="3" s="1"/>
  <c r="AE344" i="3"/>
  <c r="AG344" i="3" s="1"/>
  <c r="AE345" i="3"/>
  <c r="AG345" i="3" s="1"/>
  <c r="AE346" i="3"/>
  <c r="AG346" i="3" s="1"/>
  <c r="AE347" i="3"/>
  <c r="AG347" i="3" s="1"/>
  <c r="AE348" i="3"/>
  <c r="AG348" i="3" s="1"/>
  <c r="AE349" i="3"/>
  <c r="AG349" i="3" s="1"/>
  <c r="AE350" i="3"/>
  <c r="AG350" i="3" s="1"/>
  <c r="AE351" i="3"/>
  <c r="AG351" i="3" s="1"/>
  <c r="AE352" i="3"/>
  <c r="AG352" i="3" s="1"/>
  <c r="AE353" i="3"/>
  <c r="AG353" i="3" s="1"/>
  <c r="AE354" i="3"/>
  <c r="AG354" i="3" s="1"/>
  <c r="AE355" i="3"/>
  <c r="AG355" i="3" s="1"/>
  <c r="AE356" i="3"/>
  <c r="AG356" i="3" s="1"/>
  <c r="AE357" i="3"/>
  <c r="AG357" i="3" s="1"/>
  <c r="AE358" i="3"/>
  <c r="AG358" i="3" s="1"/>
  <c r="AE359" i="3"/>
  <c r="AG359" i="3" s="1"/>
  <c r="AE360" i="3"/>
  <c r="AG360" i="3" s="1"/>
  <c r="AE361" i="3"/>
  <c r="AG361" i="3" s="1"/>
  <c r="AE362" i="3"/>
  <c r="AG362" i="3" s="1"/>
  <c r="AE363" i="3"/>
  <c r="AG363" i="3" s="1"/>
  <c r="AE364" i="3"/>
  <c r="AG364" i="3" s="1"/>
  <c r="AE365" i="3"/>
  <c r="AG365" i="3" s="1"/>
  <c r="AE366" i="3"/>
  <c r="AG366" i="3" s="1"/>
  <c r="AE367" i="3"/>
  <c r="AG367" i="3" s="1"/>
  <c r="AE368" i="3"/>
  <c r="AG368" i="3" s="1"/>
  <c r="AE369" i="3"/>
  <c r="AG369" i="3" s="1"/>
  <c r="AE370" i="3"/>
  <c r="AG370" i="3" s="1"/>
  <c r="AE371" i="3"/>
  <c r="AG371" i="3" s="1"/>
  <c r="AE372" i="3"/>
  <c r="AG372" i="3" s="1"/>
  <c r="AE373" i="3"/>
  <c r="AG373" i="3" s="1"/>
  <c r="AE374" i="3"/>
  <c r="AG374" i="3" s="1"/>
  <c r="AE375" i="3"/>
  <c r="AG375" i="3" s="1"/>
  <c r="AE376" i="3"/>
  <c r="AG376" i="3" s="1"/>
  <c r="AE377" i="3"/>
  <c r="AG377" i="3" s="1"/>
  <c r="AE378" i="3"/>
  <c r="AG378" i="3" s="1"/>
  <c r="AE379" i="3"/>
  <c r="AG379" i="3" s="1"/>
  <c r="AE380" i="3"/>
  <c r="AG380" i="3" s="1"/>
  <c r="AE381" i="3"/>
  <c r="AG381" i="3" s="1"/>
  <c r="AE382" i="3"/>
  <c r="AG382" i="3" s="1"/>
  <c r="AE383" i="3"/>
  <c r="AG383" i="3" s="1"/>
  <c r="AE384" i="3"/>
  <c r="AG384" i="3" s="1"/>
  <c r="AE385" i="3"/>
  <c r="AG385" i="3" s="1"/>
  <c r="AE386" i="3"/>
  <c r="AG386" i="3" s="1"/>
  <c r="AE387" i="3"/>
  <c r="AG387" i="3" s="1"/>
  <c r="AE388" i="3"/>
  <c r="AG388" i="3" s="1"/>
  <c r="AE389" i="3"/>
  <c r="AG389" i="3" s="1"/>
  <c r="AE390" i="3"/>
  <c r="AG390" i="3" s="1"/>
  <c r="AE391" i="3"/>
  <c r="AG391" i="3" s="1"/>
  <c r="AE392" i="3"/>
  <c r="AG392" i="3" s="1"/>
  <c r="AE393" i="3"/>
  <c r="AG393" i="3" s="1"/>
  <c r="AE394" i="3"/>
  <c r="AG394" i="3" s="1"/>
  <c r="AE395" i="3"/>
  <c r="AG395" i="3" s="1"/>
  <c r="AE396" i="3"/>
  <c r="AG396" i="3" s="1"/>
  <c r="AE397" i="3"/>
  <c r="AG397" i="3" s="1"/>
  <c r="AE398" i="3"/>
  <c r="AG398" i="3" s="1"/>
  <c r="AE399" i="3"/>
  <c r="AG399" i="3" s="1"/>
  <c r="AE400" i="3"/>
  <c r="AG400" i="3" s="1"/>
  <c r="AE401" i="3"/>
  <c r="AG401" i="3" s="1"/>
  <c r="AE402" i="3"/>
  <c r="AG402" i="3" s="1"/>
  <c r="AE403" i="3"/>
  <c r="AG403" i="3" s="1"/>
  <c r="AE404" i="3"/>
  <c r="AG404" i="3" s="1"/>
  <c r="AE405" i="3"/>
  <c r="AG405" i="3" s="1"/>
  <c r="AE406" i="3"/>
  <c r="AG406" i="3" s="1"/>
  <c r="AE407" i="3"/>
  <c r="AG407" i="3" s="1"/>
  <c r="AE408" i="3"/>
  <c r="AG408" i="3" s="1"/>
  <c r="AE409" i="3"/>
  <c r="AG409" i="3" s="1"/>
  <c r="AE410" i="3"/>
  <c r="AG410" i="3" s="1"/>
  <c r="AE411" i="3"/>
  <c r="AG411" i="3" s="1"/>
  <c r="AE412" i="3"/>
  <c r="AG412" i="3" s="1"/>
  <c r="AE413" i="3"/>
  <c r="AG413" i="3" s="1"/>
  <c r="AE414" i="3"/>
  <c r="AG414" i="3" s="1"/>
  <c r="AE415" i="3"/>
  <c r="AG415" i="3" s="1"/>
  <c r="AE416" i="3"/>
  <c r="AG416" i="3" s="1"/>
  <c r="AE417" i="3"/>
  <c r="AG417" i="3" s="1"/>
  <c r="AE418" i="3"/>
  <c r="AG418" i="3" s="1"/>
  <c r="AE419" i="3"/>
  <c r="AG419" i="3" s="1"/>
  <c r="AE420" i="3"/>
  <c r="AG420" i="3" s="1"/>
  <c r="AE421" i="3"/>
  <c r="AG421" i="3" s="1"/>
  <c r="AE422" i="3"/>
  <c r="AG422" i="3" s="1"/>
  <c r="AE423" i="3"/>
  <c r="AG423" i="3" s="1"/>
  <c r="AE424" i="3"/>
  <c r="AG424" i="3" s="1"/>
  <c r="AE425" i="3"/>
  <c r="AG425" i="3" s="1"/>
  <c r="AE426" i="3"/>
  <c r="AG426" i="3" s="1"/>
  <c r="AE427" i="3"/>
  <c r="AG427" i="3" s="1"/>
  <c r="AE428" i="3"/>
  <c r="AG428" i="3" s="1"/>
  <c r="AE429" i="3"/>
  <c r="AG429" i="3" s="1"/>
  <c r="AE430" i="3"/>
  <c r="AG430" i="3" s="1"/>
  <c r="AE431" i="3"/>
  <c r="AG431" i="3" s="1"/>
  <c r="AE432" i="3"/>
  <c r="AG432" i="3" s="1"/>
  <c r="AE433" i="3"/>
  <c r="AG433" i="3" s="1"/>
  <c r="AE434" i="3"/>
  <c r="AG434" i="3" s="1"/>
  <c r="AE435" i="3"/>
  <c r="AG435" i="3" s="1"/>
  <c r="AE436" i="3"/>
  <c r="AG436" i="3" s="1"/>
  <c r="AE437" i="3"/>
  <c r="AG437" i="3" s="1"/>
  <c r="AE438" i="3"/>
  <c r="AG438" i="3" s="1"/>
  <c r="AE439" i="3"/>
  <c r="AG439" i="3" s="1"/>
  <c r="AE440" i="3"/>
  <c r="AG440" i="3" s="1"/>
  <c r="AE441" i="3"/>
  <c r="AG441" i="3" s="1"/>
  <c r="AE442" i="3"/>
  <c r="AG442" i="3" s="1"/>
  <c r="AE443" i="3"/>
  <c r="AG443" i="3" s="1"/>
  <c r="AE444" i="3"/>
  <c r="AG444" i="3" s="1"/>
  <c r="AE445" i="3"/>
  <c r="AG445" i="3" s="1"/>
  <c r="AE446" i="3"/>
  <c r="AG446" i="3" s="1"/>
  <c r="AE447" i="3"/>
  <c r="AG447" i="3" s="1"/>
  <c r="AE448" i="3"/>
  <c r="AG448" i="3" s="1"/>
  <c r="AE449" i="3"/>
  <c r="AG449" i="3" s="1"/>
  <c r="AE450" i="3"/>
  <c r="AG450" i="3" s="1"/>
  <c r="AE451" i="3"/>
  <c r="AG451" i="3" s="1"/>
  <c r="AE452" i="3"/>
  <c r="AG452" i="3" s="1"/>
  <c r="AE453" i="3"/>
  <c r="AG453" i="3" s="1"/>
  <c r="AE454" i="3"/>
  <c r="AG454" i="3" s="1"/>
  <c r="AE455" i="3"/>
  <c r="AG455" i="3" s="1"/>
  <c r="AE456" i="3"/>
  <c r="AG456" i="3" s="1"/>
  <c r="AE457" i="3"/>
  <c r="AG457" i="3" s="1"/>
  <c r="AE458" i="3"/>
  <c r="AG458" i="3" s="1"/>
  <c r="AE459" i="3"/>
  <c r="AG459" i="3" s="1"/>
  <c r="AE460" i="3"/>
  <c r="AG460" i="3" s="1"/>
  <c r="AE461" i="3"/>
  <c r="AG461" i="3" s="1"/>
  <c r="AE462" i="3"/>
  <c r="AG462" i="3" s="1"/>
  <c r="AE463" i="3"/>
  <c r="AG463" i="3" s="1"/>
  <c r="AE464" i="3"/>
  <c r="AG464" i="3" s="1"/>
  <c r="AE465" i="3"/>
  <c r="AG465" i="3" s="1"/>
  <c r="AE466" i="3"/>
  <c r="AG466" i="3" s="1"/>
  <c r="AE467" i="3"/>
  <c r="AG467" i="3" s="1"/>
  <c r="AE468" i="3"/>
  <c r="AG468" i="3" s="1"/>
  <c r="AE469" i="3"/>
  <c r="AG469" i="3" s="1"/>
  <c r="AE470" i="3"/>
  <c r="AG470" i="3" s="1"/>
  <c r="AE471" i="3"/>
  <c r="AG471" i="3" s="1"/>
  <c r="AE472" i="3"/>
  <c r="AG472" i="3" s="1"/>
  <c r="AE473" i="3"/>
  <c r="AG473" i="3" s="1"/>
  <c r="AE474" i="3"/>
  <c r="AG474" i="3" s="1"/>
  <c r="AE475" i="3"/>
  <c r="AG475" i="3" s="1"/>
  <c r="AE476" i="3"/>
  <c r="AG476" i="3" s="1"/>
  <c r="AE477" i="3"/>
  <c r="AG477" i="3" s="1"/>
  <c r="AE478" i="3"/>
  <c r="AG478" i="3" s="1"/>
  <c r="AE479" i="3"/>
  <c r="AG479" i="3" s="1"/>
  <c r="AE480" i="3"/>
  <c r="AG480" i="3" s="1"/>
  <c r="AE481" i="3"/>
  <c r="AG481" i="3" s="1"/>
  <c r="AE482" i="3"/>
  <c r="AG482" i="3" s="1"/>
  <c r="AE483" i="3"/>
  <c r="AG483" i="3" s="1"/>
  <c r="AE484" i="3"/>
  <c r="AG484" i="3" s="1"/>
  <c r="AE485" i="3"/>
  <c r="AG485" i="3" s="1"/>
  <c r="AE486" i="3"/>
  <c r="AG486" i="3" s="1"/>
  <c r="AE487" i="3"/>
  <c r="AG487" i="3" s="1"/>
  <c r="AE488" i="3"/>
  <c r="AG488" i="3" s="1"/>
  <c r="AE489" i="3"/>
  <c r="AG489" i="3" s="1"/>
  <c r="AE490" i="3"/>
  <c r="AG490" i="3" s="1"/>
  <c r="AE491" i="3"/>
  <c r="AG491" i="3" s="1"/>
  <c r="AE492" i="3"/>
  <c r="AG492" i="3" s="1"/>
  <c r="AE493" i="3"/>
  <c r="AG493" i="3" s="1"/>
  <c r="AE494" i="3"/>
  <c r="AG494" i="3" s="1"/>
  <c r="AE495" i="3"/>
  <c r="AG495" i="3" s="1"/>
  <c r="AE496" i="3"/>
  <c r="AG496" i="3" s="1"/>
  <c r="AE497" i="3"/>
  <c r="AG497" i="3" s="1"/>
  <c r="AE498" i="3"/>
  <c r="AG498" i="3" s="1"/>
  <c r="AE499" i="3"/>
  <c r="AG499" i="3" s="1"/>
  <c r="AE500" i="3"/>
  <c r="AG500" i="3" s="1"/>
  <c r="AE501" i="3"/>
  <c r="AG501" i="3" s="1"/>
  <c r="AE502" i="3"/>
  <c r="AG502" i="3" s="1"/>
  <c r="AE503" i="3"/>
  <c r="AG503" i="3" s="1"/>
  <c r="AE504" i="3"/>
  <c r="AG504" i="3" s="1"/>
  <c r="AE505" i="3"/>
  <c r="AG505" i="3" s="1"/>
  <c r="AE506" i="3"/>
  <c r="AG506" i="3" s="1"/>
  <c r="AE507" i="3"/>
  <c r="AG507" i="3" s="1"/>
  <c r="AE508" i="3"/>
  <c r="AG508" i="3" s="1"/>
  <c r="AE509" i="3"/>
  <c r="AG509" i="3" s="1"/>
  <c r="AE510" i="3"/>
  <c r="AG510" i="3" s="1"/>
  <c r="AE511" i="3"/>
  <c r="AG511" i="3" s="1"/>
  <c r="AE512" i="3"/>
  <c r="AG512" i="3" s="1"/>
  <c r="AE513" i="3"/>
  <c r="AG513" i="3" s="1"/>
  <c r="AE514" i="3"/>
  <c r="AG514" i="3" s="1"/>
  <c r="AE515" i="3"/>
  <c r="AG515" i="3" s="1"/>
  <c r="AE516" i="3"/>
  <c r="AG516" i="3" s="1"/>
  <c r="AE517" i="3"/>
  <c r="AG517" i="3" s="1"/>
  <c r="AE518" i="3"/>
  <c r="AG518" i="3" s="1"/>
  <c r="AE519" i="3"/>
  <c r="AG519" i="3" s="1"/>
  <c r="AE520" i="3"/>
  <c r="AG520" i="3" s="1"/>
  <c r="AE521" i="3"/>
  <c r="AG521" i="3" s="1"/>
  <c r="AE522" i="3"/>
  <c r="AG522" i="3" s="1"/>
  <c r="AE523" i="3"/>
  <c r="AG523" i="3" s="1"/>
  <c r="AE524" i="3"/>
  <c r="AG524" i="3" s="1"/>
  <c r="AE525" i="3"/>
  <c r="AG525" i="3" s="1"/>
  <c r="AE526" i="3"/>
  <c r="AG526" i="3" s="1"/>
  <c r="AE527" i="3"/>
  <c r="AG527" i="3" s="1"/>
  <c r="AE528" i="3"/>
  <c r="AG528" i="3" s="1"/>
  <c r="AE529" i="3"/>
  <c r="AG529" i="3" s="1"/>
  <c r="AE530" i="3"/>
  <c r="AG530" i="3" s="1"/>
  <c r="AE531" i="3"/>
  <c r="AG531" i="3" s="1"/>
  <c r="AE532" i="3"/>
  <c r="AG532" i="3" s="1"/>
  <c r="AE533" i="3"/>
  <c r="AG533" i="3" s="1"/>
  <c r="AE534" i="3"/>
  <c r="AG534" i="3" s="1"/>
  <c r="AE535" i="3"/>
  <c r="AG535" i="3" s="1"/>
  <c r="AE536" i="3"/>
  <c r="AG536" i="3" s="1"/>
  <c r="AE537" i="3"/>
  <c r="AG537" i="3" s="1"/>
  <c r="AE538" i="3"/>
  <c r="AG538" i="3" s="1"/>
  <c r="AE539" i="3"/>
  <c r="AG539" i="3" s="1"/>
  <c r="AE540" i="3"/>
  <c r="AG540" i="3" s="1"/>
  <c r="AE541" i="3"/>
  <c r="AG541" i="3" s="1"/>
  <c r="AE542" i="3"/>
  <c r="AG542" i="3" s="1"/>
  <c r="AE543" i="3"/>
  <c r="AG543" i="3" s="1"/>
  <c r="AE544" i="3"/>
  <c r="AG544" i="3" s="1"/>
  <c r="AE545" i="3"/>
  <c r="AG545" i="3" s="1"/>
  <c r="AE546" i="3"/>
  <c r="AG546" i="3" s="1"/>
  <c r="AE547" i="3"/>
  <c r="AG547" i="3" s="1"/>
  <c r="AE548" i="3"/>
  <c r="AG548" i="3" s="1"/>
  <c r="AE549" i="3"/>
  <c r="AG549" i="3" s="1"/>
  <c r="AE550" i="3"/>
  <c r="AG550" i="3" s="1"/>
  <c r="AE551" i="3"/>
  <c r="AG551" i="3" s="1"/>
  <c r="AE552" i="3"/>
  <c r="AG552" i="3" s="1"/>
  <c r="AE553" i="3"/>
  <c r="AG553" i="3" s="1"/>
  <c r="AE554" i="3"/>
  <c r="AG554" i="3" s="1"/>
  <c r="AE555" i="3"/>
  <c r="AG555" i="3" s="1"/>
  <c r="AE556" i="3"/>
  <c r="AG556" i="3" s="1"/>
  <c r="AE557" i="3"/>
  <c r="AG557" i="3" s="1"/>
  <c r="AE558" i="3"/>
  <c r="AG558" i="3" s="1"/>
  <c r="AE559" i="3"/>
  <c r="AG559" i="3" s="1"/>
  <c r="AE560" i="3"/>
  <c r="AG560" i="3" s="1"/>
  <c r="AE561" i="3"/>
  <c r="AG561" i="3" s="1"/>
  <c r="AE562" i="3"/>
  <c r="AG562" i="3" s="1"/>
  <c r="AE563" i="3"/>
  <c r="AG563" i="3" s="1"/>
  <c r="AE564" i="3"/>
  <c r="AG564" i="3" s="1"/>
  <c r="AE565" i="3"/>
  <c r="AG565" i="3" s="1"/>
  <c r="AE566" i="3"/>
  <c r="AG566" i="3" s="1"/>
  <c r="AE567" i="3"/>
  <c r="AG567" i="3" s="1"/>
  <c r="AE568" i="3"/>
  <c r="AG568" i="3" s="1"/>
  <c r="AE569" i="3"/>
  <c r="AG569" i="3" s="1"/>
  <c r="AE570" i="3"/>
  <c r="AG570" i="3" s="1"/>
  <c r="AE571" i="3"/>
  <c r="AG571" i="3" s="1"/>
  <c r="AE572" i="3"/>
  <c r="AG572" i="3" s="1"/>
  <c r="AE573" i="3"/>
  <c r="AG573" i="3" s="1"/>
  <c r="AE574" i="3"/>
  <c r="AG574" i="3" s="1"/>
  <c r="AE575" i="3"/>
  <c r="AG575" i="3" s="1"/>
  <c r="AE576" i="3"/>
  <c r="AG576" i="3" s="1"/>
  <c r="AE577" i="3"/>
  <c r="AG577" i="3" s="1"/>
  <c r="AE578" i="3"/>
  <c r="AG578" i="3" s="1"/>
  <c r="AE579" i="3"/>
  <c r="AG579" i="3" s="1"/>
  <c r="AE580" i="3"/>
  <c r="AG580" i="3" s="1"/>
  <c r="AE581" i="3"/>
  <c r="AG581" i="3" s="1"/>
  <c r="AE582" i="3"/>
  <c r="AG582" i="3" s="1"/>
  <c r="AE583" i="3"/>
  <c r="AG583" i="3" s="1"/>
  <c r="AE584" i="3"/>
  <c r="AG584" i="3" s="1"/>
  <c r="AE585" i="3"/>
  <c r="AG585" i="3" s="1"/>
  <c r="AE586" i="3"/>
  <c r="AG586" i="3" s="1"/>
  <c r="AE587" i="3"/>
  <c r="AG587" i="3" s="1"/>
  <c r="AE588" i="3"/>
  <c r="AG588" i="3" s="1"/>
  <c r="AE589" i="3"/>
  <c r="AG589" i="3" s="1"/>
  <c r="AE590" i="3"/>
  <c r="AG590" i="3" s="1"/>
  <c r="AE591" i="3"/>
  <c r="AG591" i="3" s="1"/>
  <c r="AE592" i="3"/>
  <c r="AG592" i="3" s="1"/>
  <c r="AE593" i="3"/>
  <c r="AG593" i="3" s="1"/>
  <c r="AE594" i="3"/>
  <c r="AG594" i="3" s="1"/>
  <c r="AE595" i="3"/>
  <c r="AG595" i="3" s="1"/>
  <c r="AE596" i="3"/>
  <c r="AG596" i="3" s="1"/>
  <c r="AE597" i="3"/>
  <c r="AG597" i="3" s="1"/>
  <c r="AE598" i="3"/>
  <c r="AG598" i="3" s="1"/>
  <c r="AE599" i="3"/>
  <c r="AG599" i="3" s="1"/>
  <c r="AE600" i="3"/>
  <c r="AG600" i="3" s="1"/>
  <c r="AE601" i="3"/>
  <c r="AG601" i="3" s="1"/>
  <c r="AE602" i="3"/>
  <c r="AG602" i="3" s="1"/>
  <c r="AE603" i="3"/>
  <c r="AG603" i="3" s="1"/>
  <c r="AE604" i="3"/>
  <c r="AG604" i="3" s="1"/>
  <c r="AE605" i="3"/>
  <c r="AG605" i="3" s="1"/>
  <c r="AE606" i="3"/>
  <c r="AG606" i="3" s="1"/>
  <c r="AE607" i="3"/>
  <c r="AG607" i="3" s="1"/>
  <c r="AE608" i="3"/>
  <c r="AG608" i="3" s="1"/>
  <c r="AE609" i="3"/>
  <c r="AG609" i="3" s="1"/>
  <c r="AE610" i="3"/>
  <c r="AG610" i="3" s="1"/>
  <c r="AE611" i="3"/>
  <c r="AG611" i="3" s="1"/>
  <c r="AE612" i="3"/>
  <c r="AG612" i="3" s="1"/>
  <c r="AE613" i="3"/>
  <c r="AG613" i="3" s="1"/>
  <c r="AE614" i="3"/>
  <c r="AG614" i="3" s="1"/>
  <c r="AE615" i="3"/>
  <c r="AG615" i="3" s="1"/>
  <c r="AE616" i="3"/>
  <c r="AG616" i="3" s="1"/>
  <c r="AE617" i="3"/>
  <c r="AG617" i="3" s="1"/>
  <c r="AE618" i="3"/>
  <c r="AG618" i="3" s="1"/>
  <c r="AE619" i="3"/>
  <c r="AG619" i="3" s="1"/>
  <c r="AE620" i="3"/>
  <c r="AG620" i="3" s="1"/>
  <c r="AE621" i="3"/>
  <c r="AG621" i="3" s="1"/>
  <c r="AE622" i="3"/>
  <c r="AG622" i="3" s="1"/>
  <c r="AE623" i="3"/>
  <c r="AG623" i="3" s="1"/>
  <c r="AE624" i="3"/>
  <c r="AG624" i="3" s="1"/>
  <c r="AE625" i="3"/>
  <c r="AG625" i="3" s="1"/>
  <c r="AE626" i="3"/>
  <c r="AG626" i="3" s="1"/>
  <c r="AE627" i="3"/>
  <c r="AG627" i="3" s="1"/>
  <c r="AE628" i="3"/>
  <c r="AG628" i="3" s="1"/>
  <c r="AE629" i="3"/>
  <c r="AG629" i="3" s="1"/>
  <c r="AE630" i="3"/>
  <c r="AG630" i="3" s="1"/>
  <c r="AE631" i="3"/>
  <c r="AG631" i="3" s="1"/>
  <c r="AE632" i="3"/>
  <c r="AG632" i="3" s="1"/>
  <c r="AE633" i="3"/>
  <c r="AG633" i="3" s="1"/>
  <c r="AE634" i="3"/>
  <c r="AG634" i="3" s="1"/>
  <c r="AE635" i="3"/>
  <c r="AG635" i="3" s="1"/>
  <c r="AE636" i="3"/>
  <c r="AG636" i="3" s="1"/>
  <c r="AE637" i="3"/>
  <c r="AG637" i="3" s="1"/>
  <c r="AE638" i="3"/>
  <c r="AG638" i="3" s="1"/>
  <c r="AE639" i="3"/>
  <c r="AG639" i="3" s="1"/>
  <c r="AE640" i="3"/>
  <c r="AG640" i="3" s="1"/>
  <c r="AE641" i="3"/>
  <c r="AG641" i="3" s="1"/>
  <c r="AE642" i="3"/>
  <c r="AG642" i="3" s="1"/>
  <c r="AE643" i="3"/>
  <c r="AG643" i="3" s="1"/>
  <c r="AE644" i="3"/>
  <c r="AG644" i="3" s="1"/>
  <c r="AE645" i="3"/>
  <c r="AG645" i="3" s="1"/>
  <c r="AE646" i="3"/>
  <c r="AG646" i="3" s="1"/>
  <c r="AE647" i="3"/>
  <c r="AG647" i="3" s="1"/>
  <c r="AE648" i="3"/>
  <c r="AG648" i="3" s="1"/>
  <c r="AE649" i="3"/>
  <c r="AG649" i="3" s="1"/>
  <c r="AE650" i="3"/>
  <c r="AG650" i="3" s="1"/>
  <c r="AE651" i="3"/>
  <c r="AG651" i="3" s="1"/>
  <c r="AE652" i="3"/>
  <c r="AG652" i="3" s="1"/>
  <c r="AE653" i="3"/>
  <c r="AG653" i="3" s="1"/>
  <c r="AE654" i="3"/>
  <c r="AG654" i="3" s="1"/>
  <c r="AE655" i="3"/>
  <c r="AG655" i="3" s="1"/>
  <c r="AE656" i="3"/>
  <c r="AG656" i="3" s="1"/>
  <c r="AE657" i="3"/>
  <c r="AG657" i="3" s="1"/>
  <c r="AE658" i="3"/>
  <c r="AG658" i="3" s="1"/>
  <c r="AE659" i="3"/>
  <c r="AG659" i="3" s="1"/>
  <c r="AE660" i="3"/>
  <c r="AG660" i="3" s="1"/>
  <c r="AE661" i="3"/>
  <c r="AG661" i="3" s="1"/>
  <c r="AE662" i="3"/>
  <c r="AG662" i="3" s="1"/>
  <c r="AE663" i="3"/>
  <c r="AG663" i="3" s="1"/>
  <c r="AE664" i="3"/>
  <c r="AG664" i="3" s="1"/>
  <c r="AE665" i="3"/>
  <c r="AG665" i="3" s="1"/>
  <c r="AE666" i="3"/>
  <c r="AG666" i="3" s="1"/>
  <c r="AE667" i="3"/>
  <c r="AG667" i="3" s="1"/>
  <c r="AE668" i="3"/>
  <c r="AG668" i="3" s="1"/>
  <c r="AE669" i="3"/>
  <c r="AG669" i="3" s="1"/>
  <c r="AE670" i="3"/>
  <c r="AG670" i="3" s="1"/>
  <c r="AE671" i="3"/>
  <c r="AG671" i="3" s="1"/>
  <c r="AE672" i="3"/>
  <c r="AG672" i="3" s="1"/>
  <c r="AE673" i="3"/>
  <c r="AG673" i="3" s="1"/>
  <c r="AE674" i="3"/>
  <c r="AG674" i="3" s="1"/>
  <c r="AE675" i="3"/>
  <c r="AG675" i="3" s="1"/>
  <c r="AE676" i="3"/>
  <c r="AG676" i="3" s="1"/>
  <c r="AE677" i="3"/>
  <c r="AG677" i="3" s="1"/>
  <c r="AE678" i="3"/>
  <c r="AG678" i="3" s="1"/>
  <c r="AE679" i="3"/>
  <c r="AG679" i="3" s="1"/>
  <c r="AE680" i="3"/>
  <c r="AG680" i="3" s="1"/>
  <c r="AE681" i="3"/>
  <c r="AG681" i="3" s="1"/>
  <c r="AE682" i="3"/>
  <c r="AG682" i="3" s="1"/>
  <c r="AE683" i="3"/>
  <c r="AG683" i="3" s="1"/>
  <c r="AE684" i="3"/>
  <c r="AG684" i="3" s="1"/>
  <c r="AE685" i="3"/>
  <c r="AG685" i="3" s="1"/>
  <c r="AE686" i="3"/>
  <c r="AG686" i="3" s="1"/>
  <c r="AE687" i="3"/>
  <c r="AG687" i="3" s="1"/>
  <c r="AE688" i="3"/>
  <c r="AG688" i="3" s="1"/>
  <c r="AE689" i="3"/>
  <c r="AG689" i="3" s="1"/>
  <c r="AE690" i="3"/>
  <c r="AG690" i="3" s="1"/>
  <c r="AE691" i="3"/>
  <c r="AG691" i="3" s="1"/>
  <c r="AE692" i="3"/>
  <c r="AG692" i="3" s="1"/>
  <c r="AE693" i="3"/>
  <c r="AG693" i="3" s="1"/>
  <c r="AE694" i="3"/>
  <c r="AG694" i="3" s="1"/>
  <c r="AE695" i="3"/>
  <c r="AG695" i="3" s="1"/>
  <c r="AE696" i="3"/>
  <c r="AG696" i="3" s="1"/>
  <c r="AE697" i="3"/>
  <c r="AG697" i="3" s="1"/>
  <c r="AE698" i="3"/>
  <c r="AG698" i="3" s="1"/>
  <c r="AE699" i="3"/>
  <c r="AG699" i="3" s="1"/>
  <c r="AE700" i="3"/>
  <c r="AG700" i="3" s="1"/>
  <c r="AE701" i="3"/>
  <c r="AG701" i="3" s="1"/>
  <c r="AE702" i="3"/>
  <c r="AG702" i="3" s="1"/>
  <c r="AE703" i="3"/>
  <c r="AG703" i="3" s="1"/>
  <c r="AE704" i="3"/>
  <c r="AG704" i="3" s="1"/>
  <c r="AE705" i="3"/>
  <c r="AG705" i="3" s="1"/>
  <c r="AE706" i="3"/>
  <c r="AG706" i="3" s="1"/>
  <c r="AE707" i="3"/>
  <c r="AG707" i="3" s="1"/>
  <c r="AE708" i="3"/>
  <c r="AG708" i="3" s="1"/>
  <c r="AE709" i="3"/>
  <c r="AG709" i="3" s="1"/>
  <c r="AE710" i="3"/>
  <c r="AG710" i="3" s="1"/>
  <c r="AE711" i="3"/>
  <c r="AG711" i="3" s="1"/>
  <c r="AE712" i="3"/>
  <c r="AG712" i="3" s="1"/>
  <c r="AE713" i="3"/>
  <c r="AG713" i="3" s="1"/>
  <c r="AE714" i="3"/>
  <c r="AG714" i="3" s="1"/>
  <c r="AE715" i="3"/>
  <c r="AG715" i="3" s="1"/>
  <c r="AE716" i="3"/>
  <c r="AG716" i="3" s="1"/>
  <c r="AE717" i="3"/>
  <c r="AG717" i="3" s="1"/>
  <c r="AE718" i="3"/>
  <c r="AG718" i="3" s="1"/>
  <c r="AE719" i="3"/>
  <c r="AG719" i="3" s="1"/>
  <c r="AE720" i="3"/>
  <c r="AG720" i="3" s="1"/>
  <c r="AE721" i="3"/>
  <c r="AG721" i="3" s="1"/>
  <c r="AE722" i="3"/>
  <c r="AG722" i="3" s="1"/>
  <c r="AE723" i="3"/>
  <c r="AG723" i="3" s="1"/>
  <c r="AE724" i="3"/>
  <c r="AG724" i="3" s="1"/>
  <c r="AE725" i="3"/>
  <c r="AG725" i="3" s="1"/>
  <c r="AE726" i="3"/>
  <c r="AG726" i="3" s="1"/>
  <c r="AE727" i="3"/>
  <c r="AG727" i="3" s="1"/>
  <c r="AE728" i="3"/>
  <c r="AG728" i="3" s="1"/>
  <c r="AE729" i="3"/>
  <c r="AG729" i="3" s="1"/>
  <c r="AE730" i="3"/>
  <c r="AG730" i="3" s="1"/>
  <c r="AE731" i="3"/>
  <c r="AG731" i="3" s="1"/>
  <c r="AE732" i="3"/>
  <c r="AG732" i="3" s="1"/>
  <c r="AE733" i="3"/>
  <c r="AG733" i="3" s="1"/>
  <c r="AE734" i="3"/>
  <c r="AG734" i="3" s="1"/>
  <c r="AE735" i="3"/>
  <c r="AG735" i="3" s="1"/>
  <c r="AE736" i="3"/>
  <c r="AG736" i="3" s="1"/>
  <c r="AE737" i="3"/>
  <c r="AG737" i="3" s="1"/>
  <c r="AE738" i="3"/>
  <c r="AG738" i="3" s="1"/>
  <c r="AE739" i="3"/>
  <c r="AG739" i="3" s="1"/>
  <c r="AE740" i="3"/>
  <c r="AG740" i="3" s="1"/>
  <c r="AE741" i="3"/>
  <c r="AG741" i="3" s="1"/>
  <c r="AE742" i="3"/>
  <c r="AG742" i="3" s="1"/>
  <c r="AE743" i="3"/>
  <c r="AG743" i="3" s="1"/>
  <c r="AE744" i="3"/>
  <c r="AG744" i="3" s="1"/>
  <c r="AE745" i="3"/>
  <c r="AG745" i="3" s="1"/>
  <c r="AE746" i="3"/>
  <c r="AG746" i="3" s="1"/>
  <c r="AE747" i="3"/>
  <c r="AG747" i="3" s="1"/>
  <c r="AE748" i="3"/>
  <c r="AG748" i="3" s="1"/>
  <c r="AE749" i="3"/>
  <c r="AG749" i="3" s="1"/>
  <c r="AE750" i="3"/>
  <c r="AG750" i="3" s="1"/>
  <c r="AE751" i="3"/>
  <c r="AG751" i="3" s="1"/>
  <c r="AE752" i="3"/>
  <c r="AG752" i="3" s="1"/>
  <c r="AE753" i="3"/>
  <c r="AG753" i="3" s="1"/>
  <c r="AE754" i="3"/>
  <c r="AG754" i="3" s="1"/>
  <c r="AE755" i="3"/>
  <c r="AG755" i="3" s="1"/>
  <c r="AE756" i="3"/>
  <c r="AG756" i="3" s="1"/>
  <c r="AE757" i="3"/>
  <c r="AG757" i="3" s="1"/>
  <c r="AE758" i="3"/>
  <c r="AG758" i="3" s="1"/>
  <c r="AE759" i="3"/>
  <c r="AG759" i="3" s="1"/>
  <c r="AE760" i="3"/>
  <c r="AG760" i="3" s="1"/>
  <c r="AE761" i="3"/>
  <c r="AG761" i="3" s="1"/>
  <c r="AE762" i="3"/>
  <c r="AG762" i="3" s="1"/>
  <c r="AE763" i="3"/>
  <c r="AG763" i="3" s="1"/>
  <c r="AE764" i="3"/>
  <c r="AG764" i="3" s="1"/>
  <c r="AE765" i="3"/>
  <c r="AG765" i="3" s="1"/>
  <c r="AE766" i="3"/>
  <c r="AG766" i="3" s="1"/>
  <c r="AE767" i="3"/>
  <c r="AG767" i="3" s="1"/>
  <c r="AE768" i="3"/>
  <c r="AG768" i="3" s="1"/>
  <c r="AE769" i="3"/>
  <c r="AG769" i="3" s="1"/>
  <c r="AE770" i="3"/>
  <c r="AG770" i="3" s="1"/>
  <c r="AE771" i="3"/>
  <c r="AG771" i="3" s="1"/>
  <c r="AE772" i="3"/>
  <c r="AG772" i="3" s="1"/>
  <c r="AE773" i="3"/>
  <c r="AG773" i="3" s="1"/>
  <c r="AE774" i="3"/>
  <c r="AG774" i="3" s="1"/>
  <c r="AE775" i="3"/>
  <c r="AG775" i="3" s="1"/>
  <c r="AE776" i="3"/>
  <c r="AG776" i="3" s="1"/>
  <c r="AE777" i="3"/>
  <c r="AG777" i="3" s="1"/>
  <c r="AE778" i="3"/>
  <c r="AG778" i="3" s="1"/>
  <c r="AE779" i="3"/>
  <c r="AG779" i="3" s="1"/>
  <c r="AE780" i="3"/>
  <c r="AG780" i="3" s="1"/>
  <c r="AE781" i="3"/>
  <c r="AG781" i="3" s="1"/>
  <c r="AE782" i="3"/>
  <c r="AG782" i="3" s="1"/>
  <c r="AE783" i="3"/>
  <c r="AG783" i="3" s="1"/>
  <c r="AE784" i="3"/>
  <c r="AG784" i="3" s="1"/>
  <c r="AE785" i="3"/>
  <c r="AG785" i="3" s="1"/>
  <c r="AE786" i="3"/>
  <c r="AG786" i="3" s="1"/>
  <c r="AE787" i="3"/>
  <c r="AG787" i="3" s="1"/>
  <c r="AE788" i="3"/>
  <c r="AG788" i="3" s="1"/>
  <c r="AE789" i="3"/>
  <c r="AG789" i="3" s="1"/>
  <c r="AE790" i="3"/>
  <c r="AG790" i="3" s="1"/>
  <c r="AE791" i="3"/>
  <c r="AG791" i="3" s="1"/>
  <c r="AE792" i="3"/>
  <c r="AG792" i="3" s="1"/>
  <c r="AE793" i="3"/>
  <c r="AG793" i="3" s="1"/>
  <c r="AE794" i="3"/>
  <c r="AG794" i="3" s="1"/>
  <c r="AE795" i="3"/>
  <c r="AG795" i="3" s="1"/>
  <c r="AE796" i="3"/>
  <c r="AG796" i="3" s="1"/>
  <c r="AE797" i="3"/>
  <c r="AG797" i="3" s="1"/>
  <c r="AE798" i="3"/>
  <c r="AG798" i="3" s="1"/>
  <c r="AE799" i="3"/>
  <c r="AG799" i="3" s="1"/>
  <c r="AE800" i="3"/>
  <c r="AG800" i="3" s="1"/>
  <c r="AE801" i="3"/>
  <c r="AG801" i="3" s="1"/>
  <c r="AE802" i="3"/>
  <c r="AG802" i="3" s="1"/>
  <c r="AE803" i="3"/>
  <c r="AG803" i="3" s="1"/>
  <c r="AE804" i="3"/>
  <c r="AG804" i="3" s="1"/>
  <c r="AE805" i="3"/>
  <c r="AG805" i="3" s="1"/>
  <c r="AE806" i="3"/>
  <c r="AG806" i="3" s="1"/>
  <c r="AE807" i="3"/>
  <c r="AG807" i="3" s="1"/>
  <c r="AE808" i="3"/>
  <c r="AG808" i="3" s="1"/>
  <c r="AE809" i="3"/>
  <c r="AG809" i="3" s="1"/>
  <c r="AE810" i="3"/>
  <c r="AG810" i="3" s="1"/>
  <c r="AE811" i="3"/>
  <c r="AG811" i="3" s="1"/>
  <c r="AE812" i="3"/>
  <c r="AG812" i="3" s="1"/>
  <c r="AE813" i="3"/>
  <c r="AG813" i="3" s="1"/>
  <c r="AE814" i="3"/>
  <c r="AG814" i="3" s="1"/>
  <c r="AE815" i="3"/>
  <c r="AG815" i="3" s="1"/>
  <c r="AE816" i="3"/>
  <c r="AG816" i="3" s="1"/>
  <c r="AE817" i="3"/>
  <c r="AG817" i="3" s="1"/>
  <c r="AE818" i="3"/>
  <c r="AG818" i="3" s="1"/>
  <c r="AE819" i="3"/>
  <c r="AG819" i="3" s="1"/>
  <c r="AE820" i="3"/>
  <c r="AG820" i="3" s="1"/>
  <c r="AE821" i="3"/>
  <c r="AG821" i="3" s="1"/>
  <c r="AE822" i="3"/>
  <c r="AG822" i="3" s="1"/>
  <c r="AE823" i="3"/>
  <c r="AG823" i="3" s="1"/>
  <c r="AE824" i="3"/>
  <c r="AG824" i="3" s="1"/>
  <c r="AE825" i="3"/>
  <c r="AG825" i="3" s="1"/>
  <c r="AE826" i="3"/>
  <c r="AG826" i="3" s="1"/>
  <c r="AE827" i="3"/>
  <c r="AG827" i="3" s="1"/>
  <c r="AE828" i="3"/>
  <c r="AG828" i="3" s="1"/>
  <c r="AE829" i="3"/>
  <c r="AG829" i="3" s="1"/>
  <c r="AE830" i="3"/>
  <c r="AG830" i="3" s="1"/>
  <c r="AE831" i="3"/>
  <c r="AG831" i="3" s="1"/>
  <c r="AE832" i="3"/>
  <c r="AG832" i="3" s="1"/>
  <c r="AE833" i="3"/>
  <c r="AG833" i="3" s="1"/>
  <c r="AE834" i="3"/>
  <c r="AG834" i="3" s="1"/>
  <c r="AE835" i="3"/>
  <c r="AG835" i="3" s="1"/>
  <c r="AE836" i="3"/>
  <c r="AG836" i="3" s="1"/>
  <c r="AE837" i="3"/>
  <c r="AG837" i="3" s="1"/>
  <c r="AE838" i="3"/>
  <c r="AG838" i="3" s="1"/>
  <c r="AE839" i="3"/>
  <c r="AG839" i="3" s="1"/>
  <c r="AE840" i="3"/>
  <c r="AG840" i="3" s="1"/>
  <c r="AE841" i="3"/>
  <c r="AG841" i="3" s="1"/>
  <c r="AE842" i="3"/>
  <c r="AG842" i="3" s="1"/>
  <c r="AE843" i="3"/>
  <c r="AG843" i="3" s="1"/>
  <c r="AE844" i="3"/>
  <c r="AG844" i="3" s="1"/>
  <c r="AE845" i="3"/>
  <c r="AG845" i="3" s="1"/>
  <c r="AE846" i="3"/>
  <c r="AG846" i="3" s="1"/>
  <c r="AE847" i="3"/>
  <c r="AG847" i="3" s="1"/>
  <c r="AE848" i="3"/>
  <c r="AG848" i="3" s="1"/>
  <c r="AE849" i="3"/>
  <c r="AG849" i="3" s="1"/>
  <c r="AE850" i="3"/>
  <c r="AG850" i="3" s="1"/>
  <c r="AE851" i="3"/>
  <c r="AG851" i="3" s="1"/>
  <c r="AE852" i="3"/>
  <c r="AG852" i="3" s="1"/>
  <c r="AE853" i="3"/>
  <c r="AG853" i="3" s="1"/>
  <c r="AE854" i="3"/>
  <c r="AG854" i="3" s="1"/>
  <c r="AE855" i="3"/>
  <c r="AG855" i="3" s="1"/>
  <c r="AE856" i="3"/>
  <c r="AG856" i="3" s="1"/>
  <c r="AE857" i="3"/>
  <c r="AG857" i="3" s="1"/>
  <c r="AE858" i="3"/>
  <c r="AG858" i="3" s="1"/>
  <c r="AE859" i="3"/>
  <c r="AG859" i="3" s="1"/>
  <c r="AE860" i="3"/>
  <c r="AG860" i="3" s="1"/>
  <c r="AE861" i="3"/>
  <c r="AG861" i="3" s="1"/>
  <c r="AE862" i="3"/>
  <c r="AG862" i="3" s="1"/>
  <c r="AE863" i="3"/>
  <c r="AG863" i="3" s="1"/>
  <c r="AE864" i="3"/>
  <c r="AG864" i="3" s="1"/>
  <c r="AE865" i="3"/>
  <c r="AG865" i="3" s="1"/>
  <c r="AE866" i="3"/>
  <c r="AG866" i="3" s="1"/>
  <c r="AE867" i="3"/>
  <c r="AG867" i="3" s="1"/>
  <c r="AE868" i="3"/>
  <c r="AG868" i="3" s="1"/>
  <c r="AE869" i="3"/>
  <c r="AG869" i="3" s="1"/>
  <c r="AE870" i="3"/>
  <c r="AG870" i="3" s="1"/>
  <c r="AE871" i="3"/>
  <c r="AG871" i="3" s="1"/>
  <c r="AE872" i="3"/>
  <c r="AG872" i="3" s="1"/>
  <c r="AE873" i="3"/>
  <c r="AG873" i="3" s="1"/>
  <c r="AE874" i="3"/>
  <c r="AG874" i="3" s="1"/>
  <c r="AE875" i="3"/>
  <c r="AG875" i="3" s="1"/>
  <c r="AE876" i="3"/>
  <c r="AG876" i="3" s="1"/>
  <c r="AE877" i="3"/>
  <c r="AG877" i="3" s="1"/>
  <c r="AE878" i="3"/>
  <c r="AG878" i="3" s="1"/>
  <c r="AE879" i="3"/>
  <c r="AG879" i="3" s="1"/>
  <c r="AE880" i="3"/>
  <c r="AG880" i="3" s="1"/>
  <c r="AE881" i="3"/>
  <c r="AG881" i="3" s="1"/>
  <c r="AE882" i="3"/>
  <c r="AG882" i="3" s="1"/>
  <c r="AE883" i="3"/>
  <c r="AG883" i="3" s="1"/>
  <c r="AE884" i="3"/>
  <c r="AG884" i="3" s="1"/>
  <c r="AE885" i="3"/>
  <c r="AG885" i="3" s="1"/>
  <c r="AE886" i="3"/>
  <c r="AG886" i="3" s="1"/>
  <c r="AE887" i="3"/>
  <c r="AG887" i="3" s="1"/>
  <c r="AE888" i="3"/>
  <c r="AG888" i="3" s="1"/>
  <c r="AE889" i="3"/>
  <c r="AG889" i="3" s="1"/>
  <c r="AE890" i="3"/>
  <c r="AG890" i="3" s="1"/>
  <c r="AE891" i="3"/>
  <c r="AG891" i="3" s="1"/>
  <c r="AE892" i="3"/>
  <c r="AG892" i="3" s="1"/>
  <c r="AE893" i="3"/>
  <c r="AG893" i="3" s="1"/>
  <c r="AE894" i="3"/>
  <c r="AG894" i="3" s="1"/>
  <c r="AE895" i="3"/>
  <c r="AG895" i="3" s="1"/>
  <c r="AE896" i="3"/>
  <c r="AG896" i="3" s="1"/>
  <c r="AE897" i="3"/>
  <c r="AG897" i="3" s="1"/>
  <c r="AE898" i="3"/>
  <c r="AG898" i="3" s="1"/>
  <c r="AE899" i="3"/>
  <c r="AG899" i="3" s="1"/>
  <c r="AE900" i="3"/>
  <c r="AG900" i="3" s="1"/>
  <c r="AE901" i="3"/>
  <c r="AG901" i="3" s="1"/>
  <c r="AE902" i="3"/>
  <c r="AG902" i="3" s="1"/>
  <c r="AE903" i="3"/>
  <c r="AG903" i="3" s="1"/>
  <c r="AE904" i="3"/>
  <c r="AG904" i="3" s="1"/>
  <c r="AE905" i="3"/>
  <c r="AG905" i="3" s="1"/>
  <c r="AE906" i="3"/>
  <c r="AG906" i="3" s="1"/>
  <c r="AE907" i="3"/>
  <c r="AG907" i="3" s="1"/>
  <c r="AE908" i="3"/>
  <c r="AG908" i="3" s="1"/>
  <c r="AE909" i="3"/>
  <c r="AG909" i="3" s="1"/>
  <c r="AE910" i="3"/>
  <c r="AG910" i="3" s="1"/>
  <c r="AE911" i="3"/>
  <c r="AG911" i="3" s="1"/>
  <c r="AE912" i="3"/>
  <c r="AG912" i="3" s="1"/>
  <c r="AE913" i="3"/>
  <c r="AG913" i="3" s="1"/>
  <c r="AE914" i="3"/>
  <c r="AG914" i="3" s="1"/>
  <c r="AE915" i="3"/>
  <c r="AG915" i="3" s="1"/>
  <c r="AE916" i="3"/>
  <c r="AG916" i="3" s="1"/>
  <c r="AE917" i="3"/>
  <c r="AG917" i="3" s="1"/>
  <c r="AE918" i="3"/>
  <c r="AG918" i="3" s="1"/>
  <c r="AE919" i="3"/>
  <c r="AG919" i="3" s="1"/>
  <c r="AE920" i="3"/>
  <c r="AG920" i="3" s="1"/>
  <c r="AE921" i="3"/>
  <c r="AG921" i="3" s="1"/>
  <c r="AE922" i="3"/>
  <c r="AG922" i="3" s="1"/>
  <c r="AE923" i="3"/>
  <c r="AG923" i="3" s="1"/>
  <c r="AE924" i="3"/>
  <c r="AG924" i="3" s="1"/>
  <c r="AE925" i="3"/>
  <c r="AG925" i="3" s="1"/>
  <c r="AE926" i="3"/>
  <c r="AG926" i="3" s="1"/>
  <c r="AE927" i="3"/>
  <c r="AG927" i="3" s="1"/>
  <c r="AE928" i="3"/>
  <c r="AG928" i="3" s="1"/>
  <c r="AE929" i="3"/>
  <c r="AG929" i="3" s="1"/>
  <c r="AE930" i="3"/>
  <c r="AG930" i="3" s="1"/>
  <c r="AE931" i="3"/>
  <c r="AG931" i="3" s="1"/>
  <c r="AE932" i="3"/>
  <c r="AG932" i="3" s="1"/>
  <c r="AE933" i="3"/>
  <c r="AG933" i="3" s="1"/>
  <c r="AE934" i="3"/>
  <c r="AG934" i="3" s="1"/>
  <c r="AE935" i="3"/>
  <c r="AG935" i="3" s="1"/>
  <c r="AE936" i="3"/>
  <c r="AG936" i="3" s="1"/>
  <c r="AE937" i="3"/>
  <c r="AG937" i="3" s="1"/>
  <c r="AE938" i="3"/>
  <c r="AG938" i="3" s="1"/>
  <c r="AE939" i="3"/>
  <c r="AG939" i="3" s="1"/>
  <c r="AE940" i="3"/>
  <c r="AG940" i="3" s="1"/>
  <c r="AE941" i="3"/>
  <c r="AG941" i="3" s="1"/>
  <c r="AE942" i="3"/>
  <c r="AG942" i="3" s="1"/>
  <c r="AE943" i="3"/>
  <c r="AG943" i="3" s="1"/>
  <c r="AE944" i="3"/>
  <c r="AG944" i="3" s="1"/>
  <c r="AE945" i="3"/>
  <c r="AG945" i="3" s="1"/>
  <c r="AE946" i="3"/>
  <c r="AG946" i="3" s="1"/>
  <c r="AE947" i="3"/>
  <c r="AG947" i="3" s="1"/>
  <c r="AE948" i="3"/>
  <c r="AG948" i="3" s="1"/>
  <c r="AE949" i="3"/>
  <c r="AG949" i="3" s="1"/>
  <c r="AE950" i="3"/>
  <c r="AG950" i="3" s="1"/>
  <c r="AE951" i="3"/>
  <c r="AG951" i="3" s="1"/>
  <c r="AE952" i="3"/>
  <c r="AG952" i="3" s="1"/>
  <c r="AE953" i="3"/>
  <c r="AG953" i="3" s="1"/>
  <c r="AE954" i="3"/>
  <c r="AG954" i="3" s="1"/>
  <c r="AE955" i="3"/>
  <c r="AG955" i="3" s="1"/>
  <c r="AE956" i="3"/>
  <c r="AG956" i="3" s="1"/>
  <c r="AE957" i="3"/>
  <c r="AG957" i="3" s="1"/>
  <c r="AE958" i="3"/>
  <c r="AG958" i="3" s="1"/>
  <c r="AE959" i="3"/>
  <c r="AG959" i="3" s="1"/>
  <c r="AE960" i="3"/>
  <c r="AG960" i="3" s="1"/>
  <c r="AE961" i="3"/>
  <c r="AG961" i="3" s="1"/>
  <c r="AE962" i="3"/>
  <c r="AG962" i="3" s="1"/>
  <c r="AE963" i="3"/>
  <c r="AG963" i="3" s="1"/>
  <c r="AE964" i="3"/>
  <c r="AG964" i="3" s="1"/>
  <c r="AE965" i="3"/>
  <c r="AG965" i="3" s="1"/>
  <c r="AE966" i="3"/>
  <c r="AG966" i="3" s="1"/>
  <c r="AE967" i="3"/>
  <c r="AG967" i="3" s="1"/>
  <c r="AE968" i="3"/>
  <c r="AG968" i="3" s="1"/>
  <c r="AE969" i="3"/>
  <c r="AG969" i="3" s="1"/>
  <c r="AE970" i="3"/>
  <c r="AG970" i="3" s="1"/>
  <c r="AE971" i="3"/>
  <c r="AG971" i="3" s="1"/>
  <c r="AE972" i="3"/>
  <c r="AG972" i="3" s="1"/>
  <c r="AE973" i="3"/>
  <c r="AG973" i="3" s="1"/>
  <c r="AE974" i="3"/>
  <c r="AG974" i="3" s="1"/>
  <c r="AE975" i="3"/>
  <c r="AG975" i="3" s="1"/>
  <c r="AE976" i="3"/>
  <c r="AG976" i="3" s="1"/>
  <c r="AE977" i="3"/>
  <c r="AG977" i="3" s="1"/>
  <c r="AE978" i="3"/>
  <c r="AG978" i="3" s="1"/>
  <c r="AE979" i="3"/>
  <c r="AG979" i="3" s="1"/>
  <c r="AE980" i="3"/>
  <c r="AG980" i="3" s="1"/>
  <c r="AE981" i="3"/>
  <c r="AG981" i="3" s="1"/>
  <c r="AE982" i="3"/>
  <c r="AG982" i="3" s="1"/>
  <c r="AE983" i="3"/>
  <c r="AG983" i="3" s="1"/>
  <c r="AE984" i="3"/>
  <c r="AG984" i="3" s="1"/>
  <c r="AE985" i="3"/>
  <c r="AG985" i="3" s="1"/>
  <c r="AE986" i="3"/>
  <c r="AG986" i="3" s="1"/>
  <c r="AE987" i="3"/>
  <c r="AG987" i="3" s="1"/>
  <c r="AE988" i="3"/>
  <c r="AG988" i="3" s="1"/>
  <c r="AE989" i="3"/>
  <c r="AG989" i="3" s="1"/>
  <c r="AE990" i="3"/>
  <c r="AG990" i="3" s="1"/>
  <c r="AE991" i="3"/>
  <c r="AG991" i="3" s="1"/>
  <c r="AE992" i="3"/>
  <c r="AG992" i="3" s="1"/>
  <c r="AE993" i="3"/>
  <c r="AG993" i="3" s="1"/>
  <c r="AE994" i="3"/>
  <c r="AG994" i="3" s="1"/>
  <c r="AE995" i="3"/>
  <c r="AG995" i="3" s="1"/>
  <c r="AE996" i="3"/>
  <c r="AG996" i="3" s="1"/>
  <c r="AE997" i="3"/>
  <c r="AG997" i="3" s="1"/>
  <c r="AE998" i="3"/>
  <c r="AG998" i="3" s="1"/>
  <c r="AE999" i="3"/>
  <c r="AG999" i="3" s="1"/>
  <c r="AE1000" i="3"/>
  <c r="AG1000" i="3" s="1"/>
  <c r="AE1001" i="3"/>
  <c r="AG1001" i="3" s="1"/>
  <c r="AE1002" i="3"/>
  <c r="AG1002" i="3" s="1"/>
  <c r="AE1003" i="3"/>
  <c r="AG1003" i="3" s="1"/>
  <c r="AE1004" i="3"/>
  <c r="AG1004" i="3" s="1"/>
  <c r="AE5" i="3"/>
  <c r="AG5" i="3" s="1"/>
  <c r="DA6" i="3" a="1"/>
  <c r="DA6" i="3" s="1"/>
  <c r="V6" i="3"/>
  <c r="V7" i="3"/>
  <c r="V8" i="3"/>
  <c r="V9" i="3"/>
  <c r="DA7" i="3" a="1"/>
  <c r="DA7" i="3" s="1"/>
  <c r="DA8" i="3" a="1"/>
  <c r="DA8" i="3" s="1"/>
  <c r="DA9" i="3" a="1"/>
  <c r="DA9" i="3" s="1"/>
  <c r="T6" i="3"/>
  <c r="T7" i="3"/>
  <c r="T8" i="3"/>
  <c r="T9" i="3"/>
  <c r="R6" i="3"/>
  <c r="R7" i="3"/>
  <c r="R8" i="3"/>
  <c r="R9" i="3"/>
  <c r="DA282" i="3" a="1"/>
  <c r="DA282" i="3" s="1"/>
  <c r="R10" i="3"/>
  <c r="R11" i="3"/>
  <c r="E695" i="3"/>
  <c r="F695" i="3"/>
  <c r="R695" i="3"/>
  <c r="T695" i="3"/>
  <c r="U695" i="3"/>
  <c r="DA695" i="3" s="1" a="1"/>
  <c r="DA695" i="3" s="1"/>
  <c r="Z695" i="3"/>
  <c r="E696" i="3"/>
  <c r="F696" i="3"/>
  <c r="R696" i="3"/>
  <c r="T696" i="3"/>
  <c r="U696" i="3"/>
  <c r="DA696" i="3" s="1" a="1"/>
  <c r="DA696" i="3" s="1"/>
  <c r="Z696" i="3"/>
  <c r="E697" i="3"/>
  <c r="F697" i="3"/>
  <c r="R697" i="3"/>
  <c r="T697" i="3"/>
  <c r="U697" i="3"/>
  <c r="DA697" i="3" s="1" a="1"/>
  <c r="DA697" i="3" s="1"/>
  <c r="Z697" i="3"/>
  <c r="E698" i="3"/>
  <c r="F698" i="3"/>
  <c r="R698" i="3"/>
  <c r="T698" i="3"/>
  <c r="U698" i="3"/>
  <c r="DA698" i="3" s="1" a="1"/>
  <c r="DA698" i="3" s="1"/>
  <c r="Z698" i="3"/>
  <c r="E699" i="3"/>
  <c r="F699" i="3"/>
  <c r="R699" i="3"/>
  <c r="T699" i="3"/>
  <c r="U699" i="3"/>
  <c r="DA699" i="3" s="1" a="1"/>
  <c r="DA699" i="3" s="1"/>
  <c r="Z699" i="3"/>
  <c r="E700" i="3"/>
  <c r="F700" i="3"/>
  <c r="R700" i="3"/>
  <c r="T700" i="3"/>
  <c r="U700" i="3"/>
  <c r="DA700" i="3" s="1" a="1"/>
  <c r="DA700" i="3" s="1"/>
  <c r="Z700" i="3"/>
  <c r="E701" i="3"/>
  <c r="F701" i="3"/>
  <c r="R701" i="3"/>
  <c r="T701" i="3"/>
  <c r="U701" i="3"/>
  <c r="DA701" i="3" s="1" a="1"/>
  <c r="DA701" i="3" s="1"/>
  <c r="Z701" i="3"/>
  <c r="E702" i="3"/>
  <c r="F702" i="3"/>
  <c r="R702" i="3"/>
  <c r="T702" i="3"/>
  <c r="U702" i="3"/>
  <c r="DA702" i="3" s="1" a="1"/>
  <c r="DA702" i="3" s="1"/>
  <c r="Z702" i="3"/>
  <c r="E703" i="3"/>
  <c r="F703" i="3"/>
  <c r="R703" i="3"/>
  <c r="T703" i="3"/>
  <c r="U703" i="3"/>
  <c r="DA703" i="3" s="1" a="1"/>
  <c r="DA703" i="3" s="1"/>
  <c r="Z703" i="3"/>
  <c r="E704" i="3"/>
  <c r="F704" i="3"/>
  <c r="R704" i="3"/>
  <c r="T704" i="3"/>
  <c r="U704" i="3"/>
  <c r="DA704" i="3" s="1" a="1"/>
  <c r="DA704" i="3" s="1"/>
  <c r="Z704" i="3"/>
  <c r="E705" i="3"/>
  <c r="F705" i="3"/>
  <c r="R705" i="3"/>
  <c r="T705" i="3"/>
  <c r="U705" i="3"/>
  <c r="DA705" i="3" s="1" a="1"/>
  <c r="DA705" i="3" s="1"/>
  <c r="Z705" i="3"/>
  <c r="E706" i="3"/>
  <c r="F706" i="3"/>
  <c r="R706" i="3"/>
  <c r="T706" i="3"/>
  <c r="U706" i="3"/>
  <c r="DA706" i="3" s="1" a="1"/>
  <c r="DA706" i="3" s="1"/>
  <c r="Z706" i="3"/>
  <c r="E707" i="3"/>
  <c r="F707" i="3"/>
  <c r="R707" i="3"/>
  <c r="T707" i="3"/>
  <c r="U707" i="3"/>
  <c r="DA707" i="3" s="1" a="1"/>
  <c r="DA707" i="3" s="1"/>
  <c r="Z707" i="3"/>
  <c r="E708" i="3"/>
  <c r="F708" i="3"/>
  <c r="R708" i="3"/>
  <c r="T708" i="3"/>
  <c r="U708" i="3"/>
  <c r="DA708" i="3" s="1" a="1"/>
  <c r="DA708" i="3" s="1"/>
  <c r="Z708" i="3"/>
  <c r="E709" i="3"/>
  <c r="F709" i="3"/>
  <c r="R709" i="3"/>
  <c r="T709" i="3"/>
  <c r="U709" i="3"/>
  <c r="DA709" i="3" s="1" a="1"/>
  <c r="DA709" i="3" s="1"/>
  <c r="Z709" i="3"/>
  <c r="E710" i="3"/>
  <c r="F710" i="3"/>
  <c r="R710" i="3"/>
  <c r="T710" i="3"/>
  <c r="U710" i="3"/>
  <c r="DA710" i="3" s="1" a="1"/>
  <c r="DA710" i="3" s="1"/>
  <c r="Z710" i="3"/>
  <c r="E711" i="3"/>
  <c r="F711" i="3"/>
  <c r="R711" i="3"/>
  <c r="T711" i="3"/>
  <c r="U711" i="3"/>
  <c r="DA711" i="3" s="1" a="1"/>
  <c r="DA711" i="3" s="1"/>
  <c r="Z711" i="3"/>
  <c r="E712" i="3"/>
  <c r="F712" i="3"/>
  <c r="R712" i="3"/>
  <c r="T712" i="3"/>
  <c r="U712" i="3"/>
  <c r="DA712" i="3" s="1" a="1"/>
  <c r="DA712" i="3" s="1"/>
  <c r="Z712" i="3"/>
  <c r="E713" i="3"/>
  <c r="F713" i="3"/>
  <c r="R713" i="3"/>
  <c r="T713" i="3"/>
  <c r="U713" i="3"/>
  <c r="DA713" i="3" s="1" a="1"/>
  <c r="DA713" i="3" s="1"/>
  <c r="Z713" i="3"/>
  <c r="E714" i="3"/>
  <c r="F714" i="3"/>
  <c r="R714" i="3"/>
  <c r="T714" i="3"/>
  <c r="U714" i="3"/>
  <c r="DA714" i="3" s="1" a="1"/>
  <c r="DA714" i="3" s="1"/>
  <c r="Z714" i="3"/>
  <c r="E715" i="3"/>
  <c r="F715" i="3"/>
  <c r="R715" i="3"/>
  <c r="T715" i="3"/>
  <c r="U715" i="3"/>
  <c r="DA715" i="3" s="1" a="1"/>
  <c r="DA715" i="3" s="1"/>
  <c r="Z715" i="3"/>
  <c r="E716" i="3"/>
  <c r="F716" i="3"/>
  <c r="R716" i="3"/>
  <c r="T716" i="3"/>
  <c r="U716" i="3"/>
  <c r="DA716" i="3" s="1" a="1"/>
  <c r="DA716" i="3" s="1"/>
  <c r="Z716" i="3"/>
  <c r="E717" i="3"/>
  <c r="F717" i="3"/>
  <c r="R717" i="3"/>
  <c r="T717" i="3"/>
  <c r="U717" i="3"/>
  <c r="DA717" i="3" s="1" a="1"/>
  <c r="DA717" i="3" s="1"/>
  <c r="Z717" i="3"/>
  <c r="E718" i="3"/>
  <c r="F718" i="3"/>
  <c r="R718" i="3"/>
  <c r="T718" i="3"/>
  <c r="U718" i="3"/>
  <c r="DA718" i="3" s="1" a="1"/>
  <c r="DA718" i="3" s="1"/>
  <c r="Z718" i="3"/>
  <c r="E719" i="3"/>
  <c r="F719" i="3"/>
  <c r="R719" i="3"/>
  <c r="T719" i="3"/>
  <c r="U719" i="3"/>
  <c r="DA719" i="3" s="1" a="1"/>
  <c r="DA719" i="3" s="1"/>
  <c r="Z719" i="3"/>
  <c r="E720" i="3"/>
  <c r="F720" i="3"/>
  <c r="R720" i="3"/>
  <c r="T720" i="3"/>
  <c r="U720" i="3"/>
  <c r="DA720" i="3" s="1" a="1"/>
  <c r="DA720" i="3" s="1"/>
  <c r="Z720" i="3"/>
  <c r="E721" i="3"/>
  <c r="F721" i="3"/>
  <c r="R721" i="3"/>
  <c r="T721" i="3"/>
  <c r="U721" i="3"/>
  <c r="DA721" i="3" s="1" a="1"/>
  <c r="DA721" i="3" s="1"/>
  <c r="Z721" i="3"/>
  <c r="E722" i="3"/>
  <c r="F722" i="3"/>
  <c r="R722" i="3"/>
  <c r="T722" i="3"/>
  <c r="U722" i="3"/>
  <c r="DA722" i="3" s="1" a="1"/>
  <c r="DA722" i="3" s="1"/>
  <c r="Z722" i="3"/>
  <c r="E723" i="3"/>
  <c r="F723" i="3"/>
  <c r="R723" i="3"/>
  <c r="T723" i="3"/>
  <c r="U723" i="3"/>
  <c r="DA723" i="3" s="1" a="1"/>
  <c r="DA723" i="3" s="1"/>
  <c r="Z723" i="3"/>
  <c r="E724" i="3"/>
  <c r="F724" i="3"/>
  <c r="R724" i="3"/>
  <c r="T724" i="3"/>
  <c r="U724" i="3"/>
  <c r="DA724" i="3" s="1" a="1"/>
  <c r="DA724" i="3" s="1"/>
  <c r="Z724" i="3"/>
  <c r="E725" i="3"/>
  <c r="F725" i="3"/>
  <c r="R725" i="3"/>
  <c r="T725" i="3"/>
  <c r="U725" i="3"/>
  <c r="DA725" i="3" s="1" a="1"/>
  <c r="DA725" i="3" s="1"/>
  <c r="Z725" i="3"/>
  <c r="E726" i="3"/>
  <c r="F726" i="3"/>
  <c r="R726" i="3"/>
  <c r="T726" i="3"/>
  <c r="U726" i="3"/>
  <c r="DA726" i="3" s="1" a="1"/>
  <c r="DA726" i="3" s="1"/>
  <c r="Z726" i="3"/>
  <c r="E727" i="3"/>
  <c r="F727" i="3"/>
  <c r="R727" i="3"/>
  <c r="T727" i="3"/>
  <c r="U727" i="3"/>
  <c r="DA727" i="3" s="1" a="1"/>
  <c r="DA727" i="3" s="1"/>
  <c r="Z727" i="3"/>
  <c r="E728" i="3"/>
  <c r="F728" i="3"/>
  <c r="R728" i="3"/>
  <c r="T728" i="3"/>
  <c r="U728" i="3"/>
  <c r="DA728" i="3" s="1" a="1"/>
  <c r="DA728" i="3" s="1"/>
  <c r="Z728" i="3"/>
  <c r="E729" i="3"/>
  <c r="F729" i="3"/>
  <c r="R729" i="3"/>
  <c r="T729" i="3"/>
  <c r="U729" i="3"/>
  <c r="DA729" i="3" s="1" a="1"/>
  <c r="DA729" i="3" s="1"/>
  <c r="Z729" i="3"/>
  <c r="E730" i="3"/>
  <c r="F730" i="3"/>
  <c r="R730" i="3"/>
  <c r="T730" i="3"/>
  <c r="U730" i="3"/>
  <c r="DA730" i="3" s="1" a="1"/>
  <c r="DA730" i="3" s="1"/>
  <c r="Z730" i="3"/>
  <c r="E731" i="3"/>
  <c r="F731" i="3"/>
  <c r="R731" i="3"/>
  <c r="T731" i="3"/>
  <c r="U731" i="3"/>
  <c r="DA731" i="3" s="1" a="1"/>
  <c r="DA731" i="3" s="1"/>
  <c r="Z731" i="3"/>
  <c r="E732" i="3"/>
  <c r="F732" i="3"/>
  <c r="R732" i="3"/>
  <c r="T732" i="3"/>
  <c r="U732" i="3"/>
  <c r="DA732" i="3" s="1" a="1"/>
  <c r="DA732" i="3" s="1"/>
  <c r="Z732" i="3"/>
  <c r="E733" i="3"/>
  <c r="F733" i="3"/>
  <c r="R733" i="3"/>
  <c r="T733" i="3"/>
  <c r="U733" i="3"/>
  <c r="DA733" i="3" s="1" a="1"/>
  <c r="DA733" i="3" s="1"/>
  <c r="Z733" i="3"/>
  <c r="E734" i="3"/>
  <c r="F734" i="3"/>
  <c r="R734" i="3"/>
  <c r="T734" i="3"/>
  <c r="U734" i="3"/>
  <c r="DA734" i="3" s="1" a="1"/>
  <c r="DA734" i="3" s="1"/>
  <c r="Z734" i="3"/>
  <c r="E735" i="3"/>
  <c r="F735" i="3"/>
  <c r="R735" i="3"/>
  <c r="T735" i="3"/>
  <c r="U735" i="3"/>
  <c r="DA735" i="3" s="1" a="1"/>
  <c r="DA735" i="3" s="1"/>
  <c r="Z735" i="3"/>
  <c r="E736" i="3"/>
  <c r="F736" i="3"/>
  <c r="R736" i="3"/>
  <c r="T736" i="3"/>
  <c r="U736" i="3"/>
  <c r="DA736" i="3" s="1" a="1"/>
  <c r="DA736" i="3" s="1"/>
  <c r="Z736" i="3"/>
  <c r="E737" i="3"/>
  <c r="F737" i="3"/>
  <c r="R737" i="3"/>
  <c r="T737" i="3"/>
  <c r="U737" i="3"/>
  <c r="DA737" i="3" s="1" a="1"/>
  <c r="DA737" i="3" s="1"/>
  <c r="Z737" i="3"/>
  <c r="E738" i="3"/>
  <c r="F738" i="3"/>
  <c r="R738" i="3"/>
  <c r="T738" i="3"/>
  <c r="U738" i="3"/>
  <c r="DA738" i="3" s="1" a="1"/>
  <c r="DA738" i="3" s="1"/>
  <c r="Z738" i="3"/>
  <c r="E739" i="3"/>
  <c r="F739" i="3"/>
  <c r="R739" i="3"/>
  <c r="T739" i="3"/>
  <c r="U739" i="3"/>
  <c r="DA739" i="3" s="1" a="1"/>
  <c r="DA739" i="3" s="1"/>
  <c r="Z739" i="3"/>
  <c r="E740" i="3"/>
  <c r="F740" i="3"/>
  <c r="R740" i="3"/>
  <c r="T740" i="3"/>
  <c r="U740" i="3"/>
  <c r="DA740" i="3" s="1" a="1"/>
  <c r="DA740" i="3" s="1"/>
  <c r="Z740" i="3"/>
  <c r="E741" i="3"/>
  <c r="F741" i="3"/>
  <c r="R741" i="3"/>
  <c r="T741" i="3"/>
  <c r="U741" i="3"/>
  <c r="DA741" i="3" s="1" a="1"/>
  <c r="DA741" i="3" s="1"/>
  <c r="Z741" i="3"/>
  <c r="E742" i="3"/>
  <c r="F742" i="3"/>
  <c r="R742" i="3"/>
  <c r="T742" i="3"/>
  <c r="U742" i="3"/>
  <c r="DA742" i="3" s="1" a="1"/>
  <c r="DA742" i="3" s="1"/>
  <c r="Z742" i="3"/>
  <c r="E743" i="3"/>
  <c r="F743" i="3"/>
  <c r="R743" i="3"/>
  <c r="T743" i="3"/>
  <c r="U743" i="3"/>
  <c r="DA743" i="3" s="1" a="1"/>
  <c r="DA743" i="3" s="1"/>
  <c r="Z743" i="3"/>
  <c r="E744" i="3"/>
  <c r="F744" i="3"/>
  <c r="R744" i="3"/>
  <c r="T744" i="3"/>
  <c r="U744" i="3"/>
  <c r="DA744" i="3" s="1" a="1"/>
  <c r="DA744" i="3" s="1"/>
  <c r="Z744" i="3"/>
  <c r="E745" i="3"/>
  <c r="F745" i="3"/>
  <c r="R745" i="3"/>
  <c r="T745" i="3"/>
  <c r="U745" i="3"/>
  <c r="DA745" i="3" s="1" a="1"/>
  <c r="DA745" i="3" s="1"/>
  <c r="Z745" i="3"/>
  <c r="E746" i="3"/>
  <c r="F746" i="3"/>
  <c r="R746" i="3"/>
  <c r="T746" i="3"/>
  <c r="U746" i="3"/>
  <c r="DA746" i="3" s="1" a="1"/>
  <c r="DA746" i="3" s="1"/>
  <c r="Z746" i="3"/>
  <c r="E747" i="3"/>
  <c r="F747" i="3"/>
  <c r="R747" i="3"/>
  <c r="T747" i="3"/>
  <c r="U747" i="3"/>
  <c r="DA747" i="3" s="1" a="1"/>
  <c r="DA747" i="3" s="1"/>
  <c r="Z747" i="3"/>
  <c r="E748" i="3"/>
  <c r="F748" i="3"/>
  <c r="R748" i="3"/>
  <c r="T748" i="3"/>
  <c r="U748" i="3"/>
  <c r="DA748" i="3" s="1" a="1"/>
  <c r="DA748" i="3" s="1"/>
  <c r="Z748" i="3"/>
  <c r="E749" i="3"/>
  <c r="F749" i="3"/>
  <c r="R749" i="3"/>
  <c r="T749" i="3"/>
  <c r="U749" i="3"/>
  <c r="DA749" i="3" s="1" a="1"/>
  <c r="DA749" i="3" s="1"/>
  <c r="Z749" i="3"/>
  <c r="E750" i="3"/>
  <c r="F750" i="3"/>
  <c r="R750" i="3"/>
  <c r="T750" i="3"/>
  <c r="U750" i="3"/>
  <c r="DA750" i="3" s="1" a="1"/>
  <c r="DA750" i="3" s="1"/>
  <c r="Z750" i="3"/>
  <c r="E751" i="3"/>
  <c r="F751" i="3"/>
  <c r="R751" i="3"/>
  <c r="T751" i="3"/>
  <c r="U751" i="3"/>
  <c r="DA751" i="3" s="1" a="1"/>
  <c r="DA751" i="3" s="1"/>
  <c r="Z751" i="3"/>
  <c r="E752" i="3"/>
  <c r="F752" i="3"/>
  <c r="R752" i="3"/>
  <c r="T752" i="3"/>
  <c r="U752" i="3"/>
  <c r="DA752" i="3" s="1" a="1"/>
  <c r="DA752" i="3" s="1"/>
  <c r="Z752" i="3"/>
  <c r="E753" i="3"/>
  <c r="F753" i="3"/>
  <c r="R753" i="3"/>
  <c r="T753" i="3"/>
  <c r="U753" i="3"/>
  <c r="DA753" i="3" s="1" a="1"/>
  <c r="DA753" i="3" s="1"/>
  <c r="Z753" i="3"/>
  <c r="E754" i="3"/>
  <c r="F754" i="3"/>
  <c r="R754" i="3"/>
  <c r="T754" i="3"/>
  <c r="U754" i="3"/>
  <c r="DA754" i="3" s="1" a="1"/>
  <c r="DA754" i="3" s="1"/>
  <c r="Z754" i="3"/>
  <c r="E755" i="3"/>
  <c r="F755" i="3"/>
  <c r="R755" i="3"/>
  <c r="T755" i="3"/>
  <c r="U755" i="3"/>
  <c r="DA755" i="3" s="1" a="1"/>
  <c r="DA755" i="3" s="1"/>
  <c r="Z755" i="3"/>
  <c r="E756" i="3"/>
  <c r="F756" i="3"/>
  <c r="R756" i="3"/>
  <c r="T756" i="3"/>
  <c r="U756" i="3"/>
  <c r="DA756" i="3" s="1" a="1"/>
  <c r="DA756" i="3" s="1"/>
  <c r="Z756" i="3"/>
  <c r="E757" i="3"/>
  <c r="F757" i="3"/>
  <c r="R757" i="3"/>
  <c r="T757" i="3"/>
  <c r="U757" i="3"/>
  <c r="DA757" i="3" s="1" a="1"/>
  <c r="DA757" i="3" s="1"/>
  <c r="Z757" i="3"/>
  <c r="E758" i="3"/>
  <c r="F758" i="3"/>
  <c r="R758" i="3"/>
  <c r="T758" i="3"/>
  <c r="U758" i="3"/>
  <c r="DA758" i="3" s="1" a="1"/>
  <c r="DA758" i="3" s="1"/>
  <c r="Z758" i="3"/>
  <c r="E759" i="3"/>
  <c r="F759" i="3"/>
  <c r="R759" i="3"/>
  <c r="T759" i="3"/>
  <c r="U759" i="3"/>
  <c r="DA759" i="3" s="1" a="1"/>
  <c r="DA759" i="3" s="1"/>
  <c r="Z759" i="3"/>
  <c r="E760" i="3"/>
  <c r="F760" i="3"/>
  <c r="R760" i="3"/>
  <c r="T760" i="3"/>
  <c r="U760" i="3"/>
  <c r="DA760" i="3" s="1" a="1"/>
  <c r="DA760" i="3" s="1"/>
  <c r="Z760" i="3"/>
  <c r="E761" i="3"/>
  <c r="F761" i="3"/>
  <c r="R761" i="3"/>
  <c r="T761" i="3"/>
  <c r="U761" i="3"/>
  <c r="DA761" i="3" s="1" a="1"/>
  <c r="DA761" i="3" s="1"/>
  <c r="Z761" i="3"/>
  <c r="E762" i="3"/>
  <c r="F762" i="3"/>
  <c r="R762" i="3"/>
  <c r="T762" i="3"/>
  <c r="U762" i="3"/>
  <c r="DA762" i="3" s="1" a="1"/>
  <c r="DA762" i="3" s="1"/>
  <c r="Z762" i="3"/>
  <c r="E763" i="3"/>
  <c r="F763" i="3"/>
  <c r="R763" i="3"/>
  <c r="T763" i="3"/>
  <c r="U763" i="3"/>
  <c r="DA763" i="3" s="1" a="1"/>
  <c r="DA763" i="3" s="1"/>
  <c r="Z763" i="3"/>
  <c r="E764" i="3"/>
  <c r="F764" i="3"/>
  <c r="R764" i="3"/>
  <c r="T764" i="3"/>
  <c r="U764" i="3"/>
  <c r="DA764" i="3" s="1" a="1"/>
  <c r="DA764" i="3" s="1"/>
  <c r="Z764" i="3"/>
  <c r="E765" i="3"/>
  <c r="F765" i="3"/>
  <c r="R765" i="3"/>
  <c r="T765" i="3"/>
  <c r="U765" i="3"/>
  <c r="DA765" i="3" s="1" a="1"/>
  <c r="DA765" i="3" s="1"/>
  <c r="Z765" i="3"/>
  <c r="E766" i="3"/>
  <c r="F766" i="3"/>
  <c r="R766" i="3"/>
  <c r="T766" i="3"/>
  <c r="U766" i="3"/>
  <c r="DA766" i="3" s="1" a="1"/>
  <c r="DA766" i="3" s="1"/>
  <c r="Z766" i="3"/>
  <c r="E767" i="3"/>
  <c r="F767" i="3"/>
  <c r="R767" i="3"/>
  <c r="T767" i="3"/>
  <c r="U767" i="3"/>
  <c r="DA767" i="3" s="1" a="1"/>
  <c r="DA767" i="3" s="1"/>
  <c r="Z767" i="3"/>
  <c r="E768" i="3"/>
  <c r="F768" i="3"/>
  <c r="R768" i="3"/>
  <c r="T768" i="3"/>
  <c r="U768" i="3"/>
  <c r="DA768" i="3" s="1" a="1"/>
  <c r="DA768" i="3" s="1"/>
  <c r="Z768" i="3"/>
  <c r="E769" i="3"/>
  <c r="F769" i="3"/>
  <c r="R769" i="3"/>
  <c r="T769" i="3"/>
  <c r="U769" i="3"/>
  <c r="DA769" i="3" s="1" a="1"/>
  <c r="DA769" i="3" s="1"/>
  <c r="Z769" i="3"/>
  <c r="E770" i="3"/>
  <c r="F770" i="3"/>
  <c r="R770" i="3"/>
  <c r="T770" i="3"/>
  <c r="U770" i="3"/>
  <c r="DA770" i="3" s="1" a="1"/>
  <c r="DA770" i="3" s="1"/>
  <c r="Z770" i="3"/>
  <c r="E771" i="3"/>
  <c r="F771" i="3"/>
  <c r="R771" i="3"/>
  <c r="T771" i="3"/>
  <c r="U771" i="3"/>
  <c r="DA771" i="3" s="1" a="1"/>
  <c r="DA771" i="3" s="1"/>
  <c r="Z771" i="3"/>
  <c r="E772" i="3"/>
  <c r="F772" i="3"/>
  <c r="R772" i="3"/>
  <c r="T772" i="3"/>
  <c r="U772" i="3"/>
  <c r="DA772" i="3" s="1" a="1"/>
  <c r="DA772" i="3" s="1"/>
  <c r="Z772" i="3"/>
  <c r="E773" i="3"/>
  <c r="F773" i="3"/>
  <c r="R773" i="3"/>
  <c r="T773" i="3"/>
  <c r="U773" i="3"/>
  <c r="DA773" i="3" s="1" a="1"/>
  <c r="DA773" i="3" s="1"/>
  <c r="Z773" i="3"/>
  <c r="E774" i="3"/>
  <c r="F774" i="3"/>
  <c r="R774" i="3"/>
  <c r="T774" i="3"/>
  <c r="U774" i="3"/>
  <c r="DA774" i="3" s="1" a="1"/>
  <c r="DA774" i="3" s="1"/>
  <c r="Z774" i="3"/>
  <c r="E775" i="3"/>
  <c r="F775" i="3"/>
  <c r="R775" i="3"/>
  <c r="T775" i="3"/>
  <c r="U775" i="3"/>
  <c r="DA775" i="3" s="1" a="1"/>
  <c r="DA775" i="3" s="1"/>
  <c r="Z775" i="3"/>
  <c r="E776" i="3"/>
  <c r="F776" i="3"/>
  <c r="R776" i="3"/>
  <c r="T776" i="3"/>
  <c r="U776" i="3"/>
  <c r="DA776" i="3" s="1" a="1"/>
  <c r="DA776" i="3" s="1"/>
  <c r="Z776" i="3"/>
  <c r="E777" i="3"/>
  <c r="F777" i="3"/>
  <c r="R777" i="3"/>
  <c r="T777" i="3"/>
  <c r="U777" i="3"/>
  <c r="DA777" i="3" s="1" a="1"/>
  <c r="DA777" i="3" s="1"/>
  <c r="Z777" i="3"/>
  <c r="E778" i="3"/>
  <c r="F778" i="3"/>
  <c r="R778" i="3"/>
  <c r="T778" i="3"/>
  <c r="U778" i="3"/>
  <c r="DA778" i="3" s="1" a="1"/>
  <c r="DA778" i="3" s="1"/>
  <c r="Z778" i="3"/>
  <c r="E779" i="3"/>
  <c r="F779" i="3"/>
  <c r="R779" i="3"/>
  <c r="T779" i="3"/>
  <c r="U779" i="3"/>
  <c r="DA779" i="3" s="1" a="1"/>
  <c r="DA779" i="3" s="1"/>
  <c r="Z779" i="3"/>
  <c r="E780" i="3"/>
  <c r="F780" i="3"/>
  <c r="R780" i="3"/>
  <c r="T780" i="3"/>
  <c r="U780" i="3"/>
  <c r="DA780" i="3" s="1" a="1"/>
  <c r="DA780" i="3" s="1"/>
  <c r="Z780" i="3"/>
  <c r="E781" i="3"/>
  <c r="F781" i="3"/>
  <c r="R781" i="3"/>
  <c r="T781" i="3"/>
  <c r="U781" i="3"/>
  <c r="DA781" i="3" s="1" a="1"/>
  <c r="DA781" i="3" s="1"/>
  <c r="Z781" i="3"/>
  <c r="E782" i="3"/>
  <c r="F782" i="3"/>
  <c r="R782" i="3"/>
  <c r="T782" i="3"/>
  <c r="U782" i="3"/>
  <c r="DA782" i="3" s="1" a="1"/>
  <c r="DA782" i="3" s="1"/>
  <c r="Z782" i="3"/>
  <c r="E783" i="3"/>
  <c r="F783" i="3"/>
  <c r="R783" i="3"/>
  <c r="T783" i="3"/>
  <c r="U783" i="3"/>
  <c r="DA783" i="3" s="1" a="1"/>
  <c r="DA783" i="3" s="1"/>
  <c r="Z783" i="3"/>
  <c r="E784" i="3"/>
  <c r="F784" i="3"/>
  <c r="R784" i="3"/>
  <c r="T784" i="3"/>
  <c r="U784" i="3"/>
  <c r="DA784" i="3" s="1" a="1"/>
  <c r="DA784" i="3" s="1"/>
  <c r="Z784" i="3"/>
  <c r="E785" i="3"/>
  <c r="F785" i="3"/>
  <c r="R785" i="3"/>
  <c r="T785" i="3"/>
  <c r="U785" i="3"/>
  <c r="DA785" i="3" s="1" a="1"/>
  <c r="DA785" i="3" s="1"/>
  <c r="Z785" i="3"/>
  <c r="E786" i="3"/>
  <c r="F786" i="3"/>
  <c r="R786" i="3"/>
  <c r="T786" i="3"/>
  <c r="U786" i="3"/>
  <c r="DA786" i="3" s="1" a="1"/>
  <c r="DA786" i="3" s="1"/>
  <c r="Z786" i="3"/>
  <c r="E787" i="3"/>
  <c r="F787" i="3"/>
  <c r="R787" i="3"/>
  <c r="T787" i="3"/>
  <c r="U787" i="3"/>
  <c r="DA787" i="3" s="1" a="1"/>
  <c r="DA787" i="3" s="1"/>
  <c r="Z787" i="3"/>
  <c r="E788" i="3"/>
  <c r="F788" i="3"/>
  <c r="R788" i="3"/>
  <c r="T788" i="3"/>
  <c r="U788" i="3"/>
  <c r="DA788" i="3" s="1" a="1"/>
  <c r="DA788" i="3" s="1"/>
  <c r="Z788" i="3"/>
  <c r="E789" i="3"/>
  <c r="F789" i="3"/>
  <c r="R789" i="3"/>
  <c r="T789" i="3"/>
  <c r="U789" i="3"/>
  <c r="DA789" i="3" s="1" a="1"/>
  <c r="DA789" i="3" s="1"/>
  <c r="Z789" i="3"/>
  <c r="E790" i="3"/>
  <c r="F790" i="3"/>
  <c r="R790" i="3"/>
  <c r="T790" i="3"/>
  <c r="U790" i="3"/>
  <c r="DA790" i="3" s="1" a="1"/>
  <c r="DA790" i="3" s="1"/>
  <c r="Z790" i="3"/>
  <c r="E791" i="3"/>
  <c r="F791" i="3"/>
  <c r="R791" i="3"/>
  <c r="T791" i="3"/>
  <c r="U791" i="3"/>
  <c r="DA791" i="3" s="1" a="1"/>
  <c r="DA791" i="3" s="1"/>
  <c r="Z791" i="3"/>
  <c r="E792" i="3"/>
  <c r="F792" i="3"/>
  <c r="R792" i="3"/>
  <c r="T792" i="3"/>
  <c r="U792" i="3"/>
  <c r="DA792" i="3" s="1" a="1"/>
  <c r="DA792" i="3" s="1"/>
  <c r="Z792" i="3"/>
  <c r="E793" i="3"/>
  <c r="F793" i="3"/>
  <c r="R793" i="3"/>
  <c r="T793" i="3"/>
  <c r="U793" i="3"/>
  <c r="DA793" i="3" s="1" a="1"/>
  <c r="DA793" i="3" s="1"/>
  <c r="Z793" i="3"/>
  <c r="E794" i="3"/>
  <c r="F794" i="3"/>
  <c r="R794" i="3"/>
  <c r="T794" i="3"/>
  <c r="U794" i="3"/>
  <c r="DA794" i="3" s="1" a="1"/>
  <c r="DA794" i="3" s="1"/>
  <c r="Z794" i="3"/>
  <c r="E795" i="3"/>
  <c r="F795" i="3"/>
  <c r="R795" i="3"/>
  <c r="T795" i="3"/>
  <c r="U795" i="3"/>
  <c r="DA795" i="3" s="1" a="1"/>
  <c r="DA795" i="3" s="1"/>
  <c r="Z795" i="3"/>
  <c r="E796" i="3"/>
  <c r="F796" i="3"/>
  <c r="R796" i="3"/>
  <c r="T796" i="3"/>
  <c r="U796" i="3"/>
  <c r="DA796" i="3" s="1" a="1"/>
  <c r="DA796" i="3" s="1"/>
  <c r="Z796" i="3"/>
  <c r="E797" i="3"/>
  <c r="F797" i="3"/>
  <c r="R797" i="3"/>
  <c r="T797" i="3"/>
  <c r="U797" i="3"/>
  <c r="DA797" i="3" s="1" a="1"/>
  <c r="DA797" i="3" s="1"/>
  <c r="Z797" i="3"/>
  <c r="E798" i="3"/>
  <c r="F798" i="3"/>
  <c r="R798" i="3"/>
  <c r="T798" i="3"/>
  <c r="U798" i="3"/>
  <c r="DA798" i="3" s="1" a="1"/>
  <c r="DA798" i="3" s="1"/>
  <c r="Z798" i="3"/>
  <c r="E799" i="3"/>
  <c r="F799" i="3"/>
  <c r="R799" i="3"/>
  <c r="T799" i="3"/>
  <c r="U799" i="3"/>
  <c r="DA799" i="3" s="1" a="1"/>
  <c r="DA799" i="3" s="1"/>
  <c r="Z799" i="3"/>
  <c r="E800" i="3"/>
  <c r="F800" i="3"/>
  <c r="R800" i="3"/>
  <c r="T800" i="3"/>
  <c r="U800" i="3"/>
  <c r="DA800" i="3" s="1" a="1"/>
  <c r="DA800" i="3" s="1"/>
  <c r="Z800" i="3"/>
  <c r="E801" i="3"/>
  <c r="F801" i="3"/>
  <c r="R801" i="3"/>
  <c r="T801" i="3"/>
  <c r="U801" i="3"/>
  <c r="DA801" i="3" s="1" a="1"/>
  <c r="DA801" i="3" s="1"/>
  <c r="Z801" i="3"/>
  <c r="E802" i="3"/>
  <c r="F802" i="3"/>
  <c r="R802" i="3"/>
  <c r="T802" i="3"/>
  <c r="U802" i="3"/>
  <c r="DA802" i="3" s="1" a="1"/>
  <c r="DA802" i="3" s="1"/>
  <c r="Z802" i="3"/>
  <c r="E803" i="3"/>
  <c r="F803" i="3"/>
  <c r="R803" i="3"/>
  <c r="T803" i="3"/>
  <c r="U803" i="3"/>
  <c r="DA803" i="3" s="1" a="1"/>
  <c r="DA803" i="3" s="1"/>
  <c r="Z803" i="3"/>
  <c r="E804" i="3"/>
  <c r="F804" i="3"/>
  <c r="R804" i="3"/>
  <c r="T804" i="3"/>
  <c r="U804" i="3"/>
  <c r="DA804" i="3" s="1" a="1"/>
  <c r="DA804" i="3" s="1"/>
  <c r="Z804" i="3"/>
  <c r="E805" i="3"/>
  <c r="F805" i="3"/>
  <c r="R805" i="3"/>
  <c r="T805" i="3"/>
  <c r="U805" i="3"/>
  <c r="DA805" i="3" s="1" a="1"/>
  <c r="DA805" i="3" s="1"/>
  <c r="Z805" i="3"/>
  <c r="E806" i="3"/>
  <c r="F806" i="3"/>
  <c r="R806" i="3"/>
  <c r="T806" i="3"/>
  <c r="U806" i="3"/>
  <c r="DA806" i="3" s="1" a="1"/>
  <c r="DA806" i="3" s="1"/>
  <c r="Z806" i="3"/>
  <c r="E807" i="3"/>
  <c r="F807" i="3"/>
  <c r="R807" i="3"/>
  <c r="T807" i="3"/>
  <c r="U807" i="3"/>
  <c r="DA807" i="3" s="1" a="1"/>
  <c r="DA807" i="3" s="1"/>
  <c r="Z807" i="3"/>
  <c r="E808" i="3"/>
  <c r="F808" i="3"/>
  <c r="R808" i="3"/>
  <c r="T808" i="3"/>
  <c r="U808" i="3"/>
  <c r="DA808" i="3" s="1" a="1"/>
  <c r="DA808" i="3" s="1"/>
  <c r="Z808" i="3"/>
  <c r="E809" i="3"/>
  <c r="F809" i="3"/>
  <c r="R809" i="3"/>
  <c r="T809" i="3"/>
  <c r="U809" i="3"/>
  <c r="DA809" i="3" s="1" a="1"/>
  <c r="DA809" i="3" s="1"/>
  <c r="Z809" i="3"/>
  <c r="E810" i="3"/>
  <c r="F810" i="3"/>
  <c r="R810" i="3"/>
  <c r="T810" i="3"/>
  <c r="U810" i="3"/>
  <c r="DA810" i="3" s="1" a="1"/>
  <c r="DA810" i="3" s="1"/>
  <c r="Z810" i="3"/>
  <c r="E811" i="3"/>
  <c r="F811" i="3"/>
  <c r="R811" i="3"/>
  <c r="T811" i="3"/>
  <c r="U811" i="3"/>
  <c r="DA811" i="3" s="1" a="1"/>
  <c r="DA811" i="3" s="1"/>
  <c r="Z811" i="3"/>
  <c r="E812" i="3"/>
  <c r="F812" i="3"/>
  <c r="R812" i="3"/>
  <c r="T812" i="3"/>
  <c r="U812" i="3"/>
  <c r="DA812" i="3" s="1" a="1"/>
  <c r="DA812" i="3" s="1"/>
  <c r="Z812" i="3"/>
  <c r="E813" i="3"/>
  <c r="F813" i="3"/>
  <c r="R813" i="3"/>
  <c r="T813" i="3"/>
  <c r="U813" i="3"/>
  <c r="DA813" i="3" s="1" a="1"/>
  <c r="DA813" i="3" s="1"/>
  <c r="Z813" i="3"/>
  <c r="E814" i="3"/>
  <c r="F814" i="3"/>
  <c r="R814" i="3"/>
  <c r="T814" i="3"/>
  <c r="U814" i="3"/>
  <c r="DA814" i="3" s="1" a="1"/>
  <c r="DA814" i="3" s="1"/>
  <c r="Z814" i="3"/>
  <c r="E815" i="3"/>
  <c r="F815" i="3"/>
  <c r="R815" i="3"/>
  <c r="T815" i="3"/>
  <c r="U815" i="3"/>
  <c r="DA815" i="3" s="1" a="1"/>
  <c r="DA815" i="3" s="1"/>
  <c r="Z815" i="3"/>
  <c r="E816" i="3"/>
  <c r="F816" i="3"/>
  <c r="R816" i="3"/>
  <c r="T816" i="3"/>
  <c r="U816" i="3"/>
  <c r="DA816" i="3" s="1" a="1"/>
  <c r="DA816" i="3" s="1"/>
  <c r="Z816" i="3"/>
  <c r="E817" i="3"/>
  <c r="F817" i="3"/>
  <c r="R817" i="3"/>
  <c r="T817" i="3"/>
  <c r="U817" i="3"/>
  <c r="DA817" i="3" s="1" a="1"/>
  <c r="DA817" i="3" s="1"/>
  <c r="Z817" i="3"/>
  <c r="E818" i="3"/>
  <c r="F818" i="3"/>
  <c r="R818" i="3"/>
  <c r="T818" i="3"/>
  <c r="U818" i="3"/>
  <c r="DA818" i="3" s="1" a="1"/>
  <c r="DA818" i="3" s="1"/>
  <c r="Z818" i="3"/>
  <c r="E819" i="3"/>
  <c r="F819" i="3"/>
  <c r="R819" i="3"/>
  <c r="T819" i="3"/>
  <c r="U819" i="3"/>
  <c r="DA819" i="3" s="1" a="1"/>
  <c r="DA819" i="3" s="1"/>
  <c r="Z819" i="3"/>
  <c r="E820" i="3"/>
  <c r="F820" i="3"/>
  <c r="R820" i="3"/>
  <c r="T820" i="3"/>
  <c r="U820" i="3"/>
  <c r="DA820" i="3" s="1" a="1"/>
  <c r="DA820" i="3" s="1"/>
  <c r="Z820" i="3"/>
  <c r="E821" i="3"/>
  <c r="F821" i="3"/>
  <c r="R821" i="3"/>
  <c r="T821" i="3"/>
  <c r="U821" i="3"/>
  <c r="DA821" i="3" s="1" a="1"/>
  <c r="DA821" i="3" s="1"/>
  <c r="Z821" i="3"/>
  <c r="E822" i="3"/>
  <c r="F822" i="3"/>
  <c r="R822" i="3"/>
  <c r="T822" i="3"/>
  <c r="U822" i="3"/>
  <c r="DA822" i="3" s="1" a="1"/>
  <c r="DA822" i="3" s="1"/>
  <c r="Z822" i="3"/>
  <c r="E823" i="3"/>
  <c r="F823" i="3"/>
  <c r="R823" i="3"/>
  <c r="T823" i="3"/>
  <c r="U823" i="3"/>
  <c r="DA823" i="3" s="1" a="1"/>
  <c r="DA823" i="3" s="1"/>
  <c r="Z823" i="3"/>
  <c r="E824" i="3"/>
  <c r="F824" i="3"/>
  <c r="R824" i="3"/>
  <c r="T824" i="3"/>
  <c r="U824" i="3"/>
  <c r="DA824" i="3" s="1" a="1"/>
  <c r="DA824" i="3" s="1"/>
  <c r="Z824" i="3"/>
  <c r="E825" i="3"/>
  <c r="F825" i="3"/>
  <c r="R825" i="3"/>
  <c r="T825" i="3"/>
  <c r="U825" i="3"/>
  <c r="DA825" i="3" s="1" a="1"/>
  <c r="DA825" i="3" s="1"/>
  <c r="Z825" i="3"/>
  <c r="E826" i="3"/>
  <c r="F826" i="3"/>
  <c r="R826" i="3"/>
  <c r="T826" i="3"/>
  <c r="U826" i="3"/>
  <c r="DA826" i="3" s="1" a="1"/>
  <c r="DA826" i="3" s="1"/>
  <c r="Z826" i="3"/>
  <c r="E827" i="3"/>
  <c r="F827" i="3"/>
  <c r="R827" i="3"/>
  <c r="T827" i="3"/>
  <c r="U827" i="3"/>
  <c r="DA827" i="3" s="1" a="1"/>
  <c r="DA827" i="3" s="1"/>
  <c r="Z827" i="3"/>
  <c r="E828" i="3"/>
  <c r="F828" i="3"/>
  <c r="R828" i="3"/>
  <c r="T828" i="3"/>
  <c r="U828" i="3"/>
  <c r="DA828" i="3" s="1" a="1"/>
  <c r="DA828" i="3" s="1"/>
  <c r="Z828" i="3"/>
  <c r="E829" i="3"/>
  <c r="F829" i="3"/>
  <c r="R829" i="3"/>
  <c r="T829" i="3"/>
  <c r="U829" i="3"/>
  <c r="DA829" i="3" s="1" a="1"/>
  <c r="DA829" i="3" s="1"/>
  <c r="Z829" i="3"/>
  <c r="E830" i="3"/>
  <c r="F830" i="3"/>
  <c r="R830" i="3"/>
  <c r="T830" i="3"/>
  <c r="U830" i="3"/>
  <c r="DA830" i="3" s="1" a="1"/>
  <c r="DA830" i="3" s="1"/>
  <c r="Z830" i="3"/>
  <c r="E831" i="3"/>
  <c r="F831" i="3"/>
  <c r="R831" i="3"/>
  <c r="T831" i="3"/>
  <c r="U831" i="3"/>
  <c r="DA831" i="3" s="1" a="1"/>
  <c r="DA831" i="3" s="1"/>
  <c r="Z831" i="3"/>
  <c r="E832" i="3"/>
  <c r="F832" i="3"/>
  <c r="R832" i="3"/>
  <c r="T832" i="3"/>
  <c r="U832" i="3"/>
  <c r="DA832" i="3" s="1" a="1"/>
  <c r="DA832" i="3" s="1"/>
  <c r="Z832" i="3"/>
  <c r="E833" i="3"/>
  <c r="F833" i="3"/>
  <c r="R833" i="3"/>
  <c r="T833" i="3"/>
  <c r="U833" i="3"/>
  <c r="DA833" i="3" s="1" a="1"/>
  <c r="DA833" i="3" s="1"/>
  <c r="Z833" i="3"/>
  <c r="E834" i="3"/>
  <c r="F834" i="3"/>
  <c r="R834" i="3"/>
  <c r="T834" i="3"/>
  <c r="U834" i="3"/>
  <c r="DA834" i="3" s="1" a="1"/>
  <c r="DA834" i="3" s="1"/>
  <c r="Z834" i="3"/>
  <c r="E835" i="3"/>
  <c r="F835" i="3"/>
  <c r="R835" i="3"/>
  <c r="T835" i="3"/>
  <c r="U835" i="3"/>
  <c r="DA835" i="3" s="1" a="1"/>
  <c r="DA835" i="3" s="1"/>
  <c r="Z835" i="3"/>
  <c r="E836" i="3"/>
  <c r="F836" i="3"/>
  <c r="R836" i="3"/>
  <c r="T836" i="3"/>
  <c r="U836" i="3"/>
  <c r="DA836" i="3" s="1" a="1"/>
  <c r="DA836" i="3" s="1"/>
  <c r="Z836" i="3"/>
  <c r="E837" i="3"/>
  <c r="F837" i="3"/>
  <c r="R837" i="3"/>
  <c r="T837" i="3"/>
  <c r="U837" i="3"/>
  <c r="DA837" i="3" s="1" a="1"/>
  <c r="DA837" i="3" s="1"/>
  <c r="Z837" i="3"/>
  <c r="E838" i="3"/>
  <c r="F838" i="3"/>
  <c r="R838" i="3"/>
  <c r="T838" i="3"/>
  <c r="U838" i="3"/>
  <c r="DA838" i="3" s="1" a="1"/>
  <c r="DA838" i="3" s="1"/>
  <c r="Z838" i="3"/>
  <c r="E839" i="3"/>
  <c r="F839" i="3"/>
  <c r="R839" i="3"/>
  <c r="T839" i="3"/>
  <c r="U839" i="3"/>
  <c r="DA839" i="3" s="1" a="1"/>
  <c r="DA839" i="3" s="1"/>
  <c r="Z839" i="3"/>
  <c r="E840" i="3"/>
  <c r="F840" i="3"/>
  <c r="R840" i="3"/>
  <c r="T840" i="3"/>
  <c r="U840" i="3"/>
  <c r="DA840" i="3" s="1" a="1"/>
  <c r="DA840" i="3" s="1"/>
  <c r="Z840" i="3"/>
  <c r="E841" i="3"/>
  <c r="F841" i="3"/>
  <c r="R841" i="3"/>
  <c r="T841" i="3"/>
  <c r="U841" i="3"/>
  <c r="DA841" i="3" s="1" a="1"/>
  <c r="DA841" i="3" s="1"/>
  <c r="Z841" i="3"/>
  <c r="E842" i="3"/>
  <c r="F842" i="3"/>
  <c r="R842" i="3"/>
  <c r="T842" i="3"/>
  <c r="U842" i="3"/>
  <c r="DA842" i="3" s="1" a="1"/>
  <c r="DA842" i="3" s="1"/>
  <c r="Z842" i="3"/>
  <c r="E843" i="3"/>
  <c r="F843" i="3"/>
  <c r="R843" i="3"/>
  <c r="T843" i="3"/>
  <c r="U843" i="3"/>
  <c r="DA843" i="3" s="1" a="1"/>
  <c r="DA843" i="3" s="1"/>
  <c r="Z843" i="3"/>
  <c r="E844" i="3"/>
  <c r="F844" i="3"/>
  <c r="R844" i="3"/>
  <c r="T844" i="3"/>
  <c r="U844" i="3"/>
  <c r="DA844" i="3" s="1" a="1"/>
  <c r="DA844" i="3" s="1"/>
  <c r="Z844" i="3"/>
  <c r="E845" i="3"/>
  <c r="F845" i="3"/>
  <c r="R845" i="3"/>
  <c r="T845" i="3"/>
  <c r="U845" i="3"/>
  <c r="DA845" i="3" s="1" a="1"/>
  <c r="DA845" i="3" s="1"/>
  <c r="Z845" i="3"/>
  <c r="E846" i="3"/>
  <c r="F846" i="3"/>
  <c r="R846" i="3"/>
  <c r="T846" i="3"/>
  <c r="U846" i="3"/>
  <c r="DA846" i="3" s="1" a="1"/>
  <c r="DA846" i="3" s="1"/>
  <c r="Z846" i="3"/>
  <c r="E847" i="3"/>
  <c r="F847" i="3"/>
  <c r="R847" i="3"/>
  <c r="T847" i="3"/>
  <c r="U847" i="3"/>
  <c r="DA847" i="3" s="1" a="1"/>
  <c r="DA847" i="3" s="1"/>
  <c r="Z847" i="3"/>
  <c r="E848" i="3"/>
  <c r="F848" i="3"/>
  <c r="R848" i="3"/>
  <c r="T848" i="3"/>
  <c r="U848" i="3"/>
  <c r="DA848" i="3" s="1" a="1"/>
  <c r="DA848" i="3" s="1"/>
  <c r="Z848" i="3"/>
  <c r="E849" i="3"/>
  <c r="F849" i="3"/>
  <c r="R849" i="3"/>
  <c r="T849" i="3"/>
  <c r="U849" i="3"/>
  <c r="DA849" i="3" s="1" a="1"/>
  <c r="DA849" i="3" s="1"/>
  <c r="Z849" i="3"/>
  <c r="E850" i="3"/>
  <c r="F850" i="3"/>
  <c r="R850" i="3"/>
  <c r="T850" i="3"/>
  <c r="U850" i="3"/>
  <c r="DA850" i="3" s="1" a="1"/>
  <c r="DA850" i="3" s="1"/>
  <c r="Z850" i="3"/>
  <c r="E851" i="3"/>
  <c r="F851" i="3"/>
  <c r="R851" i="3"/>
  <c r="T851" i="3"/>
  <c r="U851" i="3"/>
  <c r="DA851" i="3" s="1" a="1"/>
  <c r="DA851" i="3" s="1"/>
  <c r="Z851" i="3"/>
  <c r="E852" i="3"/>
  <c r="F852" i="3"/>
  <c r="R852" i="3"/>
  <c r="T852" i="3"/>
  <c r="U852" i="3"/>
  <c r="DA852" i="3" s="1" a="1"/>
  <c r="DA852" i="3" s="1"/>
  <c r="Z852" i="3"/>
  <c r="E853" i="3"/>
  <c r="F853" i="3"/>
  <c r="R853" i="3"/>
  <c r="T853" i="3"/>
  <c r="U853" i="3"/>
  <c r="DA853" i="3" s="1" a="1"/>
  <c r="DA853" i="3" s="1"/>
  <c r="Z853" i="3"/>
  <c r="E854" i="3"/>
  <c r="F854" i="3"/>
  <c r="R854" i="3"/>
  <c r="T854" i="3"/>
  <c r="U854" i="3"/>
  <c r="DA854" i="3" s="1" a="1"/>
  <c r="DA854" i="3" s="1"/>
  <c r="Z854" i="3"/>
  <c r="E855" i="3"/>
  <c r="F855" i="3"/>
  <c r="R855" i="3"/>
  <c r="T855" i="3"/>
  <c r="U855" i="3"/>
  <c r="DA855" i="3" s="1" a="1"/>
  <c r="DA855" i="3" s="1"/>
  <c r="Z855" i="3"/>
  <c r="E856" i="3"/>
  <c r="F856" i="3"/>
  <c r="R856" i="3"/>
  <c r="T856" i="3"/>
  <c r="U856" i="3"/>
  <c r="DA856" i="3" s="1" a="1"/>
  <c r="DA856" i="3" s="1"/>
  <c r="Z856" i="3"/>
  <c r="E857" i="3"/>
  <c r="F857" i="3"/>
  <c r="R857" i="3"/>
  <c r="T857" i="3"/>
  <c r="U857" i="3"/>
  <c r="DA857" i="3" s="1" a="1"/>
  <c r="DA857" i="3" s="1"/>
  <c r="Z857" i="3"/>
  <c r="E858" i="3"/>
  <c r="F858" i="3"/>
  <c r="R858" i="3"/>
  <c r="T858" i="3"/>
  <c r="U858" i="3"/>
  <c r="DA858" i="3" s="1" a="1"/>
  <c r="DA858" i="3" s="1"/>
  <c r="Z858" i="3"/>
  <c r="E859" i="3"/>
  <c r="F859" i="3"/>
  <c r="R859" i="3"/>
  <c r="T859" i="3"/>
  <c r="U859" i="3"/>
  <c r="DA859" i="3" s="1" a="1"/>
  <c r="DA859" i="3" s="1"/>
  <c r="Z859" i="3"/>
  <c r="E860" i="3"/>
  <c r="F860" i="3"/>
  <c r="R860" i="3"/>
  <c r="T860" i="3"/>
  <c r="U860" i="3"/>
  <c r="DA860" i="3" s="1" a="1"/>
  <c r="DA860" i="3" s="1"/>
  <c r="Z860" i="3"/>
  <c r="E861" i="3"/>
  <c r="F861" i="3"/>
  <c r="R861" i="3"/>
  <c r="T861" i="3"/>
  <c r="U861" i="3"/>
  <c r="DA861" i="3" s="1" a="1"/>
  <c r="DA861" i="3" s="1"/>
  <c r="Z861" i="3"/>
  <c r="E862" i="3"/>
  <c r="F862" i="3"/>
  <c r="R862" i="3"/>
  <c r="T862" i="3"/>
  <c r="U862" i="3"/>
  <c r="DA862" i="3" s="1" a="1"/>
  <c r="DA862" i="3" s="1"/>
  <c r="Z862" i="3"/>
  <c r="E863" i="3"/>
  <c r="F863" i="3"/>
  <c r="R863" i="3"/>
  <c r="T863" i="3"/>
  <c r="U863" i="3"/>
  <c r="DA863" i="3" s="1" a="1"/>
  <c r="DA863" i="3" s="1"/>
  <c r="Z863" i="3"/>
  <c r="E864" i="3"/>
  <c r="F864" i="3"/>
  <c r="R864" i="3"/>
  <c r="T864" i="3"/>
  <c r="U864" i="3"/>
  <c r="DA864" i="3" s="1" a="1"/>
  <c r="DA864" i="3" s="1"/>
  <c r="Z864" i="3"/>
  <c r="E865" i="3"/>
  <c r="F865" i="3"/>
  <c r="R865" i="3"/>
  <c r="T865" i="3"/>
  <c r="U865" i="3"/>
  <c r="DA865" i="3" s="1" a="1"/>
  <c r="DA865" i="3" s="1"/>
  <c r="Z865" i="3"/>
  <c r="E866" i="3"/>
  <c r="F866" i="3"/>
  <c r="R866" i="3"/>
  <c r="T866" i="3"/>
  <c r="U866" i="3"/>
  <c r="DA866" i="3" s="1" a="1"/>
  <c r="DA866" i="3" s="1"/>
  <c r="Z866" i="3"/>
  <c r="E867" i="3"/>
  <c r="F867" i="3"/>
  <c r="R867" i="3"/>
  <c r="T867" i="3"/>
  <c r="U867" i="3"/>
  <c r="DA867" i="3" s="1" a="1"/>
  <c r="DA867" i="3" s="1"/>
  <c r="Z867" i="3"/>
  <c r="E868" i="3"/>
  <c r="F868" i="3"/>
  <c r="R868" i="3"/>
  <c r="T868" i="3"/>
  <c r="U868" i="3"/>
  <c r="DA868" i="3" s="1" a="1"/>
  <c r="DA868" i="3" s="1"/>
  <c r="Z868" i="3"/>
  <c r="E869" i="3"/>
  <c r="F869" i="3"/>
  <c r="R869" i="3"/>
  <c r="T869" i="3"/>
  <c r="U869" i="3"/>
  <c r="DA869" i="3" s="1" a="1"/>
  <c r="DA869" i="3" s="1"/>
  <c r="Z869" i="3"/>
  <c r="E870" i="3"/>
  <c r="F870" i="3"/>
  <c r="R870" i="3"/>
  <c r="T870" i="3"/>
  <c r="U870" i="3"/>
  <c r="DA870" i="3" s="1" a="1"/>
  <c r="DA870" i="3" s="1"/>
  <c r="Z870" i="3"/>
  <c r="E871" i="3"/>
  <c r="F871" i="3"/>
  <c r="R871" i="3"/>
  <c r="T871" i="3"/>
  <c r="U871" i="3"/>
  <c r="DA871" i="3" s="1" a="1"/>
  <c r="DA871" i="3" s="1"/>
  <c r="Z871" i="3"/>
  <c r="E872" i="3"/>
  <c r="F872" i="3"/>
  <c r="R872" i="3"/>
  <c r="T872" i="3"/>
  <c r="U872" i="3"/>
  <c r="DA872" i="3" s="1" a="1"/>
  <c r="DA872" i="3" s="1"/>
  <c r="Z872" i="3"/>
  <c r="E873" i="3"/>
  <c r="F873" i="3"/>
  <c r="R873" i="3"/>
  <c r="T873" i="3"/>
  <c r="U873" i="3"/>
  <c r="DA873" i="3" s="1" a="1"/>
  <c r="DA873" i="3" s="1"/>
  <c r="Z873" i="3"/>
  <c r="E874" i="3"/>
  <c r="F874" i="3"/>
  <c r="R874" i="3"/>
  <c r="T874" i="3"/>
  <c r="U874" i="3"/>
  <c r="DA874" i="3" s="1" a="1"/>
  <c r="DA874" i="3" s="1"/>
  <c r="Z874" i="3"/>
  <c r="E875" i="3"/>
  <c r="F875" i="3"/>
  <c r="R875" i="3"/>
  <c r="T875" i="3"/>
  <c r="U875" i="3"/>
  <c r="DA875" i="3" s="1" a="1"/>
  <c r="DA875" i="3" s="1"/>
  <c r="Z875" i="3"/>
  <c r="E876" i="3"/>
  <c r="F876" i="3"/>
  <c r="R876" i="3"/>
  <c r="T876" i="3"/>
  <c r="U876" i="3"/>
  <c r="DA876" i="3" s="1" a="1"/>
  <c r="DA876" i="3" s="1"/>
  <c r="Z876" i="3"/>
  <c r="E877" i="3"/>
  <c r="F877" i="3"/>
  <c r="R877" i="3"/>
  <c r="T877" i="3"/>
  <c r="U877" i="3"/>
  <c r="DA877" i="3" s="1" a="1"/>
  <c r="DA877" i="3" s="1"/>
  <c r="Z877" i="3"/>
  <c r="E878" i="3"/>
  <c r="F878" i="3"/>
  <c r="R878" i="3"/>
  <c r="T878" i="3"/>
  <c r="U878" i="3"/>
  <c r="DA878" i="3" s="1" a="1"/>
  <c r="DA878" i="3" s="1"/>
  <c r="Z878" i="3"/>
  <c r="E879" i="3"/>
  <c r="F879" i="3"/>
  <c r="R879" i="3"/>
  <c r="T879" i="3"/>
  <c r="U879" i="3"/>
  <c r="DA879" i="3" s="1" a="1"/>
  <c r="DA879" i="3" s="1"/>
  <c r="Z879" i="3"/>
  <c r="E880" i="3"/>
  <c r="F880" i="3"/>
  <c r="R880" i="3"/>
  <c r="T880" i="3"/>
  <c r="U880" i="3"/>
  <c r="DA880" i="3" s="1" a="1"/>
  <c r="DA880" i="3" s="1"/>
  <c r="Z880" i="3"/>
  <c r="E881" i="3"/>
  <c r="F881" i="3"/>
  <c r="R881" i="3"/>
  <c r="T881" i="3"/>
  <c r="U881" i="3"/>
  <c r="DA881" i="3" s="1" a="1"/>
  <c r="DA881" i="3" s="1"/>
  <c r="Z881" i="3"/>
  <c r="E882" i="3"/>
  <c r="F882" i="3"/>
  <c r="R882" i="3"/>
  <c r="T882" i="3"/>
  <c r="U882" i="3"/>
  <c r="DA882" i="3" s="1" a="1"/>
  <c r="DA882" i="3" s="1"/>
  <c r="Z882" i="3"/>
  <c r="E883" i="3"/>
  <c r="F883" i="3"/>
  <c r="R883" i="3"/>
  <c r="T883" i="3"/>
  <c r="U883" i="3"/>
  <c r="DA883" i="3" s="1" a="1"/>
  <c r="DA883" i="3" s="1"/>
  <c r="Z883" i="3"/>
  <c r="E884" i="3"/>
  <c r="F884" i="3"/>
  <c r="R884" i="3"/>
  <c r="T884" i="3"/>
  <c r="U884" i="3"/>
  <c r="DA884" i="3" s="1" a="1"/>
  <c r="DA884" i="3" s="1"/>
  <c r="Z884" i="3"/>
  <c r="E885" i="3"/>
  <c r="F885" i="3"/>
  <c r="R885" i="3"/>
  <c r="T885" i="3"/>
  <c r="U885" i="3"/>
  <c r="DA885" i="3" s="1" a="1"/>
  <c r="DA885" i="3" s="1"/>
  <c r="Z885" i="3"/>
  <c r="E886" i="3"/>
  <c r="F886" i="3"/>
  <c r="R886" i="3"/>
  <c r="T886" i="3"/>
  <c r="U886" i="3"/>
  <c r="DA886" i="3" s="1" a="1"/>
  <c r="DA886" i="3" s="1"/>
  <c r="Z886" i="3"/>
  <c r="E887" i="3"/>
  <c r="F887" i="3"/>
  <c r="R887" i="3"/>
  <c r="T887" i="3"/>
  <c r="U887" i="3"/>
  <c r="DA887" i="3" s="1" a="1"/>
  <c r="DA887" i="3" s="1"/>
  <c r="Z887" i="3"/>
  <c r="E888" i="3"/>
  <c r="F888" i="3"/>
  <c r="R888" i="3"/>
  <c r="T888" i="3"/>
  <c r="U888" i="3"/>
  <c r="DA888" i="3" s="1" a="1"/>
  <c r="DA888" i="3" s="1"/>
  <c r="Z888" i="3"/>
  <c r="E889" i="3"/>
  <c r="F889" i="3"/>
  <c r="R889" i="3"/>
  <c r="T889" i="3"/>
  <c r="U889" i="3"/>
  <c r="DA889" i="3" s="1" a="1"/>
  <c r="DA889" i="3" s="1"/>
  <c r="Z889" i="3"/>
  <c r="E890" i="3"/>
  <c r="F890" i="3"/>
  <c r="R890" i="3"/>
  <c r="T890" i="3"/>
  <c r="U890" i="3"/>
  <c r="DA890" i="3" s="1" a="1"/>
  <c r="DA890" i="3" s="1"/>
  <c r="Z890" i="3"/>
  <c r="E891" i="3"/>
  <c r="F891" i="3"/>
  <c r="R891" i="3"/>
  <c r="T891" i="3"/>
  <c r="U891" i="3"/>
  <c r="DA891" i="3" s="1" a="1"/>
  <c r="DA891" i="3" s="1"/>
  <c r="Z891" i="3"/>
  <c r="E892" i="3"/>
  <c r="F892" i="3"/>
  <c r="R892" i="3"/>
  <c r="T892" i="3"/>
  <c r="U892" i="3"/>
  <c r="DA892" i="3" s="1" a="1"/>
  <c r="DA892" i="3" s="1"/>
  <c r="Z892" i="3"/>
  <c r="E893" i="3"/>
  <c r="F893" i="3"/>
  <c r="R893" i="3"/>
  <c r="T893" i="3"/>
  <c r="U893" i="3"/>
  <c r="DA893" i="3" s="1" a="1"/>
  <c r="DA893" i="3" s="1"/>
  <c r="Z893" i="3"/>
  <c r="E894" i="3"/>
  <c r="F894" i="3"/>
  <c r="R894" i="3"/>
  <c r="T894" i="3"/>
  <c r="U894" i="3"/>
  <c r="DA894" i="3" s="1" a="1"/>
  <c r="DA894" i="3" s="1"/>
  <c r="Z894" i="3"/>
  <c r="E895" i="3"/>
  <c r="F895" i="3"/>
  <c r="R895" i="3"/>
  <c r="T895" i="3"/>
  <c r="U895" i="3"/>
  <c r="DA895" i="3" s="1" a="1"/>
  <c r="DA895" i="3" s="1"/>
  <c r="Z895" i="3"/>
  <c r="E896" i="3"/>
  <c r="F896" i="3"/>
  <c r="R896" i="3"/>
  <c r="T896" i="3"/>
  <c r="U896" i="3"/>
  <c r="DA896" i="3" s="1" a="1"/>
  <c r="DA896" i="3" s="1"/>
  <c r="Z896" i="3"/>
  <c r="E897" i="3"/>
  <c r="F897" i="3"/>
  <c r="R897" i="3"/>
  <c r="T897" i="3"/>
  <c r="U897" i="3"/>
  <c r="DA897" i="3" s="1" a="1"/>
  <c r="DA897" i="3" s="1"/>
  <c r="Z897" i="3"/>
  <c r="E898" i="3"/>
  <c r="F898" i="3"/>
  <c r="R898" i="3"/>
  <c r="T898" i="3"/>
  <c r="U898" i="3"/>
  <c r="DA898" i="3" s="1" a="1"/>
  <c r="DA898" i="3" s="1"/>
  <c r="Z898" i="3"/>
  <c r="E899" i="3"/>
  <c r="F899" i="3"/>
  <c r="R899" i="3"/>
  <c r="T899" i="3"/>
  <c r="U899" i="3"/>
  <c r="DA899" i="3" s="1" a="1"/>
  <c r="DA899" i="3" s="1"/>
  <c r="Z899" i="3"/>
  <c r="E900" i="3"/>
  <c r="F900" i="3"/>
  <c r="R900" i="3"/>
  <c r="T900" i="3"/>
  <c r="U900" i="3"/>
  <c r="DA900" i="3" s="1" a="1"/>
  <c r="DA900" i="3" s="1"/>
  <c r="Z900" i="3"/>
  <c r="E901" i="3"/>
  <c r="F901" i="3"/>
  <c r="R901" i="3"/>
  <c r="T901" i="3"/>
  <c r="U901" i="3"/>
  <c r="DA901" i="3" s="1" a="1"/>
  <c r="DA901" i="3" s="1"/>
  <c r="Z901" i="3"/>
  <c r="E902" i="3"/>
  <c r="F902" i="3"/>
  <c r="R902" i="3"/>
  <c r="T902" i="3"/>
  <c r="U902" i="3"/>
  <c r="DA902" i="3" s="1" a="1"/>
  <c r="DA902" i="3" s="1"/>
  <c r="Z902" i="3"/>
  <c r="E903" i="3"/>
  <c r="F903" i="3"/>
  <c r="R903" i="3"/>
  <c r="T903" i="3"/>
  <c r="U903" i="3"/>
  <c r="DA903" i="3" s="1" a="1"/>
  <c r="DA903" i="3" s="1"/>
  <c r="Z903" i="3"/>
  <c r="E904" i="3"/>
  <c r="F904" i="3"/>
  <c r="R904" i="3"/>
  <c r="T904" i="3"/>
  <c r="U904" i="3"/>
  <c r="DA904" i="3" s="1" a="1"/>
  <c r="DA904" i="3" s="1"/>
  <c r="Z904" i="3"/>
  <c r="E905" i="3"/>
  <c r="F905" i="3"/>
  <c r="R905" i="3"/>
  <c r="T905" i="3"/>
  <c r="U905" i="3"/>
  <c r="DA905" i="3" s="1" a="1"/>
  <c r="DA905" i="3" s="1"/>
  <c r="Z905" i="3"/>
  <c r="E906" i="3"/>
  <c r="F906" i="3"/>
  <c r="R906" i="3"/>
  <c r="T906" i="3"/>
  <c r="U906" i="3"/>
  <c r="DA906" i="3" s="1" a="1"/>
  <c r="DA906" i="3" s="1"/>
  <c r="Z906" i="3"/>
  <c r="E907" i="3"/>
  <c r="F907" i="3"/>
  <c r="R907" i="3"/>
  <c r="T907" i="3"/>
  <c r="U907" i="3"/>
  <c r="DA907" i="3" s="1" a="1"/>
  <c r="DA907" i="3" s="1"/>
  <c r="Z907" i="3"/>
  <c r="E908" i="3"/>
  <c r="F908" i="3"/>
  <c r="R908" i="3"/>
  <c r="T908" i="3"/>
  <c r="U908" i="3"/>
  <c r="DA908" i="3" s="1" a="1"/>
  <c r="DA908" i="3" s="1"/>
  <c r="Z908" i="3"/>
  <c r="E909" i="3"/>
  <c r="F909" i="3"/>
  <c r="R909" i="3"/>
  <c r="T909" i="3"/>
  <c r="U909" i="3"/>
  <c r="DA909" i="3" s="1" a="1"/>
  <c r="DA909" i="3" s="1"/>
  <c r="Z909" i="3"/>
  <c r="E910" i="3"/>
  <c r="F910" i="3"/>
  <c r="R910" i="3"/>
  <c r="T910" i="3"/>
  <c r="U910" i="3"/>
  <c r="DA910" i="3" s="1" a="1"/>
  <c r="DA910" i="3" s="1"/>
  <c r="Z910" i="3"/>
  <c r="E911" i="3"/>
  <c r="F911" i="3"/>
  <c r="R911" i="3"/>
  <c r="T911" i="3"/>
  <c r="U911" i="3"/>
  <c r="DA911" i="3" s="1" a="1"/>
  <c r="DA911" i="3" s="1"/>
  <c r="Z911" i="3"/>
  <c r="E912" i="3"/>
  <c r="F912" i="3"/>
  <c r="R912" i="3"/>
  <c r="T912" i="3"/>
  <c r="U912" i="3"/>
  <c r="DA912" i="3" s="1" a="1"/>
  <c r="DA912" i="3" s="1"/>
  <c r="Z912" i="3"/>
  <c r="E913" i="3"/>
  <c r="F913" i="3"/>
  <c r="R913" i="3"/>
  <c r="T913" i="3"/>
  <c r="U913" i="3"/>
  <c r="DA913" i="3" s="1" a="1"/>
  <c r="DA913" i="3" s="1"/>
  <c r="Z913" i="3"/>
  <c r="E914" i="3"/>
  <c r="F914" i="3"/>
  <c r="R914" i="3"/>
  <c r="T914" i="3"/>
  <c r="U914" i="3"/>
  <c r="DA914" i="3" s="1" a="1"/>
  <c r="DA914" i="3" s="1"/>
  <c r="Z914" i="3"/>
  <c r="E915" i="3"/>
  <c r="F915" i="3"/>
  <c r="R915" i="3"/>
  <c r="T915" i="3"/>
  <c r="U915" i="3"/>
  <c r="DA915" i="3" s="1" a="1"/>
  <c r="DA915" i="3" s="1"/>
  <c r="Z915" i="3"/>
  <c r="E916" i="3"/>
  <c r="F916" i="3"/>
  <c r="R916" i="3"/>
  <c r="T916" i="3"/>
  <c r="U916" i="3"/>
  <c r="DA916" i="3" s="1" a="1"/>
  <c r="DA916" i="3" s="1"/>
  <c r="Z916" i="3"/>
  <c r="E917" i="3"/>
  <c r="F917" i="3"/>
  <c r="R917" i="3"/>
  <c r="T917" i="3"/>
  <c r="U917" i="3"/>
  <c r="DA917" i="3" s="1" a="1"/>
  <c r="DA917" i="3" s="1"/>
  <c r="Z917" i="3"/>
  <c r="E918" i="3"/>
  <c r="F918" i="3"/>
  <c r="R918" i="3"/>
  <c r="T918" i="3"/>
  <c r="U918" i="3"/>
  <c r="DA918" i="3" s="1" a="1"/>
  <c r="DA918" i="3" s="1"/>
  <c r="Z918" i="3"/>
  <c r="E919" i="3"/>
  <c r="F919" i="3"/>
  <c r="R919" i="3"/>
  <c r="T919" i="3"/>
  <c r="U919" i="3"/>
  <c r="DA919" i="3" s="1" a="1"/>
  <c r="DA919" i="3" s="1"/>
  <c r="Z919" i="3"/>
  <c r="E920" i="3"/>
  <c r="F920" i="3"/>
  <c r="R920" i="3"/>
  <c r="T920" i="3"/>
  <c r="U920" i="3"/>
  <c r="DA920" i="3" s="1" a="1"/>
  <c r="DA920" i="3" s="1"/>
  <c r="Z920" i="3"/>
  <c r="E921" i="3"/>
  <c r="F921" i="3"/>
  <c r="R921" i="3"/>
  <c r="T921" i="3"/>
  <c r="U921" i="3"/>
  <c r="DA921" i="3" s="1" a="1"/>
  <c r="DA921" i="3" s="1"/>
  <c r="Z921" i="3"/>
  <c r="E922" i="3"/>
  <c r="F922" i="3"/>
  <c r="R922" i="3"/>
  <c r="T922" i="3"/>
  <c r="U922" i="3"/>
  <c r="DA922" i="3" s="1" a="1"/>
  <c r="DA922" i="3" s="1"/>
  <c r="Z922" i="3"/>
  <c r="E923" i="3"/>
  <c r="F923" i="3"/>
  <c r="R923" i="3"/>
  <c r="T923" i="3"/>
  <c r="U923" i="3"/>
  <c r="DA923" i="3" s="1" a="1"/>
  <c r="DA923" i="3" s="1"/>
  <c r="Z923" i="3"/>
  <c r="E924" i="3"/>
  <c r="F924" i="3"/>
  <c r="R924" i="3"/>
  <c r="T924" i="3"/>
  <c r="U924" i="3"/>
  <c r="DA924" i="3" s="1" a="1"/>
  <c r="DA924" i="3" s="1"/>
  <c r="Z924" i="3"/>
  <c r="E925" i="3"/>
  <c r="F925" i="3"/>
  <c r="R925" i="3"/>
  <c r="T925" i="3"/>
  <c r="U925" i="3"/>
  <c r="DA925" i="3" s="1" a="1"/>
  <c r="DA925" i="3" s="1"/>
  <c r="Z925" i="3"/>
  <c r="E926" i="3"/>
  <c r="F926" i="3"/>
  <c r="R926" i="3"/>
  <c r="T926" i="3"/>
  <c r="U926" i="3"/>
  <c r="DA926" i="3" s="1" a="1"/>
  <c r="DA926" i="3" s="1"/>
  <c r="Z926" i="3"/>
  <c r="E927" i="3"/>
  <c r="F927" i="3"/>
  <c r="R927" i="3"/>
  <c r="T927" i="3"/>
  <c r="U927" i="3"/>
  <c r="DA927" i="3" s="1" a="1"/>
  <c r="DA927" i="3" s="1"/>
  <c r="Z927" i="3"/>
  <c r="E928" i="3"/>
  <c r="F928" i="3"/>
  <c r="R928" i="3"/>
  <c r="T928" i="3"/>
  <c r="U928" i="3"/>
  <c r="DA928" i="3" s="1" a="1"/>
  <c r="DA928" i="3" s="1"/>
  <c r="Z928" i="3"/>
  <c r="E929" i="3"/>
  <c r="F929" i="3"/>
  <c r="R929" i="3"/>
  <c r="T929" i="3"/>
  <c r="U929" i="3"/>
  <c r="DA929" i="3" s="1" a="1"/>
  <c r="DA929" i="3" s="1"/>
  <c r="Z929" i="3"/>
  <c r="E930" i="3"/>
  <c r="F930" i="3"/>
  <c r="R930" i="3"/>
  <c r="T930" i="3"/>
  <c r="U930" i="3"/>
  <c r="DA930" i="3" s="1" a="1"/>
  <c r="DA930" i="3" s="1"/>
  <c r="Z930" i="3"/>
  <c r="E931" i="3"/>
  <c r="F931" i="3"/>
  <c r="R931" i="3"/>
  <c r="T931" i="3"/>
  <c r="U931" i="3"/>
  <c r="DA931" i="3" s="1" a="1"/>
  <c r="DA931" i="3" s="1"/>
  <c r="Z931" i="3"/>
  <c r="E932" i="3"/>
  <c r="F932" i="3"/>
  <c r="R932" i="3"/>
  <c r="T932" i="3"/>
  <c r="U932" i="3"/>
  <c r="DA932" i="3" s="1" a="1"/>
  <c r="DA932" i="3" s="1"/>
  <c r="Z932" i="3"/>
  <c r="E933" i="3"/>
  <c r="F933" i="3"/>
  <c r="R933" i="3"/>
  <c r="T933" i="3"/>
  <c r="U933" i="3"/>
  <c r="DA933" i="3" s="1" a="1"/>
  <c r="DA933" i="3" s="1"/>
  <c r="Z933" i="3"/>
  <c r="E934" i="3"/>
  <c r="F934" i="3"/>
  <c r="R934" i="3"/>
  <c r="T934" i="3"/>
  <c r="U934" i="3"/>
  <c r="DA934" i="3" s="1" a="1"/>
  <c r="DA934" i="3" s="1"/>
  <c r="Z934" i="3"/>
  <c r="E935" i="3"/>
  <c r="F935" i="3"/>
  <c r="R935" i="3"/>
  <c r="T935" i="3"/>
  <c r="U935" i="3"/>
  <c r="DA935" i="3" s="1" a="1"/>
  <c r="DA935" i="3" s="1"/>
  <c r="Z935" i="3"/>
  <c r="E936" i="3"/>
  <c r="F936" i="3"/>
  <c r="R936" i="3"/>
  <c r="T936" i="3"/>
  <c r="U936" i="3"/>
  <c r="DA936" i="3" s="1" a="1"/>
  <c r="DA936" i="3" s="1"/>
  <c r="Z936" i="3"/>
  <c r="E937" i="3"/>
  <c r="F937" i="3"/>
  <c r="R937" i="3"/>
  <c r="T937" i="3"/>
  <c r="U937" i="3"/>
  <c r="DA937" i="3" s="1" a="1"/>
  <c r="DA937" i="3" s="1"/>
  <c r="Z937" i="3"/>
  <c r="E938" i="3"/>
  <c r="F938" i="3"/>
  <c r="R938" i="3"/>
  <c r="T938" i="3"/>
  <c r="U938" i="3"/>
  <c r="DA938" i="3" s="1" a="1"/>
  <c r="DA938" i="3" s="1"/>
  <c r="Z938" i="3"/>
  <c r="E939" i="3"/>
  <c r="F939" i="3"/>
  <c r="R939" i="3"/>
  <c r="T939" i="3"/>
  <c r="U939" i="3"/>
  <c r="DA939" i="3" s="1" a="1"/>
  <c r="DA939" i="3" s="1"/>
  <c r="Z939" i="3"/>
  <c r="E940" i="3"/>
  <c r="F940" i="3"/>
  <c r="R940" i="3"/>
  <c r="T940" i="3"/>
  <c r="U940" i="3"/>
  <c r="DA940" i="3" s="1" a="1"/>
  <c r="DA940" i="3" s="1"/>
  <c r="Z940" i="3"/>
  <c r="E941" i="3"/>
  <c r="F941" i="3"/>
  <c r="R941" i="3"/>
  <c r="T941" i="3"/>
  <c r="U941" i="3"/>
  <c r="DA941" i="3" s="1" a="1"/>
  <c r="DA941" i="3" s="1"/>
  <c r="Z941" i="3"/>
  <c r="E942" i="3"/>
  <c r="F942" i="3"/>
  <c r="R942" i="3"/>
  <c r="T942" i="3"/>
  <c r="U942" i="3"/>
  <c r="DA942" i="3" s="1" a="1"/>
  <c r="DA942" i="3" s="1"/>
  <c r="Z942" i="3"/>
  <c r="E943" i="3"/>
  <c r="F943" i="3"/>
  <c r="R943" i="3"/>
  <c r="T943" i="3"/>
  <c r="U943" i="3"/>
  <c r="DA943" i="3" s="1" a="1"/>
  <c r="DA943" i="3" s="1"/>
  <c r="Z943" i="3"/>
  <c r="E944" i="3"/>
  <c r="F944" i="3"/>
  <c r="R944" i="3"/>
  <c r="T944" i="3"/>
  <c r="U944" i="3"/>
  <c r="DA944" i="3" s="1" a="1"/>
  <c r="DA944" i="3" s="1"/>
  <c r="Z944" i="3"/>
  <c r="E945" i="3"/>
  <c r="F945" i="3"/>
  <c r="R945" i="3"/>
  <c r="T945" i="3"/>
  <c r="U945" i="3"/>
  <c r="DA945" i="3" s="1" a="1"/>
  <c r="DA945" i="3" s="1"/>
  <c r="Z945" i="3"/>
  <c r="E946" i="3"/>
  <c r="F946" i="3"/>
  <c r="R946" i="3"/>
  <c r="T946" i="3"/>
  <c r="U946" i="3"/>
  <c r="DA946" i="3" s="1" a="1"/>
  <c r="DA946" i="3" s="1"/>
  <c r="Z946" i="3"/>
  <c r="E947" i="3"/>
  <c r="F947" i="3"/>
  <c r="R947" i="3"/>
  <c r="T947" i="3"/>
  <c r="U947" i="3"/>
  <c r="DA947" i="3" s="1" a="1"/>
  <c r="DA947" i="3" s="1"/>
  <c r="Z947" i="3"/>
  <c r="E948" i="3"/>
  <c r="F948" i="3"/>
  <c r="R948" i="3"/>
  <c r="T948" i="3"/>
  <c r="U948" i="3"/>
  <c r="DA948" i="3" s="1" a="1"/>
  <c r="DA948" i="3" s="1"/>
  <c r="Z948" i="3"/>
  <c r="E949" i="3"/>
  <c r="F949" i="3"/>
  <c r="R949" i="3"/>
  <c r="T949" i="3"/>
  <c r="U949" i="3"/>
  <c r="DA949" i="3" s="1" a="1"/>
  <c r="DA949" i="3" s="1"/>
  <c r="Z949" i="3"/>
  <c r="E950" i="3"/>
  <c r="F950" i="3"/>
  <c r="R950" i="3"/>
  <c r="T950" i="3"/>
  <c r="U950" i="3"/>
  <c r="DA950" i="3" s="1" a="1"/>
  <c r="DA950" i="3" s="1"/>
  <c r="Z950" i="3"/>
  <c r="E951" i="3"/>
  <c r="F951" i="3"/>
  <c r="R951" i="3"/>
  <c r="T951" i="3"/>
  <c r="U951" i="3"/>
  <c r="DA951" i="3" s="1" a="1"/>
  <c r="DA951" i="3" s="1"/>
  <c r="Z951" i="3"/>
  <c r="E952" i="3"/>
  <c r="F952" i="3"/>
  <c r="R952" i="3"/>
  <c r="T952" i="3"/>
  <c r="U952" i="3"/>
  <c r="DA952" i="3" s="1" a="1"/>
  <c r="DA952" i="3" s="1"/>
  <c r="Z952" i="3"/>
  <c r="E953" i="3"/>
  <c r="F953" i="3"/>
  <c r="R953" i="3"/>
  <c r="T953" i="3"/>
  <c r="U953" i="3"/>
  <c r="DA953" i="3" s="1" a="1"/>
  <c r="DA953" i="3" s="1"/>
  <c r="Z953" i="3"/>
  <c r="E954" i="3"/>
  <c r="F954" i="3"/>
  <c r="R954" i="3"/>
  <c r="T954" i="3"/>
  <c r="U954" i="3"/>
  <c r="DA954" i="3" s="1" a="1"/>
  <c r="DA954" i="3" s="1"/>
  <c r="Z954" i="3"/>
  <c r="E955" i="3"/>
  <c r="F955" i="3"/>
  <c r="R955" i="3"/>
  <c r="T955" i="3"/>
  <c r="U955" i="3"/>
  <c r="DA955" i="3" s="1" a="1"/>
  <c r="DA955" i="3" s="1"/>
  <c r="Z955" i="3"/>
  <c r="E956" i="3"/>
  <c r="F956" i="3"/>
  <c r="R956" i="3"/>
  <c r="T956" i="3"/>
  <c r="U956" i="3"/>
  <c r="DA956" i="3" s="1" a="1"/>
  <c r="DA956" i="3" s="1"/>
  <c r="Z956" i="3"/>
  <c r="E957" i="3"/>
  <c r="F957" i="3"/>
  <c r="R957" i="3"/>
  <c r="T957" i="3"/>
  <c r="U957" i="3"/>
  <c r="DA957" i="3" s="1" a="1"/>
  <c r="DA957" i="3" s="1"/>
  <c r="Z957" i="3"/>
  <c r="E958" i="3"/>
  <c r="F958" i="3"/>
  <c r="R958" i="3"/>
  <c r="T958" i="3"/>
  <c r="U958" i="3"/>
  <c r="DA958" i="3" s="1" a="1"/>
  <c r="DA958" i="3" s="1"/>
  <c r="Z958" i="3"/>
  <c r="E959" i="3"/>
  <c r="F959" i="3"/>
  <c r="R959" i="3"/>
  <c r="T959" i="3"/>
  <c r="U959" i="3"/>
  <c r="DA959" i="3" s="1" a="1"/>
  <c r="DA959" i="3" s="1"/>
  <c r="Z959" i="3"/>
  <c r="E960" i="3"/>
  <c r="F960" i="3"/>
  <c r="R960" i="3"/>
  <c r="T960" i="3"/>
  <c r="U960" i="3"/>
  <c r="DA960" i="3" s="1" a="1"/>
  <c r="DA960" i="3" s="1"/>
  <c r="Z960" i="3"/>
  <c r="E961" i="3"/>
  <c r="F961" i="3"/>
  <c r="R961" i="3"/>
  <c r="T961" i="3"/>
  <c r="U961" i="3"/>
  <c r="DA961" i="3" s="1" a="1"/>
  <c r="DA961" i="3" s="1"/>
  <c r="Z961" i="3"/>
  <c r="E962" i="3"/>
  <c r="F962" i="3"/>
  <c r="R962" i="3"/>
  <c r="T962" i="3"/>
  <c r="U962" i="3"/>
  <c r="DA962" i="3" s="1" a="1"/>
  <c r="DA962" i="3" s="1"/>
  <c r="Z962" i="3"/>
  <c r="E963" i="3"/>
  <c r="F963" i="3"/>
  <c r="R963" i="3"/>
  <c r="T963" i="3"/>
  <c r="U963" i="3"/>
  <c r="DA963" i="3" s="1" a="1"/>
  <c r="DA963" i="3" s="1"/>
  <c r="Z963" i="3"/>
  <c r="E964" i="3"/>
  <c r="F964" i="3"/>
  <c r="R964" i="3"/>
  <c r="T964" i="3"/>
  <c r="U964" i="3"/>
  <c r="DA964" i="3" s="1" a="1"/>
  <c r="DA964" i="3" s="1"/>
  <c r="Z964" i="3"/>
  <c r="E965" i="3"/>
  <c r="F965" i="3"/>
  <c r="R965" i="3"/>
  <c r="T965" i="3"/>
  <c r="U965" i="3"/>
  <c r="DA965" i="3" s="1" a="1"/>
  <c r="DA965" i="3" s="1"/>
  <c r="Z965" i="3"/>
  <c r="E966" i="3"/>
  <c r="F966" i="3"/>
  <c r="R966" i="3"/>
  <c r="T966" i="3"/>
  <c r="U966" i="3"/>
  <c r="DA966" i="3" s="1" a="1"/>
  <c r="DA966" i="3" s="1"/>
  <c r="Z966" i="3"/>
  <c r="E967" i="3"/>
  <c r="F967" i="3"/>
  <c r="R967" i="3"/>
  <c r="T967" i="3"/>
  <c r="U967" i="3"/>
  <c r="DA967" i="3" s="1" a="1"/>
  <c r="DA967" i="3" s="1"/>
  <c r="Z967" i="3"/>
  <c r="E968" i="3"/>
  <c r="F968" i="3"/>
  <c r="R968" i="3"/>
  <c r="T968" i="3"/>
  <c r="U968" i="3"/>
  <c r="DA968" i="3" s="1" a="1"/>
  <c r="DA968" i="3" s="1"/>
  <c r="Z968" i="3"/>
  <c r="E969" i="3"/>
  <c r="F969" i="3"/>
  <c r="R969" i="3"/>
  <c r="T969" i="3"/>
  <c r="U969" i="3"/>
  <c r="DA969" i="3" s="1" a="1"/>
  <c r="DA969" i="3" s="1"/>
  <c r="Z969" i="3"/>
  <c r="E970" i="3"/>
  <c r="F970" i="3"/>
  <c r="R970" i="3"/>
  <c r="T970" i="3"/>
  <c r="U970" i="3"/>
  <c r="DA970" i="3" s="1" a="1"/>
  <c r="DA970" i="3" s="1"/>
  <c r="Z970" i="3"/>
  <c r="E971" i="3"/>
  <c r="F971" i="3"/>
  <c r="R971" i="3"/>
  <c r="T971" i="3"/>
  <c r="U971" i="3"/>
  <c r="DA971" i="3" s="1" a="1"/>
  <c r="DA971" i="3" s="1"/>
  <c r="Z971" i="3"/>
  <c r="E972" i="3"/>
  <c r="F972" i="3"/>
  <c r="R972" i="3"/>
  <c r="T972" i="3"/>
  <c r="U972" i="3"/>
  <c r="DA972" i="3" s="1" a="1"/>
  <c r="DA972" i="3" s="1"/>
  <c r="Z972" i="3"/>
  <c r="E973" i="3"/>
  <c r="F973" i="3"/>
  <c r="R973" i="3"/>
  <c r="T973" i="3"/>
  <c r="U973" i="3"/>
  <c r="DA973" i="3" s="1" a="1"/>
  <c r="DA973" i="3" s="1"/>
  <c r="Z973" i="3"/>
  <c r="E974" i="3"/>
  <c r="F974" i="3"/>
  <c r="R974" i="3"/>
  <c r="T974" i="3"/>
  <c r="U974" i="3"/>
  <c r="DA974" i="3" s="1" a="1"/>
  <c r="DA974" i="3" s="1"/>
  <c r="Z974" i="3"/>
  <c r="E975" i="3"/>
  <c r="F975" i="3"/>
  <c r="R975" i="3"/>
  <c r="T975" i="3"/>
  <c r="U975" i="3"/>
  <c r="DA975" i="3" s="1" a="1"/>
  <c r="DA975" i="3" s="1"/>
  <c r="Z975" i="3"/>
  <c r="E976" i="3"/>
  <c r="F976" i="3"/>
  <c r="R976" i="3"/>
  <c r="T976" i="3"/>
  <c r="U976" i="3"/>
  <c r="DA976" i="3" s="1" a="1"/>
  <c r="DA976" i="3" s="1"/>
  <c r="Z976" i="3"/>
  <c r="E977" i="3"/>
  <c r="F977" i="3"/>
  <c r="R977" i="3"/>
  <c r="T977" i="3"/>
  <c r="U977" i="3"/>
  <c r="DA977" i="3" s="1" a="1"/>
  <c r="DA977" i="3" s="1"/>
  <c r="Z977" i="3"/>
  <c r="E978" i="3"/>
  <c r="F978" i="3"/>
  <c r="R978" i="3"/>
  <c r="T978" i="3"/>
  <c r="U978" i="3"/>
  <c r="DA978" i="3" s="1" a="1"/>
  <c r="DA978" i="3" s="1"/>
  <c r="Z978" i="3"/>
  <c r="E979" i="3"/>
  <c r="F979" i="3"/>
  <c r="R979" i="3"/>
  <c r="T979" i="3"/>
  <c r="U979" i="3"/>
  <c r="DA979" i="3" s="1" a="1"/>
  <c r="DA979" i="3" s="1"/>
  <c r="Z979" i="3"/>
  <c r="E980" i="3"/>
  <c r="F980" i="3"/>
  <c r="R980" i="3"/>
  <c r="T980" i="3"/>
  <c r="U980" i="3"/>
  <c r="DA980" i="3" s="1" a="1"/>
  <c r="DA980" i="3" s="1"/>
  <c r="Z980" i="3"/>
  <c r="E981" i="3"/>
  <c r="F981" i="3"/>
  <c r="R981" i="3"/>
  <c r="T981" i="3"/>
  <c r="U981" i="3"/>
  <c r="DA981" i="3" s="1" a="1"/>
  <c r="DA981" i="3" s="1"/>
  <c r="Z981" i="3"/>
  <c r="E982" i="3"/>
  <c r="F982" i="3"/>
  <c r="R982" i="3"/>
  <c r="T982" i="3"/>
  <c r="U982" i="3"/>
  <c r="DA982" i="3" s="1" a="1"/>
  <c r="DA982" i="3" s="1"/>
  <c r="Z982" i="3"/>
  <c r="E983" i="3"/>
  <c r="F983" i="3"/>
  <c r="R983" i="3"/>
  <c r="T983" i="3"/>
  <c r="U983" i="3"/>
  <c r="DA983" i="3" s="1" a="1"/>
  <c r="DA983" i="3" s="1"/>
  <c r="Z983" i="3"/>
  <c r="E984" i="3"/>
  <c r="F984" i="3"/>
  <c r="R984" i="3"/>
  <c r="T984" i="3"/>
  <c r="U984" i="3"/>
  <c r="DA984" i="3" s="1" a="1"/>
  <c r="DA984" i="3" s="1"/>
  <c r="Z984" i="3"/>
  <c r="E985" i="3"/>
  <c r="F985" i="3"/>
  <c r="R985" i="3"/>
  <c r="T985" i="3"/>
  <c r="U985" i="3"/>
  <c r="DA985" i="3" s="1" a="1"/>
  <c r="DA985" i="3" s="1"/>
  <c r="Z985" i="3"/>
  <c r="E986" i="3"/>
  <c r="F986" i="3"/>
  <c r="R986" i="3"/>
  <c r="T986" i="3"/>
  <c r="U986" i="3"/>
  <c r="DA986" i="3" s="1" a="1"/>
  <c r="DA986" i="3" s="1"/>
  <c r="Z986" i="3"/>
  <c r="E987" i="3"/>
  <c r="F987" i="3"/>
  <c r="R987" i="3"/>
  <c r="T987" i="3"/>
  <c r="U987" i="3"/>
  <c r="DA987" i="3" s="1" a="1"/>
  <c r="DA987" i="3" s="1"/>
  <c r="Z987" i="3"/>
  <c r="E988" i="3"/>
  <c r="F988" i="3"/>
  <c r="R988" i="3"/>
  <c r="T988" i="3"/>
  <c r="U988" i="3"/>
  <c r="DA988" i="3" s="1" a="1"/>
  <c r="DA988" i="3" s="1"/>
  <c r="Z988" i="3"/>
  <c r="E989" i="3"/>
  <c r="F989" i="3"/>
  <c r="R989" i="3"/>
  <c r="T989" i="3"/>
  <c r="U989" i="3"/>
  <c r="DA989" i="3" s="1" a="1"/>
  <c r="DA989" i="3" s="1"/>
  <c r="Z989" i="3"/>
  <c r="E990" i="3"/>
  <c r="F990" i="3"/>
  <c r="R990" i="3"/>
  <c r="T990" i="3"/>
  <c r="U990" i="3"/>
  <c r="DA990" i="3" s="1" a="1"/>
  <c r="DA990" i="3" s="1"/>
  <c r="Z990" i="3"/>
  <c r="E991" i="3"/>
  <c r="F991" i="3"/>
  <c r="R991" i="3"/>
  <c r="T991" i="3"/>
  <c r="U991" i="3"/>
  <c r="DA991" i="3" s="1" a="1"/>
  <c r="DA991" i="3" s="1"/>
  <c r="Z991" i="3"/>
  <c r="E992" i="3"/>
  <c r="F992" i="3"/>
  <c r="R992" i="3"/>
  <c r="T992" i="3"/>
  <c r="U992" i="3"/>
  <c r="DA992" i="3" s="1" a="1"/>
  <c r="DA992" i="3" s="1"/>
  <c r="Z992" i="3"/>
  <c r="E993" i="3"/>
  <c r="F993" i="3"/>
  <c r="R993" i="3"/>
  <c r="T993" i="3"/>
  <c r="U993" i="3"/>
  <c r="DA993" i="3" s="1" a="1"/>
  <c r="DA993" i="3" s="1"/>
  <c r="Z993" i="3"/>
  <c r="E994" i="3"/>
  <c r="F994" i="3"/>
  <c r="R994" i="3"/>
  <c r="T994" i="3"/>
  <c r="U994" i="3"/>
  <c r="DA994" i="3" s="1" a="1"/>
  <c r="DA994" i="3" s="1"/>
  <c r="Z994" i="3"/>
  <c r="E995" i="3"/>
  <c r="F995" i="3"/>
  <c r="R995" i="3"/>
  <c r="T995" i="3"/>
  <c r="U995" i="3"/>
  <c r="DA995" i="3" s="1" a="1"/>
  <c r="DA995" i="3" s="1"/>
  <c r="Z995" i="3"/>
  <c r="E996" i="3"/>
  <c r="F996" i="3"/>
  <c r="R996" i="3"/>
  <c r="T996" i="3"/>
  <c r="U996" i="3"/>
  <c r="DA996" i="3" s="1" a="1"/>
  <c r="DA996" i="3" s="1"/>
  <c r="Z996" i="3"/>
  <c r="E997" i="3"/>
  <c r="F997" i="3"/>
  <c r="R997" i="3"/>
  <c r="T997" i="3"/>
  <c r="U997" i="3"/>
  <c r="DA997" i="3" s="1" a="1"/>
  <c r="DA997" i="3" s="1"/>
  <c r="Z997" i="3"/>
  <c r="E998" i="3"/>
  <c r="F998" i="3"/>
  <c r="R998" i="3"/>
  <c r="T998" i="3"/>
  <c r="U998" i="3"/>
  <c r="DA998" i="3" s="1" a="1"/>
  <c r="DA998" i="3" s="1"/>
  <c r="Z998" i="3"/>
  <c r="E999" i="3"/>
  <c r="F999" i="3"/>
  <c r="R999" i="3"/>
  <c r="T999" i="3"/>
  <c r="U999" i="3"/>
  <c r="DA999" i="3" s="1" a="1"/>
  <c r="DA999" i="3" s="1"/>
  <c r="Z999" i="3"/>
  <c r="E1000" i="3"/>
  <c r="F1000" i="3"/>
  <c r="R1000" i="3"/>
  <c r="T1000" i="3"/>
  <c r="U1000" i="3"/>
  <c r="DA1000" i="3" s="1" a="1"/>
  <c r="DA1000" i="3" s="1"/>
  <c r="Z1000" i="3"/>
  <c r="E1001" i="3"/>
  <c r="F1001" i="3"/>
  <c r="R1001" i="3"/>
  <c r="T1001" i="3"/>
  <c r="U1001" i="3"/>
  <c r="DA1001" i="3" s="1" a="1"/>
  <c r="DA1001" i="3" s="1"/>
  <c r="Z1001" i="3"/>
  <c r="E1002" i="3"/>
  <c r="F1002" i="3"/>
  <c r="R1002" i="3"/>
  <c r="T1002" i="3"/>
  <c r="U1002" i="3"/>
  <c r="DA1002" i="3" s="1" a="1"/>
  <c r="DA1002" i="3" s="1"/>
  <c r="Z1002" i="3"/>
  <c r="E1003" i="3"/>
  <c r="F1003" i="3"/>
  <c r="R1003" i="3"/>
  <c r="T1003" i="3"/>
  <c r="U1003" i="3"/>
  <c r="DA1003" i="3" s="1" a="1"/>
  <c r="DA1003" i="3" s="1"/>
  <c r="Z1003" i="3"/>
  <c r="E1004" i="3"/>
  <c r="F1004" i="3"/>
  <c r="DA1004" i="3" a="1"/>
  <c r="DA1004" i="3" s="1"/>
  <c r="Z1004" i="3"/>
  <c r="E253" i="3"/>
  <c r="F15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7" i="3"/>
  <c r="Z128" i="3"/>
  <c r="Z129" i="3"/>
  <c r="Z130" i="3"/>
  <c r="Z132" i="3"/>
  <c r="Z133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9" i="3"/>
  <c r="Z260" i="3"/>
  <c r="Z261" i="3"/>
  <c r="Z262" i="3"/>
  <c r="Z263" i="3"/>
  <c r="Z264" i="3"/>
  <c r="Z265" i="3"/>
  <c r="Z266" i="3"/>
  <c r="Z267" i="3"/>
  <c r="Z268" i="3"/>
  <c r="Z269" i="3"/>
  <c r="Z270" i="3"/>
  <c r="Z272" i="3"/>
  <c r="Z273" i="3"/>
  <c r="Z274" i="3"/>
  <c r="Z275" i="3"/>
  <c r="Z276" i="3"/>
  <c r="Z277" i="3"/>
  <c r="Z278" i="3"/>
  <c r="Z279" i="3"/>
  <c r="Z280" i="3"/>
  <c r="Z281" i="3"/>
  <c r="Z282" i="3"/>
  <c r="Z283" i="3"/>
  <c r="Z285" i="3"/>
  <c r="Z286" i="3"/>
  <c r="Z287" i="3"/>
  <c r="Z288" i="3"/>
  <c r="Z289" i="3"/>
  <c r="Z290" i="3"/>
  <c r="Z291" i="3"/>
  <c r="Z292" i="3"/>
  <c r="Z293" i="3"/>
  <c r="Z294" i="3"/>
  <c r="Z295" i="3"/>
  <c r="Z296" i="3"/>
  <c r="Z297" i="3"/>
  <c r="Z298" i="3"/>
  <c r="Z299" i="3"/>
  <c r="Z301" i="3"/>
  <c r="Z302" i="3"/>
  <c r="Z303" i="3"/>
  <c r="Z304" i="3"/>
  <c r="Z305" i="3"/>
  <c r="Z306" i="3"/>
  <c r="Z307" i="3"/>
  <c r="Z308" i="3"/>
  <c r="Z309" i="3"/>
  <c r="Z310" i="3"/>
  <c r="Z311" i="3"/>
  <c r="Z312" i="3"/>
  <c r="Z313" i="3"/>
  <c r="Z314" i="3"/>
  <c r="Z315" i="3"/>
  <c r="Z316" i="3"/>
  <c r="Z317" i="3"/>
  <c r="Z318" i="3"/>
  <c r="Z319" i="3"/>
  <c r="Z320" i="3"/>
  <c r="Z321" i="3"/>
  <c r="Z322" i="3"/>
  <c r="Z323" i="3"/>
  <c r="Z324" i="3"/>
  <c r="Z325" i="3"/>
  <c r="Z326" i="3"/>
  <c r="Z327" i="3"/>
  <c r="Z328" i="3"/>
  <c r="Z329" i="3"/>
  <c r="Z330" i="3"/>
  <c r="Z331" i="3"/>
  <c r="Z332" i="3"/>
  <c r="Z333" i="3"/>
  <c r="Z334" i="3"/>
  <c r="Z335" i="3"/>
  <c r="Z336" i="3"/>
  <c r="Z337" i="3"/>
  <c r="Z338" i="3"/>
  <c r="Z339" i="3"/>
  <c r="Z340" i="3"/>
  <c r="Z341" i="3"/>
  <c r="Z342" i="3"/>
  <c r="Z343" i="3"/>
  <c r="Z344" i="3"/>
  <c r="Z345" i="3"/>
  <c r="Z346" i="3"/>
  <c r="Z347" i="3"/>
  <c r="Z348" i="3"/>
  <c r="Z349" i="3"/>
  <c r="Z350" i="3"/>
  <c r="Z351" i="3"/>
  <c r="Z352" i="3"/>
  <c r="Z353" i="3"/>
  <c r="Z354" i="3"/>
  <c r="Z355" i="3"/>
  <c r="Z356" i="3"/>
  <c r="Z357" i="3"/>
  <c r="Z358" i="3"/>
  <c r="Z359" i="3"/>
  <c r="Z360" i="3"/>
  <c r="Z361" i="3"/>
  <c r="Z362" i="3"/>
  <c r="Z363" i="3"/>
  <c r="Z364" i="3"/>
  <c r="Z365" i="3"/>
  <c r="Z366" i="3"/>
  <c r="Z367" i="3"/>
  <c r="Z368" i="3"/>
  <c r="Z369" i="3"/>
  <c r="Z370" i="3"/>
  <c r="Z371" i="3"/>
  <c r="Z372" i="3"/>
  <c r="Z373" i="3"/>
  <c r="Z374" i="3"/>
  <c r="Z375" i="3"/>
  <c r="Z376" i="3"/>
  <c r="Z377" i="3"/>
  <c r="Z378" i="3"/>
  <c r="Z379" i="3"/>
  <c r="Z380" i="3"/>
  <c r="Z381" i="3"/>
  <c r="Z382" i="3"/>
  <c r="Z383" i="3"/>
  <c r="Z384" i="3"/>
  <c r="Z385" i="3"/>
  <c r="Z386" i="3"/>
  <c r="Z387" i="3"/>
  <c r="Z388" i="3"/>
  <c r="Z389" i="3"/>
  <c r="Z390" i="3"/>
  <c r="Z391" i="3"/>
  <c r="Z392" i="3"/>
  <c r="Z393" i="3"/>
  <c r="Z394" i="3"/>
  <c r="Z395" i="3"/>
  <c r="Z396" i="3"/>
  <c r="Z397" i="3"/>
  <c r="Z398" i="3"/>
  <c r="Z399" i="3"/>
  <c r="Z400" i="3"/>
  <c r="Z401" i="3"/>
  <c r="Z402" i="3"/>
  <c r="Z403" i="3"/>
  <c r="Z404" i="3"/>
  <c r="Z405" i="3"/>
  <c r="Z406" i="3"/>
  <c r="Z407" i="3"/>
  <c r="Z408" i="3"/>
  <c r="Z409" i="3"/>
  <c r="Z410" i="3"/>
  <c r="Z411" i="3"/>
  <c r="Z412" i="3"/>
  <c r="Z413" i="3"/>
  <c r="Z414" i="3"/>
  <c r="Z415" i="3"/>
  <c r="Z416" i="3"/>
  <c r="Z417" i="3"/>
  <c r="Z418" i="3"/>
  <c r="Z419" i="3"/>
  <c r="Z420" i="3"/>
  <c r="Z421" i="3"/>
  <c r="Z422" i="3"/>
  <c r="Z423" i="3"/>
  <c r="Z424" i="3"/>
  <c r="Z425" i="3"/>
  <c r="Z426" i="3"/>
  <c r="Z427" i="3"/>
  <c r="Z428" i="3"/>
  <c r="Z429" i="3"/>
  <c r="Z430" i="3"/>
  <c r="Z431" i="3"/>
  <c r="Z432" i="3"/>
  <c r="Z433" i="3"/>
  <c r="Z434" i="3"/>
  <c r="Z435" i="3"/>
  <c r="Z436" i="3"/>
  <c r="Z437" i="3"/>
  <c r="Z438" i="3"/>
  <c r="Z439" i="3"/>
  <c r="Z440" i="3"/>
  <c r="Z441" i="3"/>
  <c r="Z442" i="3"/>
  <c r="Z443" i="3"/>
  <c r="Z444" i="3"/>
  <c r="Z445" i="3"/>
  <c r="Z446" i="3"/>
  <c r="Z447" i="3"/>
  <c r="Z448" i="3"/>
  <c r="Z449" i="3"/>
  <c r="Z450" i="3"/>
  <c r="Z451" i="3"/>
  <c r="Z452" i="3"/>
  <c r="Z453" i="3"/>
  <c r="Z454" i="3"/>
  <c r="Z455" i="3"/>
  <c r="Z456" i="3"/>
  <c r="Z457" i="3"/>
  <c r="Z458" i="3"/>
  <c r="Z459" i="3"/>
  <c r="Z460" i="3"/>
  <c r="Z461" i="3"/>
  <c r="Z462" i="3"/>
  <c r="Z463" i="3"/>
  <c r="Z464" i="3"/>
  <c r="Z465" i="3"/>
  <c r="Z466" i="3"/>
  <c r="Z467" i="3"/>
  <c r="Z468" i="3"/>
  <c r="Z469" i="3"/>
  <c r="Z470" i="3"/>
  <c r="Z471" i="3"/>
  <c r="Z472" i="3"/>
  <c r="Z473" i="3"/>
  <c r="Z474" i="3"/>
  <c r="Z475" i="3"/>
  <c r="Z476" i="3"/>
  <c r="Z477" i="3"/>
  <c r="Z478" i="3"/>
  <c r="Z479" i="3"/>
  <c r="Z480" i="3"/>
  <c r="Z481" i="3"/>
  <c r="Z482" i="3"/>
  <c r="Z483" i="3"/>
  <c r="Z484" i="3"/>
  <c r="Z485" i="3"/>
  <c r="Z486" i="3"/>
  <c r="Z487" i="3"/>
  <c r="Z488" i="3"/>
  <c r="Z489" i="3"/>
  <c r="Z490" i="3"/>
  <c r="Z491" i="3"/>
  <c r="Z492" i="3"/>
  <c r="Z493" i="3"/>
  <c r="Z494" i="3"/>
  <c r="Z495" i="3"/>
  <c r="Z496" i="3"/>
  <c r="Z497" i="3"/>
  <c r="Z498" i="3"/>
  <c r="Z499" i="3"/>
  <c r="Z500" i="3"/>
  <c r="Z501" i="3"/>
  <c r="Z502" i="3"/>
  <c r="Z503" i="3"/>
  <c r="Z504" i="3"/>
  <c r="Z505" i="3"/>
  <c r="Z506" i="3"/>
  <c r="Z507" i="3"/>
  <c r="Z508" i="3"/>
  <c r="Z509" i="3"/>
  <c r="Z510" i="3"/>
  <c r="Z511" i="3"/>
  <c r="Z512" i="3"/>
  <c r="Z513" i="3"/>
  <c r="Z514" i="3"/>
  <c r="Z515" i="3"/>
  <c r="Z516" i="3"/>
  <c r="Z517" i="3"/>
  <c r="Z518" i="3"/>
  <c r="Z519" i="3"/>
  <c r="Z520" i="3"/>
  <c r="Z521" i="3"/>
  <c r="Z522" i="3"/>
  <c r="Z523" i="3"/>
  <c r="Z524" i="3"/>
  <c r="Z525" i="3"/>
  <c r="Z526" i="3"/>
  <c r="Z527" i="3"/>
  <c r="Z528" i="3"/>
  <c r="Z529" i="3"/>
  <c r="Z530" i="3"/>
  <c r="Z531" i="3"/>
  <c r="Z532" i="3"/>
  <c r="Z533" i="3"/>
  <c r="Z534" i="3"/>
  <c r="Z535" i="3"/>
  <c r="Z536" i="3"/>
  <c r="Z537" i="3"/>
  <c r="Z538" i="3"/>
  <c r="Z539" i="3"/>
  <c r="Z540" i="3"/>
  <c r="Z541" i="3"/>
  <c r="Z542" i="3"/>
  <c r="Z543" i="3"/>
  <c r="Z544" i="3"/>
  <c r="Z545" i="3"/>
  <c r="Z546" i="3"/>
  <c r="Z547" i="3"/>
  <c r="Z548" i="3"/>
  <c r="Z549" i="3"/>
  <c r="Z550" i="3"/>
  <c r="Z551" i="3"/>
  <c r="Z552" i="3"/>
  <c r="Z553" i="3"/>
  <c r="Z554" i="3"/>
  <c r="Z555" i="3"/>
  <c r="Z556" i="3"/>
  <c r="Z557" i="3"/>
  <c r="Z558" i="3"/>
  <c r="Z559" i="3"/>
  <c r="Z560" i="3"/>
  <c r="Z561" i="3"/>
  <c r="Z562" i="3"/>
  <c r="Z563" i="3"/>
  <c r="Z564" i="3"/>
  <c r="Z565" i="3"/>
  <c r="Z566" i="3"/>
  <c r="Z567" i="3"/>
  <c r="Z568" i="3"/>
  <c r="Z569" i="3"/>
  <c r="Z570" i="3"/>
  <c r="Z571" i="3"/>
  <c r="Z572" i="3"/>
  <c r="Z573" i="3"/>
  <c r="Z574" i="3"/>
  <c r="Z575" i="3"/>
  <c r="Z576" i="3"/>
  <c r="Z577" i="3"/>
  <c r="Z578" i="3"/>
  <c r="Z579" i="3"/>
  <c r="Z580" i="3"/>
  <c r="Z581" i="3"/>
  <c r="Z582" i="3"/>
  <c r="Z583" i="3"/>
  <c r="Z584" i="3"/>
  <c r="Z585" i="3"/>
  <c r="Z586" i="3"/>
  <c r="Z587" i="3"/>
  <c r="Z588" i="3"/>
  <c r="Z589" i="3"/>
  <c r="Z590" i="3"/>
  <c r="Z591" i="3"/>
  <c r="Z592" i="3"/>
  <c r="Z593" i="3"/>
  <c r="Z594" i="3"/>
  <c r="Z595" i="3"/>
  <c r="Z596" i="3"/>
  <c r="Z597" i="3"/>
  <c r="Z598" i="3"/>
  <c r="Z599" i="3"/>
  <c r="Z600" i="3"/>
  <c r="Z601" i="3"/>
  <c r="Z602" i="3"/>
  <c r="Z603" i="3"/>
  <c r="Z604" i="3"/>
  <c r="Z605" i="3"/>
  <c r="Z606" i="3"/>
  <c r="Z607" i="3"/>
  <c r="Z608" i="3"/>
  <c r="Z609" i="3"/>
  <c r="Z610" i="3"/>
  <c r="Z611" i="3"/>
  <c r="Z612" i="3"/>
  <c r="Z613" i="3"/>
  <c r="Z614" i="3"/>
  <c r="Z615" i="3"/>
  <c r="Z616" i="3"/>
  <c r="Z617" i="3"/>
  <c r="Z618" i="3"/>
  <c r="Z619" i="3"/>
  <c r="Z620" i="3"/>
  <c r="Z621" i="3"/>
  <c r="Z622" i="3"/>
  <c r="Z623" i="3"/>
  <c r="Z624" i="3"/>
  <c r="Z625" i="3"/>
  <c r="Z626" i="3"/>
  <c r="Z627" i="3"/>
  <c r="Z628" i="3"/>
  <c r="Z629" i="3"/>
  <c r="Z630" i="3"/>
  <c r="Z631" i="3"/>
  <c r="Z632" i="3"/>
  <c r="Z633" i="3"/>
  <c r="Z634" i="3"/>
  <c r="Z635" i="3"/>
  <c r="Z636" i="3"/>
  <c r="Z637" i="3"/>
  <c r="Z638" i="3"/>
  <c r="Z639" i="3"/>
  <c r="Z640" i="3"/>
  <c r="Z641" i="3"/>
  <c r="Z642" i="3"/>
  <c r="Z643" i="3"/>
  <c r="Z644" i="3"/>
  <c r="Z645" i="3"/>
  <c r="Z646" i="3"/>
  <c r="Z647" i="3"/>
  <c r="Z648" i="3"/>
  <c r="Z649" i="3"/>
  <c r="Z650" i="3"/>
  <c r="Z651" i="3"/>
  <c r="Z652" i="3"/>
  <c r="Z653" i="3"/>
  <c r="Z654" i="3"/>
  <c r="Z655" i="3"/>
  <c r="Z656" i="3"/>
  <c r="Z657" i="3"/>
  <c r="Z658" i="3"/>
  <c r="Z659" i="3"/>
  <c r="Z660" i="3"/>
  <c r="Z661" i="3"/>
  <c r="Z662" i="3"/>
  <c r="Z663" i="3"/>
  <c r="Z664" i="3"/>
  <c r="Z665" i="3"/>
  <c r="Z666" i="3"/>
  <c r="Z667" i="3"/>
  <c r="Z668" i="3"/>
  <c r="Z669" i="3"/>
  <c r="Z670" i="3"/>
  <c r="Z671" i="3"/>
  <c r="Z672" i="3"/>
  <c r="Z673" i="3"/>
  <c r="Z674" i="3"/>
  <c r="Z675" i="3"/>
  <c r="Z676" i="3"/>
  <c r="Z677" i="3"/>
  <c r="Z678" i="3"/>
  <c r="Z679" i="3"/>
  <c r="Z680" i="3"/>
  <c r="Z681" i="3"/>
  <c r="Z682" i="3"/>
  <c r="Z683" i="3"/>
  <c r="Z684" i="3"/>
  <c r="Z685" i="3"/>
  <c r="Z686" i="3"/>
  <c r="Z687" i="3"/>
  <c r="Z688" i="3"/>
  <c r="Z689" i="3"/>
  <c r="Z690" i="3"/>
  <c r="Z691" i="3"/>
  <c r="Z692" i="3"/>
  <c r="Z693" i="3"/>
  <c r="Z694" i="3"/>
  <c r="T5" i="3"/>
  <c r="DA5" i="3" a="1"/>
  <c r="DA5" i="3" s="1"/>
  <c r="DA10" i="3" a="1"/>
  <c r="DA10" i="3" s="1"/>
  <c r="DA11" i="3" a="1"/>
  <c r="DA11" i="3" s="1"/>
  <c r="DA12" i="3" a="1"/>
  <c r="DA12" i="3" s="1"/>
  <c r="DA13" i="3" a="1"/>
  <c r="DA13" i="3" s="1"/>
  <c r="DA14" i="3" a="1"/>
  <c r="DA14" i="3" s="1"/>
  <c r="DA15" i="3" a="1"/>
  <c r="DA15" i="3" s="1"/>
  <c r="DA16" i="3" a="1"/>
  <c r="DA16" i="3" s="1"/>
  <c r="DA17" i="3" a="1"/>
  <c r="DA17" i="3" s="1"/>
  <c r="DA18" i="3" a="1"/>
  <c r="DA18" i="3" s="1"/>
  <c r="DA19" i="3" a="1"/>
  <c r="DA19" i="3" s="1"/>
  <c r="DA20" i="3" a="1"/>
  <c r="DA20" i="3" s="1"/>
  <c r="DA21" i="3" a="1"/>
  <c r="DA21" i="3" s="1"/>
  <c r="DA22" i="3" a="1"/>
  <c r="DA22" i="3" s="1"/>
  <c r="DA23" i="3" a="1"/>
  <c r="DA23" i="3" s="1"/>
  <c r="DA24" i="3" a="1"/>
  <c r="DA24" i="3" s="1"/>
  <c r="DA25" i="3" a="1"/>
  <c r="DA25" i="3" s="1"/>
  <c r="DA26" i="3" a="1"/>
  <c r="DA26" i="3" s="1"/>
  <c r="DA27" i="3" a="1"/>
  <c r="DA27" i="3" s="1"/>
  <c r="DA28" i="3" a="1"/>
  <c r="DA28" i="3" s="1"/>
  <c r="DA29" i="3" a="1"/>
  <c r="DA29" i="3" s="1"/>
  <c r="DA30" i="3" a="1"/>
  <c r="DA30" i="3" s="1"/>
  <c r="DA31" i="3" a="1"/>
  <c r="DA31" i="3" s="1"/>
  <c r="DA32" i="3" a="1"/>
  <c r="DA32" i="3" s="1"/>
  <c r="DA33" i="3" a="1"/>
  <c r="DA33" i="3" s="1"/>
  <c r="DA34" i="3" a="1"/>
  <c r="DA34" i="3" s="1"/>
  <c r="DA35" i="3" a="1"/>
  <c r="DA35" i="3" s="1"/>
  <c r="DA36" i="3" a="1"/>
  <c r="DA36" i="3" s="1"/>
  <c r="DA37" i="3" a="1"/>
  <c r="DA37" i="3" s="1"/>
  <c r="DA38" i="3" a="1"/>
  <c r="DA38" i="3" s="1"/>
  <c r="DA39" i="3" a="1"/>
  <c r="DA39" i="3" s="1"/>
  <c r="DA40" i="3" a="1"/>
  <c r="DA40" i="3" s="1"/>
  <c r="DA41" i="3" a="1"/>
  <c r="DA41" i="3" s="1"/>
  <c r="DA42" i="3" a="1"/>
  <c r="DA42" i="3" s="1"/>
  <c r="DA43" i="3" a="1"/>
  <c r="DA43" i="3" s="1"/>
  <c r="DA44" i="3" a="1"/>
  <c r="DA44" i="3" s="1"/>
  <c r="DA45" i="3" a="1"/>
  <c r="DA45" i="3" s="1"/>
  <c r="DA46" i="3" a="1"/>
  <c r="DA46" i="3" s="1"/>
  <c r="DA47" i="3" a="1"/>
  <c r="DA47" i="3" s="1"/>
  <c r="DA48" i="3" a="1"/>
  <c r="DA48" i="3" s="1"/>
  <c r="DA49" i="3" a="1"/>
  <c r="DA49" i="3" s="1"/>
  <c r="DA50" i="3" a="1"/>
  <c r="DA50" i="3" s="1"/>
  <c r="DA51" i="3" a="1"/>
  <c r="DA51" i="3" s="1"/>
  <c r="DA52" i="3" a="1"/>
  <c r="DA52" i="3" s="1"/>
  <c r="DA53" i="3" a="1"/>
  <c r="DA53" i="3" s="1"/>
  <c r="DA54" i="3" a="1"/>
  <c r="DA54" i="3" s="1"/>
  <c r="DA55" i="3" a="1"/>
  <c r="DA55" i="3" s="1"/>
  <c r="DA56" i="3" a="1"/>
  <c r="DA56" i="3" s="1"/>
  <c r="DA57" i="3" a="1"/>
  <c r="DA57" i="3" s="1"/>
  <c r="DA58" i="3" a="1"/>
  <c r="DA58" i="3" s="1"/>
  <c r="DA59" i="3" a="1"/>
  <c r="DA59" i="3" s="1"/>
  <c r="DA60" i="3" a="1"/>
  <c r="DA60" i="3" s="1"/>
  <c r="DA61" i="3" a="1"/>
  <c r="DA61" i="3" s="1"/>
  <c r="DA62" i="3" a="1"/>
  <c r="DA62" i="3" s="1"/>
  <c r="DA63" i="3" a="1"/>
  <c r="DA63" i="3" s="1"/>
  <c r="DA64" i="3" a="1"/>
  <c r="DA64" i="3" s="1"/>
  <c r="DA65" i="3" a="1"/>
  <c r="DA65" i="3" s="1"/>
  <c r="DA66" i="3" a="1"/>
  <c r="DA66" i="3" s="1"/>
  <c r="DA67" i="3" a="1"/>
  <c r="DA67" i="3" s="1"/>
  <c r="DA68" i="3" a="1"/>
  <c r="DA68" i="3" s="1"/>
  <c r="DA69" i="3" a="1"/>
  <c r="DA69" i="3" s="1"/>
  <c r="DA70" i="3" a="1"/>
  <c r="DA70" i="3" s="1"/>
  <c r="DA71" i="3" a="1"/>
  <c r="DA71" i="3" s="1"/>
  <c r="DA72" i="3" a="1"/>
  <c r="DA72" i="3" s="1"/>
  <c r="DA73" i="3" a="1"/>
  <c r="DA73" i="3" s="1"/>
  <c r="DA74" i="3" a="1"/>
  <c r="DA74" i="3" s="1"/>
  <c r="DA75" i="3" a="1"/>
  <c r="DA75" i="3" s="1"/>
  <c r="DA76" i="3" a="1"/>
  <c r="DA76" i="3" s="1"/>
  <c r="DA77" i="3" a="1"/>
  <c r="DA77" i="3" s="1"/>
  <c r="DA78" i="3" a="1"/>
  <c r="DA78" i="3" s="1"/>
  <c r="DA79" i="3" a="1"/>
  <c r="DA79" i="3" s="1"/>
  <c r="DA80" i="3" a="1"/>
  <c r="DA80" i="3" s="1"/>
  <c r="DA81" i="3" a="1"/>
  <c r="DA81" i="3" s="1"/>
  <c r="DA82" i="3" a="1"/>
  <c r="DA82" i="3" s="1"/>
  <c r="DA83" i="3" a="1"/>
  <c r="DA83" i="3" s="1"/>
  <c r="DA84" i="3" a="1"/>
  <c r="DA84" i="3" s="1"/>
  <c r="DA85" i="3" a="1"/>
  <c r="DA85" i="3" s="1"/>
  <c r="DA86" i="3" a="1"/>
  <c r="DA86" i="3" s="1"/>
  <c r="DA87" i="3" a="1"/>
  <c r="DA87" i="3" s="1"/>
  <c r="DA88" i="3" a="1"/>
  <c r="DA88" i="3" s="1"/>
  <c r="DA89" i="3" a="1"/>
  <c r="DA89" i="3" s="1"/>
  <c r="DA90" i="3" a="1"/>
  <c r="DA90" i="3" s="1"/>
  <c r="DA91" i="3" a="1"/>
  <c r="DA91" i="3" s="1"/>
  <c r="DA92" i="3" a="1"/>
  <c r="DA92" i="3" s="1"/>
  <c r="DA93" i="3" a="1"/>
  <c r="DA93" i="3" s="1"/>
  <c r="DA94" i="3" a="1"/>
  <c r="DA94" i="3" s="1"/>
  <c r="DA95" i="3" a="1"/>
  <c r="DA95" i="3" s="1"/>
  <c r="DA96" i="3" a="1"/>
  <c r="DA96" i="3" s="1"/>
  <c r="DA97" i="3" a="1"/>
  <c r="DA97" i="3" s="1"/>
  <c r="DA98" i="3" a="1"/>
  <c r="DA98" i="3" s="1"/>
  <c r="DA99" i="3" a="1"/>
  <c r="DA99" i="3" s="1"/>
  <c r="DA100" i="3" a="1"/>
  <c r="DA100" i="3" s="1"/>
  <c r="DA101" i="3" a="1"/>
  <c r="DA101" i="3" s="1"/>
  <c r="DA102" i="3" a="1"/>
  <c r="DA102" i="3" s="1"/>
  <c r="DA103" i="3" a="1"/>
  <c r="DA103" i="3" s="1"/>
  <c r="DA104" i="3" a="1"/>
  <c r="DA104" i="3" s="1"/>
  <c r="DA105" i="3" a="1"/>
  <c r="DA105" i="3" s="1"/>
  <c r="DA106" i="3" a="1"/>
  <c r="DA106" i="3" s="1"/>
  <c r="DA107" i="3" a="1"/>
  <c r="DA107" i="3" s="1"/>
  <c r="DA108" i="3" a="1"/>
  <c r="DA108" i="3" s="1"/>
  <c r="DA109" i="3" a="1"/>
  <c r="DA109" i="3" s="1"/>
  <c r="DA110" i="3" a="1"/>
  <c r="DA110" i="3" s="1"/>
  <c r="DA111" i="3" a="1"/>
  <c r="DA111" i="3" s="1"/>
  <c r="DA112" i="3" a="1"/>
  <c r="DA112" i="3" s="1"/>
  <c r="DA113" i="3" a="1"/>
  <c r="DA113" i="3" s="1"/>
  <c r="DA114" i="3" a="1"/>
  <c r="DA114" i="3" s="1"/>
  <c r="DA115" i="3" a="1"/>
  <c r="DA115" i="3" s="1"/>
  <c r="DA116" i="3" a="1"/>
  <c r="DA116" i="3" s="1"/>
  <c r="DA117" i="3" a="1"/>
  <c r="DA117" i="3" s="1"/>
  <c r="DA118" i="3" a="1"/>
  <c r="DA118" i="3" s="1"/>
  <c r="DA119" i="3" a="1"/>
  <c r="DA119" i="3" s="1"/>
  <c r="DA120" i="3" a="1"/>
  <c r="DA120" i="3" s="1"/>
  <c r="DA121" i="3" a="1"/>
  <c r="DA121" i="3" s="1"/>
  <c r="DA122" i="3" a="1"/>
  <c r="DA122" i="3" s="1"/>
  <c r="DA123" i="3" a="1"/>
  <c r="DA123" i="3" s="1"/>
  <c r="DA124" i="3" a="1"/>
  <c r="DA124" i="3" s="1"/>
  <c r="DA125" i="3" a="1"/>
  <c r="DA125" i="3" s="1"/>
  <c r="DA126" i="3" a="1"/>
  <c r="DA126" i="3" s="1"/>
  <c r="DA127" i="3" a="1"/>
  <c r="DA127" i="3" s="1"/>
  <c r="DA128" i="3" a="1"/>
  <c r="DA128" i="3" s="1"/>
  <c r="DA129" i="3" a="1"/>
  <c r="DA129" i="3" s="1"/>
  <c r="DA130" i="3" a="1"/>
  <c r="DA130" i="3" s="1"/>
  <c r="DA131" i="3" a="1"/>
  <c r="DA131" i="3" s="1"/>
  <c r="DA132" i="3" a="1"/>
  <c r="DA132" i="3" s="1"/>
  <c r="DA133" i="3" a="1"/>
  <c r="DA133" i="3" s="1"/>
  <c r="DA134" i="3" a="1"/>
  <c r="DA134" i="3" s="1"/>
  <c r="DA135" i="3" a="1"/>
  <c r="DA135" i="3" s="1"/>
  <c r="DA136" i="3" a="1"/>
  <c r="DA136" i="3" s="1"/>
  <c r="DA137" i="3" a="1"/>
  <c r="DA137" i="3" s="1"/>
  <c r="DA138" i="3" a="1"/>
  <c r="DA138" i="3" s="1"/>
  <c r="DA139" i="3" a="1"/>
  <c r="DA139" i="3" s="1"/>
  <c r="DA140" i="3" a="1"/>
  <c r="DA140" i="3" s="1"/>
  <c r="DA141" i="3" a="1"/>
  <c r="DA141" i="3" s="1"/>
  <c r="DA142" i="3" a="1"/>
  <c r="DA142" i="3" s="1"/>
  <c r="DA143" i="3" a="1"/>
  <c r="DA143" i="3" s="1"/>
  <c r="DA144" i="3" a="1"/>
  <c r="DA144" i="3" s="1"/>
  <c r="DA145" i="3" a="1"/>
  <c r="DA145" i="3" s="1"/>
  <c r="DA146" i="3" a="1"/>
  <c r="DA146" i="3" s="1"/>
  <c r="DA147" i="3" a="1"/>
  <c r="DA147" i="3" s="1"/>
  <c r="DA148" i="3" a="1"/>
  <c r="DA148" i="3" s="1"/>
  <c r="DA149" i="3" a="1"/>
  <c r="DA149" i="3" s="1"/>
  <c r="DA150" i="3" a="1"/>
  <c r="DA150" i="3" s="1"/>
  <c r="DA151" i="3" a="1"/>
  <c r="DA151" i="3" s="1"/>
  <c r="DA152" i="3" a="1"/>
  <c r="DA152" i="3" s="1"/>
  <c r="DA153" i="3" a="1"/>
  <c r="DA153" i="3" s="1"/>
  <c r="DA154" i="3" a="1"/>
  <c r="DA154" i="3" s="1"/>
  <c r="DA155" i="3" a="1"/>
  <c r="DA155" i="3" s="1"/>
  <c r="DA156" i="3" a="1"/>
  <c r="DA156" i="3" s="1"/>
  <c r="DA157" i="3" a="1"/>
  <c r="DA157" i="3" s="1"/>
  <c r="DA158" i="3" a="1"/>
  <c r="DA158" i="3" s="1"/>
  <c r="DA159" i="3" a="1"/>
  <c r="DA159" i="3" s="1"/>
  <c r="DA160" i="3" a="1"/>
  <c r="DA160" i="3" s="1"/>
  <c r="DA161" i="3" a="1"/>
  <c r="DA161" i="3" s="1"/>
  <c r="DA162" i="3" a="1"/>
  <c r="DA162" i="3" s="1"/>
  <c r="DA163" i="3" a="1"/>
  <c r="DA163" i="3" s="1"/>
  <c r="DA164" i="3" a="1"/>
  <c r="DA164" i="3" s="1"/>
  <c r="DA165" i="3" a="1"/>
  <c r="DA165" i="3" s="1"/>
  <c r="DA166" i="3" a="1"/>
  <c r="DA166" i="3" s="1"/>
  <c r="DA167" i="3" a="1"/>
  <c r="DA167" i="3" s="1"/>
  <c r="DA168" i="3" a="1"/>
  <c r="DA168" i="3" s="1"/>
  <c r="DA169" i="3" a="1"/>
  <c r="DA169" i="3" s="1"/>
  <c r="DA170" i="3" a="1"/>
  <c r="DA170" i="3" s="1"/>
  <c r="DA171" i="3" a="1"/>
  <c r="DA171" i="3" s="1"/>
  <c r="DA172" i="3" a="1"/>
  <c r="DA172" i="3" s="1"/>
  <c r="DA173" i="3" a="1"/>
  <c r="DA173" i="3" s="1"/>
  <c r="DA174" i="3" a="1"/>
  <c r="DA174" i="3" s="1"/>
  <c r="DA175" i="3" a="1"/>
  <c r="DA175" i="3" s="1"/>
  <c r="DA179" i="3" a="1"/>
  <c r="DA179" i="3" s="1"/>
  <c r="DA180" i="3" a="1"/>
  <c r="DA180" i="3" s="1"/>
  <c r="DA181" i="3" a="1"/>
  <c r="DA181" i="3" s="1"/>
  <c r="DA182" i="3" a="1"/>
  <c r="DA182" i="3" s="1"/>
  <c r="DA183" i="3" a="1"/>
  <c r="DA183" i="3" s="1"/>
  <c r="DA184" i="3" a="1"/>
  <c r="DA184" i="3" s="1"/>
  <c r="DA185" i="3" a="1"/>
  <c r="DA185" i="3" s="1"/>
  <c r="DA186" i="3" a="1"/>
  <c r="DA186" i="3" s="1"/>
  <c r="DA187" i="3" a="1"/>
  <c r="DA187" i="3" s="1"/>
  <c r="DA188" i="3" a="1"/>
  <c r="DA188" i="3" s="1"/>
  <c r="DA189" i="3" a="1"/>
  <c r="DA189" i="3" s="1"/>
  <c r="DA190" i="3" a="1"/>
  <c r="DA190" i="3" s="1"/>
  <c r="DA191" i="3" a="1"/>
  <c r="DA191" i="3" s="1"/>
  <c r="DA192" i="3" a="1"/>
  <c r="DA192" i="3" s="1"/>
  <c r="DA193" i="3" a="1"/>
  <c r="DA193" i="3" s="1"/>
  <c r="DA194" i="3" a="1"/>
  <c r="DA194" i="3" s="1"/>
  <c r="DA195" i="3" a="1"/>
  <c r="DA195" i="3" s="1"/>
  <c r="DA196" i="3" a="1"/>
  <c r="DA196" i="3" s="1"/>
  <c r="DA197" i="3" a="1"/>
  <c r="DA197" i="3" s="1"/>
  <c r="DA198" i="3" a="1"/>
  <c r="DA198" i="3" s="1"/>
  <c r="DA199" i="3" a="1"/>
  <c r="DA199" i="3" s="1"/>
  <c r="DA200" i="3" a="1"/>
  <c r="DA200" i="3" s="1"/>
  <c r="DA201" i="3" a="1"/>
  <c r="DA201" i="3" s="1"/>
  <c r="DA202" i="3" a="1"/>
  <c r="DA202" i="3" s="1"/>
  <c r="DA203" i="3" a="1"/>
  <c r="DA203" i="3" s="1"/>
  <c r="DA204" i="3" a="1"/>
  <c r="DA204" i="3" s="1"/>
  <c r="DA205" i="3" a="1"/>
  <c r="DA205" i="3" s="1"/>
  <c r="DA206" i="3" a="1"/>
  <c r="DA206" i="3" s="1"/>
  <c r="DA207" i="3" a="1"/>
  <c r="DA207" i="3" s="1"/>
  <c r="DA208" i="3" a="1"/>
  <c r="DA208" i="3" s="1"/>
  <c r="DA209" i="3" a="1"/>
  <c r="DA209" i="3" s="1"/>
  <c r="DA210" i="3" a="1"/>
  <c r="DA210" i="3" s="1"/>
  <c r="DA211" i="3" a="1"/>
  <c r="DA211" i="3" s="1"/>
  <c r="DA212" i="3" a="1"/>
  <c r="DA212" i="3" s="1"/>
  <c r="DA213" i="3" a="1"/>
  <c r="DA213" i="3" s="1"/>
  <c r="DA214" i="3" a="1"/>
  <c r="DA214" i="3" s="1"/>
  <c r="DA215" i="3" a="1"/>
  <c r="DA215" i="3" s="1"/>
  <c r="DA216" i="3" a="1"/>
  <c r="DA216" i="3" s="1"/>
  <c r="DA217" i="3" a="1"/>
  <c r="DA217" i="3" s="1"/>
  <c r="DA218" i="3" a="1"/>
  <c r="DA218" i="3" s="1"/>
  <c r="DA219" i="3" a="1"/>
  <c r="DA219" i="3" s="1"/>
  <c r="DA220" i="3" a="1"/>
  <c r="DA220" i="3" s="1"/>
  <c r="DA221" i="3" a="1"/>
  <c r="DA221" i="3" s="1"/>
  <c r="DA222" i="3" a="1"/>
  <c r="DA222" i="3" s="1"/>
  <c r="DA223" i="3" a="1"/>
  <c r="DA223" i="3" s="1"/>
  <c r="DA224" i="3" a="1"/>
  <c r="DA224" i="3" s="1"/>
  <c r="DA225" i="3" a="1"/>
  <c r="DA225" i="3" s="1"/>
  <c r="DA226" i="3" a="1"/>
  <c r="DA226" i="3" s="1"/>
  <c r="DA227" i="3" a="1"/>
  <c r="DA227" i="3" s="1"/>
  <c r="DA228" i="3" a="1"/>
  <c r="DA228" i="3" s="1"/>
  <c r="DA229" i="3" a="1"/>
  <c r="DA229" i="3" s="1"/>
  <c r="DA230" i="3" a="1"/>
  <c r="DA230" i="3" s="1"/>
  <c r="DA231" i="3" a="1"/>
  <c r="DA231" i="3" s="1"/>
  <c r="DA232" i="3" a="1"/>
  <c r="DA232" i="3" s="1"/>
  <c r="DA233" i="3" a="1"/>
  <c r="DA233" i="3" s="1"/>
  <c r="DA234" i="3" a="1"/>
  <c r="DA234" i="3" s="1"/>
  <c r="DA235" i="3" a="1"/>
  <c r="DA235" i="3" s="1"/>
  <c r="DA236" i="3" a="1"/>
  <c r="DA236" i="3" s="1"/>
  <c r="DA237" i="3" a="1"/>
  <c r="DA237" i="3" s="1"/>
  <c r="DA238" i="3" a="1"/>
  <c r="DA238" i="3" s="1"/>
  <c r="DA239" i="3" a="1"/>
  <c r="DA239" i="3" s="1"/>
  <c r="DA240" i="3" a="1"/>
  <c r="DA240" i="3" s="1"/>
  <c r="DA241" i="3" a="1"/>
  <c r="DA241" i="3" s="1"/>
  <c r="DA242" i="3" a="1"/>
  <c r="DA242" i="3" s="1"/>
  <c r="DA243" i="3" a="1"/>
  <c r="DA243" i="3" s="1"/>
  <c r="DA244" i="3" a="1"/>
  <c r="DA244" i="3" s="1"/>
  <c r="DA245" i="3" a="1"/>
  <c r="DA245" i="3" s="1"/>
  <c r="DA246" i="3" a="1"/>
  <c r="DA246" i="3" s="1"/>
  <c r="DA247" i="3" a="1"/>
  <c r="DA247" i="3" s="1"/>
  <c r="DA248" i="3" a="1"/>
  <c r="DA248" i="3" s="1"/>
  <c r="DA249" i="3" a="1"/>
  <c r="DA249" i="3" s="1"/>
  <c r="DA250" i="3" a="1"/>
  <c r="DA250" i="3" s="1"/>
  <c r="DA251" i="3" a="1"/>
  <c r="DA251" i="3" s="1"/>
  <c r="DA252" i="3" a="1"/>
  <c r="DA252" i="3" s="1"/>
  <c r="DA253" i="3" a="1"/>
  <c r="DA253" i="3" s="1"/>
  <c r="DA254" i="3" a="1"/>
  <c r="DA254" i="3" s="1"/>
  <c r="DA255" i="3" a="1"/>
  <c r="DA255" i="3" s="1"/>
  <c r="DA256" i="3" a="1"/>
  <c r="DA256" i="3" s="1"/>
  <c r="DA257" i="3" a="1"/>
  <c r="DA257" i="3" s="1"/>
  <c r="DA258" i="3" a="1"/>
  <c r="DA258" i="3" s="1"/>
  <c r="DA259" i="3" a="1"/>
  <c r="DA259" i="3" s="1"/>
  <c r="DA260" i="3" a="1"/>
  <c r="DA260" i="3" s="1"/>
  <c r="DA261" i="3" a="1"/>
  <c r="DA261" i="3" s="1"/>
  <c r="DA262" i="3" a="1"/>
  <c r="DA262" i="3" s="1"/>
  <c r="DA263" i="3" a="1"/>
  <c r="DA263" i="3" s="1"/>
  <c r="DA264" i="3" a="1"/>
  <c r="DA264" i="3" s="1"/>
  <c r="DA265" i="3" a="1"/>
  <c r="DA265" i="3" s="1"/>
  <c r="DA266" i="3" a="1"/>
  <c r="DA266" i="3" s="1"/>
  <c r="DA267" i="3" a="1"/>
  <c r="DA267" i="3" s="1"/>
  <c r="DA268" i="3" a="1"/>
  <c r="DA268" i="3" s="1"/>
  <c r="DA269" i="3" a="1"/>
  <c r="DA269" i="3" s="1"/>
  <c r="DA270" i="3" a="1"/>
  <c r="DA270" i="3" s="1"/>
  <c r="DA271" i="3" a="1"/>
  <c r="DA271" i="3" s="1"/>
  <c r="DA272" i="3" a="1"/>
  <c r="DA272" i="3" s="1"/>
  <c r="DA273" i="3" a="1"/>
  <c r="DA273" i="3" s="1"/>
  <c r="DA274" i="3" a="1"/>
  <c r="DA274" i="3" s="1"/>
  <c r="DA275" i="3" a="1"/>
  <c r="DA275" i="3" s="1"/>
  <c r="DA276" i="3" a="1"/>
  <c r="DA276" i="3" s="1"/>
  <c r="DA277" i="3" a="1"/>
  <c r="DA277" i="3" s="1"/>
  <c r="DA278" i="3" a="1"/>
  <c r="DA278" i="3" s="1"/>
  <c r="DA279" i="3" a="1"/>
  <c r="DA279" i="3" s="1"/>
  <c r="DA280" i="3" a="1"/>
  <c r="DA280" i="3" s="1"/>
  <c r="DA281" i="3" a="1"/>
  <c r="DA281" i="3" s="1"/>
  <c r="U283" i="3"/>
  <c r="DA283" i="3" s="1" a="1"/>
  <c r="DA283" i="3" s="1"/>
  <c r="U284" i="3"/>
  <c r="DA284" i="3" s="1" a="1"/>
  <c r="DA284" i="3" s="1"/>
  <c r="U285" i="3"/>
  <c r="DA285" i="3" s="1" a="1"/>
  <c r="DA285" i="3" s="1"/>
  <c r="U286" i="3"/>
  <c r="DA286" i="3" s="1" a="1"/>
  <c r="DA286" i="3" s="1"/>
  <c r="U287" i="3"/>
  <c r="DA287" i="3" s="1" a="1"/>
  <c r="DA287" i="3" s="1"/>
  <c r="U288" i="3"/>
  <c r="DA288" i="3" s="1" a="1"/>
  <c r="DA288" i="3" s="1"/>
  <c r="U289" i="3"/>
  <c r="DA289" i="3" s="1" a="1"/>
  <c r="DA289" i="3" s="1"/>
  <c r="U290" i="3"/>
  <c r="DA290" i="3" s="1" a="1"/>
  <c r="DA290" i="3" s="1"/>
  <c r="U291" i="3"/>
  <c r="DA291" i="3" s="1" a="1"/>
  <c r="DA291" i="3" s="1"/>
  <c r="U292" i="3"/>
  <c r="DA292" i="3" s="1" a="1"/>
  <c r="DA292" i="3" s="1"/>
  <c r="U293" i="3"/>
  <c r="DA293" i="3" s="1" a="1"/>
  <c r="DA293" i="3" s="1"/>
  <c r="U294" i="3"/>
  <c r="DA294" i="3" s="1" a="1"/>
  <c r="DA294" i="3" s="1"/>
  <c r="U295" i="3"/>
  <c r="DA295" i="3" s="1" a="1"/>
  <c r="DA295" i="3" s="1"/>
  <c r="U296" i="3"/>
  <c r="DA296" i="3" s="1" a="1"/>
  <c r="DA296" i="3" s="1"/>
  <c r="U297" i="3"/>
  <c r="DA297" i="3" s="1" a="1"/>
  <c r="DA297" i="3" s="1"/>
  <c r="U298" i="3"/>
  <c r="DA298" i="3" s="1" a="1"/>
  <c r="DA298" i="3" s="1"/>
  <c r="U299" i="3"/>
  <c r="DA299" i="3" s="1" a="1"/>
  <c r="DA299" i="3" s="1"/>
  <c r="U300" i="3"/>
  <c r="DA300" i="3" s="1" a="1"/>
  <c r="DA300" i="3" s="1"/>
  <c r="U301" i="3"/>
  <c r="DA301" i="3" s="1" a="1"/>
  <c r="DA301" i="3" s="1"/>
  <c r="U302" i="3"/>
  <c r="DA302" i="3" s="1" a="1"/>
  <c r="DA302" i="3" s="1"/>
  <c r="U303" i="3"/>
  <c r="DA303" i="3" s="1" a="1"/>
  <c r="DA303" i="3" s="1"/>
  <c r="U304" i="3"/>
  <c r="DA304" i="3" s="1" a="1"/>
  <c r="DA304" i="3" s="1"/>
  <c r="U305" i="3"/>
  <c r="DA305" i="3" s="1" a="1"/>
  <c r="DA305" i="3" s="1"/>
  <c r="U306" i="3"/>
  <c r="DA306" i="3" s="1" a="1"/>
  <c r="DA306" i="3" s="1"/>
  <c r="U307" i="3"/>
  <c r="DA307" i="3" s="1" a="1"/>
  <c r="DA307" i="3" s="1"/>
  <c r="U308" i="3"/>
  <c r="DA308" i="3" s="1" a="1"/>
  <c r="DA308" i="3" s="1"/>
  <c r="U309" i="3"/>
  <c r="DA309" i="3" s="1" a="1"/>
  <c r="DA309" i="3" s="1"/>
  <c r="U310" i="3"/>
  <c r="DA310" i="3" s="1" a="1"/>
  <c r="DA310" i="3" s="1"/>
  <c r="U311" i="3"/>
  <c r="DA311" i="3" s="1" a="1"/>
  <c r="DA311" i="3" s="1"/>
  <c r="U312" i="3"/>
  <c r="DA312" i="3" s="1" a="1"/>
  <c r="DA312" i="3" s="1"/>
  <c r="U313" i="3"/>
  <c r="DA313" i="3" s="1" a="1"/>
  <c r="DA313" i="3" s="1"/>
  <c r="U314" i="3"/>
  <c r="DA314" i="3" s="1" a="1"/>
  <c r="DA314" i="3" s="1"/>
  <c r="U315" i="3"/>
  <c r="DA315" i="3" s="1" a="1"/>
  <c r="DA315" i="3" s="1"/>
  <c r="U316" i="3"/>
  <c r="DA316" i="3" s="1" a="1"/>
  <c r="DA316" i="3" s="1"/>
  <c r="U317" i="3"/>
  <c r="DA317" i="3" s="1" a="1"/>
  <c r="DA317" i="3" s="1"/>
  <c r="U318" i="3"/>
  <c r="DA318" i="3" s="1" a="1"/>
  <c r="DA318" i="3" s="1"/>
  <c r="U319" i="3"/>
  <c r="DA319" i="3" s="1" a="1"/>
  <c r="DA319" i="3" s="1"/>
  <c r="U320" i="3"/>
  <c r="DA320" i="3" s="1" a="1"/>
  <c r="DA320" i="3" s="1"/>
  <c r="U321" i="3"/>
  <c r="DA321" i="3" s="1" a="1"/>
  <c r="DA321" i="3" s="1"/>
  <c r="U322" i="3"/>
  <c r="DA322" i="3" s="1" a="1"/>
  <c r="DA322" i="3" s="1"/>
  <c r="U323" i="3"/>
  <c r="DA323" i="3" s="1" a="1"/>
  <c r="DA323" i="3" s="1"/>
  <c r="U324" i="3"/>
  <c r="DA324" i="3" s="1" a="1"/>
  <c r="DA324" i="3" s="1"/>
  <c r="U325" i="3"/>
  <c r="DA325" i="3" s="1" a="1"/>
  <c r="DA325" i="3" s="1"/>
  <c r="U326" i="3"/>
  <c r="DA326" i="3" s="1" a="1"/>
  <c r="DA326" i="3" s="1"/>
  <c r="DA327" i="3" a="1"/>
  <c r="DA327" i="3" s="1"/>
  <c r="U328" i="3"/>
  <c r="DA328" i="3" s="1" a="1"/>
  <c r="DA328" i="3" s="1"/>
  <c r="U329" i="3"/>
  <c r="DA329" i="3" s="1" a="1"/>
  <c r="DA329" i="3" s="1"/>
  <c r="U330" i="3"/>
  <c r="DA330" i="3" s="1" a="1"/>
  <c r="DA330" i="3" s="1"/>
  <c r="U331" i="3"/>
  <c r="DA331" i="3" s="1" a="1"/>
  <c r="DA331" i="3" s="1"/>
  <c r="U332" i="3"/>
  <c r="DA332" i="3" s="1" a="1"/>
  <c r="DA332" i="3" s="1"/>
  <c r="U333" i="3"/>
  <c r="DA333" i="3" s="1" a="1"/>
  <c r="DA333" i="3" s="1"/>
  <c r="U334" i="3"/>
  <c r="DA334" i="3" s="1" a="1"/>
  <c r="DA334" i="3" s="1"/>
  <c r="U335" i="3"/>
  <c r="DA335" i="3" s="1" a="1"/>
  <c r="DA335" i="3" s="1"/>
  <c r="U336" i="3"/>
  <c r="DA336" i="3" s="1" a="1"/>
  <c r="DA336" i="3" s="1"/>
  <c r="U337" i="3"/>
  <c r="DA337" i="3" s="1" a="1"/>
  <c r="DA337" i="3" s="1"/>
  <c r="U338" i="3"/>
  <c r="DA338" i="3" s="1" a="1"/>
  <c r="DA338" i="3" s="1"/>
  <c r="U339" i="3"/>
  <c r="DA339" i="3" s="1" a="1"/>
  <c r="DA339" i="3" s="1"/>
  <c r="U340" i="3"/>
  <c r="DA340" i="3" s="1" a="1"/>
  <c r="DA340" i="3" s="1"/>
  <c r="U341" i="3"/>
  <c r="DA341" i="3" s="1" a="1"/>
  <c r="DA341" i="3" s="1"/>
  <c r="U342" i="3"/>
  <c r="DA342" i="3" s="1" a="1"/>
  <c r="DA342" i="3" s="1"/>
  <c r="U343" i="3"/>
  <c r="DA343" i="3" s="1" a="1"/>
  <c r="DA343" i="3" s="1"/>
  <c r="U344" i="3"/>
  <c r="DA344" i="3" s="1" a="1"/>
  <c r="DA344" i="3" s="1"/>
  <c r="U345" i="3"/>
  <c r="DA345" i="3" s="1" a="1"/>
  <c r="DA345" i="3" s="1"/>
  <c r="U346" i="3"/>
  <c r="DA346" i="3" s="1" a="1"/>
  <c r="DA346" i="3" s="1"/>
  <c r="U347" i="3"/>
  <c r="DA347" i="3" s="1" a="1"/>
  <c r="DA347" i="3" s="1"/>
  <c r="U348" i="3"/>
  <c r="DA348" i="3" s="1" a="1"/>
  <c r="DA348" i="3" s="1"/>
  <c r="U349" i="3"/>
  <c r="DA349" i="3" s="1" a="1"/>
  <c r="DA349" i="3" s="1"/>
  <c r="U350" i="3"/>
  <c r="DA350" i="3" s="1" a="1"/>
  <c r="DA350" i="3" s="1"/>
  <c r="U351" i="3"/>
  <c r="DA351" i="3" s="1" a="1"/>
  <c r="DA351" i="3" s="1"/>
  <c r="U352" i="3"/>
  <c r="DA352" i="3" s="1" a="1"/>
  <c r="DA352" i="3" s="1"/>
  <c r="U353" i="3"/>
  <c r="DA353" i="3" s="1" a="1"/>
  <c r="DA353" i="3" s="1"/>
  <c r="U354" i="3"/>
  <c r="DA354" i="3" s="1" a="1"/>
  <c r="DA354" i="3" s="1"/>
  <c r="U355" i="3"/>
  <c r="DA355" i="3" s="1" a="1"/>
  <c r="DA355" i="3" s="1"/>
  <c r="U356" i="3"/>
  <c r="DA356" i="3" s="1" a="1"/>
  <c r="DA356" i="3" s="1"/>
  <c r="U357" i="3"/>
  <c r="DA357" i="3" s="1" a="1"/>
  <c r="DA357" i="3" s="1"/>
  <c r="U358" i="3"/>
  <c r="DA358" i="3" s="1" a="1"/>
  <c r="DA358" i="3" s="1"/>
  <c r="U359" i="3"/>
  <c r="DA359" i="3" s="1" a="1"/>
  <c r="DA359" i="3" s="1"/>
  <c r="U360" i="3"/>
  <c r="DA360" i="3" s="1" a="1"/>
  <c r="DA360" i="3" s="1"/>
  <c r="U361" i="3"/>
  <c r="DA361" i="3" s="1" a="1"/>
  <c r="DA361" i="3" s="1"/>
  <c r="U362" i="3"/>
  <c r="DA362" i="3" s="1" a="1"/>
  <c r="DA362" i="3" s="1"/>
  <c r="U363" i="3"/>
  <c r="DA363" i="3" s="1" a="1"/>
  <c r="DA363" i="3" s="1"/>
  <c r="U364" i="3"/>
  <c r="DA364" i="3" s="1" a="1"/>
  <c r="DA364" i="3" s="1"/>
  <c r="U365" i="3"/>
  <c r="DA365" i="3" s="1" a="1"/>
  <c r="DA365" i="3" s="1"/>
  <c r="U366" i="3"/>
  <c r="DA366" i="3" s="1" a="1"/>
  <c r="DA366" i="3" s="1"/>
  <c r="U367" i="3"/>
  <c r="DA367" i="3" s="1" a="1"/>
  <c r="DA367" i="3" s="1"/>
  <c r="U368" i="3"/>
  <c r="DA368" i="3" s="1" a="1"/>
  <c r="DA368" i="3" s="1"/>
  <c r="U369" i="3"/>
  <c r="DA369" i="3" s="1" a="1"/>
  <c r="DA369" i="3" s="1"/>
  <c r="U370" i="3"/>
  <c r="DA370" i="3" s="1" a="1"/>
  <c r="DA370" i="3" s="1"/>
  <c r="U371" i="3"/>
  <c r="DA371" i="3" s="1" a="1"/>
  <c r="DA371" i="3" s="1"/>
  <c r="U372" i="3"/>
  <c r="DA372" i="3" s="1" a="1"/>
  <c r="DA372" i="3" s="1"/>
  <c r="U373" i="3"/>
  <c r="DA373" i="3" s="1" a="1"/>
  <c r="DA373" i="3" s="1"/>
  <c r="U374" i="3"/>
  <c r="DA374" i="3" s="1" a="1"/>
  <c r="DA374" i="3" s="1"/>
  <c r="U375" i="3"/>
  <c r="DA375" i="3" s="1" a="1"/>
  <c r="DA375" i="3" s="1"/>
  <c r="U376" i="3"/>
  <c r="DA376" i="3" s="1" a="1"/>
  <c r="DA376" i="3" s="1"/>
  <c r="U377" i="3"/>
  <c r="DA377" i="3" s="1" a="1"/>
  <c r="DA377" i="3" s="1"/>
  <c r="U378" i="3"/>
  <c r="DA378" i="3" s="1" a="1"/>
  <c r="DA378" i="3" s="1"/>
  <c r="U379" i="3"/>
  <c r="DA379" i="3" s="1" a="1"/>
  <c r="DA379" i="3" s="1"/>
  <c r="U380" i="3"/>
  <c r="DA380" i="3" s="1" a="1"/>
  <c r="DA380" i="3" s="1"/>
  <c r="U381" i="3"/>
  <c r="DA381" i="3" s="1" a="1"/>
  <c r="DA381" i="3" s="1"/>
  <c r="U382" i="3"/>
  <c r="DA382" i="3" s="1" a="1"/>
  <c r="DA382" i="3" s="1"/>
  <c r="U383" i="3"/>
  <c r="DA383" i="3" s="1" a="1"/>
  <c r="DA383" i="3" s="1"/>
  <c r="U384" i="3"/>
  <c r="DA384" i="3" s="1" a="1"/>
  <c r="DA384" i="3" s="1"/>
  <c r="U385" i="3"/>
  <c r="DA385" i="3" s="1" a="1"/>
  <c r="DA385" i="3" s="1"/>
  <c r="U386" i="3"/>
  <c r="DA386" i="3" s="1" a="1"/>
  <c r="DA386" i="3" s="1"/>
  <c r="U387" i="3"/>
  <c r="DA387" i="3" s="1" a="1"/>
  <c r="DA387" i="3" s="1"/>
  <c r="U388" i="3"/>
  <c r="DA388" i="3" s="1" a="1"/>
  <c r="DA388" i="3" s="1"/>
  <c r="U389" i="3"/>
  <c r="DA389" i="3" s="1" a="1"/>
  <c r="DA389" i="3" s="1"/>
  <c r="U390" i="3"/>
  <c r="DA390" i="3" s="1" a="1"/>
  <c r="DA390" i="3" s="1"/>
  <c r="U391" i="3"/>
  <c r="DA391" i="3" s="1" a="1"/>
  <c r="DA391" i="3" s="1"/>
  <c r="U392" i="3"/>
  <c r="DA392" i="3" s="1" a="1"/>
  <c r="DA392" i="3" s="1"/>
  <c r="U393" i="3"/>
  <c r="DA393" i="3" s="1" a="1"/>
  <c r="DA393" i="3" s="1"/>
  <c r="U394" i="3"/>
  <c r="DA394" i="3" s="1" a="1"/>
  <c r="DA394" i="3" s="1"/>
  <c r="U395" i="3"/>
  <c r="DA395" i="3" s="1" a="1"/>
  <c r="DA395" i="3" s="1"/>
  <c r="U396" i="3"/>
  <c r="DA396" i="3" s="1" a="1"/>
  <c r="DA396" i="3" s="1"/>
  <c r="U397" i="3"/>
  <c r="DA397" i="3" s="1" a="1"/>
  <c r="DA397" i="3" s="1"/>
  <c r="U398" i="3"/>
  <c r="DA398" i="3" s="1" a="1"/>
  <c r="DA398" i="3" s="1"/>
  <c r="U399" i="3"/>
  <c r="DA399" i="3" s="1" a="1"/>
  <c r="DA399" i="3" s="1"/>
  <c r="U400" i="3"/>
  <c r="DA400" i="3" s="1" a="1"/>
  <c r="DA400" i="3" s="1"/>
  <c r="U401" i="3"/>
  <c r="DA401" i="3" s="1" a="1"/>
  <c r="DA401" i="3" s="1"/>
  <c r="U402" i="3"/>
  <c r="DA402" i="3" s="1" a="1"/>
  <c r="DA402" i="3" s="1"/>
  <c r="U403" i="3"/>
  <c r="DA403" i="3" s="1" a="1"/>
  <c r="DA403" i="3" s="1"/>
  <c r="U404" i="3"/>
  <c r="DA404" i="3" s="1" a="1"/>
  <c r="DA404" i="3" s="1"/>
  <c r="U405" i="3"/>
  <c r="DA405" i="3" s="1" a="1"/>
  <c r="DA405" i="3" s="1"/>
  <c r="U406" i="3"/>
  <c r="DA406" i="3" s="1" a="1"/>
  <c r="DA406" i="3" s="1"/>
  <c r="U407" i="3"/>
  <c r="DA407" i="3" s="1" a="1"/>
  <c r="DA407" i="3" s="1"/>
  <c r="U408" i="3"/>
  <c r="DA408" i="3" s="1" a="1"/>
  <c r="DA408" i="3" s="1"/>
  <c r="U409" i="3"/>
  <c r="DA409" i="3" s="1" a="1"/>
  <c r="DA409" i="3" s="1"/>
  <c r="U410" i="3"/>
  <c r="DA410" i="3" s="1" a="1"/>
  <c r="DA410" i="3" s="1"/>
  <c r="U411" i="3"/>
  <c r="DA411" i="3" s="1" a="1"/>
  <c r="DA411" i="3" s="1"/>
  <c r="U412" i="3"/>
  <c r="DA412" i="3" s="1" a="1"/>
  <c r="DA412" i="3" s="1"/>
  <c r="U413" i="3"/>
  <c r="DA413" i="3" s="1" a="1"/>
  <c r="DA413" i="3" s="1"/>
  <c r="U414" i="3"/>
  <c r="DA414" i="3" s="1" a="1"/>
  <c r="DA414" i="3" s="1"/>
  <c r="U415" i="3"/>
  <c r="DA415" i="3" s="1" a="1"/>
  <c r="DA415" i="3" s="1"/>
  <c r="U416" i="3"/>
  <c r="DA416" i="3" s="1" a="1"/>
  <c r="DA416" i="3" s="1"/>
  <c r="U417" i="3"/>
  <c r="DA417" i="3" s="1" a="1"/>
  <c r="DA417" i="3" s="1"/>
  <c r="U418" i="3"/>
  <c r="DA418" i="3" s="1" a="1"/>
  <c r="DA418" i="3" s="1"/>
  <c r="U419" i="3"/>
  <c r="DA419" i="3" s="1" a="1"/>
  <c r="DA419" i="3" s="1"/>
  <c r="U420" i="3"/>
  <c r="DA420" i="3" s="1" a="1"/>
  <c r="DA420" i="3" s="1"/>
  <c r="U421" i="3"/>
  <c r="DA421" i="3" s="1" a="1"/>
  <c r="DA421" i="3" s="1"/>
  <c r="U422" i="3"/>
  <c r="DA422" i="3" s="1" a="1"/>
  <c r="DA422" i="3" s="1"/>
  <c r="U423" i="3"/>
  <c r="DA423" i="3" s="1" a="1"/>
  <c r="DA423" i="3" s="1"/>
  <c r="U424" i="3"/>
  <c r="DA424" i="3" s="1" a="1"/>
  <c r="DA424" i="3" s="1"/>
  <c r="U425" i="3"/>
  <c r="DA425" i="3" s="1" a="1"/>
  <c r="DA425" i="3" s="1"/>
  <c r="U426" i="3"/>
  <c r="DA426" i="3" s="1" a="1"/>
  <c r="DA426" i="3" s="1"/>
  <c r="U427" i="3"/>
  <c r="DA427" i="3" s="1" a="1"/>
  <c r="DA427" i="3" s="1"/>
  <c r="U428" i="3"/>
  <c r="DA428" i="3" s="1" a="1"/>
  <c r="DA428" i="3" s="1"/>
  <c r="U429" i="3"/>
  <c r="DA429" i="3" s="1" a="1"/>
  <c r="DA429" i="3" s="1"/>
  <c r="U430" i="3"/>
  <c r="DA430" i="3" s="1" a="1"/>
  <c r="DA430" i="3" s="1"/>
  <c r="U431" i="3"/>
  <c r="DA431" i="3" s="1" a="1"/>
  <c r="DA431" i="3" s="1"/>
  <c r="U432" i="3"/>
  <c r="DA432" i="3" s="1" a="1"/>
  <c r="DA432" i="3" s="1"/>
  <c r="U433" i="3"/>
  <c r="DA433" i="3" s="1" a="1"/>
  <c r="DA433" i="3" s="1"/>
  <c r="U434" i="3"/>
  <c r="DA434" i="3" s="1" a="1"/>
  <c r="DA434" i="3" s="1"/>
  <c r="U435" i="3"/>
  <c r="DA435" i="3" s="1" a="1"/>
  <c r="DA435" i="3" s="1"/>
  <c r="U436" i="3"/>
  <c r="DA436" i="3" s="1" a="1"/>
  <c r="DA436" i="3" s="1"/>
  <c r="U437" i="3"/>
  <c r="DA437" i="3" s="1" a="1"/>
  <c r="DA437" i="3" s="1"/>
  <c r="U438" i="3"/>
  <c r="DA438" i="3" s="1" a="1"/>
  <c r="DA438" i="3" s="1"/>
  <c r="U439" i="3"/>
  <c r="DA439" i="3" s="1" a="1"/>
  <c r="DA439" i="3" s="1"/>
  <c r="U440" i="3"/>
  <c r="DA440" i="3" s="1" a="1"/>
  <c r="DA440" i="3" s="1"/>
  <c r="U441" i="3"/>
  <c r="DA441" i="3" s="1" a="1"/>
  <c r="DA441" i="3" s="1"/>
  <c r="U442" i="3"/>
  <c r="DA442" i="3" s="1" a="1"/>
  <c r="DA442" i="3" s="1"/>
  <c r="U443" i="3"/>
  <c r="DA443" i="3" s="1" a="1"/>
  <c r="DA443" i="3" s="1"/>
  <c r="U444" i="3"/>
  <c r="DA444" i="3" s="1" a="1"/>
  <c r="DA444" i="3" s="1"/>
  <c r="U445" i="3"/>
  <c r="DA445" i="3" s="1" a="1"/>
  <c r="DA445" i="3" s="1"/>
  <c r="U446" i="3"/>
  <c r="DA446" i="3" s="1" a="1"/>
  <c r="DA446" i="3" s="1"/>
  <c r="U447" i="3"/>
  <c r="DA447" i="3" s="1" a="1"/>
  <c r="DA447" i="3" s="1"/>
  <c r="U448" i="3"/>
  <c r="DA448" i="3" s="1" a="1"/>
  <c r="DA448" i="3" s="1"/>
  <c r="U449" i="3"/>
  <c r="DA449" i="3" s="1" a="1"/>
  <c r="DA449" i="3" s="1"/>
  <c r="U450" i="3"/>
  <c r="DA450" i="3" s="1" a="1"/>
  <c r="DA450" i="3" s="1"/>
  <c r="U451" i="3"/>
  <c r="DA451" i="3" s="1" a="1"/>
  <c r="DA451" i="3" s="1"/>
  <c r="U452" i="3"/>
  <c r="DA452" i="3" s="1" a="1"/>
  <c r="DA452" i="3" s="1"/>
  <c r="U453" i="3"/>
  <c r="DA453" i="3" s="1" a="1"/>
  <c r="DA453" i="3" s="1"/>
  <c r="U454" i="3"/>
  <c r="DA454" i="3" s="1" a="1"/>
  <c r="DA454" i="3" s="1"/>
  <c r="U455" i="3"/>
  <c r="DA455" i="3" s="1" a="1"/>
  <c r="DA455" i="3" s="1"/>
  <c r="U456" i="3"/>
  <c r="DA456" i="3" s="1" a="1"/>
  <c r="DA456" i="3" s="1"/>
  <c r="U457" i="3"/>
  <c r="DA457" i="3" s="1" a="1"/>
  <c r="DA457" i="3" s="1"/>
  <c r="U458" i="3"/>
  <c r="DA458" i="3" s="1" a="1"/>
  <c r="DA458" i="3" s="1"/>
  <c r="U459" i="3"/>
  <c r="DA459" i="3" s="1" a="1"/>
  <c r="DA459" i="3" s="1"/>
  <c r="U460" i="3"/>
  <c r="DA460" i="3" s="1" a="1"/>
  <c r="DA460" i="3" s="1"/>
  <c r="U461" i="3"/>
  <c r="DA461" i="3" s="1" a="1"/>
  <c r="DA461" i="3" s="1"/>
  <c r="U462" i="3"/>
  <c r="DA462" i="3" s="1" a="1"/>
  <c r="DA462" i="3" s="1"/>
  <c r="U463" i="3"/>
  <c r="DA463" i="3" s="1" a="1"/>
  <c r="DA463" i="3" s="1"/>
  <c r="U464" i="3"/>
  <c r="DA464" i="3" s="1" a="1"/>
  <c r="DA464" i="3" s="1"/>
  <c r="U465" i="3"/>
  <c r="DA465" i="3" s="1" a="1"/>
  <c r="DA465" i="3" s="1"/>
  <c r="U466" i="3"/>
  <c r="DA466" i="3" s="1" a="1"/>
  <c r="DA466" i="3" s="1"/>
  <c r="U467" i="3"/>
  <c r="DA467" i="3" s="1" a="1"/>
  <c r="DA467" i="3" s="1"/>
  <c r="U468" i="3"/>
  <c r="DA468" i="3" s="1" a="1"/>
  <c r="DA468" i="3" s="1"/>
  <c r="U469" i="3"/>
  <c r="DA469" i="3" s="1" a="1"/>
  <c r="DA469" i="3" s="1"/>
  <c r="U470" i="3"/>
  <c r="DA470" i="3" s="1" a="1"/>
  <c r="DA470" i="3" s="1"/>
  <c r="U471" i="3"/>
  <c r="DA471" i="3" s="1" a="1"/>
  <c r="DA471" i="3" s="1"/>
  <c r="U472" i="3"/>
  <c r="DA472" i="3" s="1" a="1"/>
  <c r="DA472" i="3" s="1"/>
  <c r="U473" i="3"/>
  <c r="DA473" i="3" s="1" a="1"/>
  <c r="DA473" i="3" s="1"/>
  <c r="U474" i="3"/>
  <c r="DA474" i="3" s="1" a="1"/>
  <c r="DA474" i="3" s="1"/>
  <c r="U475" i="3"/>
  <c r="DA475" i="3" s="1" a="1"/>
  <c r="DA475" i="3" s="1"/>
  <c r="U476" i="3"/>
  <c r="DA476" i="3" s="1" a="1"/>
  <c r="DA476" i="3" s="1"/>
  <c r="U477" i="3"/>
  <c r="DA477" i="3" s="1" a="1"/>
  <c r="DA477" i="3" s="1"/>
  <c r="U478" i="3"/>
  <c r="DA478" i="3" s="1" a="1"/>
  <c r="DA478" i="3" s="1"/>
  <c r="U479" i="3"/>
  <c r="DA479" i="3" s="1" a="1"/>
  <c r="DA479" i="3" s="1"/>
  <c r="U480" i="3"/>
  <c r="DA480" i="3" s="1" a="1"/>
  <c r="DA480" i="3" s="1"/>
  <c r="U481" i="3"/>
  <c r="DA481" i="3" s="1" a="1"/>
  <c r="DA481" i="3" s="1"/>
  <c r="U482" i="3"/>
  <c r="DA482" i="3" s="1" a="1"/>
  <c r="DA482" i="3" s="1"/>
  <c r="U483" i="3"/>
  <c r="DA483" i="3" s="1" a="1"/>
  <c r="DA483" i="3" s="1"/>
  <c r="U484" i="3"/>
  <c r="DA484" i="3" s="1" a="1"/>
  <c r="DA484" i="3" s="1"/>
  <c r="U485" i="3"/>
  <c r="DA485" i="3" s="1" a="1"/>
  <c r="DA485" i="3" s="1"/>
  <c r="U486" i="3"/>
  <c r="DA486" i="3" s="1" a="1"/>
  <c r="DA486" i="3" s="1"/>
  <c r="U487" i="3"/>
  <c r="DA487" i="3" s="1" a="1"/>
  <c r="DA487" i="3" s="1"/>
  <c r="U488" i="3"/>
  <c r="DA488" i="3" s="1" a="1"/>
  <c r="DA488" i="3" s="1"/>
  <c r="U489" i="3"/>
  <c r="DA489" i="3" s="1" a="1"/>
  <c r="DA489" i="3" s="1"/>
  <c r="U490" i="3"/>
  <c r="DA490" i="3" s="1" a="1"/>
  <c r="DA490" i="3" s="1"/>
  <c r="U491" i="3"/>
  <c r="DA491" i="3" s="1" a="1"/>
  <c r="DA491" i="3" s="1"/>
  <c r="U492" i="3"/>
  <c r="DA492" i="3" s="1" a="1"/>
  <c r="DA492" i="3" s="1"/>
  <c r="U493" i="3"/>
  <c r="DA493" i="3" s="1" a="1"/>
  <c r="DA493" i="3" s="1"/>
  <c r="U494" i="3"/>
  <c r="DA494" i="3" s="1" a="1"/>
  <c r="DA494" i="3" s="1"/>
  <c r="U495" i="3"/>
  <c r="DA495" i="3" s="1" a="1"/>
  <c r="DA495" i="3" s="1"/>
  <c r="U496" i="3"/>
  <c r="DA496" i="3" s="1" a="1"/>
  <c r="DA496" i="3" s="1"/>
  <c r="U497" i="3"/>
  <c r="DA497" i="3" s="1" a="1"/>
  <c r="DA497" i="3" s="1"/>
  <c r="U498" i="3"/>
  <c r="DA498" i="3" s="1" a="1"/>
  <c r="DA498" i="3" s="1"/>
  <c r="U499" i="3"/>
  <c r="DA499" i="3" s="1" a="1"/>
  <c r="DA499" i="3" s="1"/>
  <c r="U500" i="3"/>
  <c r="DA500" i="3" s="1" a="1"/>
  <c r="DA500" i="3" s="1"/>
  <c r="U501" i="3"/>
  <c r="DA501" i="3" s="1" a="1"/>
  <c r="DA501" i="3" s="1"/>
  <c r="U502" i="3"/>
  <c r="DA502" i="3" s="1" a="1"/>
  <c r="DA502" i="3" s="1"/>
  <c r="U503" i="3"/>
  <c r="DA503" i="3" s="1" a="1"/>
  <c r="DA503" i="3" s="1"/>
  <c r="U504" i="3"/>
  <c r="DA504" i="3" s="1" a="1"/>
  <c r="DA504" i="3" s="1"/>
  <c r="U505" i="3"/>
  <c r="DA505" i="3" s="1" a="1"/>
  <c r="DA505" i="3" s="1"/>
  <c r="U506" i="3"/>
  <c r="DA506" i="3" s="1" a="1"/>
  <c r="DA506" i="3" s="1"/>
  <c r="U507" i="3"/>
  <c r="DA507" i="3" s="1" a="1"/>
  <c r="DA507" i="3" s="1"/>
  <c r="U508" i="3"/>
  <c r="DA508" i="3" s="1" a="1"/>
  <c r="DA508" i="3" s="1"/>
  <c r="U509" i="3"/>
  <c r="DA509" i="3" s="1" a="1"/>
  <c r="DA509" i="3" s="1"/>
  <c r="U510" i="3"/>
  <c r="DA510" i="3" s="1" a="1"/>
  <c r="DA510" i="3" s="1"/>
  <c r="U511" i="3"/>
  <c r="DA511" i="3" s="1" a="1"/>
  <c r="DA511" i="3" s="1"/>
  <c r="U512" i="3"/>
  <c r="DA512" i="3" s="1" a="1"/>
  <c r="DA512" i="3" s="1"/>
  <c r="U513" i="3"/>
  <c r="DA513" i="3" s="1" a="1"/>
  <c r="DA513" i="3" s="1"/>
  <c r="U514" i="3"/>
  <c r="DA514" i="3" s="1" a="1"/>
  <c r="DA514" i="3" s="1"/>
  <c r="U515" i="3"/>
  <c r="DA515" i="3" s="1" a="1"/>
  <c r="DA515" i="3" s="1"/>
  <c r="U516" i="3"/>
  <c r="DA516" i="3" s="1" a="1"/>
  <c r="DA516" i="3" s="1"/>
  <c r="U517" i="3"/>
  <c r="DA517" i="3" s="1" a="1"/>
  <c r="DA517" i="3" s="1"/>
  <c r="U518" i="3"/>
  <c r="DA518" i="3" s="1" a="1"/>
  <c r="DA518" i="3" s="1"/>
  <c r="U519" i="3"/>
  <c r="DA519" i="3" s="1" a="1"/>
  <c r="DA519" i="3" s="1"/>
  <c r="U520" i="3"/>
  <c r="DA520" i="3" s="1" a="1"/>
  <c r="DA520" i="3" s="1"/>
  <c r="U521" i="3"/>
  <c r="DA521" i="3" s="1" a="1"/>
  <c r="DA521" i="3" s="1"/>
  <c r="U522" i="3"/>
  <c r="DA522" i="3" s="1" a="1"/>
  <c r="DA522" i="3" s="1"/>
  <c r="U523" i="3"/>
  <c r="DA523" i="3" s="1" a="1"/>
  <c r="DA523" i="3" s="1"/>
  <c r="U524" i="3"/>
  <c r="DA524" i="3" s="1" a="1"/>
  <c r="DA524" i="3" s="1"/>
  <c r="U525" i="3"/>
  <c r="DA525" i="3" s="1" a="1"/>
  <c r="DA525" i="3" s="1"/>
  <c r="U526" i="3"/>
  <c r="DA526" i="3" s="1" a="1"/>
  <c r="DA526" i="3" s="1"/>
  <c r="U527" i="3"/>
  <c r="DA527" i="3" s="1" a="1"/>
  <c r="DA527" i="3" s="1"/>
  <c r="U528" i="3"/>
  <c r="DA528" i="3" s="1" a="1"/>
  <c r="DA528" i="3" s="1"/>
  <c r="U529" i="3"/>
  <c r="DA529" i="3" s="1" a="1"/>
  <c r="DA529" i="3" s="1"/>
  <c r="U530" i="3"/>
  <c r="DA530" i="3" s="1" a="1"/>
  <c r="DA530" i="3" s="1"/>
  <c r="U531" i="3"/>
  <c r="DA531" i="3" s="1" a="1"/>
  <c r="DA531" i="3" s="1"/>
  <c r="U532" i="3"/>
  <c r="DA532" i="3" s="1" a="1"/>
  <c r="DA532" i="3" s="1"/>
  <c r="U533" i="3"/>
  <c r="DA533" i="3" s="1" a="1"/>
  <c r="DA533" i="3" s="1"/>
  <c r="U534" i="3"/>
  <c r="DA534" i="3" s="1" a="1"/>
  <c r="DA534" i="3" s="1"/>
  <c r="U535" i="3"/>
  <c r="DA535" i="3" s="1" a="1"/>
  <c r="DA535" i="3" s="1"/>
  <c r="U536" i="3"/>
  <c r="DA536" i="3" s="1" a="1"/>
  <c r="DA536" i="3" s="1"/>
  <c r="U537" i="3"/>
  <c r="DA537" i="3" s="1" a="1"/>
  <c r="DA537" i="3" s="1"/>
  <c r="U538" i="3"/>
  <c r="DA538" i="3" s="1" a="1"/>
  <c r="DA538" i="3" s="1"/>
  <c r="U539" i="3"/>
  <c r="DA539" i="3" s="1" a="1"/>
  <c r="DA539" i="3" s="1"/>
  <c r="U540" i="3"/>
  <c r="DA540" i="3" s="1" a="1"/>
  <c r="DA540" i="3" s="1"/>
  <c r="U541" i="3"/>
  <c r="DA541" i="3" s="1" a="1"/>
  <c r="DA541" i="3" s="1"/>
  <c r="U542" i="3"/>
  <c r="DA542" i="3" s="1" a="1"/>
  <c r="DA542" i="3" s="1"/>
  <c r="U543" i="3"/>
  <c r="DA543" i="3" s="1" a="1"/>
  <c r="DA543" i="3" s="1"/>
  <c r="U544" i="3"/>
  <c r="DA544" i="3" s="1" a="1"/>
  <c r="DA544" i="3" s="1"/>
  <c r="U545" i="3"/>
  <c r="DA545" i="3" s="1" a="1"/>
  <c r="DA545" i="3" s="1"/>
  <c r="U546" i="3"/>
  <c r="DA546" i="3" s="1" a="1"/>
  <c r="DA546" i="3" s="1"/>
  <c r="U547" i="3"/>
  <c r="DA547" i="3" s="1" a="1"/>
  <c r="DA547" i="3" s="1"/>
  <c r="U548" i="3"/>
  <c r="DA548" i="3" s="1" a="1"/>
  <c r="DA548" i="3" s="1"/>
  <c r="U549" i="3"/>
  <c r="DA549" i="3" s="1" a="1"/>
  <c r="DA549" i="3" s="1"/>
  <c r="U550" i="3"/>
  <c r="DA550" i="3" s="1" a="1"/>
  <c r="DA550" i="3" s="1"/>
  <c r="U551" i="3"/>
  <c r="DA551" i="3" s="1" a="1"/>
  <c r="DA551" i="3" s="1"/>
  <c r="U552" i="3"/>
  <c r="DA552" i="3" s="1" a="1"/>
  <c r="DA552" i="3" s="1"/>
  <c r="U553" i="3"/>
  <c r="DA553" i="3" s="1" a="1"/>
  <c r="DA553" i="3" s="1"/>
  <c r="U554" i="3"/>
  <c r="DA554" i="3" s="1" a="1"/>
  <c r="DA554" i="3" s="1"/>
  <c r="U555" i="3"/>
  <c r="DA555" i="3" s="1" a="1"/>
  <c r="DA555" i="3" s="1"/>
  <c r="U556" i="3"/>
  <c r="DA556" i="3" s="1" a="1"/>
  <c r="DA556" i="3" s="1"/>
  <c r="U557" i="3"/>
  <c r="DA557" i="3" s="1" a="1"/>
  <c r="DA557" i="3" s="1"/>
  <c r="U558" i="3"/>
  <c r="DA558" i="3" s="1" a="1"/>
  <c r="DA558" i="3" s="1"/>
  <c r="U559" i="3"/>
  <c r="DA559" i="3" s="1" a="1"/>
  <c r="DA559" i="3" s="1"/>
  <c r="U560" i="3"/>
  <c r="DA560" i="3" s="1" a="1"/>
  <c r="DA560" i="3" s="1"/>
  <c r="U561" i="3"/>
  <c r="DA561" i="3" s="1" a="1"/>
  <c r="DA561" i="3" s="1"/>
  <c r="U562" i="3"/>
  <c r="DA562" i="3" s="1" a="1"/>
  <c r="DA562" i="3" s="1"/>
  <c r="U563" i="3"/>
  <c r="DA563" i="3" s="1" a="1"/>
  <c r="DA563" i="3" s="1"/>
  <c r="U564" i="3"/>
  <c r="DA564" i="3" s="1" a="1"/>
  <c r="DA564" i="3" s="1"/>
  <c r="U565" i="3"/>
  <c r="DA565" i="3" s="1" a="1"/>
  <c r="DA565" i="3" s="1"/>
  <c r="U566" i="3"/>
  <c r="DA566" i="3" s="1" a="1"/>
  <c r="DA566" i="3" s="1"/>
  <c r="U567" i="3"/>
  <c r="DA567" i="3" s="1" a="1"/>
  <c r="DA567" i="3" s="1"/>
  <c r="U568" i="3"/>
  <c r="DA568" i="3" s="1" a="1"/>
  <c r="DA568" i="3" s="1"/>
  <c r="U569" i="3"/>
  <c r="DA569" i="3" s="1" a="1"/>
  <c r="DA569" i="3" s="1"/>
  <c r="U570" i="3"/>
  <c r="DA570" i="3" s="1" a="1"/>
  <c r="DA570" i="3" s="1"/>
  <c r="U571" i="3"/>
  <c r="DA571" i="3" s="1" a="1"/>
  <c r="DA571" i="3" s="1"/>
  <c r="U572" i="3"/>
  <c r="DA572" i="3" s="1" a="1"/>
  <c r="DA572" i="3" s="1"/>
  <c r="U573" i="3"/>
  <c r="DA573" i="3" s="1" a="1"/>
  <c r="DA573" i="3" s="1"/>
  <c r="U574" i="3"/>
  <c r="DA574" i="3" s="1" a="1"/>
  <c r="DA574" i="3" s="1"/>
  <c r="U575" i="3"/>
  <c r="DA575" i="3" s="1" a="1"/>
  <c r="DA575" i="3" s="1"/>
  <c r="U576" i="3"/>
  <c r="DA576" i="3" s="1" a="1"/>
  <c r="DA576" i="3" s="1"/>
  <c r="U577" i="3"/>
  <c r="DA577" i="3" s="1" a="1"/>
  <c r="DA577" i="3" s="1"/>
  <c r="U578" i="3"/>
  <c r="DA578" i="3" s="1" a="1"/>
  <c r="DA578" i="3" s="1"/>
  <c r="U579" i="3"/>
  <c r="DA579" i="3" s="1" a="1"/>
  <c r="DA579" i="3" s="1"/>
  <c r="U580" i="3"/>
  <c r="DA580" i="3" s="1" a="1"/>
  <c r="DA580" i="3" s="1"/>
  <c r="U581" i="3"/>
  <c r="DA581" i="3" s="1" a="1"/>
  <c r="DA581" i="3" s="1"/>
  <c r="U582" i="3"/>
  <c r="DA582" i="3" s="1" a="1"/>
  <c r="DA582" i="3" s="1"/>
  <c r="U583" i="3"/>
  <c r="DA583" i="3" s="1" a="1"/>
  <c r="DA583" i="3" s="1"/>
  <c r="U584" i="3"/>
  <c r="DA584" i="3" s="1" a="1"/>
  <c r="DA584" i="3" s="1"/>
  <c r="U585" i="3"/>
  <c r="DA585" i="3" s="1" a="1"/>
  <c r="DA585" i="3" s="1"/>
  <c r="U586" i="3"/>
  <c r="DA586" i="3" s="1" a="1"/>
  <c r="DA586" i="3" s="1"/>
  <c r="U587" i="3"/>
  <c r="DA587" i="3" s="1" a="1"/>
  <c r="DA587" i="3" s="1"/>
  <c r="U588" i="3"/>
  <c r="DA588" i="3" s="1" a="1"/>
  <c r="DA588" i="3" s="1"/>
  <c r="U589" i="3"/>
  <c r="DA589" i="3" s="1" a="1"/>
  <c r="DA589" i="3" s="1"/>
  <c r="U590" i="3"/>
  <c r="DA590" i="3" s="1" a="1"/>
  <c r="DA590" i="3" s="1"/>
  <c r="U591" i="3"/>
  <c r="DA591" i="3" s="1" a="1"/>
  <c r="DA591" i="3" s="1"/>
  <c r="U592" i="3"/>
  <c r="DA592" i="3" s="1" a="1"/>
  <c r="DA592" i="3" s="1"/>
  <c r="U593" i="3"/>
  <c r="DA593" i="3" s="1" a="1"/>
  <c r="DA593" i="3" s="1"/>
  <c r="U594" i="3"/>
  <c r="DA594" i="3" s="1" a="1"/>
  <c r="DA594" i="3" s="1"/>
  <c r="U595" i="3"/>
  <c r="DA595" i="3" s="1" a="1"/>
  <c r="DA595" i="3" s="1"/>
  <c r="U596" i="3"/>
  <c r="DA596" i="3" s="1" a="1"/>
  <c r="DA596" i="3" s="1"/>
  <c r="U597" i="3"/>
  <c r="DA597" i="3" s="1" a="1"/>
  <c r="DA597" i="3" s="1"/>
  <c r="U598" i="3"/>
  <c r="DA598" i="3" s="1" a="1"/>
  <c r="DA598" i="3" s="1"/>
  <c r="U599" i="3"/>
  <c r="DA599" i="3" s="1" a="1"/>
  <c r="DA599" i="3" s="1"/>
  <c r="U600" i="3"/>
  <c r="DA600" i="3" s="1" a="1"/>
  <c r="DA600" i="3" s="1"/>
  <c r="U601" i="3"/>
  <c r="DA601" i="3" s="1" a="1"/>
  <c r="DA601" i="3" s="1"/>
  <c r="U602" i="3"/>
  <c r="DA602" i="3" s="1" a="1"/>
  <c r="DA602" i="3" s="1"/>
  <c r="U603" i="3"/>
  <c r="DA603" i="3" s="1" a="1"/>
  <c r="DA603" i="3" s="1"/>
  <c r="U604" i="3"/>
  <c r="DA604" i="3" s="1" a="1"/>
  <c r="DA604" i="3" s="1"/>
  <c r="U605" i="3"/>
  <c r="DA605" i="3" s="1" a="1"/>
  <c r="DA605" i="3" s="1"/>
  <c r="U606" i="3"/>
  <c r="DA606" i="3" s="1" a="1"/>
  <c r="DA606" i="3" s="1"/>
  <c r="U607" i="3"/>
  <c r="DA607" i="3" s="1" a="1"/>
  <c r="DA607" i="3" s="1"/>
  <c r="U608" i="3"/>
  <c r="DA608" i="3" s="1" a="1"/>
  <c r="DA608" i="3" s="1"/>
  <c r="U609" i="3"/>
  <c r="DA609" i="3" s="1" a="1"/>
  <c r="DA609" i="3" s="1"/>
  <c r="U610" i="3"/>
  <c r="DA610" i="3" s="1" a="1"/>
  <c r="DA610" i="3" s="1"/>
  <c r="U611" i="3"/>
  <c r="DA611" i="3" s="1" a="1"/>
  <c r="DA611" i="3" s="1"/>
  <c r="U612" i="3"/>
  <c r="DA612" i="3" s="1" a="1"/>
  <c r="DA612" i="3" s="1"/>
  <c r="U613" i="3"/>
  <c r="DA613" i="3" s="1" a="1"/>
  <c r="DA613" i="3" s="1"/>
  <c r="U614" i="3"/>
  <c r="DA614" i="3" s="1" a="1"/>
  <c r="DA614" i="3" s="1"/>
  <c r="U615" i="3"/>
  <c r="DA615" i="3" s="1" a="1"/>
  <c r="DA615" i="3" s="1"/>
  <c r="U616" i="3"/>
  <c r="DA616" i="3" s="1" a="1"/>
  <c r="DA616" i="3" s="1"/>
  <c r="U617" i="3"/>
  <c r="DA617" i="3" s="1" a="1"/>
  <c r="DA617" i="3" s="1"/>
  <c r="U618" i="3"/>
  <c r="DA618" i="3" s="1" a="1"/>
  <c r="DA618" i="3" s="1"/>
  <c r="U619" i="3"/>
  <c r="DA619" i="3" s="1" a="1"/>
  <c r="DA619" i="3" s="1"/>
  <c r="U620" i="3"/>
  <c r="DA620" i="3" s="1" a="1"/>
  <c r="DA620" i="3" s="1"/>
  <c r="U621" i="3"/>
  <c r="DA621" i="3" s="1" a="1"/>
  <c r="DA621" i="3" s="1"/>
  <c r="U622" i="3"/>
  <c r="DA622" i="3" s="1" a="1"/>
  <c r="DA622" i="3" s="1"/>
  <c r="U623" i="3"/>
  <c r="DA623" i="3" s="1" a="1"/>
  <c r="DA623" i="3" s="1"/>
  <c r="U624" i="3"/>
  <c r="DA624" i="3" s="1" a="1"/>
  <c r="DA624" i="3" s="1"/>
  <c r="U625" i="3"/>
  <c r="DA625" i="3" s="1" a="1"/>
  <c r="DA625" i="3" s="1"/>
  <c r="U626" i="3"/>
  <c r="DA626" i="3" s="1" a="1"/>
  <c r="DA626" i="3" s="1"/>
  <c r="U627" i="3"/>
  <c r="DA627" i="3" s="1" a="1"/>
  <c r="DA627" i="3" s="1"/>
  <c r="U628" i="3"/>
  <c r="DA628" i="3" s="1" a="1"/>
  <c r="DA628" i="3" s="1"/>
  <c r="U629" i="3"/>
  <c r="DA629" i="3" s="1" a="1"/>
  <c r="DA629" i="3" s="1"/>
  <c r="U630" i="3"/>
  <c r="DA630" i="3" s="1" a="1"/>
  <c r="DA630" i="3" s="1"/>
  <c r="U631" i="3"/>
  <c r="DA631" i="3" s="1" a="1"/>
  <c r="DA631" i="3" s="1"/>
  <c r="U632" i="3"/>
  <c r="DA632" i="3" s="1" a="1"/>
  <c r="DA632" i="3" s="1"/>
  <c r="U633" i="3"/>
  <c r="DA633" i="3" s="1" a="1"/>
  <c r="DA633" i="3" s="1"/>
  <c r="U634" i="3"/>
  <c r="DA634" i="3" s="1" a="1"/>
  <c r="DA634" i="3" s="1"/>
  <c r="U635" i="3"/>
  <c r="DA635" i="3" s="1" a="1"/>
  <c r="DA635" i="3" s="1"/>
  <c r="U636" i="3"/>
  <c r="DA636" i="3" s="1" a="1"/>
  <c r="DA636" i="3" s="1"/>
  <c r="U637" i="3"/>
  <c r="DA637" i="3" s="1" a="1"/>
  <c r="DA637" i="3" s="1"/>
  <c r="U638" i="3"/>
  <c r="DA638" i="3" s="1" a="1"/>
  <c r="DA638" i="3" s="1"/>
  <c r="U639" i="3"/>
  <c r="DA639" i="3" s="1" a="1"/>
  <c r="DA639" i="3" s="1"/>
  <c r="U640" i="3"/>
  <c r="DA640" i="3" s="1" a="1"/>
  <c r="DA640" i="3" s="1"/>
  <c r="U641" i="3"/>
  <c r="DA641" i="3" s="1" a="1"/>
  <c r="DA641" i="3" s="1"/>
  <c r="U642" i="3"/>
  <c r="DA642" i="3" s="1" a="1"/>
  <c r="DA642" i="3" s="1"/>
  <c r="U643" i="3"/>
  <c r="DA643" i="3" s="1" a="1"/>
  <c r="DA643" i="3" s="1"/>
  <c r="U644" i="3"/>
  <c r="DA644" i="3" s="1" a="1"/>
  <c r="DA644" i="3" s="1"/>
  <c r="U645" i="3"/>
  <c r="DA645" i="3" s="1" a="1"/>
  <c r="DA645" i="3" s="1"/>
  <c r="U646" i="3"/>
  <c r="DA646" i="3" s="1" a="1"/>
  <c r="DA646" i="3" s="1"/>
  <c r="U647" i="3"/>
  <c r="DA647" i="3" s="1" a="1"/>
  <c r="DA647" i="3" s="1"/>
  <c r="U648" i="3"/>
  <c r="DA648" i="3" s="1" a="1"/>
  <c r="DA648" i="3" s="1"/>
  <c r="U649" i="3"/>
  <c r="DA649" i="3" s="1" a="1"/>
  <c r="DA649" i="3" s="1"/>
  <c r="U650" i="3"/>
  <c r="DA650" i="3" s="1" a="1"/>
  <c r="DA650" i="3" s="1"/>
  <c r="U651" i="3"/>
  <c r="DA651" i="3" s="1" a="1"/>
  <c r="DA651" i="3" s="1"/>
  <c r="U652" i="3"/>
  <c r="DA652" i="3" s="1" a="1"/>
  <c r="DA652" i="3" s="1"/>
  <c r="U653" i="3"/>
  <c r="DA653" i="3" s="1" a="1"/>
  <c r="DA653" i="3" s="1"/>
  <c r="U654" i="3"/>
  <c r="DA654" i="3" s="1" a="1"/>
  <c r="DA654" i="3" s="1"/>
  <c r="U655" i="3"/>
  <c r="DA655" i="3" s="1" a="1"/>
  <c r="DA655" i="3" s="1"/>
  <c r="U656" i="3"/>
  <c r="DA656" i="3" s="1" a="1"/>
  <c r="DA656" i="3" s="1"/>
  <c r="U657" i="3"/>
  <c r="DA657" i="3" s="1" a="1"/>
  <c r="DA657" i="3" s="1"/>
  <c r="U658" i="3"/>
  <c r="DA658" i="3" s="1" a="1"/>
  <c r="DA658" i="3" s="1"/>
  <c r="U659" i="3"/>
  <c r="DA659" i="3" s="1" a="1"/>
  <c r="DA659" i="3" s="1"/>
  <c r="U660" i="3"/>
  <c r="DA660" i="3" s="1" a="1"/>
  <c r="DA660" i="3" s="1"/>
  <c r="U661" i="3"/>
  <c r="DA661" i="3" s="1" a="1"/>
  <c r="DA661" i="3" s="1"/>
  <c r="U662" i="3"/>
  <c r="DA662" i="3" s="1" a="1"/>
  <c r="DA662" i="3" s="1"/>
  <c r="U663" i="3"/>
  <c r="DA663" i="3" s="1" a="1"/>
  <c r="DA663" i="3" s="1"/>
  <c r="U664" i="3"/>
  <c r="DA664" i="3" s="1" a="1"/>
  <c r="DA664" i="3" s="1"/>
  <c r="U665" i="3"/>
  <c r="DA665" i="3" s="1" a="1"/>
  <c r="DA665" i="3" s="1"/>
  <c r="U666" i="3"/>
  <c r="DA666" i="3" s="1" a="1"/>
  <c r="DA666" i="3" s="1"/>
  <c r="U667" i="3"/>
  <c r="DA667" i="3" s="1" a="1"/>
  <c r="DA667" i="3" s="1"/>
  <c r="U668" i="3"/>
  <c r="DA668" i="3" s="1" a="1"/>
  <c r="DA668" i="3" s="1"/>
  <c r="U669" i="3"/>
  <c r="DA669" i="3" s="1" a="1"/>
  <c r="DA669" i="3" s="1"/>
  <c r="U670" i="3"/>
  <c r="DA670" i="3" s="1" a="1"/>
  <c r="DA670" i="3" s="1"/>
  <c r="U671" i="3"/>
  <c r="DA671" i="3" s="1" a="1"/>
  <c r="DA671" i="3" s="1"/>
  <c r="U672" i="3"/>
  <c r="DA672" i="3" s="1" a="1"/>
  <c r="DA672" i="3" s="1"/>
  <c r="U673" i="3"/>
  <c r="DA673" i="3" s="1" a="1"/>
  <c r="DA673" i="3" s="1"/>
  <c r="U674" i="3"/>
  <c r="DA674" i="3" s="1" a="1"/>
  <c r="DA674" i="3" s="1"/>
  <c r="U675" i="3"/>
  <c r="DA675" i="3" s="1" a="1"/>
  <c r="DA675" i="3" s="1"/>
  <c r="U676" i="3"/>
  <c r="DA676" i="3" s="1" a="1"/>
  <c r="DA676" i="3" s="1"/>
  <c r="U677" i="3"/>
  <c r="DA677" i="3" s="1" a="1"/>
  <c r="DA677" i="3" s="1"/>
  <c r="U678" i="3"/>
  <c r="DA678" i="3" s="1" a="1"/>
  <c r="DA678" i="3" s="1"/>
  <c r="U679" i="3"/>
  <c r="DA679" i="3" s="1" a="1"/>
  <c r="DA679" i="3" s="1"/>
  <c r="U680" i="3"/>
  <c r="DA680" i="3" s="1" a="1"/>
  <c r="DA680" i="3" s="1"/>
  <c r="U681" i="3"/>
  <c r="DA681" i="3" s="1" a="1"/>
  <c r="DA681" i="3" s="1"/>
  <c r="U682" i="3"/>
  <c r="DA682" i="3" s="1" a="1"/>
  <c r="DA682" i="3" s="1"/>
  <c r="U683" i="3"/>
  <c r="DA683" i="3" s="1" a="1"/>
  <c r="DA683" i="3" s="1"/>
  <c r="U684" i="3"/>
  <c r="DA684" i="3" s="1" a="1"/>
  <c r="DA684" i="3" s="1"/>
  <c r="U685" i="3"/>
  <c r="DA685" i="3" s="1" a="1"/>
  <c r="DA685" i="3" s="1"/>
  <c r="U686" i="3"/>
  <c r="DA686" i="3" s="1" a="1"/>
  <c r="DA686" i="3" s="1"/>
  <c r="U687" i="3"/>
  <c r="DA687" i="3" s="1" a="1"/>
  <c r="DA687" i="3" s="1"/>
  <c r="U688" i="3"/>
  <c r="DA688" i="3" s="1" a="1"/>
  <c r="DA688" i="3" s="1"/>
  <c r="U689" i="3"/>
  <c r="DA689" i="3" s="1" a="1"/>
  <c r="DA689" i="3" s="1"/>
  <c r="U690" i="3"/>
  <c r="DA690" i="3" s="1" a="1"/>
  <c r="DA690" i="3" s="1"/>
  <c r="U691" i="3"/>
  <c r="DA691" i="3" s="1" a="1"/>
  <c r="DA691" i="3" s="1"/>
  <c r="U692" i="3"/>
  <c r="DA692" i="3" s="1" a="1"/>
  <c r="DA692" i="3" s="1"/>
  <c r="U693" i="3"/>
  <c r="DA693" i="3" s="1" a="1"/>
  <c r="DA693" i="3" s="1"/>
  <c r="U694" i="3"/>
  <c r="DA694" i="3" s="1" a="1"/>
  <c r="DA694" i="3" s="1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3" i="3"/>
  <c r="T224" i="3"/>
  <c r="T225" i="3"/>
  <c r="T226" i="3"/>
  <c r="T227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2" i="3"/>
  <c r="T273" i="3"/>
  <c r="T274" i="3"/>
  <c r="T275" i="3"/>
  <c r="T276" i="3"/>
  <c r="T277" i="3"/>
  <c r="T278" i="3"/>
  <c r="T279" i="3"/>
  <c r="T280" i="3"/>
  <c r="T281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3" i="3"/>
  <c r="R224" i="3"/>
  <c r="R225" i="3"/>
  <c r="R226" i="3"/>
  <c r="R227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8" i="3"/>
  <c r="R269" i="3"/>
  <c r="R270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4" i="3"/>
  <c r="E125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9" i="3"/>
  <c r="E190" i="3"/>
  <c r="E191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F7" i="3"/>
  <c r="F8" i="3"/>
  <c r="F9" i="3"/>
  <c r="F10" i="3"/>
  <c r="F11" i="3"/>
  <c r="F12" i="3"/>
  <c r="F13" i="3"/>
  <c r="F14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4" i="3"/>
  <c r="F125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9" i="3"/>
  <c r="F190" i="3"/>
  <c r="F191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5" i="3"/>
  <c r="AO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tc={445C61C0-13FD-494E-BABA-F7A31021ED8F}</author>
    <author>tc={F6A1330A-E0BD-46AC-9A77-5CF816F7F03D}</author>
    <author>tc={633A152E-97A7-45B1-B9AB-673996780327}</author>
    <author>tc={24C257B7-7077-4887-B5CD-0C87C5B2EE23}</author>
    <author>tc={3EE2767C-B4EF-4864-8F78-7A98CA7BB95F}</author>
    <author>tc={A7E838C5-BB5D-411F-940B-BFDDBE46A548}</author>
    <author>tc={0E1FFC22-FDC9-4B2B-B5D2-01DFE0FD8D60}</author>
    <author>tc={F2CD939A-A366-42CF-B022-FA190528ADCE}</author>
    <author>tc={98137FA9-65E7-4720-AD29-30671AA931C1}</author>
    <author>tc={8978405D-AF78-4353-B1B3-DE1255231552}</author>
    <author>tc={D0DA46B3-6EB0-438A-98AF-1B0567E16772}</author>
    <author>tc={6570C1BD-39A4-49CA-9FB3-F39CB2928477}</author>
    <author>tc={400D2763-687F-4DE9-BBE9-BB7B76A038EB}</author>
    <author>tc={704FC011-69FA-4215-B584-BEFD9EC522D4}</author>
    <author>tc={FE22F96E-727C-4D18-93B7-1866953569A4}</author>
    <author>tc={F9523801-DA7C-4B0A-815D-C4DC9AE19F0F}</author>
    <author>tc={2786866C-2DD5-4333-A24E-CFF0A83AC4F9}</author>
    <author>tc={C165CBBD-5539-4C35-8C85-696CA05FCD2D}</author>
    <author>tc={DF1BC803-5831-45B4-9298-CE95EAFD46E5}</author>
    <author>tc={671FB720-2D27-4B0E-B551-C8E0911794C8}</author>
    <author>tc={570246B7-CCBE-451A-9D92-C9ECA4E6A7D3}</author>
    <author>tc={5E8F7D6B-DCD6-42A0-88E4-5708BFED3914}</author>
    <author>tc={E30AEE6A-DD0C-4E8D-BE20-221095DBCBB2}</author>
    <author>tc={44291E2E-6A82-4340-9349-243BBC4C26F5}</author>
    <author>tc={9DD33958-EE31-4CF3-B413-FB0E5A199698}</author>
    <author>tc={47075A91-56D5-4CC3-9806-0E510A319289}</author>
    <author>tc={2B70C0EA-8D7C-40E1-ABBB-D148A52D90C3}</author>
    <author>tc={DBE210C8-EA86-466E-B1F1-F4E41CDBCF43}</author>
    <author>tc={034A4295-D09C-4639-8D13-50BB27F1C394}</author>
    <author>tc={3049DC2B-C018-4E91-9356-8372DA416B22}</author>
    <author>tc={47F3C429-0C49-48D5-A385-B7AAFE0D3420}</author>
    <author>tc={21B0BAA1-739C-4742-A94D-E52390A4BE1E}</author>
    <author>tc={C43F2C3A-4DAD-4F0C-A0BD-565852157E36}</author>
    <author>tc={51506D2C-8DC7-4EE2-B75E-131D7D7B8539}</author>
    <author>tc={8E602FDC-C171-406C-80E6-00111D4CE8D5}</author>
    <author>tc={CA773645-EBF0-4902-92C4-AC7572D52207}</author>
    <author>tc={89418DDA-A033-4E8D-821A-E98A4EF2BCE5}</author>
    <author>tc={3C6DA445-C1D2-476E-90E9-3568ED2B7CA7}</author>
    <author>tc={B35AAE0E-6729-4B72-AE40-45EA02823D24}</author>
    <author>tc={A4EDBA4D-DB7C-4242-B85D-8B285CCC5079}</author>
    <author>tc={443A8DD4-A37C-45E7-A9D7-29E504FFF458}</author>
    <author>tc={968FFF16-3F9A-44CA-8AEF-A29574721489}</author>
    <author>tc={36F25601-0F79-413C-907F-E8D4857F2EB2}</author>
    <author>tc={EF8BDF9C-D3C9-4B8C-B9B2-9F2E74FDEC68}</author>
    <author>tc={36C20D35-4994-42CA-8E7C-68F7B6F9B8B3}</author>
    <author>tc={9B1564BC-2B45-44E6-BF9E-B41702D8F85F}</author>
    <author>tc={6C40A8AC-11CB-47E1-AB8F-022B4B79474D}</author>
    <author>tc={391F6E36-93E1-495D-A201-5A6E01F6DD26}</author>
    <author>tc={27CA09F1-3EDC-48A9-8964-827922DA895F}</author>
    <author>tc={47454432-9B43-4AF7-A5B8-A68D5F63CD31}</author>
    <author>tc={B20F4279-8B1B-4C24-B1D8-049A4255CC21}</author>
    <author>tc={05FAF4E9-03C4-4D1D-8458-79CE936CBB64}</author>
    <author>tc={2D53A576-C6DE-4B22-ABFB-9BA08E85DA15}</author>
    <author>tc={F6872CD7-AA74-44FF-9E8D-698997C988E4}</author>
    <author>tc={F189895F-2FF6-41E2-8A30-9A8C0D6781A6}</author>
    <author>tc={14A9B9FD-8E98-441B-9A3F-7A6C04155AC7}</author>
    <author>tc={C5562AA0-6FC6-47C0-9C68-51260EB231EA}</author>
    <author>tc={4708A07D-C8D9-4B1C-A85A-5AF26920A7FC}</author>
    <author>tc={7C24657C-C0DC-4135-B687-252C5FEE48E1}</author>
    <author>tc={5E5F94EF-4961-49DC-8C99-C5D7FBFF289C}</author>
    <author>tc={3F6AED3C-9932-4FEF-8721-98BFF7961A89}</author>
    <author>tc={CEB131AE-176C-4C85-8A84-59E1CE6D5284}</author>
    <author>tc={ECE9813E-5AE7-4441-9529-FF1E3F172A74}</author>
    <author>tc={82F2BB1C-2F17-4DAD-A9D3-9CB269F9EF1D}</author>
    <author>tc={9C220A01-596C-4A8B-A80C-1A8F6B038F4D}</author>
    <author>tc={6F8B4F02-9921-4E57-8620-4F7BD42C949B}</author>
    <author>tc={C181626D-A8CB-466B-BF0D-AEF70A6662B7}</author>
    <author>tc={0A9F7246-FF6F-4D76-876D-D7F463992402}</author>
    <author>tc={BA9515A7-56E3-4005-921E-1794975DF2CE}</author>
    <author>tc={50F34617-A59F-4F41-BF5E-1D655BEB5590}</author>
    <author>tc={F7451A9F-CAD2-4665-BDE1-E6009C2C2003}</author>
    <author>tc={DA8F7E9E-E94A-4D72-AB91-46060E3BB95B}</author>
    <author>tc={10BC91FC-0F34-48CB-BD9B-564510B30335}</author>
    <author>tc={86F7ACCE-3775-44BD-80DF-3B6AAE1DA0C8}</author>
    <author>tc={D0E90ACE-BF28-455E-89D4-0C11DDB09640}</author>
    <author>tc={D45765D0-8F3C-43AC-B547-5983D4B8F1E5}</author>
    <author>tc={4D57B764-9C9B-4F83-AA7D-6C4131B7F290}</author>
    <author>tc={C09DDE61-0097-4CB2-99E9-8F8A0FFA014F}</author>
    <author>tc={59FCB966-CB3A-42B6-95D2-70E449EC003E}</author>
    <author>tc={E0995971-A5F5-4C6D-ADF2-D299E292C76B}</author>
    <author>tc={60825331-D553-4206-8F7D-9D0B73579681}</author>
    <author>tc={F529D5CB-F60D-4540-8A17-DC6579CC0CE8}</author>
    <author>tc={47E4F6F5-3A3B-4FB6-86DF-DB1560691197}</author>
    <author>tc={E3F49265-CE2B-43A0-9023-07093BAB11FD}</author>
    <author>tc={0A256619-84E7-43CA-8EB0-A7353F89E691}</author>
    <author>tc={81EDAEA5-D9A8-49BA-B7F4-4A0C76CBCF77}</author>
    <author>tc={0C514007-6686-40B1-B9D4-0186CBB3AC42}</author>
    <author>tc={1A689274-2A03-4595-8FB6-D623391FFCE1}</author>
    <author>tc={6566C461-82E7-4190-9AC9-E96D8D9A5B2C}</author>
    <author>tc={F0C05A8E-2A7D-412F-B223-6A566A0C97F7}</author>
    <author>tc={DABB5107-3C7E-4001-92B1-207AD4B9C577}</author>
    <author>tc={CEAFF163-A7CE-4F17-B103-53DBD6A3F374}</author>
    <author>tc={B93CDE93-A8DE-4A1F-827D-A2DBF3100D7B}</author>
    <author>tc={390CFFE7-F86A-457F-BAF7-5E7B1AAACC52}</author>
    <author>tc={94AF1A6D-993D-40D3-ABAF-4578A6678D7B}</author>
    <author>tc={D8082041-88A6-45FE-9CA9-CA952AFB6C87}</author>
    <author>tc={C180D19E-3F9A-40AF-85B2-B41AD23F8F36}</author>
    <author>tc={9DFC2858-E426-4E2C-B7A1-19BCE0916873}</author>
    <author>tc={AE8F7275-80A7-4BDC-9693-BE1232A4DD85}</author>
    <author>tc={952AA9BF-FC42-4EF7-8ECC-ED4A251A9481}</author>
    <author>tc={2D97EE38-F6A9-4E0A-9B55-0F86E7363CFB}</author>
    <author>tc={B5F2F37C-4B85-4DFD-A31E-BABB84CFA868}</author>
    <author>tc={6F42CEF0-020B-4A51-8566-4221503E540B}</author>
    <author>tc={8669C65D-6B0F-45A2-A070-7DC85DC1A870}</author>
    <author>tc={D81B9574-784F-43E7-9EFE-6DA50E14467C}</author>
    <author>tc={53A1D90E-8122-49B0-9F65-374B0E82B074}</author>
    <author>tc={140E6152-1E39-4874-8B4A-86A271DB5F49}</author>
    <author>tc={09F18FAA-E5BB-4946-95D2-27DC968840E1}</author>
    <author>tc={2B177BE2-10B3-4D4E-B028-DB28280AD29A}</author>
    <author>tc={FFA58D25-5B9B-41FD-A8C1-270E68AFC5A9}</author>
    <author>tc={8EF1A6F5-82DA-44D0-9F2A-8B7BD2E7E0D2}</author>
    <author>tc={FD5C14C0-AD24-45E5-A987-1E8738E5E0B3}</author>
    <author>tc={B6F08A00-918D-4822-A4D5-050D2D1642A0}</author>
    <author>tc={C4CF45AA-CE6E-4545-8B44-E5A01F4F6B72}</author>
    <author>tc={8E985564-E735-4F64-B424-533EE30D280B}</author>
    <author>tc={A7BA17CA-ED96-4C5C-9788-651E1618FC9F}</author>
    <author>tc={797E978F-CF78-4554-874F-31459503F222}</author>
    <author>tc={CD8CF76B-7A90-49BB-B481-BD669D6A52E1}</author>
    <author>tc={651751F4-CB5E-484D-8C09-20E4EE73A140}</author>
    <author>tc={ABFE7F4D-9E6C-46DC-865D-BC78303DCDBE}</author>
    <author>tc={60C7370A-A145-4AF0-B205-8AC716FB2E46}</author>
    <author>tc={5CDF5CBD-8618-4E88-AB9C-5868E113EC11}</author>
    <author>tc={F66F52EB-5B2E-44F6-B642-1A17676FC7F4}</author>
    <author>tc={CED6909D-1AC2-4E45-8C8D-CBE1DC265D7B}</author>
    <author>tc={F6F65DD4-1051-454D-95A1-AE96838F50EF}</author>
    <author>tc={C5EF4FA4-30F5-45CE-9525-70EEDB27A285}</author>
    <author>tc={5BE2F8D7-B234-4B6C-88DF-932D14E6408E}</author>
    <author>tc={9876F40F-ABBD-428D-9747-AD4A83FFD8D1}</author>
    <author>tc={E58F6B99-BFED-4E5B-A9AF-D54E67414785}</author>
    <author>tc={20C51E4E-7529-4F92-AA5B-B2F61C4F5F5A}</author>
    <author>tc={0B1BF845-0394-4ECA-9F62-CC776097B60F}</author>
    <author>tc={6326C98F-DDC3-4618-89E8-90134C21C8EA}</author>
    <author>tc={ACC40667-759E-4732-A1EB-F79016A8CAB4}</author>
    <author>tc={14A52D65-BB3B-4571-A9C3-5CE2BDD02671}</author>
    <author>tc={B54010E4-E788-424E-AD4B-247F87150731}</author>
    <author>tc={8964C99E-DACF-42CA-A5CE-20ACC74C7BA5}</author>
    <author>tc={116FF1BE-E973-4657-BCD6-B8192B15EC89}</author>
    <author>tc={B4744464-2D3F-48D6-96A6-0BD826533FA3}</author>
    <author>tc={A712DB8B-D127-495B-A52A-1508811185DF}</author>
    <author>tc={DE67E539-BC24-4ECB-923B-AF0C1ED7970B}</author>
    <author>tc={84804702-960C-4D74-A8B4-33B8F7ABEBAC}</author>
    <author>tc={0E1A7E36-31F2-46B7-B464-53C9FC4DB860}</author>
    <author>tc={28E9CF1F-8E38-4682-9C60-BC0A7CD468CF}</author>
    <author>tc={852E55C6-2AEA-4A62-88BD-6D9DE95BF950}</author>
    <author>tc={F2F3243D-C4A3-4EF9-88BE-EB0FCB760C3D}</author>
    <author>tc={FF29EA57-560E-4165-AF92-D8143A0543D1}</author>
    <author>tc={FAE4F78F-C4A7-4D56-9733-60D7D91CCE94}</author>
    <author>tc={D33697DE-FA21-4D1E-B40C-52B5F1F02499}</author>
    <author>tc={5F3CC54F-2FD0-4D37-A4B5-9AEA00924B1D}</author>
    <author>tc={BFEACD08-4A55-4775-B965-1B550A6855D7}</author>
    <author>tc={3B41B6D6-096A-4EF2-A5EB-953053A28AD8}</author>
    <author>tc={C0A5EC30-5397-4206-97C0-5FD31C390F8E}</author>
    <author>tc={6D4B555F-7593-40C0-8459-AAB413D93528}</author>
    <author>tc={652DFA61-5513-4CC4-A02F-7DCFCA6A9C9B}</author>
    <author>tc={63F8DB9B-98F9-4A7D-8397-65600803DFB5}</author>
    <author>tc={E331AD50-E4B6-461A-A897-A166BC8B8352}</author>
    <author>tc={28A87F16-77AF-443F-B8D4-259E40FDBC15}</author>
    <author>tc={CE2DDB17-9257-4306-BC67-7337F38A7785}</author>
    <author>tc={812922B7-AD15-49BE-A99C-0FC405B951F8}</author>
    <author>tc={FF1BA84C-93C4-4667-B2D6-3DD811AB6FCB}</author>
    <author>tc={264EB1A1-33FC-4ABC-8688-971985EBDAE8}</author>
    <author>tc={7E5BE654-2F9D-44DA-9E31-4699D9398D7A}</author>
    <author>tc={BBDDC576-FC9B-4719-9DB6-F5826AC337F0}</author>
    <author>tc={01C0463D-D5E3-4DF1-B136-B6DA089D3F4B}</author>
    <author>tc={1E0E1C94-62D9-4A03-85D6-F080940B1BAF}</author>
    <author>tc={4716FE21-F2C9-43C8-9140-9363CAC41709}</author>
    <author>tc={70F7AC39-3542-4E87-88CC-D6BD7B00C745}</author>
    <author>tc={F0924FF0-2C37-4841-A637-D2147B55650F}</author>
    <author>tc={D3D07F42-E959-421C-BDB4-1A067ED249AF}</author>
    <author>tc={6E2B8F5E-908E-4AD2-B767-79011862A76B}</author>
    <author>tc={49E2B0B4-FEE4-4A86-83B7-1E5330ADA723}</author>
    <author>tc={C0EEF08D-1EB8-473B-88CF-4CB3368D8248}</author>
    <author>tc={9E0F1506-3DB3-42D2-B97F-FF71AC7DF5C1}</author>
    <author>tc={34B47DB6-D255-46D8-AD80-12E1568DCEEB}</author>
    <author>tc={E66124FE-F318-42BA-A5EF-EC31957AE1A8}</author>
    <author>tc={19D82B55-8885-40F0-9F4C-6CB34C463491}</author>
    <author>tc={17B631E2-23C6-47FD-8759-4E8E7FA9DA1F}</author>
    <author>tc={EFB47913-2E7C-4571-907D-FD387E78200A}</author>
    <author>tc={CD7D5EBB-6863-4CA7-A6E9-CFF23BC37819}</author>
    <author>tc={36B93CEA-0634-471D-9B7A-3502625E8080}</author>
    <author>tc={982FB3E5-AE38-45FA-A4BB-D5E0B7A169BB}</author>
    <author>tc={B0B42C71-7028-4912-AB81-AC9C686C48A4}</author>
    <author>tc={E5F12F80-CC2E-48A7-84C3-C6C5FF6F19F6}</author>
    <author>tc={D267FBB6-BC61-48FE-B38C-13B68ADF6A74}</author>
    <author>tc={082D1C2F-2863-4DEC-8A8E-014D9FAF108C}</author>
    <author>tc={DBE831D1-B0F4-4F90-A0F6-290AA5868B15}</author>
    <author>tc={1B11F19C-CE86-4B3D-B1C7-58DCDD77FFFC}</author>
    <author>tc={307A8119-4134-4238-87F1-BC7556CC69C9}</author>
    <author>tc={6AB9ECA0-C84A-4649-B4F8-7D7B95F83619}</author>
    <author>tc={E02D1BA8-E4AE-4AC5-9C10-CAA8E6A46FF6}</author>
    <author>tc={9F71DA8C-E893-49F9-A794-9F6F131CBD03}</author>
    <author>tc={A05B7058-BC9E-4F18-83B2-53C43DF146C1}</author>
    <author>tc={344384E5-0518-48C0-900F-7D5A0EFD84AD}</author>
    <author>tc={DD542E40-B1BD-4B8E-8DD5-EAF64D550A46}</author>
    <author>tc={761C2BAD-03BD-4E5F-9C80-2A1083FCBBE3}</author>
    <author>tc={0F22299A-91EC-4425-9041-E208517B18FF}</author>
    <author>tc={FAED2A36-E06E-4599-93C0-BD4E5BAE43EF}</author>
    <author>tc={D96E3A0D-6889-4BFC-87ED-B0DE9BB94BFF}</author>
    <author>tc={9617CC77-1C50-4354-8779-C4D7D4FEDBD2}</author>
    <author>tc={9970859E-5409-4829-AB85-564D2A988612}</author>
    <author>tc={6CC07117-AD6B-45E2-9414-6776B69F04DA}</author>
    <author>tc={90F563F0-4F19-479F-BAE3-8A426BBEF504}</author>
    <author>tc={3721CABF-4D27-4B2D-8A5E-C9364ECB9E1B}</author>
    <author>tc={6CC7C574-B200-4E6A-80B2-52E05861C542}</author>
    <author>tc={477E6E4B-FDB5-4E88-A0F5-F3A815194A89}</author>
    <author>tc={578A02F3-1203-4372-8FC8-6F24B76C9397}</author>
    <author>tc={BC937AB2-33CB-465B-8B63-4F9BF71DB006}</author>
    <author>tc={5069819E-A266-4154-8B6A-3216CD28E9C9}</author>
    <author>tc={3702864C-3123-4A0D-AFF9-78821BBAAF8D}</author>
    <author>tc={A56A3F36-A23C-4019-85E9-B8F0D64807E0}</author>
    <author>tc={7AD2AA11-AC3B-408E-A0CE-7F7DAB2AA1DF}</author>
    <author>tc={C111D375-450C-4E7F-BB4B-7A1C2E7C97FC}</author>
    <author>tc={7B55DF66-1B3A-418B-95AA-729622099EF9}</author>
    <author>tc={CF6424D4-6CBD-4E8C-B719-D331CCCC84D5}</author>
    <author>tc={62A664D6-A2B0-4648-936C-EE6CEA509987}</author>
    <author>tc={27DB13A0-0D52-4031-9A7D-6CEC7AD022B9}</author>
    <author>tc={F5D0D2C8-A453-481E-A388-1F36846CB407}</author>
    <author>tc={09D2726A-0E73-475C-A4CA-ED3F5E245751}</author>
    <author>tc={26EEB238-18EC-480C-8D3F-566ABBD92BB5}</author>
    <author>tc={CACC4975-49DA-47BB-8A7D-409F34D49021}</author>
    <author>tc={FA15ACBE-6344-46FC-8F6E-2CE74C5E59F2}</author>
    <author>tc={4193FE1F-A3AB-4B7F-8635-12D1231F4B0A}</author>
    <author>tc={8919675B-C4E9-4952-BEEB-09757E6B0171}</author>
    <author>tc={AFAA3EC4-88B7-4B9A-A7D4-D4920E0DBC5E}</author>
    <author>tc={ED8E5865-C980-4AE6-AEAE-C25FC7EB5095}</author>
    <author>tc={3E3453CE-A435-47B8-8D73-999578AF0BF9}</author>
    <author>tc={FE31711C-1B2A-4883-81E4-A6F43F37DF12}</author>
    <author>tc={4C790BC3-3825-4AB5-B1C9-349E8565E015}</author>
    <author>tc={11B48124-5742-4737-A44A-27B264DB9D70}</author>
    <author>tc={A49E9C3D-65A7-4D99-BDF1-A043D101708D}</author>
    <author>tc={ADE77C21-63ED-4FE0-BF5E-6E71713FC68B}</author>
    <author>tc={3A269E93-813D-46F7-A7B4-6DB98725102C}</author>
    <author>tc={EB3432CC-B702-4E5E-87E0-CBF70D6884E5}</author>
    <author>tc={A2AADFA8-C3E9-4EB7-A8BE-97EBD485CB79}</author>
    <author>tc={AF4BD006-D17F-4B5F-8D6A-A4A8FE62750E}</author>
    <author>tc={05CA2A98-270C-4300-834D-2E024D32E52E}</author>
    <author>tc={EC0342A5-4285-400A-AA1D-D833C99020E8}</author>
    <author>tc={563DD66D-DC25-45FA-9E8F-CAA6A8D7EFB9}</author>
    <author>tc={AC187FC3-8371-4C0C-BCEA-0EE2BB55D4E4}</author>
    <author>tc={7DE2AE41-FA28-4142-9E23-1EBF1DBC1F26}</author>
    <author>tc={FEA81C08-C5C5-4617-99CD-DC3EB51FC42B}</author>
    <author>tc={4C4E72D0-0716-4C45-837C-F5EA409D9865}</author>
    <author>tc={25935738-185B-41BE-BE5E-702090ABD999}</author>
    <author>tc={D611218F-1E1D-4713-9414-D006180B7F44}</author>
    <author>tc={E365F560-4BFC-4D98-A89E-3A17B752BE6B}</author>
    <author>tc={E877AFE7-A3F7-4ECD-B047-4CCC7E192672}</author>
    <author>tc={3E1C738D-E8E5-41B9-918F-37135205A173}</author>
    <author>tc={01005146-C878-44E5-B32A-9F9FAC71D7F9}</author>
    <author>tc={D1105127-38B2-4E13-8BAC-AF0F5C1BCC0E}</author>
    <author>tc={032A943C-F113-4836-BAD7-925ECF9EFA44}</author>
    <author>tc={7C016095-9D62-41C3-98E3-9BA8739BAD6E}</author>
    <author>tc={84E20E13-DB2C-4BFF-8BE8-608660451FA1}</author>
    <author>tc={02F44C8B-B9B7-44D2-9F49-9AF7B9676F19}</author>
    <author>tc={79FCA843-BBC0-4899-BE66-8131F58032A1}</author>
    <author>tc={DC55E1B1-EB82-455E-88CB-161A9DBCE21F}</author>
    <author>tc={2B84D70A-AA18-4A46-B03F-09CA61D8C1D6}</author>
    <author>tc={7C179FFA-06CE-4FF7-B7BC-880FDF0E60DB}</author>
    <author>tc={0FE3F840-9724-4E45-AF63-ED4CFDBA0946}</author>
    <author>tc={25DCE52A-19F0-463D-8E82-E017D6AE840D}</author>
    <author>tc={AA142266-C730-4881-8A33-46A4BF761E50}</author>
  </authors>
  <commentList>
    <comment ref="AO5" authorId="0" shapeId="0" xr:uid="{445C61C0-13FD-494E-BABA-F7A31021ED8F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Sent Follow-up mail</t>
      </text>
    </comment>
    <comment ref="AP5" authorId="1" shapeId="0" xr:uid="{F6A1330A-E0BD-46AC-9A77-5CF816F7F03D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Chhaya: - Send Followup Email</t>
      </text>
    </comment>
    <comment ref="AQ5" authorId="2" shapeId="0" xr:uid="{633A152E-97A7-45B1-B9AB-673996780327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The agent informed that the query is currently in progress. My colleague is in discussion with the client and will update me by tomorrow</t>
      </text>
    </comment>
    <comment ref="AN6" authorId="3" shapeId="0" xr:uid="{24C257B7-7077-4887-B5CD-0C87C5B2EE23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 Send revised quotation on 15 Pax</t>
      </text>
    </comment>
    <comment ref="AN7" authorId="4" shapeId="0" xr:uid="{3EE2767C-B4EF-4864-8F78-7A98CA7BB95F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Chhaya:- Send Follow up email</t>
      </text>
    </comment>
    <comment ref="AO7" authorId="5" shapeId="0" xr:uid="{A7E838C5-BB5D-411F-940B-BFDDBE46A548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Sent Follow-up mail</t>
      </text>
    </comment>
    <comment ref="AN8" authorId="6" shapeId="0" xr:uid="{0E1FFC22-FDC9-4B2B-B5D2-01DFE0FD8D60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Followup email</t>
      </text>
    </comment>
    <comment ref="AO9" authorId="7" shapeId="0" xr:uid="{F2CD939A-A366-42CF-B022-FA190528ADCE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Sent Follow-up Mail</t>
      </text>
    </comment>
    <comment ref="AP9" authorId="8" shapeId="0" xr:uid="{98137FA9-65E7-4720-AD29-30671AA931C1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Sent Follow-up mail</t>
      </text>
    </comment>
    <comment ref="AN10" authorId="9" shapeId="0" xr:uid="{8978405D-AF78-4353-B1B3-DE1255231552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Chhaya:- Send revised quote budget</t>
      </text>
    </comment>
    <comment ref="AN13" authorId="10" shapeId="0" xr:uid="{D0DA46B3-6EB0-438A-98AF-1B0567E16772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Sent followup email</t>
      </text>
    </comment>
    <comment ref="AN14" authorId="11" shapeId="0" xr:uid="{6570C1BD-39A4-49CA-9FB3-F39CB2928477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Sent Follow-up mail</t>
      </text>
    </comment>
    <comment ref="AO14" authorId="12" shapeId="0" xr:uid="{400D2763-687F-4DE9-BBE9-BB7B76A038EB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Sent Follow-up Mail</t>
      </text>
    </comment>
    <comment ref="AN15" authorId="13" shapeId="0" xr:uid="{704FC011-69FA-4215-B584-BEFD9EC522D4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Sent Follow-up maiol</t>
      </text>
    </comment>
    <comment ref="AO15" authorId="14" shapeId="0" xr:uid="{FE22F96E-727C-4D18-93B7-1866953569A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Deeksha: Continue conversation with Ashish Sir on over the call </t>
      </text>
    </comment>
    <comment ref="AP15" authorId="15" shapeId="0" xr:uid="{F9523801-DA7C-4B0A-815D-C4DC9AE19F0F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Sent Follow-up mail</t>
      </text>
    </comment>
    <comment ref="AN16" authorId="16" shapeId="0" xr:uid="{2786866C-2DD5-4333-A24E-CFF0A83AC4F9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Sent Follow-up Mail</t>
      </text>
    </comment>
    <comment ref="AO16" authorId="17" shapeId="0" xr:uid="{C165CBBD-5539-4C35-8C85-696CA05FCD2D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Sent Follow-up Mail</t>
      </text>
    </comment>
    <comment ref="AP16" authorId="18" shapeId="0" xr:uid="{DF1BC803-5831-45B4-9298-CE95EAFD46E5}">
      <text>
        <t>[Threaded comment]
Your version of Excel allows you to read this threaded comment; however, any edits to it will get removed if the file is opened in a newer version of Excel. Learn more: https://go.microsoft.com/fwlink/?linkid=870924
Comment:
    Deeskha: No Update from Agent sent follow-up mail</t>
      </text>
    </comment>
    <comment ref="AN17" authorId="19" shapeId="0" xr:uid="{671FB720-2D27-4B0E-B551-C8E0911794C8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Continue Conversation with chhaya</t>
      </text>
    </comment>
    <comment ref="AO17" authorId="20" shapeId="0" xr:uid="{570246B7-CCBE-451A-9D92-C9ECA4E6A7D3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Sent Follow-up Mail</t>
      </text>
    </comment>
    <comment ref="AN18" authorId="21" shapeId="0" xr:uid="{5E8F7D6B-DCD6-42A0-88E4-5708BFED3914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Sent Follow-up Mail</t>
      </text>
    </comment>
    <comment ref="AO18" authorId="22" shapeId="0" xr:uid="{E30AEE6A-DD0C-4E8D-BE20-221095DBCBB2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Sent Follow-up mail</t>
      </text>
    </comment>
    <comment ref="AN19" authorId="23" shapeId="0" xr:uid="{44291E2E-6A82-4340-9349-243BBC4C26F5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Sent Follow-up mail</t>
      </text>
    </comment>
    <comment ref="AO19" authorId="24" shapeId="0" xr:uid="{9DD33958-EE31-4CF3-B413-FB0E5A199698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Sent Follow-up mail</t>
      </text>
    </comment>
    <comment ref="AN20" authorId="25" shapeId="0" xr:uid="{47075A91-56D5-4CC3-9806-0E510A319289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Sent Follow-up Mail</t>
      </text>
    </comment>
    <comment ref="AO20" authorId="26" shapeId="0" xr:uid="{2B70C0EA-8D7C-40E1-ABBB-D148A52D90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chhaya:-Send followup email
</t>
      </text>
    </comment>
    <comment ref="AN21" authorId="27" shapeId="0" xr:uid="{DBE210C8-EA86-466E-B1F1-F4E41CDBCF43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Sent Follow-up mail</t>
      </text>
    </comment>
    <comment ref="AO21" authorId="28" shapeId="0" xr:uid="{034A4295-D09C-4639-8D13-50BB27F1C394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Chhaya:- Send followup Email
Reply:
    Chhaya:- Agent Reply We are awaiting revert from agent kindly allow us some time </t>
      </text>
    </comment>
    <comment ref="AP21" authorId="29" shapeId="0" xr:uid="{3049DC2B-C018-4E91-9356-8372DA416B22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Chhaya:- Sent Followup Email</t>
      </text>
    </comment>
    <comment ref="AQ21" authorId="30" shapeId="0" xr:uid="{47F3C429-0C49-48D5-A385-B7AAFE0D3420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Deeksha; Sent Follow-up Mail</t>
      </text>
    </comment>
    <comment ref="AN22" authorId="31" shapeId="0" xr:uid="{21B0BAA1-739C-4742-A94D-E52390A4BE1E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Chhaya: Sent revised quote on 09 Mar'26</t>
      </text>
    </comment>
    <comment ref="AO22" authorId="32" shapeId="0" xr:uid="{C43F2C3A-4DAD-4F0C-A0BD-565852157E36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I will talk to the client and revert you.</t>
      </text>
    </comment>
    <comment ref="AP22" authorId="33" shapeId="0" xr:uid="{51506D2C-8DC7-4EE2-B75E-131D7D7B8539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Call Not Received</t>
      </text>
    </comment>
    <comment ref="AN23" authorId="34" shapeId="0" xr:uid="{8E602FDC-C171-406C-80E6-00111D4CE8D5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Followup Email</t>
      </text>
    </comment>
    <comment ref="AO23" authorId="35" shapeId="0" xr:uid="{CA773645-EBF0-4902-92C4-AC7572D52207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Followup Email</t>
      </text>
    </comment>
    <comment ref="AP24" authorId="36" shapeId="0" xr:uid="{89418DDA-A033-4E8D-821A-E98A4EF2BCE5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Client Drop the Plan</t>
      </text>
    </comment>
    <comment ref="AO26" authorId="37" shapeId="0" xr:uid="{3C6DA445-C1D2-476E-90E9-3568ED2B7CA7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Agent spoke to client Client placed package on hold for June</t>
      </text>
    </comment>
    <comment ref="AN27" authorId="38" shapeId="0" xr:uid="{B35AAE0E-6729-4B72-AE40-45EA02823D24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Chhaya:- Send followup Email</t>
      </text>
    </comment>
    <comment ref="AO27" authorId="39" shapeId="0" xr:uid="{A4EDBA4D-DB7C-4242-B85D-8B285CCC5079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Chhaya:- Send followup email</t>
      </text>
    </comment>
    <comment ref="AN28" authorId="40" shapeId="0" xr:uid="{443A8DD4-A37C-45E7-A9D7-29E504FFF458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Chhaya:- I'll revert you after talking to the client.</t>
      </text>
    </comment>
    <comment ref="AN29" authorId="41" shapeId="0" xr:uid="{968FFF16-3F9A-44CA-8AEF-A29574721489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The flight fare is very high, so talk to the client and I will inform you.</t>
      </text>
    </comment>
    <comment ref="AO30" authorId="42" shapeId="0" xr:uid="{36F25601-0F79-413C-907F-E8D4857F2EB2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The agent has not received any response from the client</t>
      </text>
    </comment>
    <comment ref="AN32" authorId="43" shapeId="0" xr:uid="{EF8BDF9C-D3C9-4B8C-B9B2-9F2E74FDEC68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Followps email</t>
      </text>
    </comment>
    <comment ref="AO34" authorId="44" shapeId="0" xr:uid="{36C20D35-4994-42CA-8E7C-68F7B6F9B8B3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Sent Follow-up Mail</t>
      </text>
    </comment>
    <comment ref="AO35" authorId="45" shapeId="0" xr:uid="{9B1564BC-2B45-44E6-BF9E-B41702D8F85F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Chhaya:- Send followup email</t>
      </text>
    </comment>
    <comment ref="AO36" authorId="46" shapeId="0" xr:uid="{6C40A8AC-11CB-47E1-AB8F-022B4B79474D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Sent Follow-up</t>
      </text>
    </comment>
    <comment ref="AO37" authorId="47" shapeId="0" xr:uid="{391F6E36-93E1-495D-A201-5A6E01F6DD26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Sent Follow-up</t>
      </text>
    </comment>
    <comment ref="AP37" authorId="48" shapeId="0" xr:uid="{27CA09F1-3EDC-48A9-8964-827922DA895F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Chhaya:- On Call Followup Informed us that no update has been received from the client yet.</t>
      </text>
    </comment>
    <comment ref="AO38" authorId="49" shapeId="0" xr:uid="{47454432-9B43-4AF7-A5B8-A68D5F63CD31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The agent has informed us that no update has been received from the client yet.</t>
      </text>
    </comment>
    <comment ref="AO39" authorId="50" shapeId="0" xr:uid="{B20F4279-8B1B-4C24-B1D8-049A4255CC21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The agent has informed that no response has been received from the client yet.”</t>
      </text>
    </comment>
    <comment ref="AP39" authorId="51" shapeId="0" xr:uid="{05FAF4E9-03C4-4D1D-8458-79CE936CBB6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Chhaya :- The agent hasn't received a response from the client yet </t>
      </text>
    </comment>
    <comment ref="AQ39" authorId="52" shapeId="0" xr:uid="{2D53A576-C6DE-4B22-ABFB-9BA08E85DA15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Agent Not received my call Sent Follow-up mail</t>
      </text>
    </comment>
    <comment ref="AO40" authorId="53" shapeId="0" xr:uid="{F6872CD7-AA74-44FF-9E8D-698997C988E4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Agent not Received my call Sent Follow-up mail</t>
      </text>
    </comment>
    <comment ref="AP40" authorId="54" shapeId="0" xr:uid="{F189895F-2FF6-41E2-8A30-9A8C0D6781A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Chhaya:- Call Not Received Sent Followup email </t>
      </text>
    </comment>
    <comment ref="AQ40" authorId="55" shapeId="0" xr:uid="{14A9B9FD-8E98-441B-9A3F-7A6C04155AC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Chhaya :- Call not attend Send followup </t>
      </text>
    </comment>
    <comment ref="AN43" authorId="56" shapeId="0" xr:uid="{C5562AA0-6FC6-47C0-9C68-51260EB231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revised
Reply:
    16 May 2026</t>
      </text>
    </comment>
    <comment ref="AO43" authorId="57" shapeId="0" xr:uid="{4708A07D-C8D9-4B1C-A85A-5AF26920A7F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Deeksha: Agent have no update from the client </t>
      </text>
    </comment>
    <comment ref="AP43" authorId="58" shapeId="0" xr:uid="{7C24657C-C0DC-4135-B687-252C5FEE48E1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Sent Followup Email</t>
      </text>
    </comment>
    <comment ref="AQ43" authorId="59" shapeId="0" xr:uid="{5E5F94EF-4961-49DC-8C99-C5D7FBFF289C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Chhaya: I spoke to the agent and was informed that the client has selected a other destination.</t>
      </text>
    </comment>
    <comment ref="AO44" authorId="60" shapeId="0" xr:uid="{3F6AED3C-9932-4FEF-8721-98BFF7961A89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The agent has not received any reply from the client yet.</t>
      </text>
    </comment>
    <comment ref="AP44" authorId="61" shapeId="0" xr:uid="{CEB131AE-176C-4C85-8A84-59E1CE6D5284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Chhaya:- Send followup email</t>
      </text>
    </comment>
    <comment ref="AO46" authorId="62" shapeId="0" xr:uid="{ECE9813E-5AE7-4441-9529-FF1E3F172A74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:-Agent reply: I spoke to the client and followed up, but not convert. </t>
      </text>
    </comment>
    <comment ref="AP46" authorId="63" shapeId="0" xr:uid="{82F2BB1C-2F17-4DAD-A9D3-9CB269F9EF1D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Agent Not Received my Call sent Follow-up mail</t>
      </text>
    </comment>
    <comment ref="AN59" authorId="64" shapeId="0" xr:uid="{9C220A01-596C-4A8B-A80C-1A8F6B038F4D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followup Email</t>
      </text>
    </comment>
    <comment ref="AO59" authorId="65" shapeId="0" xr:uid="{6F8B4F02-9921-4E57-8620-4F7BD42C949B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followup email</t>
      </text>
    </comment>
    <comment ref="AP59" authorId="66" shapeId="0" xr:uid="{C181626D-A8CB-466B-BF0D-AEF70A6662B7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followup email</t>
      </text>
    </comment>
    <comment ref="AN61" authorId="67" shapeId="0" xr:uid="{0A9F7246-FF6F-4D76-876D-D7F463992402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 up Email</t>
      </text>
    </comment>
    <comment ref="AO61" authorId="68" shapeId="0" xr:uid="{BA9515A7-56E3-4005-921E-1794975DF2CE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:-No response from the client</t>
      </text>
    </comment>
    <comment ref="AN62" authorId="69" shapeId="0" xr:uid="{50F34617-A59F-4F41-BF5E-1D655BEB5590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Chhaya:- Send followup email</t>
      </text>
    </comment>
    <comment ref="AN63" authorId="70" shapeId="0" xr:uid="{F7451A9F-CAD2-4665-BDE1-E6009C2C2003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
I will speak to the customer and let you know.</t>
      </text>
    </comment>
    <comment ref="AN64" authorId="71" shapeId="0" xr:uid="{DA8F7E9E-E94A-4D72-AB91-46060E3BB95B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followup email</t>
      </text>
    </comment>
    <comment ref="AO65" authorId="72" shapeId="0" xr:uid="{10BC91FC-0F34-48CB-BD9B-564510B30335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Client to not any reply</t>
      </text>
    </comment>
    <comment ref="AP65" authorId="73" shapeId="0" xr:uid="{86F7ACCE-3775-44BD-80DF-3B6AAE1DA0C8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Agent Not Received my Call Sent Follow-up Mail</t>
      </text>
    </comment>
    <comment ref="AN67" authorId="74" shapeId="0" xr:uid="{D0E90ACE-BF28-455E-89D4-0C11DDB09640}">
      <text>
        <t>[Threaded comment]
Your version of Excel allows you to read this threaded comment; however, any edits to it will get removed if the file is opened in a newer version of Excel. Learn more: https://go.microsoft.com/fwlink/?linkid=870924
Comment:
    Send Revised quote</t>
      </text>
    </comment>
    <comment ref="AN71" authorId="75" shapeId="0" xr:uid="{D45765D0-8F3C-43AC-B547-5983D4B8F1E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Chhaya :- Send Revised Quote </t>
      </text>
    </comment>
    <comment ref="AO71" authorId="76" shapeId="0" xr:uid="{4D57B764-9C9B-4F83-AA7D-6C4131B7F290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followup email</t>
      </text>
    </comment>
    <comment ref="AP71" authorId="77" shapeId="0" xr:uid="{C09DDE61-0097-4CB2-99E9-8F8A0FFA014F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We have not received any update from the client, and after discussing with the agent, it seems they are also not very interested.</t>
      </text>
    </comment>
    <comment ref="AN72" authorId="78" shapeId="0" xr:uid="{59FCB966-CB3A-42B6-95D2-70E449EC003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Chhaya :- Send Revised Quote </t>
      </text>
    </comment>
    <comment ref="AN73" authorId="79" shapeId="0" xr:uid="{E0995971-A5F5-4C6D-ADF2-D299E292C76B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Agent not received my call sent Follow-up mail</t>
      </text>
    </comment>
    <comment ref="AO73" authorId="80" shapeId="0" xr:uid="{60825331-D553-4206-8F7D-9D0B7357968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Chhaya :- Send followup emal
</t>
      </text>
    </comment>
    <comment ref="AO75" authorId="81" shapeId="0" xr:uid="{F529D5CB-F60D-4540-8A17-DC6579CC0CE8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Agent Not received my call sent follow-up mail</t>
      </text>
    </comment>
    <comment ref="AO77" authorId="82" shapeId="0" xr:uid="{47E4F6F5-3A3B-4FB6-86DF-DB1560691197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Agent have no update from Client</t>
      </text>
    </comment>
    <comment ref="AN78" authorId="83" shapeId="0" xr:uid="{E3F49265-CE2B-43A0-9023-07093BAB11FD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followup email</t>
      </text>
    </comment>
    <comment ref="AO78" authorId="84" shapeId="0" xr:uid="{0A256619-84E7-43CA-8EB0-A7353F89E691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Varshada Ma'am is not available in the office, so we have sent her an email.</t>
      </text>
    </comment>
    <comment ref="AP78" authorId="85" shapeId="0" xr:uid="{81EDAEA5-D9A8-49BA-B7F4-4A0C76CBCF77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Chhaya:- Agent (On call) I haven't spoken to the client yet, I'll talk to them and give you an update.</t>
      </text>
    </comment>
    <comment ref="AN79" authorId="86" shapeId="0" xr:uid="{0C514007-6686-40B1-B9D4-0186CBB3AC42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Chhaya:- I have spoken to the client and it has been confirmed, I just need to make a few minor changes.</t>
      </text>
    </comment>
    <comment ref="AO79" authorId="87" shapeId="0" xr:uid="{1A689274-2A03-4595-8FB6-D623391FFCE1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Chhaya:- Send followup email</t>
      </text>
    </comment>
    <comment ref="AN81" authorId="88" shapeId="0" xr:uid="{6566C461-82E7-4190-9AC9-E96D8D9A5B2C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Chhaya:- I haven't spoken to the agent, Clint said he'll talk to you and get back to you.</t>
      </text>
    </comment>
    <comment ref="AO81" authorId="89" shapeId="0" xr:uid="{F0C05A8E-2A7D-412F-B223-6A566A0C97F7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The agent has not received any reply from the client yet.</t>
      </text>
    </comment>
    <comment ref="AN82" authorId="90" shapeId="0" xr:uid="{DABB5107-3C7E-4001-92B1-207AD4B9C57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Chhaya: Agent I will call back after some time. </t>
      </text>
    </comment>
    <comment ref="AO82" authorId="91" shapeId="0" xr:uid="{CEAFF163-A7CE-4F17-B103-53DBD6A3F374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Chhaya:- The agent asked me to call on Monday.</t>
      </text>
    </comment>
    <comment ref="AN83" authorId="92" shapeId="0" xr:uid="{B93CDE93-A8DE-4A1F-827D-A2DBF3100D7B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Chhaya:- I will get back to you as soon as that customer responds.</t>
      </text>
    </comment>
    <comment ref="AO83" authorId="93" shapeId="0" xr:uid="{390CFFE7-F86A-457F-BAF7-5E7B1AAACC52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Chhaya:- Send followup email</t>
      </text>
    </comment>
    <comment ref="AP83" authorId="94" shapeId="0" xr:uid="{94AF1A6D-993D-40D3-ABAF-4578A6678D7B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Chhaya:- Send Followup emal</t>
      </text>
    </comment>
    <comment ref="AN84" authorId="95" shapeId="0" xr:uid="{D8082041-88A6-45FE-9CA9-CA952AFB6C87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Followups Email</t>
      </text>
    </comment>
    <comment ref="AO85" authorId="96" shapeId="0" xr:uid="{C180D19E-3F9A-40AF-85B2-B41AD23F8F36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followup Email</t>
      </text>
    </comment>
    <comment ref="AN86" authorId="97" shapeId="0" xr:uid="{9DFC2858-E426-4E2C-B7A1-19BCE0916873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Followups Email</t>
      </text>
    </comment>
    <comment ref="AO88" authorId="98" shapeId="0" xr:uid="{AE8F7275-80A7-4BDC-9693-BE1232A4DD85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On call agent, I will speak to the client and update you.</t>
      </text>
    </comment>
    <comment ref="AN89" authorId="99" shapeId="0" xr:uid="{952AA9BF-FC42-4EF7-8ECC-ED4A251A9481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Chhaya:- Send followup email</t>
      </text>
    </comment>
    <comment ref="AN90" authorId="100" shapeId="0" xr:uid="{2D97EE38-F6A9-4E0A-9B55-0F86E7363CFB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Guest has postponed his trip due to his relative flight has changed.</t>
      </text>
    </comment>
    <comment ref="AN91" authorId="101" shapeId="0" xr:uid="{B5F2F37C-4B85-4DFD-A31E-BABB84CFA86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Chhaya:- Send followup emails
</t>
      </text>
    </comment>
    <comment ref="AN92" authorId="102" shapeId="0" xr:uid="{6F42CEF0-020B-4A51-8566-4221503E540B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Chhaya:- On call agent, the dates for this event have changed and I will let you know</t>
      </text>
    </comment>
    <comment ref="AO92" authorId="103" shapeId="0" xr:uid="{8669C65D-6B0F-45A2-A070-7DC85DC1A870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Chhaya:- Agent Reply Customer still not confirmed yet after the confirmation, I'll update you.</t>
      </text>
    </comment>
    <comment ref="AP92" authorId="104" shapeId="0" xr:uid="{D81B9574-784F-43E7-9EFE-6DA50E14467C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Followup email</t>
      </text>
    </comment>
    <comment ref="AN93" authorId="105" shapeId="0" xr:uid="{53A1D90E-8122-49B0-9F65-374B0E82B074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followps email</t>
      </text>
    </comment>
    <comment ref="AO93" authorId="106" shapeId="0" xr:uid="{140E6152-1E39-4874-8B4A-86A271DB5F49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Agent have no update from the client</t>
      </text>
    </comment>
    <comment ref="AN94" authorId="107" shapeId="0" xr:uid="{09F18FAA-E5BB-4946-95D2-27DC968840E1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Chhaya:- Sent Followup Email</t>
      </text>
    </comment>
    <comment ref="AO94" authorId="108" shapeId="0" xr:uid="{2B177BE2-10B3-4D4E-B028-DB28280AD29A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Agent cancel The Tour</t>
      </text>
    </comment>
    <comment ref="AN96" authorId="109" shapeId="0" xr:uid="{FFA58D25-5B9B-41FD-A8C1-270E68AFC5A9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 Agent reply I am in talks with the client and will update soon..</t>
      </text>
    </comment>
    <comment ref="AO97" authorId="110" shapeId="0" xr:uid="{8EF1A6F5-82DA-44D0-9F2A-8B7BD2E7E0D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Deeksha: Agent have no update from the client </t>
      </text>
    </comment>
    <comment ref="AP97" authorId="111" shapeId="0" xr:uid="{FD5C14C0-AD24-45E5-A987-1E8738E5E0B3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followup email</t>
      </text>
    </comment>
    <comment ref="AO98" authorId="112" shapeId="0" xr:uid="{B6F08A00-918D-4822-A4D5-050D2D1642A0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Sent Follow-up mail</t>
      </text>
    </comment>
    <comment ref="AP98" authorId="113" shapeId="0" xr:uid="{C4CF45AA-CE6E-4545-8B44-E5A01F4F6B72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chhaya:- send followup email
Reply:
    Agent replay :- guests are deciding/managing their leaves that’s why taking time and will update final soon.</t>
      </text>
    </comment>
    <comment ref="AO100" authorId="114" shapeId="0" xr:uid="{8E985564-E735-4F64-B424-533EE30D280B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Followup email</t>
      </text>
    </comment>
    <comment ref="AO101" authorId="115" shapeId="0" xr:uid="{A7BA17CA-ED96-4C5C-9788-651E1618FC9F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Sent Follow-up email</t>
      </text>
    </comment>
    <comment ref="AP101" authorId="116" shapeId="0" xr:uid="{797E978F-CF78-4554-874F-31459503F222}">
      <text>
        <t>[Threaded comment]
Your version of Excel allows you to read this threaded comment; however, any edits to it will get removed if the file is opened in a newer version of Excel. Learn more: https://go.microsoft.com/fwlink/?linkid=870924
Comment:
     chhaya :- Send followup email</t>
      </text>
    </comment>
    <comment ref="AO103" authorId="117" shapeId="0" xr:uid="{CD8CF76B-7A90-49BB-B481-BD669D6A52E1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Agent not received my call sent follow-up mail</t>
      </text>
    </comment>
    <comment ref="AO106" authorId="118" shapeId="0" xr:uid="{651751F4-CB5E-484D-8C09-20E4EE73A140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Agent Update on Email</t>
      </text>
    </comment>
    <comment ref="AP106" authorId="119" shapeId="0" xr:uid="{ABFE7F4D-9E6C-46DC-865D-BC78303DCDB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Chhaya :- Send followp emal </t>
      </text>
    </comment>
    <comment ref="AO107" authorId="120" shapeId="0" xr:uid="{60C7370A-A145-4AF0-B205-8AC716FB2E46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followp Email</t>
      </text>
    </comment>
    <comment ref="AN108" authorId="121" shapeId="0" xr:uid="{5CDF5CBD-8618-4E88-AB9C-5868E113EC11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followup emal</t>
      </text>
    </comment>
    <comment ref="AN109" authorId="122" shapeId="0" xr:uid="{F66F52EB-5B2E-44F6-B642-1A17676FC7F4}">
      <text>
        <t>[Threaded comment]
Your version of Excel allows you to read this threaded comment; however, any edits to it will get removed if the file is opened in a newer version of Excel. Learn more: https://go.microsoft.com/fwlink/?linkid=870924
Comment:
    Bhumika: Send revised to qurot</t>
      </text>
    </comment>
    <comment ref="AP109" authorId="123" shapeId="0" xr:uid="{CED6909D-1AC2-4E45-8C8D-CBE1DC265D7B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Sent Follow-up Mail</t>
      </text>
    </comment>
    <comment ref="AQ109" authorId="124" shapeId="0" xr:uid="{F6F65DD4-1051-454D-95A1-AE96838F50EF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Chhaya:- Send followup Email</t>
      </text>
    </comment>
    <comment ref="AN110" authorId="125" shapeId="0" xr:uid="{C5EF4FA4-30F5-45CE-9525-70EEDB27A285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followup email</t>
      </text>
    </comment>
    <comment ref="AO110" authorId="126" shapeId="0" xr:uid="{5BE2F8D7-B234-4B6C-88DF-932D14E6408E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chhaya:- The agent says that confirmation has not been received from the client; they have planned for the month of October.</t>
      </text>
    </comment>
    <comment ref="AN112" authorId="127" shapeId="0" xr:uid="{9876F40F-ABBD-428D-9747-AD4A83FFD8D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chhaya :- Send followup email
</t>
      </text>
    </comment>
    <comment ref="AN113" authorId="128" shapeId="0" xr:uid="{E58F6B99-BFED-4E5B-A9AF-D54E67414785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follow-up agent stated on the call that this query has been closed.</t>
      </text>
    </comment>
    <comment ref="AO113" authorId="129" shapeId="0" xr:uid="{20C51E4E-7529-4F92-AA5B-B2F61C4F5F5A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The agent stated that the client has closed the inquiry because VIP entry tickets have been unavailable since the Sawan.</t>
      </text>
    </comment>
    <comment ref="AO114" authorId="130" shapeId="0" xr:uid="{0B1BF845-0394-4ECA-9F62-CC776097B60F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 up emal</t>
      </text>
    </comment>
    <comment ref="AP114" authorId="131" shapeId="0" xr:uid="{6326C98F-DDC3-4618-89E8-90134C21C8EA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Call not response send followup email</t>
      </text>
    </comment>
    <comment ref="AN117" authorId="132" shapeId="0" xr:uid="{ACC40667-759E-4732-A1EB-F79016A8CAB4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Followup Email</t>
      </text>
    </comment>
    <comment ref="AO117" authorId="133" shapeId="0" xr:uid="{14A52D65-BB3B-4571-A9C3-5CE2BDD02671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Chhaya: The query is still under process. We have not yet received any confirmation from the client.</t>
      </text>
    </comment>
    <comment ref="AO118" authorId="134" shapeId="0" xr:uid="{B54010E4-E788-424E-AD4B-247F87150731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Agent Not received my call Sent Follow-up Mail</t>
      </text>
    </comment>
    <comment ref="AP118" authorId="135" shapeId="0" xr:uid="{8964C99E-DACF-42CA-A5CE-20ACC74C7BA5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followup call not attend 
Reply:
    Agent :- There hasn't been any response from the clinet yet; I will let you know if there is a positive response.</t>
      </text>
    </comment>
    <comment ref="AN120" authorId="136" shapeId="0" xr:uid="{116FF1BE-E973-4657-BCD6-B8192B15EC89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Followup Email</t>
      </text>
    </comment>
    <comment ref="AO120" authorId="137" shapeId="0" xr:uid="{B4744464-2D3F-48D6-96A6-0BD826533FA3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Followup email</t>
      </text>
    </comment>
    <comment ref="AP120" authorId="138" shapeId="0" xr:uid="{A712DB8B-D127-495B-A52A-1508811185DF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Client budget very low</t>
      </text>
    </comment>
    <comment ref="AN122" authorId="139" shapeId="0" xr:uid="{DE67E539-BC24-4ECB-923B-AF0C1ED7970B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Followup email</t>
      </text>
    </comment>
    <comment ref="AN123" authorId="140" shapeId="0" xr:uid="{84804702-960C-4D74-A8B4-33B8F7ABEBAC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 Send Followup email</t>
      </text>
    </comment>
    <comment ref="AN124" authorId="141" shapeId="0" xr:uid="{0E1A7E36-31F2-46B7-B464-53C9FC4DB860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revised quote</t>
      </text>
    </comment>
    <comment ref="AN125" authorId="142" shapeId="0" xr:uid="{28E9CF1F-8E38-4682-9C60-BC0A7CD468CF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 up email  (There is no contact number.)</t>
      </text>
    </comment>
    <comment ref="AO128" authorId="143" shapeId="0" xr:uid="{852E55C6-2AEA-4A62-88BD-6D9DE95BF950}">
      <text>
        <t>[Threaded comment]
Your version of Excel allows you to read this threaded comment; however, any edits to it will get removed if the file is opened in a newer version of Excel. Learn more: https://go.microsoft.com/fwlink/?linkid=870924
Comment:
    Sent Follow-up Mail</t>
      </text>
    </comment>
    <comment ref="AP128" authorId="144" shapeId="0" xr:uid="{F2F3243D-C4A3-4EF9-88BE-EB0FCB760C3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Deeksha: Agent not received my call i Sent Follow-up </t>
      </text>
    </comment>
    <comment ref="AN130" authorId="145" shapeId="0" xr:uid="{FF29EA57-560E-4165-AF92-D8143A0543D1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followup email</t>
      </text>
    </comment>
    <comment ref="AN131" authorId="146" shapeId="0" xr:uid="{FAE4F78F-C4A7-4D56-9733-60D7D91CCE9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Chhaya :-On Call agent
I will get an update from the client and inform you. </t>
      </text>
    </comment>
    <comment ref="AN132" authorId="147" shapeId="0" xr:uid="{D33697DE-FA21-4D1E-B40C-52B5F1F02499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followp email</t>
      </text>
    </comment>
    <comment ref="AO132" authorId="148" shapeId="0" xr:uid="{5F3CC54F-2FD0-4D37-A4B5-9AEA00924B1D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Followp Email</t>
      </text>
    </comment>
    <comment ref="AP132" authorId="149" shapeId="0" xr:uid="{BFEACD08-4A55-4775-B965-1B550A6855D7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followup email</t>
      </text>
    </comment>
    <comment ref="AN133" authorId="150" shapeId="0" xr:uid="{3B41B6D6-096A-4EF2-A5EB-953053A28AD8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On Call agent
I will get an update from the client and inform you.</t>
      </text>
    </comment>
    <comment ref="AO133" authorId="151" shapeId="0" xr:uid="{C0A5EC30-5397-4206-97C0-5FD31C390F8E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Agent dont have any update from the client</t>
      </text>
    </comment>
    <comment ref="AN134" authorId="152" shapeId="0" xr:uid="{6D4B555F-7593-40C0-8459-AAB413D93528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folowup email</t>
      </text>
    </comment>
    <comment ref="AO134" authorId="153" shapeId="0" xr:uid="{652DFA61-5513-4CC4-A02F-7DCFCA6A9C9B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folowup email</t>
      </text>
    </comment>
    <comment ref="AO135" authorId="154" shapeId="0" xr:uid="{63F8DB9B-98F9-4A7D-8397-65600803DFB5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Sent Follow-up Mail</t>
      </text>
    </comment>
    <comment ref="AO136" authorId="155" shapeId="0" xr:uid="{E331AD50-E4B6-461A-A897-A166BC8B8352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Sent follow-up mail</t>
      </text>
    </comment>
    <comment ref="AO139" authorId="156" shapeId="0" xr:uid="{28A87F16-77AF-443F-B8D4-259E40FDBC15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Sent Follow-up</t>
      </text>
    </comment>
    <comment ref="AN145" authorId="157" shapeId="0" xr:uid="{CE2DDB17-9257-4306-BC67-7337F38A7785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followup email</t>
      </text>
    </comment>
    <comment ref="AO150" authorId="158" shapeId="0" xr:uid="{812922B7-AD15-49BE-A99C-0FC405B951F8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Chhaya:- Send Followup Email</t>
      </text>
    </comment>
    <comment ref="AP150" authorId="159" shapeId="0" xr:uid="{FF1BA84C-93C4-4667-B2D6-3DD811AB6FCB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followp Email</t>
      </text>
    </comment>
    <comment ref="AN157" authorId="160" shapeId="0" xr:uid="{264EB1A1-33FC-4ABC-8688-971985EBDAE8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The agent has informed me that the client hasn't responded yet; I will let you know after speaking with them.</t>
      </text>
    </comment>
    <comment ref="AO157" authorId="161" shapeId="0" xr:uid="{7E5BE654-2F9D-44DA-9E31-4699D9398D7A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followup Email</t>
      </text>
    </comment>
    <comment ref="AO158" authorId="162" shapeId="0" xr:uid="{BBDDC576-FC9B-4719-9DB6-F5826AC337F0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Sent Follow-up Mail</t>
      </text>
    </comment>
    <comment ref="AO159" authorId="163" shapeId="0" xr:uid="{01C0463D-D5E3-4DF1-B136-B6DA089D3F4B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followup email</t>
      </text>
    </comment>
    <comment ref="AN176" authorId="164" shapeId="0" xr:uid="{1E0E1C94-62D9-4A03-85D6-F080940B1BAF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followup email</t>
      </text>
    </comment>
    <comment ref="AO180" authorId="165" shapeId="0" xr:uid="{4716FE21-F2C9-43C8-9140-9363CAC41709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The agent has not received any reply from the client yet.</t>
      </text>
    </comment>
    <comment ref="AP180" authorId="166" shapeId="0" xr:uid="{70F7AC39-3542-4E87-88CC-D6BD7B00C745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Agent Response They postponed their plan</t>
      </text>
    </comment>
    <comment ref="AO184" authorId="167" shapeId="0" xr:uid="{F0924FF0-2C37-4841-A637-D2147B55650F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followup email</t>
      </text>
    </comment>
    <comment ref="AP184" authorId="168" shapeId="0" xr:uid="{D3D07F42-E959-421C-BDB4-1A067ED249AF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Sent Follow-up mail</t>
      </text>
    </comment>
    <comment ref="AQ184" authorId="169" shapeId="0" xr:uid="{6E2B8F5E-908E-4AD2-B767-79011862A76B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The agent said to send a WhatsApp message; he'll check the quotation and let me know.</t>
      </text>
    </comment>
    <comment ref="AO198" authorId="170" shapeId="0" xr:uid="{49E2B0B4-FEE4-4A86-83B7-1E5330ADA723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Sent follow-up mail</t>
      </text>
    </comment>
    <comment ref="AP198" authorId="171" shapeId="0" xr:uid="{C0EEF08D-1EB8-473B-88CF-4CB3368D8248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I have spoken to the agent, but there is no response from the client yet. I will speak to the client and then let you know.</t>
      </text>
    </comment>
    <comment ref="AN203" authorId="172" shapeId="0" xr:uid="{9E0F1506-3DB3-42D2-B97F-FF71AC7DF5C1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Chhaya: We spoke on the call; she said she would call me back after speaking to the client.</t>
      </text>
    </comment>
    <comment ref="AO204" authorId="173" shapeId="0" xr:uid="{34B47DB6-D255-46D8-AD80-12E1568DCEEB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followup email</t>
      </text>
    </comment>
    <comment ref="AN206" authorId="174" shapeId="0" xr:uid="{E66124FE-F318-42BA-A5EF-EC31957AE1A8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reveised quote</t>
      </text>
    </comment>
    <comment ref="AN209" authorId="175" shapeId="0" xr:uid="{19D82B55-8885-40F0-9F4C-6CB34C463491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client is still pending about confirming
Reply:
    Chhaya :- Send revised quote</t>
      </text>
    </comment>
    <comment ref="AO209" authorId="176" shapeId="0" xr:uid="{17B631E2-23C6-47FD-8759-4E8E7FA9DA1F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followup email</t>
      </text>
    </comment>
    <comment ref="AN217" authorId="177" shapeId="0" xr:uid="{EFB47913-2E7C-4571-907D-FD387E7820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Chhaya :- Send followup email </t>
      </text>
    </comment>
    <comment ref="AN218" authorId="178" shapeId="0" xr:uid="{CD7D5EBB-6863-4CA7-A6E9-CFF23BC37819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followup Email</t>
      </text>
    </comment>
    <comment ref="AO219" authorId="179" shapeId="0" xr:uid="{36B93CEA-0634-471D-9B7A-3502625E8080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There has been no update from the client.</t>
      </text>
    </comment>
    <comment ref="AP219" authorId="180" shapeId="0" xr:uid="{982FB3E5-AE38-45FA-A4BB-D5E0B7A169BB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There has been no update from the client.</t>
      </text>
    </comment>
    <comment ref="AQ219" authorId="181" shapeId="0" xr:uid="{B0B42C71-7028-4912-AB81-AC9C686C48A4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Sent Follow-up
Reply:
    Chhaya :- I spoke to the agent; Clint is not answering the agent's calls.</t>
      </text>
    </comment>
    <comment ref="AN220" authorId="182" shapeId="0" xr:uid="{E5F12F80-CC2E-48A7-84C3-C6C5FF6F19F6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followup email</t>
      </text>
    </comment>
    <comment ref="AO220" authorId="183" shapeId="0" xr:uid="{D267FBB6-BC61-48FE-B38C-13B68ADF6A74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Cancel Trip Plan Madical Issue</t>
      </text>
    </comment>
    <comment ref="AO221" authorId="184" shapeId="0" xr:uid="{082D1C2F-2863-4DEC-8A8E-014D9FAF108C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followup email</t>
      </text>
    </comment>
    <comment ref="AO222" authorId="185" shapeId="0" xr:uid="{DBE831D1-B0F4-4F90-A0F6-290AA5868B1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Chhaya :- Send Followup email </t>
      </text>
    </comment>
    <comment ref="AO224" authorId="186" shapeId="0" xr:uid="{1B11F19C-CE86-4B3D-B1C7-58DCDD77FFFC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Sent Follow-up mail</t>
      </text>
    </comment>
    <comment ref="AP224" authorId="187" shapeId="0" xr:uid="{307A8119-4134-4238-87F1-BC7556CC69C9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Sent Follow-up mail</t>
      </text>
    </comment>
    <comment ref="AQ224" authorId="188" shapeId="0" xr:uid="{6AB9ECA0-C84A-4649-B4F8-7D7B95F83619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The agent informed us that there is no update from the client yet.</t>
      </text>
    </comment>
    <comment ref="AN233" authorId="189" shapeId="0" xr:uid="{E02D1BA8-E4AE-4AC5-9C10-CAA8E6A46FF6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Chhaya:- Send Followup Email</t>
      </text>
    </comment>
    <comment ref="AN243" authorId="190" shapeId="0" xr:uid="{9F71DA8C-E893-49F9-A794-9F6F131CBD03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Followup email</t>
      </text>
    </comment>
    <comment ref="AO243" authorId="191" shapeId="0" xr:uid="{A05B7058-BC9E-4F18-83B2-53C43DF146C1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Chhaya: On call There hasn't been any update from Clint yet; I'll let you know as soon as there is one.</t>
      </text>
    </comment>
    <comment ref="AP243" authorId="192" shapeId="0" xr:uid="{344384E5-0518-48C0-900F-7D5A0EFD84AD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Followup Email</t>
      </text>
    </comment>
    <comment ref="AN244" authorId="193" shapeId="0" xr:uid="{DD542E40-B1BD-4B8E-8DD5-EAF64D550A46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Chhaya:- Call Not Attend the Send followup Email</t>
      </text>
    </comment>
    <comment ref="AO244" authorId="194" shapeId="0" xr:uid="{761C2BAD-03BD-4E5F-9C80-2A1083FCBBE3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Chhaya: There has been no update from the client yet. I will call you as soon as I hear back.</t>
      </text>
    </comment>
    <comment ref="AQ244" authorId="195" shapeId="0" xr:uid="{0F22299A-91EC-4425-9041-E208517B18FF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Chhaya: The agent has asked for some time; he will speak to the client soon and then let us know.</t>
      </text>
    </comment>
    <comment ref="AO245" authorId="196" shapeId="0" xr:uid="{FAED2A36-E06E-4599-93C0-BD4E5BAE43E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Chhaya :- Send followup email
</t>
      </text>
    </comment>
    <comment ref="AP245" authorId="197" shapeId="0" xr:uid="{D96E3A0D-6889-4BFC-87ED-B0DE9BB94BFF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Sent Follow-up  mail</t>
      </text>
    </comment>
    <comment ref="AQ245" authorId="198" shapeId="0" xr:uid="{9617CC77-1C50-4354-8779-C4D7D4FEDBD2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Sent Follow-up mail</t>
      </text>
    </comment>
    <comment ref="AO256" authorId="199" shapeId="0" xr:uid="{9970859E-5409-4829-AB85-564D2A988612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Sent Follow-up mail</t>
      </text>
    </comment>
    <comment ref="AP256" authorId="200" shapeId="0" xr:uid="{6CC07117-AD6B-45E2-9414-6776B69F04DA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sent Follow-up mail</t>
      </text>
    </comment>
    <comment ref="AQ256" authorId="201" shapeId="0" xr:uid="{90F563F0-4F19-479F-BAE3-8A426BBEF504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Have No Number Sent Follow-up mail</t>
      </text>
    </comment>
    <comment ref="AO257" authorId="202" shapeId="0" xr:uid="{3721CABF-4D27-4B2D-8A5E-C9364ECB9E1B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There has been no response from the client so far.</t>
      </text>
    </comment>
    <comment ref="AP257" authorId="203" shapeId="0" xr:uid="{6CC7C574-B200-4E6A-80B2-52E05861C542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The agent said that there has been no response from the client yet.</t>
      </text>
    </comment>
    <comment ref="AO262" authorId="204" shapeId="0" xr:uid="{477E6E4B-FDB5-4E88-A0F5-F3A815194A89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Chhaya:- Send followup email</t>
      </text>
    </comment>
    <comment ref="AN263" authorId="205" shapeId="0" xr:uid="{578A02F3-1203-4372-8FC8-6F24B76C9397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Followup Email</t>
      </text>
    </comment>
    <comment ref="AO263" authorId="206" shapeId="0" xr:uid="{BC937AB2-33CB-465B-8B63-4F9BF71DB006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Sent Follow-up mail</t>
      </text>
    </comment>
    <comment ref="AN264" authorId="207" shapeId="0" xr:uid="{5069819E-A266-4154-8B6A-3216CD28E9C9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followup Email</t>
      </text>
    </comment>
    <comment ref="AO264" authorId="208" shapeId="0" xr:uid="{3702864C-3123-4A0D-AFF9-78821BBAAF8D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Sent Follow-up mail</t>
      </text>
    </comment>
    <comment ref="AP264" authorId="209" shapeId="0" xr:uid="{A56A3F36-A23C-4019-85E9-B8F0D64807E0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:-The agent has asked for some time; he will speak to the client soon and then let us know.</t>
      </text>
    </comment>
    <comment ref="AN272" authorId="210" shapeId="0" xr:uid="{7AD2AA11-AC3B-408E-A0CE-7F7DAB2AA1DF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followup email</t>
      </text>
    </comment>
    <comment ref="AO272" authorId="211" shapeId="0" xr:uid="{C111D375-450C-4E7F-BB4B-7A1C2E7C97FC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call not resopnd Send followup email</t>
      </text>
    </comment>
    <comment ref="AP272" authorId="212" shapeId="0" xr:uid="{7B55DF66-1B3A-418B-95AA-729622099EF9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Agent not received my call sent follow-up mail</t>
      </text>
    </comment>
    <comment ref="AN273" authorId="213" shapeId="0" xr:uid="{CF6424D4-6CBD-4E8C-B719-D331CCCC84D5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Chhaya:- Agent call not received Send followup Email</t>
      </text>
    </comment>
    <comment ref="AO273" authorId="214" shapeId="0" xr:uid="{62A664D6-A2B0-4648-936C-EE6CEA509987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:-There was no response from the client.</t>
      </text>
    </comment>
    <comment ref="AO274" authorId="215" shapeId="0" xr:uid="{27DB13A0-0D52-4031-9A7D-6CEC7AD022B9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Chhaya:- Send followup Email</t>
      </text>
    </comment>
    <comment ref="AP274" authorId="216" shapeId="0" xr:uid="{F5D0D2C8-A453-481E-A388-1F36846CB407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Sent Follow-up Mail</t>
      </text>
    </comment>
    <comment ref="AQ274" authorId="217" shapeId="0" xr:uid="{09D2726A-0E73-475C-A4CA-ED3F5E245751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Sent follow-up Mail</t>
      </text>
    </comment>
    <comment ref="AN277" authorId="218" shapeId="0" xr:uid="{26EEB238-18EC-480C-8D3F-566ABBD92BB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Chhaya :- Send Followup Email
Reply:
    27 Aug'26 Revised Query </t>
      </text>
    </comment>
    <comment ref="AO277" authorId="219" shapeId="0" xr:uid="{CACC4975-49DA-47BB-8A7D-409F34D49021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The agent said that we will send the confirmation soon.</t>
      </text>
    </comment>
    <comment ref="AO281" authorId="220" shapeId="0" xr:uid="{FA15ACBE-6344-46FC-8F6E-2CE74C5E59F2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Sent Follow-up mail</t>
      </text>
    </comment>
    <comment ref="AO286" authorId="221" shapeId="0" xr:uid="{4193FE1F-A3AB-4B7F-8635-12D1231F4B0A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I spoke to my direct client on the call and informed them that the date has changed; I am currently discussing this matter with my friends.</t>
      </text>
    </comment>
    <comment ref="AP286" authorId="222" shapeId="0" xr:uid="{8919675B-C4E9-4952-BEEB-09757E6B0171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Sent Follow-up mail</t>
      </text>
    </comment>
    <comment ref="AO288" authorId="223" shapeId="0" xr:uid="{AFAA3EC4-88B7-4B9A-A7D4-D4920E0DBC5E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revised date and sent revised quote</t>
      </text>
    </comment>
    <comment ref="AP288" authorId="224" shapeId="0" xr:uid="{ED8E5865-C980-4AE6-AEAE-C25FC7EB5095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Call not answerd send followup email.</t>
      </text>
    </comment>
    <comment ref="AO289" authorId="225" shapeId="0" xr:uid="{3E3453CE-A435-47B8-8D73-999578AF0BF9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:-I spoke to the agent; she will send an email with the confirmation tomorrow.</t>
      </text>
    </comment>
    <comment ref="AP289" authorId="226" shapeId="0" xr:uid="{FE31711C-1B2A-4883-81E4-A6F43F37DF12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followup email</t>
      </text>
    </comment>
    <comment ref="AN292" authorId="227" shapeId="0" xr:uid="{4C790BC3-3825-4AB5-B1C9-349E8565E01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Chhaya Send Followup Email
</t>
      </text>
    </comment>
    <comment ref="AO292" authorId="228" shapeId="0" xr:uid="{11B48124-5742-4737-A44A-27B264DB9D70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Not reponse call</t>
      </text>
    </comment>
    <comment ref="AN293" authorId="229" shapeId="0" xr:uid="{A49E9C3D-65A7-4D99-BDF1-A043D101708D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Followup Email</t>
      </text>
    </comment>
    <comment ref="AO293" authorId="230" shapeId="0" xr:uid="{ADE77C21-63ED-4FE0-BF5E-6E71713FC68B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The client has not yet responded.</t>
      </text>
    </comment>
    <comment ref="AN295" authorId="231" shapeId="0" xr:uid="{3A269E93-813D-46F7-A7B4-6DB98725102C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Chhaya: The agent isn't answering my calls; send a follow-up email.</t>
      </text>
    </comment>
    <comment ref="AN296" authorId="232" shapeId="0" xr:uid="{EB3432CC-B702-4E5E-87E0-CBF70D6884E5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followup Email</t>
      </text>
    </comment>
    <comment ref="AO296" authorId="233" shapeId="0" xr:uid="{A2AADFA8-C3E9-4EB7-A8BE-97EBD485CB79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followp email</t>
      </text>
    </comment>
    <comment ref="AN297" authorId="234" shapeId="0" xr:uid="{AF4BD006-D17F-4B5F-8D6A-A4A8FE62750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chhaya:- send followup email
</t>
      </text>
    </comment>
    <comment ref="AN299" authorId="235" shapeId="0" xr:uid="{05CA2A98-270C-4300-834D-2E024D32E52E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followup email</t>
      </text>
    </comment>
    <comment ref="AO299" authorId="236" shapeId="0" xr:uid="{EC0342A5-4285-400A-AA1D-D833C99020E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Deeksha: The agent informed us that he will speak with the client tomorrow and update us accordingly.
</t>
      </text>
    </comment>
    <comment ref="AO301" authorId="237" shapeId="0" xr:uid="{563DD66D-DC25-45FA-9E8F-CAA6A8D7EFB9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Agent not received my call Sent Follow-up mail</t>
      </text>
    </comment>
    <comment ref="AN302" authorId="238" shapeId="0" xr:uid="{AC187FC3-8371-4C0C-BCEA-0EE2BB55D4E4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revised quote
Agent Replay :- I have spoken to the agent; the customer will book the ticket and then confirm the booking.</t>
      </text>
    </comment>
    <comment ref="AN303" authorId="239" shapeId="0" xr:uid="{7DE2AE41-FA28-4142-9E23-1EBF1DBC1F26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Not respose &amp; revert</t>
      </text>
    </comment>
    <comment ref="AO304" authorId="240" shapeId="0" xr:uid="{FEA81C08-C5C5-4617-99CD-DC3EB51FC42B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revised quotation for 02n/03d</t>
      </text>
    </comment>
    <comment ref="AN305" authorId="241" shapeId="0" xr:uid="{4C4E72D0-0716-4C45-837C-F5EA409D9865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Chhaya:- send followup email</t>
      </text>
    </comment>
    <comment ref="AO306" authorId="242" shapeId="0" xr:uid="{25935738-185B-41BE-BE5E-702090ABD999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Spoke with the agent. The client has dropped the tour plan due to their children’s examinations.</t>
      </text>
    </comment>
    <comment ref="AN309" authorId="243" shapeId="0" xr:uid="{D611218F-1E1D-4713-9414-D006180B7F4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Chhaya :- Send Followup Email
</t>
      </text>
    </comment>
    <comment ref="AO309" authorId="244" shapeId="0" xr:uid="{E365F560-4BFC-4D98-A89E-3A17B752BE6B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Agent’s call not respond so I sent a follow-up email</t>
      </text>
    </comment>
    <comment ref="AN311" authorId="245" shapeId="0" xr:uid="{E877AFE7-A3F7-4ECD-B047-4CCC7E192672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followp email</t>
      </text>
    </comment>
    <comment ref="AO311" authorId="246" shapeId="0" xr:uid="{3E1C738D-E8E5-41B9-918F-37135205A1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chhaya :- Agent call not receive </t>
      </text>
    </comment>
    <comment ref="AN313" authorId="247" shapeId="0" xr:uid="{01005146-C878-44E5-B32A-9F9FAC71D7F9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Send followup email</t>
      </text>
    </comment>
    <comment ref="AO315" authorId="248" shapeId="0" xr:uid="{D1105127-38B2-4E13-8BAC-AF0F5C1BCC0E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Sent Follow-up mail</t>
      </text>
    </comment>
    <comment ref="AO326" authorId="249" shapeId="0" xr:uid="{032A943C-F113-4836-BAD7-925ECF9EFA44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Agent not received my call sent follow-up mail</t>
      </text>
    </comment>
    <comment ref="AN329" authorId="250" shapeId="0" xr:uid="{7C016095-9D62-41C3-98E3-9BA8739BAD6E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:-send followup email</t>
      </text>
    </comment>
    <comment ref="AN330" authorId="251" shapeId="0" xr:uid="{84E20E13-DB2C-4BFF-8BE8-608660451FA1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chhaya:- send followup email</t>
      </text>
    </comment>
    <comment ref="AN332" authorId="252" shapeId="0" xr:uid="{02F44C8B-B9B7-44D2-9F49-9AF7B9676F19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Sent Follow-up mail</t>
      </text>
    </comment>
    <comment ref="AN334" authorId="253" shapeId="0" xr:uid="{79FCA843-BBC0-4899-BE66-8131F58032A1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Chhaya:- agent call not received send   followup email</t>
      </text>
    </comment>
    <comment ref="AO334" authorId="254" shapeId="0" xr:uid="{DC55E1B1-EB82-455E-88CB-161A9DBCE21F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Agent not receive my call sent follow-up mail</t>
      </text>
    </comment>
    <comment ref="AN335" authorId="255" shapeId="0" xr:uid="{2B84D70A-AA18-4A46-B03F-09CA61D8C1D6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Spoke with the agent. The client is currently out of town and is expected to update them by 10th or 12th September. The agent will update us accordingly.</t>
      </text>
    </comment>
    <comment ref="AO335" authorId="256" shapeId="0" xr:uid="{7C179FFA-06CE-4FF7-B7BC-880FDF0E60DB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Agent not received call sent follow-up mail</t>
      </text>
    </comment>
    <comment ref="AN337" authorId="257" shapeId="0" xr:uid="{0FE3F840-9724-4E45-AF63-ED4CFDBA0946}">
      <text>
        <t>[Threaded comment]
Your version of Excel allows you to read this threaded comment; however, any edits to it will get removed if the file is opened in a newer version of Excel. Learn more: https://go.microsoft.com/fwlink/?linkid=870924
Comment:
    Deeksha: Sent Follow-up mail</t>
      </text>
    </comment>
    <comment ref="AN354" authorId="258" shapeId="0" xr:uid="{25DCE52A-19F0-463D-8E82-E017D6AE84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Deeksha: Send Revised Quote on 11 Sep'26 </t>
      </text>
    </comment>
    <comment ref="AN355" authorId="259" shapeId="0" xr:uid="{AA142266-C730-4881-8A33-46A4BF761E50}">
      <text>
        <t>[Threaded comment]
Your version of Excel allows you to read this threaded comment; however, any edits to it will get removed if the file is opened in a newer version of Excel. Learn more: https://go.microsoft.com/fwlink/?linkid=870924
Comment:
    Chhaya :- Spoke to the agent on Monday after consulting the client.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<sst xmlns="http://schemas.openxmlformats.org/spreadsheetml/2006/main" count="11990" uniqueCount="3901">
  <si>
    <t>TODAY</t>
  </si>
  <si>
    <t>QUERY / LEAD INFORMATION</t>
  </si>
  <si>
    <t>Package Details</t>
  </si>
  <si>
    <t>Query Working Status</t>
  </si>
  <si>
    <t>1st Phase of Follow Ups</t>
  </si>
  <si>
    <t>2nd Phase of Follow Ups</t>
  </si>
  <si>
    <t>S. No</t>
  </si>
  <si>
    <t>Query No.</t>
  </si>
  <si>
    <t>Query Date</t>
  </si>
  <si>
    <t>Query Day</t>
  </si>
  <si>
    <t>Query Month</t>
  </si>
  <si>
    <t>Query Market Source</t>
  </si>
  <si>
    <t>Query Market / Region</t>
  </si>
  <si>
    <t>Query Type</t>
  </si>
  <si>
    <t>Query For</t>
  </si>
  <si>
    <t>Query Base City</t>
  </si>
  <si>
    <t>Query Source Type</t>
  </si>
  <si>
    <t>Query Source Name</t>
  </si>
  <si>
    <t>Contact Person</t>
  </si>
  <si>
    <t>Contact Number</t>
  </si>
  <si>
    <t>Email Id</t>
  </si>
  <si>
    <t>Tour Starting Date</t>
  </si>
  <si>
    <t>Tour Starting Day</t>
  </si>
  <si>
    <t>Tour Ending Date</t>
  </si>
  <si>
    <t>Tour Ending Day</t>
  </si>
  <si>
    <t>Tour Duration</t>
  </si>
  <si>
    <t>Travel Month</t>
  </si>
  <si>
    <t>Travel Period Marked As</t>
  </si>
  <si>
    <t>No. of Pax</t>
  </si>
  <si>
    <t>Per Person Package Cost</t>
  </si>
  <si>
    <t>Total Query Amount</t>
  </si>
  <si>
    <t>Tour Starting City</t>
  </si>
  <si>
    <t>Tour Ending City</t>
  </si>
  <si>
    <t>Hotel Category</t>
  </si>
  <si>
    <t>Interested Program Routing</t>
  </si>
  <si>
    <t>Interested Program Code</t>
  </si>
  <si>
    <t>Interested Program Name</t>
  </si>
  <si>
    <t>Program Type</t>
  </si>
  <si>
    <t>Program Region</t>
  </si>
  <si>
    <t>Travel Advisor</t>
  </si>
  <si>
    <t>Conversation Medium</t>
  </si>
  <si>
    <t>New</t>
  </si>
  <si>
    <t>Working</t>
  </si>
  <si>
    <t>Nurturing</t>
  </si>
  <si>
    <t>1st Fu</t>
  </si>
  <si>
    <t>2nd Fu</t>
  </si>
  <si>
    <t>3rd Fu</t>
  </si>
  <si>
    <t>4th Fu</t>
  </si>
  <si>
    <t>5th Fu</t>
  </si>
  <si>
    <t>6th Fu</t>
  </si>
  <si>
    <t>Final Lead Status</t>
  </si>
  <si>
    <t>Remarks / Reason</t>
  </si>
  <si>
    <t>GIT / FIT</t>
  </si>
  <si>
    <t>Starting</t>
  </si>
  <si>
    <t>Ending</t>
  </si>
  <si>
    <t>Dates Marked As</t>
  </si>
  <si>
    <t>Program Names</t>
  </si>
  <si>
    <t>Travel Agent Names</t>
  </si>
  <si>
    <t>Market</t>
  </si>
  <si>
    <t>Region</t>
  </si>
  <si>
    <t>Program Code</t>
  </si>
  <si>
    <t>Program Name</t>
  </si>
  <si>
    <t>Program Duration</t>
  </si>
  <si>
    <t>Program Routing</t>
  </si>
  <si>
    <t>EMP26-27EMP0001</t>
  </si>
  <si>
    <t>B2B</t>
  </si>
  <si>
    <t>Domestic - North</t>
  </si>
  <si>
    <t>Regular Tour Package - FIT</t>
  </si>
  <si>
    <t>Package</t>
  </si>
  <si>
    <t>Mumbai</t>
  </si>
  <si>
    <t>Agent</t>
  </si>
  <si>
    <t>Destination Treasury</t>
  </si>
  <si>
    <t xml:space="preserve">Vaishali </t>
  </si>
  <si>
    <t>8237173178</t>
  </si>
  <si>
    <t>bookings.destinationtreasury@gmail.com</t>
  </si>
  <si>
    <t>Indore</t>
  </si>
  <si>
    <t>3 Star</t>
  </si>
  <si>
    <t>Deeksha Saini</t>
  </si>
  <si>
    <t>Email</t>
  </si>
  <si>
    <t>Ack</t>
  </si>
  <si>
    <t>Yes</t>
  </si>
  <si>
    <t>LOST</t>
  </si>
  <si>
    <t>No Longer Interested</t>
  </si>
  <si>
    <t>January</t>
  </si>
  <si>
    <t>Ashish Prajapati</t>
  </si>
  <si>
    <t>WIN</t>
  </si>
  <si>
    <t>Sunday</t>
  </si>
  <si>
    <t>Package Cost is High</t>
  </si>
  <si>
    <t>Regular Dates - Weekday</t>
  </si>
  <si>
    <t>Ancient Madhya Pradesh</t>
  </si>
  <si>
    <t>Direct</t>
  </si>
  <si>
    <t>North MP</t>
  </si>
  <si>
    <t>Quick Getaways</t>
  </si>
  <si>
    <t>Budget</t>
  </si>
  <si>
    <t>EXGWL01</t>
  </si>
  <si>
    <t>Glorious Gwalior</t>
  </si>
  <si>
    <t>1 Night &amp; 2 Days</t>
  </si>
  <si>
    <t>Gwl (1N)</t>
  </si>
  <si>
    <t>EMP26-27EMP0002</t>
  </si>
  <si>
    <t>Domestic - West</t>
  </si>
  <si>
    <t>Regular Tour Package - GIT</t>
  </si>
  <si>
    <t>Disha World Travels</t>
  </si>
  <si>
    <t>Hitarthi Shah</t>
  </si>
  <si>
    <t>8779496148</t>
  </si>
  <si>
    <t>hitarthi@dishaworldtravels.com</t>
  </si>
  <si>
    <t>Excellent Budget</t>
  </si>
  <si>
    <t>Ex Idr | Idr - Ujj (1N) - Omk - Mah (1N) - Man - Idr</t>
  </si>
  <si>
    <t>Chhaya Prajapati</t>
  </si>
  <si>
    <t>EMP - Portal</t>
  </si>
  <si>
    <t>February</t>
  </si>
  <si>
    <t>Ramesh K Rotele</t>
  </si>
  <si>
    <t>Monday</t>
  </si>
  <si>
    <t>Choose Other Destination</t>
  </si>
  <si>
    <t>B2C</t>
  </si>
  <si>
    <t>Long Weekend - Good Friday</t>
  </si>
  <si>
    <t>WhatsApp</t>
  </si>
  <si>
    <t>Regular Dates - Weekend</t>
  </si>
  <si>
    <t>Essence Of Madhya Pradesh</t>
  </si>
  <si>
    <t>TTW</t>
  </si>
  <si>
    <t>Hotels Only</t>
  </si>
  <si>
    <t>Domestic - South</t>
  </si>
  <si>
    <t>East MP</t>
  </si>
  <si>
    <t>Regular Tours</t>
  </si>
  <si>
    <t>EXGWL02</t>
  </si>
  <si>
    <t>Timeless Treasures of Gwalior</t>
  </si>
  <si>
    <t>2 Nights &amp; 3 Days</t>
  </si>
  <si>
    <t>Gwl (2N) + Mor</t>
  </si>
  <si>
    <t>EMP26-27EMP0003</t>
  </si>
  <si>
    <t>Delhi</t>
  </si>
  <si>
    <t>Services International Pvt Ltd</t>
  </si>
  <si>
    <t>Urmila</t>
  </si>
  <si>
    <t>9873499435</t>
  </si>
  <si>
    <t>travel@servicestours.com</t>
  </si>
  <si>
    <t>Jabalpur</t>
  </si>
  <si>
    <t>4 Star</t>
  </si>
  <si>
    <t>Ex Jlr | Jlr (1N) - Kan (1N) - Ban (2N) - Jlr</t>
  </si>
  <si>
    <t>March</t>
  </si>
  <si>
    <t>Kajal Gehlot</t>
  </si>
  <si>
    <t>NURTURING</t>
  </si>
  <si>
    <t>Tuesday</t>
  </si>
  <si>
    <t>Lost to Competitor</t>
  </si>
  <si>
    <t>B2B2B</t>
  </si>
  <si>
    <t>Long Weekend</t>
  </si>
  <si>
    <t>Historical Saga Of Madhya Pradesh</t>
  </si>
  <si>
    <t>Freelancer</t>
  </si>
  <si>
    <t>Transport Only</t>
  </si>
  <si>
    <t>Women's Exclusive</t>
  </si>
  <si>
    <t>South MP</t>
  </si>
  <si>
    <t>Women Exclusive Tours</t>
  </si>
  <si>
    <t>EXGWL03</t>
  </si>
  <si>
    <t>Gems of Gwalior</t>
  </si>
  <si>
    <t>3 Nights &amp; 4 Days</t>
  </si>
  <si>
    <t>Gwl (3N) + Mor + Son + Dat + Orc</t>
  </si>
  <si>
    <t>EMP26-27EMP0004</t>
  </si>
  <si>
    <t>Partner at Let's Take A Break</t>
  </si>
  <si>
    <t>Shruti Kulkarni</t>
  </si>
  <si>
    <t>9819077011</t>
  </si>
  <si>
    <t>shrutikulkarni@letstakeabreak.in</t>
  </si>
  <si>
    <t>Ex Idr | Idr - Ujj (1N) - Omk (1N) - Mah (1N) - Man (1N) - Idr</t>
  </si>
  <si>
    <t>Bhumika Prajapati</t>
  </si>
  <si>
    <t>Direct - Call</t>
  </si>
  <si>
    <t>April</t>
  </si>
  <si>
    <t>Shivam Kushwah</t>
  </si>
  <si>
    <t>Wednesday</t>
  </si>
  <si>
    <t>Postponed</t>
  </si>
  <si>
    <t>Holi Weekend</t>
  </si>
  <si>
    <t>Thrilling Madhya Pradesh</t>
  </si>
  <si>
    <t>MPTB</t>
  </si>
  <si>
    <t>Assistance Only</t>
  </si>
  <si>
    <t>Senior Citizen Exclusive</t>
  </si>
  <si>
    <t>Domestic - East</t>
  </si>
  <si>
    <t>West MP</t>
  </si>
  <si>
    <t>Senior Citizen Exclusive Tours</t>
  </si>
  <si>
    <t>3 Star Deluxe</t>
  </si>
  <si>
    <t>EXGWL04</t>
  </si>
  <si>
    <t>Gwalior - Orchha Odyssey</t>
  </si>
  <si>
    <t>Ex Gwl | Gwl (1N) - Son - Dat - Orc (1N) - Gwl (1N)</t>
  </si>
  <si>
    <t>EMP26-27EMP0005</t>
  </si>
  <si>
    <t>Bangalore</t>
  </si>
  <si>
    <t>Orchid Travel &amp; Tour</t>
  </si>
  <si>
    <t>Kowsalya</t>
  </si>
  <si>
    <t>9900080796</t>
  </si>
  <si>
    <t>kowsalya@orchidtours.net</t>
  </si>
  <si>
    <t>Ex Idr | Idr - Ujj (1N) - Omk - Mah (1N) - Man (1N) - Idr</t>
  </si>
  <si>
    <t>Direct - Website</t>
  </si>
  <si>
    <t>May</t>
  </si>
  <si>
    <t>Thursday</t>
  </si>
  <si>
    <t>Durga Pooja + Dussehra + Gandhi Jayanati</t>
  </si>
  <si>
    <t>Blissful Madhya Pradesh</t>
  </si>
  <si>
    <t>Balaji Tour &amp; Travels</t>
  </si>
  <si>
    <t>Guides Only</t>
  </si>
  <si>
    <t>School Group</t>
  </si>
  <si>
    <t>Inbound - French</t>
  </si>
  <si>
    <t>North + East MP</t>
  </si>
  <si>
    <t>Luxury &amp; Experiential Tours</t>
  </si>
  <si>
    <t>EXGWL05</t>
  </si>
  <si>
    <t>Marvels of Chambal &amp; Bundelkhand</t>
  </si>
  <si>
    <t>4 Nights &amp; 5 Days</t>
  </si>
  <si>
    <t>Ex Gwl | Gwl (2N) + Mor - Son - Dat - Orc (1N) - Hjr (1N) - Gwl</t>
  </si>
  <si>
    <t>EMP26-27EMP0006</t>
  </si>
  <si>
    <t>Pauri Garhwal</t>
  </si>
  <si>
    <t>Sankalp Dream Holidays</t>
  </si>
  <si>
    <t>Jyoti Kainthola</t>
  </si>
  <si>
    <t>7451004400</t>
  </si>
  <si>
    <t>sankalpdreamholidays@gmail.com</t>
  </si>
  <si>
    <t>Ujjain</t>
  </si>
  <si>
    <t>Ex Ujj | Ujj (1N)</t>
  </si>
  <si>
    <t>Too Low Budget</t>
  </si>
  <si>
    <t>Direct - SM - Facebook</t>
  </si>
  <si>
    <t>June</t>
  </si>
  <si>
    <t>Friday</t>
  </si>
  <si>
    <t>Non Availability of Train or Flight on desired dates</t>
  </si>
  <si>
    <t>Diwali Period</t>
  </si>
  <si>
    <t>Exciting Madhya Pradesh</t>
  </si>
  <si>
    <t>Chariot</t>
  </si>
  <si>
    <t>Hotels + Guides</t>
  </si>
  <si>
    <t>College Group</t>
  </si>
  <si>
    <t>Inbound - Spanish</t>
  </si>
  <si>
    <t>North + West MP</t>
  </si>
  <si>
    <t>Special Interest - Architectural Tours</t>
  </si>
  <si>
    <t>4 Star Superior</t>
  </si>
  <si>
    <t>EXGWL06</t>
  </si>
  <si>
    <t>Jungle Tales &amp; Heritage Trails</t>
  </si>
  <si>
    <t>5 Nights &amp; 6 Days</t>
  </si>
  <si>
    <t>Gwl (2N) + Mor - Son - Dat - Orc (1N) - Hjr (2N) + Panna</t>
  </si>
  <si>
    <t>EMP26-27EMP0007</t>
  </si>
  <si>
    <t>Chennai</t>
  </si>
  <si>
    <t>Mrs. Madhvan</t>
  </si>
  <si>
    <t>Direct - SM - Instagram</t>
  </si>
  <si>
    <t>July</t>
  </si>
  <si>
    <t>Saturday</t>
  </si>
  <si>
    <t>Balck out dates</t>
  </si>
  <si>
    <t>Christmas &amp; New Year Period</t>
  </si>
  <si>
    <t>Kingdom Of Mahakaal</t>
  </si>
  <si>
    <t>D &amp; P Holidays</t>
  </si>
  <si>
    <t>Hotels + Assistance</t>
  </si>
  <si>
    <t>Business Travel</t>
  </si>
  <si>
    <t>Inbound - German</t>
  </si>
  <si>
    <t>North + South MP</t>
  </si>
  <si>
    <t>Special Interest - Spiritual Tours</t>
  </si>
  <si>
    <t>5 Star</t>
  </si>
  <si>
    <t>EXGWL07</t>
  </si>
  <si>
    <t>Heritage, Wildlife &amp; Cultural Delights</t>
  </si>
  <si>
    <t>6 Nights &amp; 7 Days</t>
  </si>
  <si>
    <t>Ex Gwl | Gwl (2N) + Mor - Orc - Pan (2N) - Hjr (1N) - Dat - Son - Gwl (1N)</t>
  </si>
  <si>
    <t>EMP26-27EMP0008</t>
  </si>
  <si>
    <t>Kolkata</t>
  </si>
  <si>
    <t>ITDH</t>
  </si>
  <si>
    <t>Piyush</t>
  </si>
  <si>
    <t>9330469599</t>
  </si>
  <si>
    <t>travel@itdh.in</t>
  </si>
  <si>
    <t>Ujj (1N) - Omk - Mah (1N) - Idr</t>
  </si>
  <si>
    <t>Direct - SM - Linkedin</t>
  </si>
  <si>
    <t>August</t>
  </si>
  <si>
    <t>Other Destination</t>
  </si>
  <si>
    <t>Happy Pics Tourism</t>
  </si>
  <si>
    <t>Hotels + Guides + Assistance</t>
  </si>
  <si>
    <t>MICE</t>
  </si>
  <si>
    <t>Inbound - USA</t>
  </si>
  <si>
    <t>North + East + South MP</t>
  </si>
  <si>
    <t>Special Interest - Wildlife Tours</t>
  </si>
  <si>
    <t>5 Star Deluxe</t>
  </si>
  <si>
    <t>EXGWL08</t>
  </si>
  <si>
    <t>Echoes of History</t>
  </si>
  <si>
    <t>Ex Gwl | Gwl (2N) + Mor - Shiv - Chan (2N) - Orc (1N) - Dat - Son - Gwl</t>
  </si>
  <si>
    <t>EMP26-27EMP0009</t>
  </si>
  <si>
    <t>Ottila International PVT. Ltd</t>
  </si>
  <si>
    <t>Varshada</t>
  </si>
  <si>
    <t xml:space="preserve"> 02267204999 </t>
  </si>
  <si>
    <t>varshada@ottila.in</t>
  </si>
  <si>
    <t>Nagpur</t>
  </si>
  <si>
    <t>Direct - SM - Youtube</t>
  </si>
  <si>
    <t>September</t>
  </si>
  <si>
    <t>Irrelevant Query</t>
  </si>
  <si>
    <t>Eastern Part Of Madhya Pradesh</t>
  </si>
  <si>
    <t>IHPL</t>
  </si>
  <si>
    <t>Transport + Guides</t>
  </si>
  <si>
    <t>SIC - Departure</t>
  </si>
  <si>
    <t>Inbound - UK</t>
  </si>
  <si>
    <t>North + South + West MP</t>
  </si>
  <si>
    <t>Special Interest - Culinary Tours</t>
  </si>
  <si>
    <t>Luxury / Experiential</t>
  </si>
  <si>
    <t>EXGWL09</t>
  </si>
  <si>
    <t>Ancient Chronicles of North M.P</t>
  </si>
  <si>
    <t>Ex Gwl | GWL (2N) + Mor - Shiv - Chan (2N) - Hjr (1N) - Orc (1N) - Dat - Gwl</t>
  </si>
  <si>
    <t>EMP26-27EMP0010</t>
  </si>
  <si>
    <t>Lotus Exotic Journeys</t>
  </si>
  <si>
    <t>Priyanka</t>
  </si>
  <si>
    <t>7092927755</t>
  </si>
  <si>
    <t>ops3@lotusexoticjourneys.com</t>
  </si>
  <si>
    <t xml:space="preserve">Delhi </t>
  </si>
  <si>
    <t>Direct - Web Promotion</t>
  </si>
  <si>
    <t>October</t>
  </si>
  <si>
    <t>Long Weekend - Labour Day / Buddha Purnima</t>
  </si>
  <si>
    <t>Westren Part Of Madhya Pradesh</t>
  </si>
  <si>
    <t>Jetsave Holidays</t>
  </si>
  <si>
    <t>Transport + Assistance</t>
  </si>
  <si>
    <t>Fixed Group Departure</t>
  </si>
  <si>
    <t>Inbound - Middle East</t>
  </si>
  <si>
    <t>South + West MP</t>
  </si>
  <si>
    <t>Special Interest - Textile &amp; Art Tours</t>
  </si>
  <si>
    <t>Homestays</t>
  </si>
  <si>
    <t>EXGWL10</t>
  </si>
  <si>
    <t>Heritage Gems &amp; Marble Wonders</t>
  </si>
  <si>
    <t>Gwl (2N) + Mor - Son - Dat - Orc (1N) - Hjr (1N) - Jlr (1N)</t>
  </si>
  <si>
    <t>EMP26-27EMP0011</t>
  </si>
  <si>
    <t>Jaipur</t>
  </si>
  <si>
    <t xml:space="preserve"> </t>
  </si>
  <si>
    <t>MPTB - Website</t>
  </si>
  <si>
    <t>November</t>
  </si>
  <si>
    <t>Health Issues</t>
  </si>
  <si>
    <t>North Part Of Madhya Pradesh</t>
  </si>
  <si>
    <t>Karlo Travel</t>
  </si>
  <si>
    <t>Transport + Guides + Assistance</t>
  </si>
  <si>
    <t>Group Join-In</t>
  </si>
  <si>
    <t>Inbound - Far East</t>
  </si>
  <si>
    <t>South + East MP</t>
  </si>
  <si>
    <t>Special Interest - Honeymoon Tour Packages</t>
  </si>
  <si>
    <t>EXGWL11</t>
  </si>
  <si>
    <t>Heritage, Tigers &amp; Marble Majesty</t>
  </si>
  <si>
    <t>Gwl (2N) + Mor - Son - Dat - Orc (1N) - Hjr (1N) - Ban (1N) - Jlr (1N)</t>
  </si>
  <si>
    <t>EMP26-27EMP0012</t>
  </si>
  <si>
    <t xml:space="preserve">Kowsalya </t>
  </si>
  <si>
    <t>MPTB - Office - Bhopal</t>
  </si>
  <si>
    <t>December</t>
  </si>
  <si>
    <t>Personal Reasons</t>
  </si>
  <si>
    <t>South Part Of Madhya Pradesh</t>
  </si>
  <si>
    <t>MAG Serices</t>
  </si>
  <si>
    <t>Activities</t>
  </si>
  <si>
    <t>Kitchen Group</t>
  </si>
  <si>
    <t>Inbound - Asia Pacific</t>
  </si>
  <si>
    <t>West + East MP</t>
  </si>
  <si>
    <t>Special Interest - Narmada Parikrama</t>
  </si>
  <si>
    <t>EXIDR01</t>
  </si>
  <si>
    <t>Mahakaal Darshan</t>
  </si>
  <si>
    <t>Ex Idr | Idr - Ujj (1N) - Idr</t>
  </si>
  <si>
    <t>EMP26-27EMP0013</t>
  </si>
  <si>
    <t>Wild Voyager </t>
  </si>
  <si>
    <t>Dimple Sethi</t>
  </si>
  <si>
    <t>9217050136</t>
  </si>
  <si>
    <t>letstalk@wildvgr.com</t>
  </si>
  <si>
    <t>MPTB - Office - Gwalior</t>
  </si>
  <si>
    <t>Confirmed But Later Lost</t>
  </si>
  <si>
    <t>North, East part of Madhya Pradesh</t>
  </si>
  <si>
    <t>Navicos Holidays Pvt Ltd</t>
  </si>
  <si>
    <t>Other Services</t>
  </si>
  <si>
    <t>Customized</t>
  </si>
  <si>
    <t>Inbound - Russia</t>
  </si>
  <si>
    <t>West + South + East MP</t>
  </si>
  <si>
    <t>Seasonal Tours - Monsoon Exclusive</t>
  </si>
  <si>
    <t>EXIDR02</t>
  </si>
  <si>
    <t>Jyotirlinga Trails</t>
  </si>
  <si>
    <t>Ex Idr | Idr - Ujj (1N) - Omk - Idr</t>
  </si>
  <si>
    <t>EMP26-27EMP0014</t>
  </si>
  <si>
    <t>Dehradun</t>
  </si>
  <si>
    <t>MPTB - Office - Lucknow</t>
  </si>
  <si>
    <t>Went Cold</t>
  </si>
  <si>
    <t>South, East Part Of Madhya Pradesh</t>
  </si>
  <si>
    <t>Om Tours</t>
  </si>
  <si>
    <t>Hotels + Guides + Transport</t>
  </si>
  <si>
    <t>Complete MP</t>
  </si>
  <si>
    <t>Seasonal Tours - Summer Exclusive</t>
  </si>
  <si>
    <t>EXIDR03</t>
  </si>
  <si>
    <t>Temple Fort Odyssey</t>
  </si>
  <si>
    <t>Ex Idr | Idr - Ujj (1N) - Omk - Mah - Idr</t>
  </si>
  <si>
    <t>EMP26-27EMP0015</t>
  </si>
  <si>
    <t>Shrinagar</t>
  </si>
  <si>
    <t>MPTB - Office - Delhi</t>
  </si>
  <si>
    <t>West, South Part Of Madhya Pradesh</t>
  </si>
  <si>
    <t>Radiance Tour</t>
  </si>
  <si>
    <t>MP + UP</t>
  </si>
  <si>
    <t>Seasonal Tours - Winter Exclusive</t>
  </si>
  <si>
    <t>EXIDR04</t>
  </si>
  <si>
    <t>Heritage Pilgrimage</t>
  </si>
  <si>
    <t>EMP26-27EMP0016</t>
  </si>
  <si>
    <t>Parag Sharma</t>
  </si>
  <si>
    <t>9873300156</t>
  </si>
  <si>
    <t>tours@servicestours.com</t>
  </si>
  <si>
    <t>MPTB - Office - Hyderabad</t>
  </si>
  <si>
    <t>North, West Part Of Madhya Pradesh</t>
  </si>
  <si>
    <t>Reyansh Holidays</t>
  </si>
  <si>
    <t>MP + Maharashtra</t>
  </si>
  <si>
    <t>Group Join - In Tours</t>
  </si>
  <si>
    <t>EXIDR05</t>
  </si>
  <si>
    <t>The Marvels Of Malwa</t>
  </si>
  <si>
    <t>EMP26-27EMP0017</t>
  </si>
  <si>
    <t>Khushi</t>
  </si>
  <si>
    <t>02267204999</t>
  </si>
  <si>
    <t>khushi@ottila.in</t>
  </si>
  <si>
    <t>MPTB - Office - Ahmedabad</t>
  </si>
  <si>
    <t>Narmada Parikrama</t>
  </si>
  <si>
    <t>MP + Gujarat</t>
  </si>
  <si>
    <t>Fixed Group Departure Tours</t>
  </si>
  <si>
    <t>EXIDR06</t>
  </si>
  <si>
    <t>Jyotirlinga &amp; Heritage Trails of Madhya Pradesh</t>
  </si>
  <si>
    <t>Ex Idr | Idr - Ujj (1N) - Omk - Mah (1N) - Man (1N) - Idr (1N)</t>
  </si>
  <si>
    <t>EMP26-27EMP0018</t>
  </si>
  <si>
    <t>Netaji Tours</t>
  </si>
  <si>
    <t>Mallikarjun</t>
  </si>
  <si>
    <t>9743861912</t>
  </si>
  <si>
    <t xml:space="preserve">Indore </t>
  </si>
  <si>
    <t>Ex Idr | Idr (EX Ujj) (1N) - Mah - Omk (1N) - Idr HDCT</t>
  </si>
  <si>
    <t>MPTB - Office - Mumbai</t>
  </si>
  <si>
    <t>Sonu Holiday</t>
  </si>
  <si>
    <t>MP + Gujarat + Maharashtra</t>
  </si>
  <si>
    <t>Sic Departure Tours</t>
  </si>
  <si>
    <t>EXIDR07</t>
  </si>
  <si>
    <t>Heritage Trails &amp; Sacred Wonders</t>
  </si>
  <si>
    <t>EMP26-27EMP0019</t>
  </si>
  <si>
    <t>Panna</t>
  </si>
  <si>
    <t>SR Twin Solutions</t>
  </si>
  <si>
    <t>MP + Rajasthan</t>
  </si>
  <si>
    <t>Kitchen Group Tour</t>
  </si>
  <si>
    <t>EXIDR08</t>
  </si>
  <si>
    <t>Sacred Journeys &amp; Cultural Delights</t>
  </si>
  <si>
    <t>Ex Idr | Idr - Ujj (1N) - Omk (1N) - Mah (1N) - Man (1N) - Idr (1N)</t>
  </si>
  <si>
    <t>EMP26-27EMP0020</t>
  </si>
  <si>
    <t>S B International Tours and Travels Private Limited</t>
  </si>
  <si>
    <t>Anil Kumar</t>
  </si>
  <si>
    <t>9902524127</t>
  </si>
  <si>
    <t>Anilkumar@sbittravels.com</t>
  </si>
  <si>
    <t>Ex Idr | Idr - Ujj (1N) - Omk - Mah (1N) - Idr (1N)</t>
  </si>
  <si>
    <t>TBI Holidays</t>
  </si>
  <si>
    <t>EXIDR09</t>
  </si>
  <si>
    <t>Cultural Treasures Unveiled</t>
  </si>
  <si>
    <t>Bhp (1N) + Bhim + Bhoj + San - Ujj (1N) - Man (2N) - Mah - Omk (1N) - Idr</t>
  </si>
  <si>
    <t>EMP26-27EMP0021</t>
  </si>
  <si>
    <t xml:space="preserve">Hariom Travels </t>
  </si>
  <si>
    <t>Sushant</t>
  </si>
  <si>
    <t>7208311869</t>
  </si>
  <si>
    <t>saleshariom999@gmail.com</t>
  </si>
  <si>
    <t>TDM Holidays</t>
  </si>
  <si>
    <t>EXIDR10</t>
  </si>
  <si>
    <t>Cultural Heritage Odyssey of Madhya Pradesh</t>
  </si>
  <si>
    <t>Idr - Ujj (1N) - Omk - Mah (1N) - Man (2N) - Bhp (2N) + Bhim + Bhoj + San</t>
  </si>
  <si>
    <t>EMP26-27EMP0022</t>
  </si>
  <si>
    <t>Swaroop</t>
  </si>
  <si>
    <t>7996699971</t>
  </si>
  <si>
    <t>swaroop@sbittravels.com</t>
  </si>
  <si>
    <t>Ex Idr | Idr - Ujj (1N) - Omk - Mah (1N) - Man - Idr (1N)</t>
  </si>
  <si>
    <t xml:space="preserve">Travel Zone </t>
  </si>
  <si>
    <t>EXIDR11</t>
  </si>
  <si>
    <t>Marvels Of Malwa &amp; Bhopal</t>
  </si>
  <si>
    <t>Bhp (1N) + Bhim + Bhoj + San - Ujj (1N) - Man (2N) - Mah - Omk (1N) - Idr (1N)</t>
  </si>
  <si>
    <t>EMP26-27EMP0023</t>
  </si>
  <si>
    <t>Noopur</t>
  </si>
  <si>
    <t>noopur@ottila.in</t>
  </si>
  <si>
    <t>Trevellers Of Cafe</t>
  </si>
  <si>
    <t>EXIDR12</t>
  </si>
  <si>
    <t>Cultural &amp; Heritage Extravaganza</t>
  </si>
  <si>
    <t>7 Nights &amp; 8 Days</t>
  </si>
  <si>
    <t>Ex Idr | Idr (1N) - Ujj (1N) - Omk - Mah (1N) - Man (2N) - Bhp (2N) + Bhim + Bhoj + Sanchi - Idr</t>
  </si>
  <si>
    <t>EMP26-27EMP0024</t>
  </si>
  <si>
    <t>Shivamogga</t>
  </si>
  <si>
    <t>Mango Leaf Holidays</t>
  </si>
  <si>
    <t>Manjunath</t>
  </si>
  <si>
    <t>9845261771</t>
  </si>
  <si>
    <t>mangoleafsmg@gmail.com</t>
  </si>
  <si>
    <t>Ananti Holidays</t>
  </si>
  <si>
    <t>EXIDR13</t>
  </si>
  <si>
    <t>A Spiritual Odyssey of Madhya Pradesh</t>
  </si>
  <si>
    <t>Ujj (1N) - Omk - Idr (1N)</t>
  </si>
  <si>
    <t>EMP26-27EMP0025</t>
  </si>
  <si>
    <t>Shimla</t>
  </si>
  <si>
    <t>Trip Tides</t>
  </si>
  <si>
    <t>Anchal</t>
  </si>
  <si>
    <t>7018438845</t>
  </si>
  <si>
    <t>Triptides123@gmail.com</t>
  </si>
  <si>
    <t>Via.com</t>
  </si>
  <si>
    <t>EXJBP01</t>
  </si>
  <si>
    <t>Kanha Calling</t>
  </si>
  <si>
    <t>Ex Jlr | Jlr - Kan (2N) - Jlr</t>
  </si>
  <si>
    <t>EMP26-27EMP0026</t>
  </si>
  <si>
    <t>Senkay Global Tours &amp; Event Management Pvt Ltd</t>
  </si>
  <si>
    <t>Tasleem</t>
  </si>
  <si>
    <t>9012206504</t>
  </si>
  <si>
    <t xml:space="preserve">tasleem@globalsenkay.com </t>
  </si>
  <si>
    <t>Long Weekend - Eid-ul-Fitr</t>
  </si>
  <si>
    <t>VoyageBook Tours and Travels</t>
  </si>
  <si>
    <t>EXJBP02</t>
  </si>
  <si>
    <t>Magical Kanha &amp; Jabalpur</t>
  </si>
  <si>
    <t>Ex Jlr | Jlr - Kan (2N) - Jlr (1N)</t>
  </si>
  <si>
    <t>EMP26-27EMP0027</t>
  </si>
  <si>
    <t>Yatrika Tours and Travels</t>
  </si>
  <si>
    <t>EXJBP03</t>
  </si>
  <si>
    <t>Nature's Tapestry: Wildlife, Nature and Waterfalls</t>
  </si>
  <si>
    <t>Ex Jlr | Jlr - Kan (2N) - Amk (1N) - Jlr (1N)</t>
  </si>
  <si>
    <t>EMP26-27EMP0028</t>
  </si>
  <si>
    <t>Hyderabad</t>
  </si>
  <si>
    <t>Aakasaveedhilo</t>
  </si>
  <si>
    <t>Tulasi</t>
  </si>
  <si>
    <t>9030 61 62 63</t>
  </si>
  <si>
    <t>tulasi@aakasaveedhilo.in</t>
  </si>
  <si>
    <t>Zenith Leisure Holidays</t>
  </si>
  <si>
    <t>EXJBP04</t>
  </si>
  <si>
    <t>The Tigerland - Bandhavgarh</t>
  </si>
  <si>
    <t>Ex Jlr | Jlr - Ban (2N) - Jlr</t>
  </si>
  <si>
    <t>EMP26-27EMP0029</t>
  </si>
  <si>
    <t>Bagpackaro Private Limited</t>
  </si>
  <si>
    <t>Udit</t>
  </si>
  <si>
    <t>7272 000 400</t>
  </si>
  <si>
    <t>bagpackaro@gmail.com</t>
  </si>
  <si>
    <t>Travel XPedia</t>
  </si>
  <si>
    <t>EXJBP05</t>
  </si>
  <si>
    <t xml:space="preserve">Nature's Marvels : Bandhavgarh &amp; Jabalpur							</t>
  </si>
  <si>
    <t>Ex Jlr | Jlr - Ban (2N) - Jlr (1N)</t>
  </si>
  <si>
    <t>EMP26-27EMP0030</t>
  </si>
  <si>
    <t>Sagar Vaswani</t>
  </si>
  <si>
    <t>sales@travelxpedia.com</t>
  </si>
  <si>
    <t>Gwalior</t>
  </si>
  <si>
    <t>Gwl (1N) - Dat - Orc (1N) - Hjr (1N) - San - Bho (2N) + Bhim + Bhoj - Ujj (1N) - Omk - Mah (1N) - Man (1N) - Idr</t>
  </si>
  <si>
    <t>Nomad Sisters</t>
  </si>
  <si>
    <t>EXJBP06</t>
  </si>
  <si>
    <t>Nature's Treasures : Wildlife, Nature and Marble Rocks</t>
  </si>
  <si>
    <t>Ex Jlr | Jlr - Ban (2N) - Amk (1N) - Jlr (1N)</t>
  </si>
  <si>
    <t>EMP26-27EMP0031</t>
  </si>
  <si>
    <t>Joshi Tours &amp; Travels</t>
  </si>
  <si>
    <t>Khusboo Soni</t>
  </si>
  <si>
    <t>6394127091</t>
  </si>
  <si>
    <t>info@joshitours.org</t>
  </si>
  <si>
    <t>Bhopal</t>
  </si>
  <si>
    <t>(1 N) Jlr - (2 N) Kanha - (2 N Pach) - (1 N) BHo</t>
  </si>
  <si>
    <t>Pearl Holidays</t>
  </si>
  <si>
    <t>EXJBP07</t>
  </si>
  <si>
    <t>Cultural Heritage, Wildlife &amp; Marble Rocks Escapade</t>
  </si>
  <si>
    <t>Ex Jlr | Jlr (1N) - Hjr (1N) - Ban (2N) - Jlr</t>
  </si>
  <si>
    <t>EMP26-27EMP0032</t>
  </si>
  <si>
    <t>9036405090</t>
  </si>
  <si>
    <t>Nasik</t>
  </si>
  <si>
    <t>pune</t>
  </si>
  <si>
    <t>Sunshine Vication</t>
  </si>
  <si>
    <t>EXJBP08</t>
  </si>
  <si>
    <t>Heritage Wilderness Expedition</t>
  </si>
  <si>
    <t>Jlr (1N) - Ban (1N) - Hjr (1N) - Orc (1N) - Dat - Son - Gwl (2N) + Mor</t>
  </si>
  <si>
    <t>EMP26-27EMP0033</t>
  </si>
  <si>
    <t>Chandigarh</t>
  </si>
  <si>
    <t>Heavens Management Services Pvt. Ltd.</t>
  </si>
  <si>
    <t>Gaurav</t>
  </si>
  <si>
    <t>gaurav@heavensgroup.in</t>
  </si>
  <si>
    <t>EXJBP09</t>
  </si>
  <si>
    <t>Heritage Gems and Marble Rocks Adventure</t>
  </si>
  <si>
    <t>Jlr (1N) - Hjr (1N) - Orc (1N) - Dat - Son - Gwl (2N) + Mor</t>
  </si>
  <si>
    <t>EMP26-27EMP0034</t>
  </si>
  <si>
    <t>EXJBP10</t>
  </si>
  <si>
    <t>Nature &amp; Wilderness Retreat</t>
  </si>
  <si>
    <t>EMP26-27EMP0035</t>
  </si>
  <si>
    <t>Brajesh</t>
  </si>
  <si>
    <t>brijesh@dishaworldtravels.com</t>
  </si>
  <si>
    <t>Ex Idr I 1N Idr - 1N Ujj - Omk - 2N Mah - Man - Idr</t>
  </si>
  <si>
    <t>Travel Bestie Holidays</t>
  </si>
  <si>
    <t>EXJBP11</t>
  </si>
  <si>
    <t>Nature's Splendor and Ancient Marvels</t>
  </si>
  <si>
    <t>Jlr (1N) - Kan (1N) - Pch (2N) - Bhim - Bhoj - Bho (1N) + Sanchi</t>
  </si>
  <si>
    <t>EMP26-27EMP0036</t>
  </si>
  <si>
    <t xml:space="preserve">White Sand Trip </t>
  </si>
  <si>
    <t>Anam</t>
  </si>
  <si>
    <t xml:space="preserve">7003300750 </t>
  </si>
  <si>
    <t>whitesandtrip@gmail.com</t>
  </si>
  <si>
    <t xml:space="preserve">Pune </t>
  </si>
  <si>
    <t>S. A. Travels</t>
  </si>
  <si>
    <t>EXBHO01</t>
  </si>
  <si>
    <t>Jewels of Bhopal</t>
  </si>
  <si>
    <t>Ex Bho | Bho (2N) + Bhim + Bhoj + San</t>
  </si>
  <si>
    <t>EMP26-27EMP0037</t>
  </si>
  <si>
    <t>Hitesh</t>
  </si>
  <si>
    <t>SenKay Travel with Difference Pvt Ltd</t>
  </si>
  <si>
    <t>EXBHO02</t>
  </si>
  <si>
    <t>Bhopal-Pachmarhi Sojourn</t>
  </si>
  <si>
    <t>Ex Bho | Bho (1N) + San - Bhoj - Bhim - Pch (2N) - Bho</t>
  </si>
  <si>
    <t>EMP26-27EMP0038</t>
  </si>
  <si>
    <t>Solhapur</t>
  </si>
  <si>
    <t>Sai Holidays</t>
  </si>
  <si>
    <t>Praful</t>
  </si>
  <si>
    <t>97668 98957</t>
  </si>
  <si>
    <t>saiholidays225353@gmail.com</t>
  </si>
  <si>
    <t>Ex Idr | Idr (1N) - Ujj (1N) - Omk (1N) - Mah - Idr</t>
  </si>
  <si>
    <t>EXBHO03</t>
  </si>
  <si>
    <t>Wilderness Getaway from Bhopal</t>
  </si>
  <si>
    <t>Ex Bho | Bho (1N) + San + Bhoj + Bhim - Tawa - Mad (1N) - Pch (2N) - Bho</t>
  </si>
  <si>
    <t>EMP26-27EMP0039</t>
  </si>
  <si>
    <t xml:space="preserve"> Bhubaneswar</t>
  </si>
  <si>
    <t>Merriment Holidays</t>
  </si>
  <si>
    <t>Himansu</t>
  </si>
  <si>
    <t>9937016689</t>
  </si>
  <si>
    <t>merrimentholidayspvtltd@gmail.com</t>
  </si>
  <si>
    <t>Travel Shop</t>
  </si>
  <si>
    <t>EXBHO04</t>
  </si>
  <si>
    <t>Heritage Trails &amp; Wilderness Retreat</t>
  </si>
  <si>
    <t>Ex Bho | Bho (1N) + San - Bhoj - Bhim - Tawa (1N) - Mad (1N) - Pch (2N) - Bho</t>
  </si>
  <si>
    <t>EMP26-27EMP0040</t>
  </si>
  <si>
    <t>Agra</t>
  </si>
  <si>
    <t>8881343506</t>
  </si>
  <si>
    <t>info@travelzoneofindia.com</t>
  </si>
  <si>
    <t>Ujj (1N) - Omk - Mah (1N) - Idr (1N)</t>
  </si>
  <si>
    <t>Long Weekend - Independence Day</t>
  </si>
  <si>
    <t>KT Holidays</t>
  </si>
  <si>
    <t>EXBHO05</t>
  </si>
  <si>
    <t>Trails of Serenity &amp; Adventure</t>
  </si>
  <si>
    <t>Bho (1N) + San - Bhoj - Bhim - Tawa (1N) - Mad (1N) - Pch (2N) - Jlr (1N)</t>
  </si>
  <si>
    <t>EMP26-27EMP0041</t>
  </si>
  <si>
    <t>Safar Chhand</t>
  </si>
  <si>
    <t>Samruddhi Borge</t>
  </si>
  <si>
    <t>ops.safarchhand@gmail.com</t>
  </si>
  <si>
    <t>Bella Corsa Destinations</t>
  </si>
  <si>
    <t>EXBHO06</t>
  </si>
  <si>
    <t>Journey through Heritage, Hills &amp; Wilderness</t>
  </si>
  <si>
    <t>Bho (1N) + San + Udaygiri - Bhoj - Bhim - Tawa (1N) - Mad (1N) - Pch (2N) - Kan(1N) - Jlr (1N)</t>
  </si>
  <si>
    <t>EMP26-27EMP0042</t>
  </si>
  <si>
    <t>Ex Idr | Idr (2N) + Ujj + Omk + Mah</t>
  </si>
  <si>
    <t>Travelbite</t>
  </si>
  <si>
    <t>EXBHO07</t>
  </si>
  <si>
    <t>Heritage, Hills &amp; Wild Adventure</t>
  </si>
  <si>
    <t>Bho (1N) + San + Udaygiri - Bhoj - Bhim - Pch (2N) - Kan(1N) - Jlr (1N)</t>
  </si>
  <si>
    <t>EMP26-27EMP0043</t>
  </si>
  <si>
    <t>Jharkhand</t>
  </si>
  <si>
    <t>YATRI MITRA HOLIDAYS</t>
  </si>
  <si>
    <t>Nagsen</t>
  </si>
  <si>
    <t>7898357454</t>
  </si>
  <si>
    <t>yatrimitraholidays@gmail.com</t>
  </si>
  <si>
    <t>Travbox</t>
  </si>
  <si>
    <t>EXBHO08</t>
  </si>
  <si>
    <t>Heritage, Hills &amp; Natural Wonders</t>
  </si>
  <si>
    <t>Bho (1N) + San + Udaygiri - Bhoj - Bhim - Pch (2N) - Kan(2N) - Jlr (1N)</t>
  </si>
  <si>
    <t>EMP26-27EMP0044</t>
  </si>
  <si>
    <t>Khajuraho</t>
  </si>
  <si>
    <t>Haptrip</t>
  </si>
  <si>
    <t>EXBHO09</t>
  </si>
  <si>
    <t>Naturescapes &amp; Sacred Trails</t>
  </si>
  <si>
    <t>Bho (1N) + San + Udaygiri - Bhoj - Bhim - Pch (2N) - Kan(1N) - Amk (2N) - Jlr (1N)</t>
  </si>
  <si>
    <t>EMP26-27EMP0045</t>
  </si>
  <si>
    <t>Travel Fantasy</t>
  </si>
  <si>
    <t>EXBHO10</t>
  </si>
  <si>
    <t>Heritage of Faith</t>
  </si>
  <si>
    <t>Bho (1N) + Bhim + Bhoj - San - Ujj (1N) - Man (2N) - Mah - Omk (1N) - Idr</t>
  </si>
  <si>
    <t>EMP26-27EMP0046</t>
  </si>
  <si>
    <t>Dipti Lad</t>
  </si>
  <si>
    <t>22 6720 4999</t>
  </si>
  <si>
    <t>dipti@ottila.in</t>
  </si>
  <si>
    <t>Long Weekend - Janmashtami</t>
  </si>
  <si>
    <t>R.L Tour &amp; Travels</t>
  </si>
  <si>
    <t>EXBHO11</t>
  </si>
  <si>
    <t>Sanctified Trails</t>
  </si>
  <si>
    <t>Bho (1N) + Bhim + Bhoj - San - Ujj (1N) - Man (2N) - Mah - Omk (1N) - Idr (1N)</t>
  </si>
  <si>
    <t>EMP26-27EMP0047</t>
  </si>
  <si>
    <t>Pune</t>
  </si>
  <si>
    <t>Travelicious Journey's</t>
  </si>
  <si>
    <t>Arti</t>
  </si>
  <si>
    <t xml:space="preserve"> 917 501 6663</t>
  </si>
  <si>
    <t>traveliciousjourneys@gmail.com</t>
  </si>
  <si>
    <t>Swami Tours And Travels</t>
  </si>
  <si>
    <t>EMPRT01</t>
  </si>
  <si>
    <t>8 Nights &amp; 9 Days</t>
  </si>
  <si>
    <t>EMP26-27EMP0048</t>
  </si>
  <si>
    <t>Mr. Nitin Phartyal</t>
  </si>
  <si>
    <t>EMPRT02</t>
  </si>
  <si>
    <t>Gwl (2N) + Mor - Son - Dat - Orc (1N) - Hjr (1N) - Jab (1N) - Kan (1N) - Nag</t>
  </si>
  <si>
    <t>EMP26-27EMP0049</t>
  </si>
  <si>
    <t>Mr. Vineet Rai</t>
  </si>
  <si>
    <t xml:space="preserve">Oorbit Tourism </t>
  </si>
  <si>
    <t>EMPRT03</t>
  </si>
  <si>
    <t>10 Nights &amp; 11 Days</t>
  </si>
  <si>
    <t>Gwl (2N) + Mor - Son - Dat - Orc (1N) - Hjr (1N) - San - Bho (2N) + Bhim + Bhoj - Ujj (1N) - Omk - Mah (1N) - Man (1N) - Idr (1N)</t>
  </si>
  <si>
    <t>EMP26-27EMP0050</t>
  </si>
  <si>
    <t>Mr. Parveez Naikwadi</t>
  </si>
  <si>
    <t>Southern Travels Pvt. Ltd</t>
  </si>
  <si>
    <t>EMPRT04</t>
  </si>
  <si>
    <t>Bho (2N) + San + Bhoj + Bhim - Ujj (1N) - Omk - Mah (1N) - Man (1N) - Idr (1N)</t>
  </si>
  <si>
    <t>EMP26-27EMP0051</t>
  </si>
  <si>
    <t>Mr. Alok Panday</t>
  </si>
  <si>
    <t xml:space="preserve">Dhanvi Holidays </t>
  </si>
  <si>
    <t>EMPRT05</t>
  </si>
  <si>
    <t>EMP26-27EMP0052</t>
  </si>
  <si>
    <t>Mr. Subham /Singh</t>
  </si>
  <si>
    <t>Matoshri Holidays</t>
  </si>
  <si>
    <t>EMPRT06</t>
  </si>
  <si>
    <t xml:space="preserve">Mesmerizing Madhya Pradesh </t>
  </si>
  <si>
    <t>Bho (2N) + San + Bhoj + Bhim - Ujj (1N) - Omk (1N) - Mah (1N) - Man (1N) - Idr (1N)</t>
  </si>
  <si>
    <t>EMP26-27EMP0053</t>
  </si>
  <si>
    <t>Mr. Shiva Aggarwal</t>
  </si>
  <si>
    <t>Butterfly Hospitality</t>
  </si>
  <si>
    <t>EMPRT07</t>
  </si>
  <si>
    <t>Ex Nag | Nag - Pch (2N) - Bhim - Bhoj - Bho (2N) + San + Udaygiri - Jlr (1N) - Kan (1N) - Nag</t>
  </si>
  <si>
    <t>EMP26-27EMP0054</t>
  </si>
  <si>
    <t>Varanasi</t>
  </si>
  <si>
    <t>Long Weekend - Gandhi Jayanti</t>
  </si>
  <si>
    <t>Easeout  Holidays</t>
  </si>
  <si>
    <t>EMPRT08</t>
  </si>
  <si>
    <t>Timeless Treasures Of Madhya Pradesh</t>
  </si>
  <si>
    <t>Gwl (2N) + Mor - Son - Dat - Orc (1N) - Hjr (2N) - San - Bho (2N) + Bhoj + Bhim</t>
  </si>
  <si>
    <t>EMP26-27EMP0055</t>
  </si>
  <si>
    <t>Holiday Friends Tours &amp; Travels</t>
  </si>
  <si>
    <t>Partha Pratim Ghosh</t>
  </si>
  <si>
    <t xml:space="preserve"> 9874445533</t>
  </si>
  <si>
    <t>holidayfriendstoursntravels@gmail.com</t>
  </si>
  <si>
    <t>Travel Systems Limited</t>
  </si>
  <si>
    <t>EMPRT09</t>
  </si>
  <si>
    <t>Bho (1N) - Mad (2N) + Tawa Cruise Safari - Pch (2N) - Jlr (1N) - Nag</t>
  </si>
  <si>
    <t>EMP26-27EMP0056</t>
  </si>
  <si>
    <t>Bareilly</t>
  </si>
  <si>
    <t>Gunjan</t>
  </si>
  <si>
    <t>sudha@saipearlholidays.com</t>
  </si>
  <si>
    <t>Evening Twilight Tour</t>
  </si>
  <si>
    <t>EMPMON01</t>
  </si>
  <si>
    <t>Mandu Monsoon Magic</t>
  </si>
  <si>
    <t>Ex Idr | Idr - Man (2N) - Idr</t>
  </si>
  <si>
    <t>EMP26-27EMP0057</t>
  </si>
  <si>
    <t>Explorers - The Travel Experts</t>
  </si>
  <si>
    <t>EMPMON02</t>
  </si>
  <si>
    <t>Monsoon Heritage &amp; Spiritual Journey</t>
  </si>
  <si>
    <t>Idr - Man (2N) - Idr (1N) - Bho (2N) + Bhim + Bhoj + Sanchi</t>
  </si>
  <si>
    <t>EMP26-27EMP0058</t>
  </si>
  <si>
    <t>Sheela</t>
  </si>
  <si>
    <t>operations@orchidtours.net</t>
  </si>
  <si>
    <t>National Tours &amp; Travels</t>
  </si>
  <si>
    <t>EMPMON03</t>
  </si>
  <si>
    <t>Madhya Pradesh Cultural &amp; Natural Tail</t>
  </si>
  <si>
    <t>Ex Bho | Bho (2N) + San + Udaygiri - Bhoj - Bhim - Pch (2N) - Tawa (1N) - Bho</t>
  </si>
  <si>
    <t>EMP26-27EMP0059</t>
  </si>
  <si>
    <t>Ahemdabad</t>
  </si>
  <si>
    <t>sales1@itdhholidays.com</t>
  </si>
  <si>
    <t>Jai Holidays</t>
  </si>
  <si>
    <t>EMPMON04</t>
  </si>
  <si>
    <t>Madhya Pradesh Monsoon Odyssey</t>
  </si>
  <si>
    <t>Idr - Man (2N) - Bho (2N) + San - Bhoj - Bhim - Pch (2N) - Tawa (1N) - Bho</t>
  </si>
  <si>
    <t>EMP26-27EMP0060</t>
  </si>
  <si>
    <t>87794 96148</t>
  </si>
  <si>
    <t xml:space="preserve">Akbar Holidays </t>
  </si>
  <si>
    <t>EMPMON05</t>
  </si>
  <si>
    <t>Heritage and Spiritual Monsoon Edition</t>
  </si>
  <si>
    <t>Idr - Man (2N) - Idr (1N) - Bho (1N) + San - Bhoj - Bhim - Pch (2N) - Bho</t>
  </si>
  <si>
    <t>EMP26-27EMP0061</t>
  </si>
  <si>
    <t>Abhac Holidays</t>
  </si>
  <si>
    <t>Manya Bajaj</t>
  </si>
  <si>
    <t>9411252731</t>
  </si>
  <si>
    <t>manyabajaj@abhacgroup.com</t>
  </si>
  <si>
    <t>Holiday - Maharishi Valmiki Jayanti</t>
  </si>
  <si>
    <t>Happy Holidays</t>
  </si>
  <si>
    <t>EMPMON06</t>
  </si>
  <si>
    <t>Divine Nature &amp; Monsoon Experince</t>
  </si>
  <si>
    <t>Ex Bho | Bho (1N) - Bhoj - Bhim - Pch (3N) - Bho</t>
  </si>
  <si>
    <t>EMP26-27EMP0062</t>
  </si>
  <si>
    <t xml:space="preserve">Escape Holidays </t>
  </si>
  <si>
    <t>Vaibhav</t>
  </si>
  <si>
    <t>9833793463</t>
  </si>
  <si>
    <t>worldescapeholidays@gmail.com</t>
  </si>
  <si>
    <t>Weekend Thrill Pvt Ltd</t>
  </si>
  <si>
    <t>EMPSPR01</t>
  </si>
  <si>
    <t>A Pilgrimage of Faith and Culture</t>
  </si>
  <si>
    <t>EMP26-27EMP0063</t>
  </si>
  <si>
    <t>Operations Rovers Travel Radio</t>
  </si>
  <si>
    <t>Abdullah</t>
  </si>
  <si>
    <t>7904377324</t>
  </si>
  <si>
    <t>operations@travelradio.co.in</t>
  </si>
  <si>
    <t>Oorbit Tourism</t>
  </si>
  <si>
    <t>EMPSPR02</t>
  </si>
  <si>
    <t>Spiritual Retreat in Central India</t>
  </si>
  <si>
    <t>Gwl - Orc (1N) - Ckt (1N) - Myr (1N) - Jlr</t>
  </si>
  <si>
    <t>EMP26-27EMP0064</t>
  </si>
  <si>
    <t>Jhansi</t>
  </si>
  <si>
    <t>Seventh Sky Holidays</t>
  </si>
  <si>
    <t>EMPSPR03</t>
  </si>
  <si>
    <t>Mystic Trails of Madhya Pradesh</t>
  </si>
  <si>
    <t>Jlr (1N) - Amk (1N) - Myr (1N) - Ckt (1N) - Orc (1N) - Dat - Son - Gwl (2N) + Mor + Shanichara</t>
  </si>
  <si>
    <t>EMP26-27EMP0065</t>
  </si>
  <si>
    <t>Deepti Gaur Mukharjee</t>
  </si>
  <si>
    <t>Long Weekend - Diwali</t>
  </si>
  <si>
    <t>Savikrushna Holiday</t>
  </si>
  <si>
    <t>EMPSPR04</t>
  </si>
  <si>
    <t>Madhya Pradesh Temple Trail</t>
  </si>
  <si>
    <t>Gwl (1N) - Dat (Pitambara Peeth) - Orc (1N) - Ckt (1N) - Myr (1N) - Amk (2N) - Jlr (1N) - Bhoj - Bho (1N) - Ujj (1N)- Omk - Mah (1N) - Idr</t>
  </si>
  <si>
    <t>EMP26-27EMP0066</t>
  </si>
  <si>
    <t>Regional	Director	(NWR)</t>
  </si>
  <si>
    <t>A-Cube Holiday</t>
  </si>
  <si>
    <t>EMPSPR05</t>
  </si>
  <si>
    <t>Spiritual Odyssey of Central India</t>
  </si>
  <si>
    <t>Gwl (2N) + Mor + Sanchichara - Dat (Pitambara Peeth) - Orc (1N) - Ckt (2N) - Amk (1N) - Jlr (1N)</t>
  </si>
  <si>
    <t>EMP26-27EMP0067</t>
  </si>
  <si>
    <t>Global Royal Holidays</t>
  </si>
  <si>
    <t>Sunny</t>
  </si>
  <si>
    <t>9990332033</t>
  </si>
  <si>
    <t>grh.sunny@gmail.com</t>
  </si>
  <si>
    <t>Nag - Pen (2N) - Kan (2N) - Jlr (1N)</t>
  </si>
  <si>
    <t>Swayourway Tours &amp; Travel</t>
  </si>
  <si>
    <t>EMPSPR06</t>
  </si>
  <si>
    <t>Spiritual Sojourn in Central India</t>
  </si>
  <si>
    <t>Gwl (1N) - Dat (Pitambara Peeth) - Orc (1N) - Ckt (2N) - Ixd</t>
  </si>
  <si>
    <t>EMP26-27EMP0068</t>
  </si>
  <si>
    <t>Khandwa</t>
  </si>
  <si>
    <t>Happy Traveller</t>
  </si>
  <si>
    <t>EMPSPR07</t>
  </si>
  <si>
    <t>Path of Devotion</t>
  </si>
  <si>
    <t>Gwl - Orc (1N) - Ckt (2N) - Ixd</t>
  </si>
  <si>
    <t>EMP26-27EMP0069</t>
  </si>
  <si>
    <t>Air vision Tours &amp; Travels</t>
  </si>
  <si>
    <t>9884142193</t>
  </si>
  <si>
    <t>airvisiontt@gmail.com</t>
  </si>
  <si>
    <t>Bhutan</t>
  </si>
  <si>
    <t>EMPSPR08</t>
  </si>
  <si>
    <t>Sacred Journey of Central India</t>
  </si>
  <si>
    <t>EMP26-27EMP0070</t>
  </si>
  <si>
    <t xml:space="preserve">Sonal Tours and Travels, </t>
  </si>
  <si>
    <t>WILDMP01</t>
  </si>
  <si>
    <t>A Jungle Adventure</t>
  </si>
  <si>
    <t>EMP26-27EMP0071</t>
  </si>
  <si>
    <t xml:space="preserve">Tours Creator </t>
  </si>
  <si>
    <t>WILDMP02</t>
  </si>
  <si>
    <t>A Wilderness Discovery</t>
  </si>
  <si>
    <t>Ex Jlr | Jlr - Kan (3N) - Jlr</t>
  </si>
  <si>
    <t>EMP26-27EMP0072</t>
  </si>
  <si>
    <t>Venus Tour Planner Pvt Ltd</t>
  </si>
  <si>
    <t>9555144384</t>
  </si>
  <si>
    <t>noushad@venustourplanners.com</t>
  </si>
  <si>
    <t>Fiestro Holidays Pvt. Ltd</t>
  </si>
  <si>
    <t>WILDMP03</t>
  </si>
  <si>
    <t>Wildlife Safari Retreat</t>
  </si>
  <si>
    <t>4 Nights &amp; 5 days</t>
  </si>
  <si>
    <t>Ex Jlr | Jlr - Ban (2N) - Kan (2N) - Jlr</t>
  </si>
  <si>
    <t>EMP26-27EMP0073</t>
  </si>
  <si>
    <t>Surat</t>
  </si>
  <si>
    <t>Kewalsons Holidays</t>
  </si>
  <si>
    <t>Vishwa Modi</t>
  </si>
  <si>
    <t>7041444711</t>
  </si>
  <si>
    <t>kewalsonsholidays@gmail.com</t>
  </si>
  <si>
    <t>Remitx  Travels</t>
  </si>
  <si>
    <t>WILDMP04</t>
  </si>
  <si>
    <t>Exploring Central India's Wildlife</t>
  </si>
  <si>
    <t>Jlr - Ban (1N) - Kan (1N) - Pen (2N) - Nag</t>
  </si>
  <si>
    <t>EMP26-27EMP0074</t>
  </si>
  <si>
    <t>TripzyGo InternationaL</t>
  </si>
  <si>
    <t>WILDMP05</t>
  </si>
  <si>
    <t>Wilderness and Heritage Odyssey</t>
  </si>
  <si>
    <t>Rpr - Kan (2N) - Pen (1N) - Pch (2N) - Bho</t>
  </si>
  <si>
    <t>EMP26-27EMP0075</t>
  </si>
  <si>
    <t>Sachin Mishra</t>
  </si>
  <si>
    <t xml:space="preserve"> 9821292767</t>
  </si>
  <si>
    <t>sachin@senkaytwd.com</t>
  </si>
  <si>
    <t>Traveliz Fun</t>
  </si>
  <si>
    <t>WILDMP06</t>
  </si>
  <si>
    <t>Central India Wildlife and Culture Expedition</t>
  </si>
  <si>
    <t>Rpr - kan (2N) - Ban (1N) - Jlr (1N) - Mad (2N) - Bhim - Bhoj - Bho</t>
  </si>
  <si>
    <t>EMP26-27EMP0076</t>
  </si>
  <si>
    <t>Trip In Minutes Pvt Ltd</t>
  </si>
  <si>
    <t>Gopal Singh</t>
  </si>
  <si>
    <t>9082291898</t>
  </si>
  <si>
    <t>hello@tripinminutes.in</t>
  </si>
  <si>
    <t>Hind Musafir Agency Ltd.</t>
  </si>
  <si>
    <t>WILDMP07</t>
  </si>
  <si>
    <t>The Tiger Kingdom Odyssey</t>
  </si>
  <si>
    <t>Bho - Bhoj - Bhim - Mad (1N) - Pen (1N) - Kan (2N) - Ban (2N) - Pan (1N) - Gwl (1N)</t>
  </si>
  <si>
    <t>EMP26-27EMP0077</t>
  </si>
  <si>
    <t>Travels Wings</t>
  </si>
  <si>
    <t>Soumalya</t>
  </si>
  <si>
    <t>6297600924</t>
  </si>
  <si>
    <t>travels.wings2022@gmail.com</t>
  </si>
  <si>
    <t>Beohari</t>
  </si>
  <si>
    <t>Jungle Travels India</t>
  </si>
  <si>
    <t>EXBHO12</t>
  </si>
  <si>
    <t xml:space="preserve">Echoes Of The Ancient &amp; Wilderness </t>
  </si>
  <si>
    <t>Ex Bho | Bho (2N) + Bhim + Bhoj + San + Udaygiri + Vidisha + FDCT Bho</t>
  </si>
  <si>
    <t>EMP26-27EMP0078</t>
  </si>
  <si>
    <t>Mysore</t>
  </si>
  <si>
    <t>PARICHAYA HOLIDAYS</t>
  </si>
  <si>
    <t>Yogesh Kumar Rajegowda</t>
  </si>
  <si>
    <t>8197544442</t>
  </si>
  <si>
    <t>yogesh@parichayaholidays.com</t>
  </si>
  <si>
    <t>Long Weekend - Christmas</t>
  </si>
  <si>
    <t>Holiday Hub Pvt Ltd</t>
  </si>
  <si>
    <t>EXBHO13</t>
  </si>
  <si>
    <t>A Journey through History</t>
  </si>
  <si>
    <t>Ex Bho | Bho (2N) + Bhim + Bhoj + San + HDCT Bho</t>
  </si>
  <si>
    <t>EMP26-27EMP0079</t>
  </si>
  <si>
    <t xml:space="preserve">E-sanchar </t>
  </si>
  <si>
    <t>Sourav Agarwal</t>
  </si>
  <si>
    <t>9332100485</t>
  </si>
  <si>
    <t>esanchar@gmail.com</t>
  </si>
  <si>
    <t xml:space="preserve">Kuber Holidays </t>
  </si>
  <si>
    <t>EXBHO14</t>
  </si>
  <si>
    <t>Heritage and Hills of  Madhya Pradesh</t>
  </si>
  <si>
    <t>EMP26-27EMP0080</t>
  </si>
  <si>
    <t>ops@blr.ottila.net</t>
  </si>
  <si>
    <t xml:space="preserve">Ex Ujj I 2N Ujj </t>
  </si>
  <si>
    <t>Long Weekend - New Year</t>
  </si>
  <si>
    <t>EXBHO15</t>
  </si>
  <si>
    <t>Heritage &amp; Spiritual Trail</t>
  </si>
  <si>
    <t>Bho (1N) + Bhim + Bhoj - HDCT  Bho + Sanchi - Ujj (2N)</t>
  </si>
  <si>
    <t>EMP26-27EMP0081</t>
  </si>
  <si>
    <t>Lakshmi.R</t>
  </si>
  <si>
    <t>9742585678</t>
  </si>
  <si>
    <t>lakshmi.r@sbittravels.com</t>
  </si>
  <si>
    <t>Always On The Go</t>
  </si>
  <si>
    <t>EXBHO16</t>
  </si>
  <si>
    <t>Divine Madhya Pradesh Yatra</t>
  </si>
  <si>
    <t>Bho (1N) + Bhim + Bhoj - HDCT  Bho + Sanchi - Ujj (2N) - Idr</t>
  </si>
  <si>
    <t>EMP26-27EMP0082</t>
  </si>
  <si>
    <t xml:space="preserve">Dehradun </t>
  </si>
  <si>
    <t>HotelTravelia</t>
  </si>
  <si>
    <t>EXBHO17</t>
  </si>
  <si>
    <t>Heritage &amp; Safari Getaway</t>
  </si>
  <si>
    <t>Ex Bho | Bho - Bhim - Tawa (1N) - Mad (1N) - Bho</t>
  </si>
  <si>
    <t>EMP26-27EMP0083</t>
  </si>
  <si>
    <t>Rashmi</t>
  </si>
  <si>
    <t xml:space="preserve"> 9606484185</t>
  </si>
  <si>
    <t>rashmi@ottila.in</t>
  </si>
  <si>
    <t>Adbhut Travel &amp; Event Pvt Ltd</t>
  </si>
  <si>
    <t>EXBHO18</t>
  </si>
  <si>
    <t>Mystic Stones &amp; Mountain Breezes</t>
  </si>
  <si>
    <t>Ex Bho | Bho - Bhoj - Bhim - Mad (1N) - Pch (2N) - Bho</t>
  </si>
  <si>
    <t>EMP26-27EMP0084</t>
  </si>
  <si>
    <t xml:space="preserve">Pratima N </t>
  </si>
  <si>
    <t>8885015976</t>
  </si>
  <si>
    <t>ops@hyd.ottila.net</t>
  </si>
  <si>
    <t>Long Weekend - Makar Sankranti</t>
  </si>
  <si>
    <t>Hopco Travel Pvt Ltd</t>
  </si>
  <si>
    <t>EXBHO19</t>
  </si>
  <si>
    <t>Wilderness &amp; Heritage Trail of Central India</t>
  </si>
  <si>
    <t>Ex Bho | Bho - Bhoj - Bhim - Mad (1N) - Pch (3N) - Bho</t>
  </si>
  <si>
    <t>EMP26-27EMP0085</t>
  </si>
  <si>
    <t>Tour Setup</t>
  </si>
  <si>
    <t>EXBHO20</t>
  </si>
  <si>
    <t>Ancient Echoes and  Safari</t>
  </si>
  <si>
    <t>Ex Bho | Bho - Bhoj - Bhim - Tawa (1N) - Mad (1N) - Bho (1N)</t>
  </si>
  <si>
    <t>EMP26-27EMP0086</t>
  </si>
  <si>
    <t>Mahindra</t>
  </si>
  <si>
    <t>9818346805</t>
  </si>
  <si>
    <t>jh.accounts@jetsavetours.com</t>
  </si>
  <si>
    <t>Shree Shyam Travels</t>
  </si>
  <si>
    <t>EXBHO21</t>
  </si>
  <si>
    <t>Legacy Trails &amp; Wilderness</t>
  </si>
  <si>
    <t>Ex Bho | Bho (2N) + Sanchi + Bhoj + Bhim - Tawa - Mad (1N) - Bho (1N)</t>
  </si>
  <si>
    <t>EMP26-27EMP0087</t>
  </si>
  <si>
    <t>Dimaak Tours</t>
  </si>
  <si>
    <t>Rakesh</t>
  </si>
  <si>
    <t xml:space="preserve">Travagri Services </t>
  </si>
  <si>
    <t>EXBHO22</t>
  </si>
  <si>
    <t>Forest Trails &amp; Ancient Wonders</t>
  </si>
  <si>
    <t>Ex Bho | Bho - Bhoj - Bhim - Tawa (1N) - Mad (1N) - Pch (2N) - Bho</t>
  </si>
  <si>
    <t>EMP26-27EMP0088</t>
  </si>
  <si>
    <t>Xplorer's paradise</t>
  </si>
  <si>
    <t>EXBHO23</t>
  </si>
  <si>
    <t>Wilderness &amp; Heritage Expedition</t>
  </si>
  <si>
    <t>Bho - Bhoj - Bhim - Pch (2N) - Kan (1N) - Jlr (1N)</t>
  </si>
  <si>
    <t>EMP26-27EMP0089</t>
  </si>
  <si>
    <t>Mitali Tours</t>
  </si>
  <si>
    <t>Sagar Rajpur</t>
  </si>
  <si>
    <t>9699 066 822</t>
  </si>
  <si>
    <t>mitalitours1@gmail.com</t>
  </si>
  <si>
    <t xml:space="preserve">Vacation Triangle </t>
  </si>
  <si>
    <t>EXBHO24</t>
  </si>
  <si>
    <t>Forest Adventures &amp; Sacred Heights</t>
  </si>
  <si>
    <t>Bho - Bhoj - Bhim - Pch (2N) - Kan (1N) - Amk (1N) - Jlr</t>
  </si>
  <si>
    <t>EMP26-27EMP0090</t>
  </si>
  <si>
    <t>Dream Destinations</t>
  </si>
  <si>
    <t>EXBHO25</t>
  </si>
  <si>
    <t>Cultural Tapestry of Central India</t>
  </si>
  <si>
    <t>Bho (1N) - Bhim - Bhoj - San - Idr (2N) + Ujj</t>
  </si>
  <si>
    <t>EMP26-27EMP0091</t>
  </si>
  <si>
    <t>The Wanderlust Tours</t>
  </si>
  <si>
    <t>Omkar</t>
  </si>
  <si>
    <t>9987391394</t>
  </si>
  <si>
    <t>thewanderlust.tours001@gmail.com</t>
  </si>
  <si>
    <t>01 Day</t>
  </si>
  <si>
    <t>Travel N Joy Tours</t>
  </si>
  <si>
    <t>EXBHO26</t>
  </si>
  <si>
    <t>The Divine Legacy of Madhya Pradesh</t>
  </si>
  <si>
    <t xml:space="preserve">Bho (1N) + Bhim + Bhoj + San - Ujj (1N) - Omk - Mah (1N) - Idr (1N) </t>
  </si>
  <si>
    <t>EMP26-27EMP0092</t>
  </si>
  <si>
    <t>Travel Tatva</t>
  </si>
  <si>
    <t>Hemant</t>
  </si>
  <si>
    <t>79863-02732</t>
  </si>
  <si>
    <t>hemant@traveltatva.com</t>
  </si>
  <si>
    <t>Holiday Colours - A Unit of Travagri Services</t>
  </si>
  <si>
    <t>EXBHO27</t>
  </si>
  <si>
    <t>Wildlife and Heritage of Central India</t>
  </si>
  <si>
    <t>Nag - Pen (2N) - Pch (2N) - Bhim - Bhoj - Bho (1N) + San</t>
  </si>
  <si>
    <t>EMP26-27EMP0093</t>
  </si>
  <si>
    <t>TravNest Tours &amp; Travels</t>
  </si>
  <si>
    <t>Ranjana</t>
  </si>
  <si>
    <t>9481565 497</t>
  </si>
  <si>
    <t>travnestt@gmail.com</t>
  </si>
  <si>
    <t>TripMakers</t>
  </si>
  <si>
    <t>EXBHO28</t>
  </si>
  <si>
    <t>Whispers of the Ancient &amp; Wilderness</t>
  </si>
  <si>
    <t>Bho (1N) - Bhoj - Bhim - Pch (2N) - Bho</t>
  </si>
  <si>
    <t>EMP26-27EMP0094</t>
  </si>
  <si>
    <t>Traviget</t>
  </si>
  <si>
    <t>7517568585</t>
  </si>
  <si>
    <t>b2b@traviget.com</t>
  </si>
  <si>
    <t>Long Weekend - Shivaji Jayanti</t>
  </si>
  <si>
    <t>Rudra Travels Plash</t>
  </si>
  <si>
    <t>EXIDR14</t>
  </si>
  <si>
    <t>Spirit of the Jyotirlingas</t>
  </si>
  <si>
    <t>EMP26-27EMP0095</t>
  </si>
  <si>
    <t>Reisen Tours India Pvt. Ltd.</t>
  </si>
  <si>
    <t>Harish</t>
  </si>
  <si>
    <t>9810040254</t>
  </si>
  <si>
    <t>holidays4@reisentours.com</t>
  </si>
  <si>
    <t>Kanha</t>
  </si>
  <si>
    <t xml:space="preserve">Kanha </t>
  </si>
  <si>
    <t>CANDID ESCAPES</t>
  </si>
  <si>
    <t>EXIDR15</t>
  </si>
  <si>
    <t>Essence Of Faith</t>
  </si>
  <si>
    <t>EMP26-27EMP0096</t>
  </si>
  <si>
    <t xml:space="preserve">Tripvit </t>
  </si>
  <si>
    <t>EXIDR16</t>
  </si>
  <si>
    <t>Pilgrimage of the Heart</t>
  </si>
  <si>
    <t>Ujj (1N) - Omk - Mah (1N) - Man (1N) - Idr</t>
  </si>
  <si>
    <t>EMP26-27EMP0097</t>
  </si>
  <si>
    <t>Pankaj</t>
  </si>
  <si>
    <t>9873503319</t>
  </si>
  <si>
    <t>trip@servicestours.com</t>
  </si>
  <si>
    <t>1N Orc - 1N Hjr - 2N Gwl Ex Mor</t>
  </si>
  <si>
    <t>EXIDR17</t>
  </si>
  <si>
    <t>Essence of Ujjain</t>
  </si>
  <si>
    <t>Ujj (1N) -  Idr (1N)</t>
  </si>
  <si>
    <t>EMP26-27EMP0098</t>
  </si>
  <si>
    <t>Gujrat</t>
  </si>
  <si>
    <t>INFINITY TRAVEL SOLUTION</t>
  </si>
  <si>
    <t>Hardik</t>
  </si>
  <si>
    <t>7041875887</t>
  </si>
  <si>
    <t>travelatinfinity@gmail.com</t>
  </si>
  <si>
    <t xml:space="preserve">Vimal Travels </t>
  </si>
  <si>
    <t>EXIDR18</t>
  </si>
  <si>
    <t>Legacy of the Heartland Of Madhya Pradesh</t>
  </si>
  <si>
    <t>Ex Idr | Idr (1N) - Ujj (1N) - Omk - Mah (1N)</t>
  </si>
  <si>
    <t>EMP26-27EMP0099</t>
  </si>
  <si>
    <t>Kerala</t>
  </si>
  <si>
    <t>Joanna Holidays Pvt Ltd</t>
  </si>
  <si>
    <t>Suraj</t>
  </si>
  <si>
    <t>91 8089666932</t>
  </si>
  <si>
    <t>obt@joannaholidays.com</t>
  </si>
  <si>
    <t>My Travel Guardian</t>
  </si>
  <si>
    <t>EXIDR19</t>
  </si>
  <si>
    <t>Temple Trails Of Madhya Pradesh</t>
  </si>
  <si>
    <t>Ex Idr | Idr - Ujj (1N) - Omk (1N) - Mah (1N) - Idr</t>
  </si>
  <si>
    <t>EMP26-27EMP0100</t>
  </si>
  <si>
    <t>Sparke Holidays</t>
  </si>
  <si>
    <t>EXIDR20</t>
  </si>
  <si>
    <t>Sacred &amp; Scenic Trail</t>
  </si>
  <si>
    <t>EMP26-27EMP0101</t>
  </si>
  <si>
    <t>Vimal Hospitality</t>
  </si>
  <si>
    <t>Dhwani</t>
  </si>
  <si>
    <t>+91-  8369520447</t>
  </si>
  <si>
    <t>vimalhospitality@gmail.com</t>
  </si>
  <si>
    <t>The Flapper Life</t>
  </si>
  <si>
    <t>EXIDR21</t>
  </si>
  <si>
    <t>Journey to the Jyotirlingas</t>
  </si>
  <si>
    <t>Khandwa - Omk (1N) - Mah (1N) - Ujj (1N) - Idr</t>
  </si>
  <si>
    <t>EMP26-27EMP0102</t>
  </si>
  <si>
    <t>9034015552</t>
  </si>
  <si>
    <t>Ex Idr | Ujj (1N) - Idr + HDCT</t>
  </si>
  <si>
    <t>Am’s Holidays</t>
  </si>
  <si>
    <t>EXIDR22</t>
  </si>
  <si>
    <t>The Sacred Experience Of Madhya Pradesh</t>
  </si>
  <si>
    <t>Idr - Mah - Omk (1N) - Ujj (1N)</t>
  </si>
  <si>
    <t>EMP26-27EMP0103</t>
  </si>
  <si>
    <t>Long Weekend - Holi</t>
  </si>
  <si>
    <t>EXIDR23</t>
  </si>
  <si>
    <t>Discovering Spiritual Miracles</t>
  </si>
  <si>
    <t>Idr - Ujj (1N) - Mah - Omk (1N) - Khandwa</t>
  </si>
  <si>
    <t>EMP26-27EMP0104</t>
  </si>
  <si>
    <t>FlyHigh FlySafe</t>
  </si>
  <si>
    <t>Dibyaa</t>
  </si>
  <si>
    <t xml:space="preserve"> 88716 44883</t>
  </si>
  <si>
    <t>fly@flyhighflysafe.com</t>
  </si>
  <si>
    <t>EXIDR24</t>
  </si>
  <si>
    <t>Spiritual Trails &amp; Heritage Echoes</t>
  </si>
  <si>
    <t>EMP26-27EMP0105</t>
  </si>
  <si>
    <t>EXIDR25</t>
  </si>
  <si>
    <t>The Sacred Route</t>
  </si>
  <si>
    <t xml:space="preserve">Idr - Omk (1N) - Mah - Ujj (1N) San - Bho (1N) </t>
  </si>
  <si>
    <t>EMP26-27EMP0106</t>
  </si>
  <si>
    <t>Aditya</t>
  </si>
  <si>
    <t>91365 68670</t>
  </si>
  <si>
    <t>Tripyapa Private Limited</t>
  </si>
  <si>
    <t>EXIDR26</t>
  </si>
  <si>
    <t>Divine Heritage Journey</t>
  </si>
  <si>
    <t>Ex Idr | Idr - Man (1N) - Mah - Omk (1N) - Ujj (1N) - Idr</t>
  </si>
  <si>
    <t>EMP26-27EMP0107</t>
  </si>
  <si>
    <t>Travagri Services</t>
  </si>
  <si>
    <t>EXIDR27</t>
  </si>
  <si>
    <t>Ujjain’s Divine Glow</t>
  </si>
  <si>
    <t>EMP26-27EMP0108</t>
  </si>
  <si>
    <t>Bilaspur</t>
  </si>
  <si>
    <t>Kanpur</t>
  </si>
  <si>
    <t>TourO</t>
  </si>
  <si>
    <t>EXIDR28</t>
  </si>
  <si>
    <t>Taste &amp; Traditions of Indore</t>
  </si>
  <si>
    <t>Ex Idr | Idr (1N)</t>
  </si>
  <si>
    <t>EMP26-27EMP0109</t>
  </si>
  <si>
    <t>Royal Tern Hospitality Management Pvt. Ltd</t>
  </si>
  <si>
    <t>Lovely singe</t>
  </si>
  <si>
    <t>+91 83024 47747</t>
  </si>
  <si>
    <t>res@royalternhospitality.com</t>
  </si>
  <si>
    <t>EXIDR29</t>
  </si>
  <si>
    <t>Divine Riverside Journey</t>
  </si>
  <si>
    <t>EMP26-27EMP0110</t>
  </si>
  <si>
    <t>Ranchi</t>
  </si>
  <si>
    <t>mindboggling holidays</t>
  </si>
  <si>
    <t>Sumit Kumar Jain</t>
  </si>
  <si>
    <t>7763082654</t>
  </si>
  <si>
    <t>mindbogglingholidays@gmail.com</t>
  </si>
  <si>
    <t>Udaipur</t>
  </si>
  <si>
    <t>Tweak Your Trip</t>
  </si>
  <si>
    <t>EXIDR30</t>
  </si>
  <si>
    <t>Soulful Narmada Quest</t>
  </si>
  <si>
    <t>Khandwa - Omk (1N) - Idr HDCT</t>
  </si>
  <si>
    <t>EMP26-27EMP0111</t>
  </si>
  <si>
    <t>EXUJJ01</t>
  </si>
  <si>
    <t>Sacred River Trail</t>
  </si>
  <si>
    <t>Khandwa - Omk (1N) - Mah - Ujj (2N)</t>
  </si>
  <si>
    <t>EMP26-27EMP0112</t>
  </si>
  <si>
    <t>HIFLY Travel Solutions Pvt. Ltd.</t>
  </si>
  <si>
    <t>Poonam</t>
  </si>
  <si>
    <t>7358074441</t>
  </si>
  <si>
    <t>vacations@hiflytravel.com</t>
  </si>
  <si>
    <t>Doshi Tour &amp; Travels</t>
  </si>
  <si>
    <t>EXUJJ02</t>
  </si>
  <si>
    <t>Ujjain Divine Sojourn</t>
  </si>
  <si>
    <t>EMP26-27EMP0113</t>
  </si>
  <si>
    <t>Global Wings Tours</t>
  </si>
  <si>
    <t>EXUJJ03</t>
  </si>
  <si>
    <t>Blessings and Heritage</t>
  </si>
  <si>
    <t>Ujj (1N) - Sehor - Bho (1N) HDCT</t>
  </si>
  <si>
    <t>EMP26-27EMP0114</t>
  </si>
  <si>
    <t>1N Jlr - 1N Kan - 3N Pch - Ppi</t>
  </si>
  <si>
    <t>Super Club Holidays</t>
  </si>
  <si>
    <t>EXGWL12</t>
  </si>
  <si>
    <t>Legacy Trails of Madhya Pradesh</t>
  </si>
  <si>
    <t>Ex Gwl | Gwl - Hjr (1N) - Orc (1N) - Dat - Son - Gwl (2N)</t>
  </si>
  <si>
    <t>EMP26-27EMP0115</t>
  </si>
  <si>
    <t>Gateway World Tour</t>
  </si>
  <si>
    <t>EXGWL13</t>
  </si>
  <si>
    <t>Royal Routes and Hidden Gems of Central India</t>
  </si>
  <si>
    <t>Gwl (2N) (Ex Mor) - Orc (1N) - Chn (1N) - Shiv (1N) - Jhn</t>
  </si>
  <si>
    <t>EMP26-27EMP0116</t>
  </si>
  <si>
    <t>VSK Tours &amp; Travels</t>
  </si>
  <si>
    <t>Vrushali Khamkar</t>
  </si>
  <si>
    <t>8857099323</t>
  </si>
  <si>
    <t>vsktoursandtravels18@gmail.com</t>
  </si>
  <si>
    <t>Avdhoot Tourism</t>
  </si>
  <si>
    <t>EXGWL14</t>
  </si>
  <si>
    <t>Heritage Trails of Valor</t>
  </si>
  <si>
    <t>Gwl (2N) (Ex Mor) - Dat - Orc (1N) - Chn (1N) - Shiv (1N) - Jhn</t>
  </si>
  <si>
    <t>EMP26-27EMP0117</t>
  </si>
  <si>
    <t xml:space="preserve">SME Tours &amp; Travels </t>
  </si>
  <si>
    <t>EXGWL15</t>
  </si>
  <si>
    <t>Heritage Odyssey</t>
  </si>
  <si>
    <t>Ex Gwl | Gwl - Orc (1N) - Hjr (1N) - Chn (1N) - Shiv (1N) - Gwl</t>
  </si>
  <si>
    <t>EMP26-27EMP0118</t>
  </si>
  <si>
    <t>Superb Holiday Makers</t>
  </si>
  <si>
    <t>EXGWL16</t>
  </si>
  <si>
    <t>Cultural and Wildlife Quest</t>
  </si>
  <si>
    <t>Gwl - Hjr (1N) - Panna (1N) - Chit (1N) - Mahi (1N) - Sat</t>
  </si>
  <si>
    <t>EMP26-27EMP0119</t>
  </si>
  <si>
    <t>Rajeshwari</t>
  </si>
  <si>
    <t>9187191995</t>
  </si>
  <si>
    <t>rajeshwari.s@sbittravels.com</t>
  </si>
  <si>
    <t>Aurangabad</t>
  </si>
  <si>
    <t>EXJBP12</t>
  </si>
  <si>
    <t>Sacred Heights &amp; Wild Trails</t>
  </si>
  <si>
    <t>Ex Jlr | Jlr (1N) - Amr (1N) - Ban (1N) - Jlr</t>
  </si>
  <si>
    <t>EMP26-27EMP0120</t>
  </si>
  <si>
    <t>Ex Nag - 2N Tado - 2N Pen - 3N Nag</t>
  </si>
  <si>
    <t>Ananda Vyas Holidays Pvt.Ltd</t>
  </si>
  <si>
    <t>EXJBP13</t>
  </si>
  <si>
    <t>The Wilderness Journey</t>
  </si>
  <si>
    <t>Jlr - Amar (1 N) - Ban (2 N) - Kan (1N) - Pch (2N) - Ppi</t>
  </si>
  <si>
    <t>EMP26-27EMP0121</t>
  </si>
  <si>
    <t>Terrain Marauders</t>
  </si>
  <si>
    <t>Karthik Rao</t>
  </si>
  <si>
    <t>terrainmarauders@gmail.com</t>
  </si>
  <si>
    <t>FINE HOLIDAYS TOURS INDIA</t>
  </si>
  <si>
    <t>EXJBP14</t>
  </si>
  <si>
    <t>Wilderness and Spiritual Elevations</t>
  </si>
  <si>
    <t>EMP26-27EMP0122</t>
  </si>
  <si>
    <t xml:space="preserve">Sanjay </t>
  </si>
  <si>
    <t>94347 77102</t>
  </si>
  <si>
    <t>Saninmumbai@gmail.com</t>
  </si>
  <si>
    <t xml:space="preserve">Gwalior </t>
  </si>
  <si>
    <t>Prayagraj</t>
  </si>
  <si>
    <t>My Best Trip</t>
  </si>
  <si>
    <t>EXJBP15</t>
  </si>
  <si>
    <t>Bandhavgarh Safari Adventure</t>
  </si>
  <si>
    <t>Ex Jlr | Jlr (1N) - Ban (1N)</t>
  </si>
  <si>
    <t>EMP26-27EMP0123</t>
  </si>
  <si>
    <t>Viacation Tourism Pvt. Ltd.</t>
  </si>
  <si>
    <t>EXJBP16</t>
  </si>
  <si>
    <t>Echoes of the Wild and Water</t>
  </si>
  <si>
    <t>Ex Jlr | Ban (1N)</t>
  </si>
  <si>
    <t>EMP26-27EMP0124</t>
  </si>
  <si>
    <t>Shamik Sengupta</t>
  </si>
  <si>
    <t>9830809975</t>
  </si>
  <si>
    <t>shamik.sengupta@zenithholidays.com</t>
  </si>
  <si>
    <t xml:space="preserve">Satna </t>
  </si>
  <si>
    <t>2N Pen - 2N Kan - 2N Ban - 2N Pan - 2N Hjr</t>
  </si>
  <si>
    <t xml:space="preserve">Robin's Holidays </t>
  </si>
  <si>
    <t>EXJBP17</t>
  </si>
  <si>
    <t>Bandhavgarh &amp; Amarkantak Expedition</t>
  </si>
  <si>
    <t>Ex Jlr | Jlr - (1 N) Ban - (2 N) Amar</t>
  </si>
  <si>
    <t>EMP26-27EMP0125</t>
  </si>
  <si>
    <t>Rohit Jogani</t>
  </si>
  <si>
    <t>90295 53490</t>
  </si>
  <si>
    <t>rohit.sonutours@gmail.com</t>
  </si>
  <si>
    <t xml:space="preserve">Jai Holidays </t>
  </si>
  <si>
    <t>EXJBP18</t>
  </si>
  <si>
    <t>Kanha Nature Trail</t>
  </si>
  <si>
    <t>Ex Jlr | Jlr (2 N) Kan</t>
  </si>
  <si>
    <t>EMP26-27EMP0126</t>
  </si>
  <si>
    <t>9821292767</t>
  </si>
  <si>
    <t>Ticket 2 Escape</t>
  </si>
  <si>
    <t>EXJBP19</t>
  </si>
  <si>
    <t>Kanha Safari &amp; Pachmarhi Retreat</t>
  </si>
  <si>
    <t>Jlr - Kan (1N) - Pch (2N)</t>
  </si>
  <si>
    <t>EMP26-27EMP0127</t>
  </si>
  <si>
    <t>Traview India Tours And Travels</t>
  </si>
  <si>
    <t>Amit</t>
  </si>
  <si>
    <t>traviewindiatours@gmail.com</t>
  </si>
  <si>
    <t xml:space="preserve">Super Club Holidays </t>
  </si>
  <si>
    <t>EXJBP20</t>
  </si>
  <si>
    <t>Echoes of Pachmarhi: A Safari Saga</t>
  </si>
  <si>
    <t>Pi - Pch (2N)  - Kan (1N)</t>
  </si>
  <si>
    <t>EMP26-27EMP0128</t>
  </si>
  <si>
    <t>World Travel Studio</t>
  </si>
  <si>
    <t>EXJBP21</t>
  </si>
  <si>
    <t>Safari &amp; Spiritual Odyssey</t>
  </si>
  <si>
    <t>Ex Jlr | Jlr - Amr (1 N) - (1 N) Ban</t>
  </si>
  <si>
    <t>EMP26-27EMP0129</t>
  </si>
  <si>
    <t>Mario Rodrigues</t>
  </si>
  <si>
    <t>EXJBP22</t>
  </si>
  <si>
    <t>Safari Spirits &amp; Bhedaghat Bliss</t>
  </si>
  <si>
    <t>Ex Jlr | Jlr - Amr (1 N) - (1 N) Ban - (1 N) Jlr</t>
  </si>
  <si>
    <t>EMP26-27EMP0130</t>
  </si>
  <si>
    <t>Mind Boggling Holidays</t>
  </si>
  <si>
    <t>EXJBP23</t>
  </si>
  <si>
    <t>Nature’s Duo: Pachmarhi &amp; Pench”</t>
  </si>
  <si>
    <t>Ppi - (2 N) Pch - (1 N) Pen</t>
  </si>
  <si>
    <t>EMP26-27EMP0131</t>
  </si>
  <si>
    <t>Anushka</t>
  </si>
  <si>
    <t>9741424302 </t>
  </si>
  <si>
    <t>Holiday Creaters</t>
  </si>
  <si>
    <t>EXJBP24</t>
  </si>
  <si>
    <t>Majestic Peaks &amp; River Trails</t>
  </si>
  <si>
    <t>Bhp - Pch (2N) - Jlr (1N)</t>
  </si>
  <si>
    <t>EMP26-27EMP0132</t>
  </si>
  <si>
    <t>Mjourneys</t>
  </si>
  <si>
    <t>Arvind</t>
  </si>
  <si>
    <t>arvind@mjourneys.com</t>
  </si>
  <si>
    <t>Khajurhao</t>
  </si>
  <si>
    <t>Travel System</t>
  </si>
  <si>
    <t>EXJBP25</t>
  </si>
  <si>
    <t>Wilderness &amp; Wonders</t>
  </si>
  <si>
    <t>Jlr - (2 N) Kan - (2 N) Pch - Bhim - Bhoj - Bhp</t>
  </si>
  <si>
    <t>EMP26-27EMP0133</t>
  </si>
  <si>
    <t>Rajasthan</t>
  </si>
  <si>
    <t>Anu</t>
  </si>
  <si>
    <t>+91 98870 66470</t>
  </si>
  <si>
    <t>globalholidaysbwr@gmail.com</t>
  </si>
  <si>
    <t xml:space="preserve">EVENING TWILIGHT TOURS  </t>
  </si>
  <si>
    <t>EXJBP26</t>
  </si>
  <si>
    <t>Sacred Sites &amp; Safari Expedition</t>
  </si>
  <si>
    <t>Rpr - (2 N) Amr - (1 N) Ban - (1 N) Hjr - (1 N) Jlr</t>
  </si>
  <si>
    <t>EMP26-27EMP0134</t>
  </si>
  <si>
    <t>Kuber Holidays</t>
  </si>
  <si>
    <t>EXJBP27</t>
  </si>
  <si>
    <t>Tigers, Temples &amp; Trails</t>
  </si>
  <si>
    <t>Jlr - (2N) Kan - (1N) Jlr - Bhim - Bhoj - (2N) Bho  (Ex San &amp; Uda)  - (1N) Ujj - Idr</t>
  </si>
  <si>
    <t>EMP26-27EMP0135</t>
  </si>
  <si>
    <t>Arun</t>
  </si>
  <si>
    <t>+91-8130166772</t>
  </si>
  <si>
    <t>packages@jetsavetours.com</t>
  </si>
  <si>
    <t>Amigos Alliance LLP</t>
  </si>
  <si>
    <t>EXJBP28</t>
  </si>
  <si>
    <t>Ex Rpr | Rpr - (2N) Kan</t>
  </si>
  <si>
    <t>EMP26-27EMP0136</t>
  </si>
  <si>
    <t>Mr. Rahul</t>
  </si>
  <si>
    <t>Mathews CJB</t>
  </si>
  <si>
    <t>EXJBP29</t>
  </si>
  <si>
    <t>Cultural Wonders &amp; Wildlife Safari</t>
  </si>
  <si>
    <t>Jlr - (1 N) Kan - (2 N) Pch - Bhim - Bhoj - (1 N) Bho - (1 N) Ujj - (1 N) Mah - Man -  (1 N) Idr</t>
  </si>
  <si>
    <t>EMP26-27EMP0137</t>
  </si>
  <si>
    <t>Mr. Bhavesh Prajapati</t>
  </si>
  <si>
    <t xml:space="preserve"> 9714350145</t>
  </si>
  <si>
    <t>Happy Vacations Tours &amp; Travels</t>
  </si>
  <si>
    <t>EXJBP30</t>
  </si>
  <si>
    <t>Jungle Safari: Kanha &amp; Pench</t>
  </si>
  <si>
    <t>Jlr - (2 N) Kan - (2 N) Pen - Rpr</t>
  </si>
  <si>
    <t>EMP26-27EMP0138</t>
  </si>
  <si>
    <t>Mr. Praveen Ahire</t>
  </si>
  <si>
    <t>9552529920</t>
  </si>
  <si>
    <t>Hind Musafir Agency Ltd</t>
  </si>
  <si>
    <t>EXGWL17</t>
  </si>
  <si>
    <t>Historical Trail of Chambal &amp; Jhansi</t>
  </si>
  <si>
    <t xml:space="preserve">Arr Jhn - Hjr (1N) - Orc - Gwl (2N) </t>
  </si>
  <si>
    <t>EMP26-27EMP0139</t>
  </si>
  <si>
    <t>Ms. Namrita Patel</t>
  </si>
  <si>
    <t xml:space="preserve"> 9819144616</t>
  </si>
  <si>
    <t xml:space="preserve">Aerowings </t>
  </si>
  <si>
    <t>EXGWL18</t>
  </si>
  <si>
    <t>Ancient Trail of Bundelkhand &amp; Chambal</t>
  </si>
  <si>
    <t>Gwl (2N) (Ex Mor) - Dat -Orc (1N) - Hjr (1N) - Jhn</t>
  </si>
  <si>
    <t>EMP26-27EMP0140</t>
  </si>
  <si>
    <t>Mr. Tarun Sharma</t>
  </si>
  <si>
    <t>9999390066</t>
  </si>
  <si>
    <t>Trip Makers</t>
  </si>
  <si>
    <t>EXGWL19</t>
  </si>
  <si>
    <t>Historic &amp; Natural Trails</t>
  </si>
  <si>
    <t>Ex Gwl | Gwl (1N) - Son - Dat - Orc (1N) - Hjr (2N) (Ex Panna) - Gwl</t>
  </si>
  <si>
    <t>EMP26-27EMP0141</t>
  </si>
  <si>
    <t>89108266475</t>
  </si>
  <si>
    <t>Joshi Tours</t>
  </si>
  <si>
    <t>EXGWL20</t>
  </si>
  <si>
    <t>Pathways of the Past</t>
  </si>
  <si>
    <t>Gwl (2N) (Ex Mor) -Orc  - Hjr (1N) - Chn (1N) - Shiv (1N) - Jhn</t>
  </si>
  <si>
    <t>EMP26-27EMP0142</t>
  </si>
  <si>
    <t xml:space="preserve">Sumit </t>
  </si>
  <si>
    <t>8955592555</t>
  </si>
  <si>
    <t xml:space="preserve"> Indore</t>
  </si>
  <si>
    <t>Nextstep Travel World</t>
  </si>
  <si>
    <t>EXHJR01</t>
  </si>
  <si>
    <t>Spiritual Sojourn: Khajuraho to Maihar</t>
  </si>
  <si>
    <t>Hjr (1N) - Mahi (1N) - Sat</t>
  </si>
  <si>
    <t>EMP26-27EMP0143</t>
  </si>
  <si>
    <t>8830325563</t>
  </si>
  <si>
    <t>T Trikon</t>
  </si>
  <si>
    <t>EXHJR02</t>
  </si>
  <si>
    <t>Legends &amp; Legacy</t>
  </si>
  <si>
    <t>Hjr (1N) - Orc (1N) - Dat - son - Gwl (2N)(Ex Mor)</t>
  </si>
  <si>
    <t>EMP26-27EMP0144</t>
  </si>
  <si>
    <t>Richa Kukreja (MOCA)</t>
  </si>
  <si>
    <t>Pachmarhi</t>
  </si>
  <si>
    <t>Travelpedia</t>
  </si>
  <si>
    <t>EMPWOM01</t>
  </si>
  <si>
    <t>Heritage and Nature Trail of central india</t>
  </si>
  <si>
    <t>9 Nights &amp; 10 Days</t>
  </si>
  <si>
    <t>(2 N) Idr (Ex Ujj) - Omk - (1 N) Mah (1 N) Man  - (1 N) Bho - San - Bhim - (1 N) Tawa - (1 N) Madhai - (2 N) Pach - Bho</t>
  </si>
  <si>
    <t>EMP26-27EMP0145</t>
  </si>
  <si>
    <t>Ankit</t>
  </si>
  <si>
    <t>99994 70368</t>
  </si>
  <si>
    <t>Benchmark Holidays</t>
  </si>
  <si>
    <t>EMPWOM02</t>
  </si>
  <si>
    <t>A Central Indian Odyssey</t>
  </si>
  <si>
    <t>(1 N) Gwl - (2 N) Chan - Orc -(1 N)  Hjr - (1 N) Ban - (1 N) Jlr - (2 N) Pach - Bhim - San - (1 N) Bho</t>
  </si>
  <si>
    <t>EMP26-27EMP0146</t>
  </si>
  <si>
    <t>Happy Journey Travels</t>
  </si>
  <si>
    <t>EMPWOM03</t>
  </si>
  <si>
    <t>Heritage Trails of Central India</t>
  </si>
  <si>
    <t>Ex Nag | Nag (2 N) Pach - Bhim - Bhij - (2 N) Bho (Ex San &amp; Uad) - (1 N) Jlr - (1 N) Kan - Nag</t>
  </si>
  <si>
    <t>EMP26-27EMP0147</t>
  </si>
  <si>
    <t>Gujarat</t>
  </si>
  <si>
    <t>Dr Vasudeva</t>
  </si>
  <si>
    <t xml:space="preserve">+91 94084 88117 </t>
  </si>
  <si>
    <t>Tripemic</t>
  </si>
  <si>
    <t>EMPWOM04</t>
  </si>
  <si>
    <t>Sacred Heritage &amp; Timeless Treasures</t>
  </si>
  <si>
    <t>(2 N) Bho (Ex San, Bhoj &amp; Bhim) - (1 N) Ujj - Omk - (1 N) Mah - (1 N) Man - (1 N) Idr</t>
  </si>
  <si>
    <t>EMP26-27EMP0148</t>
  </si>
  <si>
    <t>Punjab</t>
  </si>
  <si>
    <t>Joni</t>
  </si>
  <si>
    <t>EMPWOM05</t>
  </si>
  <si>
    <t xml:space="preserve">Cultural Fortresses &amp; Wilderness Quest </t>
  </si>
  <si>
    <t>(2 N) Gwl (Ex Mor) - Son - Dat - (1 N) Orc - (1 N) Hjr - (1 N) Jlr - (1 N) Kan - Nag</t>
  </si>
  <si>
    <t>EMP26-27EMP0149</t>
  </si>
  <si>
    <t xml:space="preserve">Mr. Abhinav </t>
  </si>
  <si>
    <t>Ex Idr I Idr - 1N Ujj - 1N Omk - Mah - 1N Idr</t>
  </si>
  <si>
    <t>Davanagere World Tous</t>
  </si>
  <si>
    <t>SUMMP01</t>
  </si>
  <si>
    <t>Whispers of Summer Trails</t>
  </si>
  <si>
    <t>EMP26-27EMP0150</t>
  </si>
  <si>
    <t>Singoli</t>
  </si>
  <si>
    <t>Ms. Pushpa</t>
  </si>
  <si>
    <t>+91 74065 38925</t>
  </si>
  <si>
    <t>Travel To Discover</t>
  </si>
  <si>
    <t>SUMMP02</t>
  </si>
  <si>
    <t>Summer Escapade</t>
  </si>
  <si>
    <t>(2 N) Gwl - (1 N) Orch - (1 N) Hjr - (1 N) Jlr</t>
  </si>
  <si>
    <t>EMP26-27EMP0151</t>
  </si>
  <si>
    <t>Mr. Motilal</t>
  </si>
  <si>
    <t>GO 4 HOLIDAYS</t>
  </si>
  <si>
    <t>SUMMP03</t>
  </si>
  <si>
    <t>Echoes of Summer Splendor</t>
  </si>
  <si>
    <t>(2 N) Gwl - (1 N) Orch - (1 N) Hjr</t>
  </si>
  <si>
    <t>EMP26-27EMP0152</t>
  </si>
  <si>
    <t>Monisha</t>
  </si>
  <si>
    <t>+91 91871 91968</t>
  </si>
  <si>
    <t>Monisha@sbittravels.com</t>
  </si>
  <si>
    <t>Le Passage to India</t>
  </si>
  <si>
    <t>SUMMP04</t>
  </si>
  <si>
    <t>The Summer Sojourn</t>
  </si>
  <si>
    <t>(1 N) Ujj - (2 N) Mah - (1 N) Idr - (1 N) Bho - (2 N) Pach - (1 N) Pench</t>
  </si>
  <si>
    <t>EMP26-27EMP0153</t>
  </si>
  <si>
    <t>Honeyvihar Leisure &amp; Tours</t>
  </si>
  <si>
    <t>+91 9606491155</t>
  </si>
  <si>
    <t>info@honeyvihar.com</t>
  </si>
  <si>
    <t>GHANSHYAM OVERSEAS</t>
  </si>
  <si>
    <t>SUMMP05</t>
  </si>
  <si>
    <t>Sacred Stones &amp; Wild Thrones</t>
  </si>
  <si>
    <t>(2 N) Gwl - (1 N) Orc - (1 N) Hjr - (1 N) Ban - (1 N) Jlr</t>
  </si>
  <si>
    <t>EMP26-27EMP0154</t>
  </si>
  <si>
    <t xml:space="preserve"> Jhansi </t>
  </si>
  <si>
    <t xml:space="preserve">Varanasi </t>
  </si>
  <si>
    <t>SUMMP06</t>
  </si>
  <si>
    <t>02 Jyotirlinga Darshan</t>
  </si>
  <si>
    <t>(1 N) Ujj - (1 N) Mah - (1 N) Idr</t>
  </si>
  <si>
    <t>EMP26-27EMP0155</t>
  </si>
  <si>
    <t>Harshitha</t>
  </si>
  <si>
    <t>7996699973</t>
  </si>
  <si>
    <t>harshitha@sbittravels.com</t>
  </si>
  <si>
    <t>Jollidays</t>
  </si>
  <si>
    <t>SUMMP07</t>
  </si>
  <si>
    <t>Culture &amp; Wilderness Madhya Pradesh</t>
  </si>
  <si>
    <t>(2 N) BHo - (2 N) Madhai - (1 N) Pach - (1 N) Jlr</t>
  </si>
  <si>
    <t>EMP26-27EMP0156</t>
  </si>
  <si>
    <t>Lakshmi</t>
  </si>
  <si>
    <t>+91 9187191993</t>
  </si>
  <si>
    <t>Travel Expert</t>
  </si>
  <si>
    <t>SUMMP08</t>
  </si>
  <si>
    <t>Whispers of the Wild Heart</t>
  </si>
  <si>
    <t>Ex Bhp | Bhp - Bhoj - Bhim - Pach (3N) - Tawa - Mad - Tawa (1N) - Mad (1N) - Bho (1N)</t>
  </si>
  <si>
    <t>EMP26-27EMP0157</t>
  </si>
  <si>
    <t>Rama</t>
  </si>
  <si>
    <t>+91 83830 97758</t>
  </si>
  <si>
    <t>Finest Journey LLP</t>
  </si>
  <si>
    <t>SUMMP09</t>
  </si>
  <si>
    <t>Nature’s Summer Nook</t>
  </si>
  <si>
    <t>Ex Bhp | Bhp - Bhim - Pch (2N) - Bhp</t>
  </si>
  <si>
    <t>EMP26-27EMP0158</t>
  </si>
  <si>
    <t>Mamta Kumari</t>
  </si>
  <si>
    <t>9876333555</t>
  </si>
  <si>
    <t>Rajasthan Tour by Car and Driver</t>
  </si>
  <si>
    <t>SUMMP10</t>
  </si>
  <si>
    <t>Mystic Hills &amp; Ancient Echoes</t>
  </si>
  <si>
    <t>Ex Bhp | Bhp - Bhoj - Bhim - Pch (3N) - Bhp</t>
  </si>
  <si>
    <t>EMP26-27EMP0159</t>
  </si>
  <si>
    <t>Minerva Dar</t>
  </si>
  <si>
    <t xml:space="preserve"> 7204755683</t>
  </si>
  <si>
    <t>Millennia Tours &amp; Travels</t>
  </si>
  <si>
    <t>SUMMP11</t>
  </si>
  <si>
    <t>Essence of The Heartland</t>
  </si>
  <si>
    <t>Ex Bhp | Bhp - Bhoj - Bhim - Pch (2N) - Mad (1N) - Bhp</t>
  </si>
  <si>
    <t>EMP26-27EMP0160</t>
  </si>
  <si>
    <t>Sharadha</t>
  </si>
  <si>
    <t>8121123715</t>
  </si>
  <si>
    <t>enquiry@happyholidayshyderabad.com</t>
  </si>
  <si>
    <t>4u Holidays &amp; Insurance Services</t>
  </si>
  <si>
    <t>SUMMP12</t>
  </si>
  <si>
    <t>Trails of Time &amp; Tigers</t>
  </si>
  <si>
    <t>Ex Bhp | Bhp - Bhoj - Bhim - Pch (2N) - Mad (1N) - Tawa (1N) - Bhp</t>
  </si>
  <si>
    <t>EMP26-27EMP0161</t>
  </si>
  <si>
    <t>Rudrapur</t>
  </si>
  <si>
    <t>Sanjeet</t>
  </si>
  <si>
    <t>7500588800</t>
  </si>
  <si>
    <t>gupta.sanjeet4@gmail.com</t>
  </si>
  <si>
    <t>Trip Maker</t>
  </si>
  <si>
    <t>SUMMP13</t>
  </si>
  <si>
    <t>Ancient Echoes to Jungle Rhythms</t>
  </si>
  <si>
    <t>Ex Bhp | Bhp - Bhoj - Bhim - Pch (2N) - Mad (2N) - Bhp</t>
  </si>
  <si>
    <t>EMP26-27EMP0162</t>
  </si>
  <si>
    <t xml:space="preserve">Siddhi Rawool </t>
  </si>
  <si>
    <t>+91 9769151135</t>
  </si>
  <si>
    <t>Be Hodophile</t>
  </si>
  <si>
    <t>SUMMP14</t>
  </si>
  <si>
    <t>Sacred Shores &amp; Stone Stories</t>
  </si>
  <si>
    <t>Ex Idr | Idr - Ujj (1N) - Omk (1N) - Mah (2N) (Ex Man) - Idr (HDCT)</t>
  </si>
  <si>
    <t>EMP26-27EMP0163</t>
  </si>
  <si>
    <t>Sujata</t>
  </si>
  <si>
    <t>7829590750</t>
  </si>
  <si>
    <t>My Tours Planner</t>
  </si>
  <si>
    <t>SUMMP15</t>
  </si>
  <si>
    <t>Sacred Trails &amp; Silent Forests</t>
  </si>
  <si>
    <t>Arr Rpr - Amr (2N) - Par (2N) - IXD</t>
  </si>
  <si>
    <t>EMP26-27EMP0164</t>
  </si>
  <si>
    <t>Arul</t>
  </si>
  <si>
    <t>8123230426</t>
  </si>
  <si>
    <t>True Vacation</t>
  </si>
  <si>
    <t>SUMMP16</t>
  </si>
  <si>
    <t>Sacred Roots &amp; Shimmering Rocks</t>
  </si>
  <si>
    <t xml:space="preserve">Arr Rpr - Amr (2N) - Par (2N) - Jlr (1N) </t>
  </si>
  <si>
    <t>EMP26-27EMP0165</t>
  </si>
  <si>
    <t>Haarika Sathya</t>
  </si>
  <si>
    <t>+91 97910 22179</t>
  </si>
  <si>
    <t xml:space="preserve">Om Sai Holidays </t>
  </si>
  <si>
    <t>EXNAG01</t>
  </si>
  <si>
    <t>Nature's Hidden Haven</t>
  </si>
  <si>
    <t xml:space="preserve">Ex Nag - 3N Pch + Sat </t>
  </si>
  <si>
    <t>EMP26-27EMP0166</t>
  </si>
  <si>
    <t>Pavithra</t>
  </si>
  <si>
    <t>9620627999</t>
  </si>
  <si>
    <t>Vivid Holidays</t>
  </si>
  <si>
    <t>EXNAG02</t>
  </si>
  <si>
    <t>Tales from the Tiger Trail</t>
  </si>
  <si>
    <t>EMP26-27EMP0167</t>
  </si>
  <si>
    <t>Roshni Handa</t>
  </si>
  <si>
    <t>9872702735</t>
  </si>
  <si>
    <t>SWANN TRAVELS</t>
  </si>
  <si>
    <t>EXNAG03</t>
  </si>
  <si>
    <t>Echoes of the Heartland</t>
  </si>
  <si>
    <t>EMP26-27EMP0168</t>
  </si>
  <si>
    <t>Ganesha</t>
  </si>
  <si>
    <t xml:space="preserve"> 7349010518</t>
  </si>
  <si>
    <t>Flying Beats</t>
  </si>
  <si>
    <t>EXGWL21</t>
  </si>
  <si>
    <t>Historic Heart of Madhya Pradesh</t>
  </si>
  <si>
    <t>1N Gwl - Orc - 2N Hjr - Jhn - 1N Gwl</t>
  </si>
  <si>
    <t>EMP26-27EMP0169</t>
  </si>
  <si>
    <t>R Netra</t>
  </si>
  <si>
    <t>8951197390</t>
  </si>
  <si>
    <t>EXGWL22</t>
  </si>
  <si>
    <t>Chronicles of Central India</t>
  </si>
  <si>
    <t>EMP26-27EMP0170</t>
  </si>
  <si>
    <t>Ms Veema</t>
  </si>
  <si>
    <t xml:space="preserve">9845440031 </t>
  </si>
  <si>
    <t>Shri Holidays</t>
  </si>
  <si>
    <t>EXGWL23</t>
  </si>
  <si>
    <t>Mysteries of Madhya Pradesh</t>
  </si>
  <si>
    <t>11 Nights &amp; 12 Days</t>
  </si>
  <si>
    <t>1N Gwl - 1n Orc - 2N Hjr - 2N Ban - 1N Jlr - 2N Pch - Bhim - Bhoj - 2N Bho Ex San</t>
  </si>
  <si>
    <t>EMP26-27EMP0171</t>
  </si>
  <si>
    <t>Venkateshwar</t>
  </si>
  <si>
    <t>9980584004</t>
  </si>
  <si>
    <t>Natural Bliss Holidays</t>
  </si>
  <si>
    <t>EXGWL24</t>
  </si>
  <si>
    <t>Mystic Heart of Madhya Pradesh</t>
  </si>
  <si>
    <t>12 Nights &amp; 13 Days</t>
  </si>
  <si>
    <t>2N Gwl - Mor - Son - Dat - 1N Orc - 2N Hjr - 2N Ban - 1N Jlr - 2N Pch - Bhim - Bhoj - 2N Bho</t>
  </si>
  <si>
    <t>EMP26-27EMP0172</t>
  </si>
  <si>
    <t>+91-7996699973</t>
  </si>
  <si>
    <t>Navayuga Tours &amp; Travels LLP</t>
  </si>
  <si>
    <t>EXGWL25</t>
  </si>
  <si>
    <t>Royal Routes &amp; Temple Trails</t>
  </si>
  <si>
    <t>1N Gwl - Son - Dat - 1N Hjr - 1N Orc - Jhn</t>
  </si>
  <si>
    <t>EMP26-27EMP0173</t>
  </si>
  <si>
    <t>Lekhak</t>
  </si>
  <si>
    <t>91 78292 24691</t>
  </si>
  <si>
    <t>Axis Travels</t>
  </si>
  <si>
    <t>EXIDR31</t>
  </si>
  <si>
    <t>Soul of Central India</t>
  </si>
  <si>
    <t>1N Idr - Omk - 1N Mah - 1N Ujj - Seh - 1N Bho</t>
  </si>
  <si>
    <t>EMP26-27EMP0174</t>
  </si>
  <si>
    <t>Shirdi</t>
  </si>
  <si>
    <t>SHS HOLIDAYS GROUP</t>
  </si>
  <si>
    <t>EXIDR32</t>
  </si>
  <si>
    <t>Footprints of Faith &amp; History</t>
  </si>
  <si>
    <t>3N Idr (Ex Ujj - Man) - Bhim - Bhoj - San - 2N Bho</t>
  </si>
  <si>
    <t>EMP26-27EMP0175</t>
  </si>
  <si>
    <t>Ms. Harsha</t>
  </si>
  <si>
    <t>+91 96034 37431</t>
  </si>
  <si>
    <t>Universal Adventures</t>
  </si>
  <si>
    <t>EXIDR33</t>
  </si>
  <si>
    <t>Pilgrim’s Heritage Path</t>
  </si>
  <si>
    <t>Ex Idr I Idr - 2N Ujj - 1N Man - 1N Mah - 1N Omk - 1N Idr</t>
  </si>
  <si>
    <t>EMP26-27EMP0176</t>
  </si>
  <si>
    <t>triptides123@gmail.com</t>
  </si>
  <si>
    <t>Zion Travellers</t>
  </si>
  <si>
    <t>EXIDR34</t>
  </si>
  <si>
    <t>Sacred Malwa Circuit</t>
  </si>
  <si>
    <t xml:space="preserve">3 Nights &amp; 4 Days </t>
  </si>
  <si>
    <t>EMP26-27EMP0177</t>
  </si>
  <si>
    <t>Swatti</t>
  </si>
  <si>
    <t>9834148993</t>
  </si>
  <si>
    <t>swashaglobalholidays@gmail.com</t>
  </si>
  <si>
    <t>Srisai travels</t>
  </si>
  <si>
    <t>EXIDR35</t>
  </si>
  <si>
    <t>The Narmada Tapestry</t>
  </si>
  <si>
    <t>EMP26-27EMP0178</t>
  </si>
  <si>
    <t>Ranjith</t>
  </si>
  <si>
    <t>+91-90367 15751</t>
  </si>
  <si>
    <t>ranjith@uniglobebit.com</t>
  </si>
  <si>
    <t>Travel Magic</t>
  </si>
  <si>
    <t>EXUJJ06</t>
  </si>
  <si>
    <t>Journey to the Jyotirlinga Land</t>
  </si>
  <si>
    <t>EMP26-27EMP0179</t>
  </si>
  <si>
    <t>Noida</t>
  </si>
  <si>
    <t>8882023794</t>
  </si>
  <si>
    <t>holidays@toliday.in</t>
  </si>
  <si>
    <t>Runway Earth Tours</t>
  </si>
  <si>
    <t>South + East + North MP</t>
  </si>
  <si>
    <t>EXJBP31</t>
  </si>
  <si>
    <t>Jungles &amp; Jewels of Central India</t>
  </si>
  <si>
    <t>1N Jlr - 1N Kan - 1N Ban - 1N Hjr -2N Gwl</t>
  </si>
  <si>
    <t>EMP26-27EMP0180</t>
  </si>
  <si>
    <t>Mayur</t>
  </si>
  <si>
    <t>+91 9324929972</t>
  </si>
  <si>
    <t>aarviholidays@gmail.com</t>
  </si>
  <si>
    <t>Senior World</t>
  </si>
  <si>
    <t>East + South</t>
  </si>
  <si>
    <t>EXJBP32</t>
  </si>
  <si>
    <t>Heartland Wilderness Circuit</t>
  </si>
  <si>
    <t>EMP26-27EMP0181</t>
  </si>
  <si>
    <t>EMP26-27EMP0182</t>
  </si>
  <si>
    <t>Teju</t>
  </si>
  <si>
    <t>8050522263</t>
  </si>
  <si>
    <t>as_teju@yahoo.com</t>
  </si>
  <si>
    <t>HOTELNHOLIDAYS</t>
  </si>
  <si>
    <t>EMP26-27EMP0183</t>
  </si>
  <si>
    <t>Vidhi</t>
  </si>
  <si>
    <t>91677 67834</t>
  </si>
  <si>
    <t>xplorersparadisepvtld@gmail.com</t>
  </si>
  <si>
    <t>Reserva Traveller</t>
  </si>
  <si>
    <t>EMP26-27EMP0184</t>
  </si>
  <si>
    <t>The Travel Beats</t>
  </si>
  <si>
    <t>EMP26-27EMP0185</t>
  </si>
  <si>
    <t>Bharat Travel Trails</t>
  </si>
  <si>
    <t>EMP26-27EMP0186</t>
  </si>
  <si>
    <t xml:space="preserve">Kashinath </t>
  </si>
  <si>
    <t>91 98808 91025</t>
  </si>
  <si>
    <t>EMP26-27EMP0187</t>
  </si>
  <si>
    <t>Sainath</t>
  </si>
  <si>
    <t>9000330141</t>
  </si>
  <si>
    <t>ops1@trypmaker.com</t>
  </si>
  <si>
    <t>Avantika Holidays</t>
  </si>
  <si>
    <t>EMP26-27EMP0188</t>
  </si>
  <si>
    <t>Rahisa Makandar</t>
  </si>
  <si>
    <t>+91 63635 63151</t>
  </si>
  <si>
    <t>Nashik</t>
  </si>
  <si>
    <t>Travellaza</t>
  </si>
  <si>
    <t>EMP26-27EMP0189</t>
  </si>
  <si>
    <t>Shreyashi</t>
  </si>
  <si>
    <t>+91 98457 15671</t>
  </si>
  <si>
    <t>Rahul Tour &amp; Travels</t>
  </si>
  <si>
    <t>EMP26-27EMP0190</t>
  </si>
  <si>
    <t>Rajeshwari N</t>
  </si>
  <si>
    <t>+91 9663991329</t>
  </si>
  <si>
    <t>EMP26-27EMP0191</t>
  </si>
  <si>
    <t>Monali</t>
  </si>
  <si>
    <t xml:space="preserve"> +91 89622 38498</t>
  </si>
  <si>
    <t>Shivaay Tours And Travels</t>
  </si>
  <si>
    <t>EMP26-27EMP0192</t>
  </si>
  <si>
    <t>Himalaya Travel</t>
  </si>
  <si>
    <t>EMP26-27EMP0193</t>
  </si>
  <si>
    <t>Jetkyte Travels Private Limited</t>
  </si>
  <si>
    <t>EMP26-27EMP0194</t>
  </si>
  <si>
    <t xml:space="preserve">Sejal </t>
  </si>
  <si>
    <t>9579906106</t>
  </si>
  <si>
    <t>ops@finest.co.in</t>
  </si>
  <si>
    <t>Holiday Kool</t>
  </si>
  <si>
    <t>EMP26-27EMP0195</t>
  </si>
  <si>
    <t>Ms Surekha</t>
  </si>
  <si>
    <t>63639 69654</t>
  </si>
  <si>
    <t>NA</t>
  </si>
  <si>
    <t>The Travel Palace</t>
  </si>
  <si>
    <t>EMP26-27EMP0196</t>
  </si>
  <si>
    <t>Manish</t>
  </si>
  <si>
    <t xml:space="preserve"> 9620555694</t>
  </si>
  <si>
    <t>Anjanadri Tours and Travels</t>
  </si>
  <si>
    <t>EMP26-27EMP0197</t>
  </si>
  <si>
    <t>Banglore</t>
  </si>
  <si>
    <t>Shobha</t>
  </si>
  <si>
    <t>9620416719</t>
  </si>
  <si>
    <t>Happy Travie Private Limited</t>
  </si>
  <si>
    <t>EMP26-27EMP0198</t>
  </si>
  <si>
    <t xml:space="preserve">Karthikeyan </t>
  </si>
  <si>
    <t>JAI BHARAT HOSPITALITY</t>
  </si>
  <si>
    <t>EMP26-27EMP0199</t>
  </si>
  <si>
    <t>Xcel Tours &amp; Travels</t>
  </si>
  <si>
    <t>EMP26-27EMP0200</t>
  </si>
  <si>
    <t>9187191993</t>
  </si>
  <si>
    <t>EMP26-27EMP0201</t>
  </si>
  <si>
    <t>Wonder Tours &amp; Travels</t>
  </si>
  <si>
    <t>EMP26-27EMP0202</t>
  </si>
  <si>
    <t>Escapade on Wheels</t>
  </si>
  <si>
    <t>EMP26-27EMP0203</t>
  </si>
  <si>
    <t>Bohemian Love Trails</t>
  </si>
  <si>
    <t>EMP26-27EMP0204</t>
  </si>
  <si>
    <t>chennai</t>
  </si>
  <si>
    <t>Madurai</t>
  </si>
  <si>
    <t>Seven Destination</t>
  </si>
  <si>
    <t>EMP26-27EMP0205</t>
  </si>
  <si>
    <t>Angel Travel</t>
  </si>
  <si>
    <t>EMP26-27EMP0206</t>
  </si>
  <si>
    <t>Mahesh</t>
  </si>
  <si>
    <t>+91 90088 03281</t>
  </si>
  <si>
    <t>Traveliana Holidays</t>
  </si>
  <si>
    <t>EMP26-27EMP0207</t>
  </si>
  <si>
    <t>Pushpa</t>
  </si>
  <si>
    <t>+91 88923 23482</t>
  </si>
  <si>
    <t>SAVIKRUSHNA HOLIDAYS PVT LTD.</t>
  </si>
  <si>
    <t>EMP26-27EMP0208</t>
  </si>
  <si>
    <t xml:space="preserve">Bhavana </t>
  </si>
  <si>
    <t>+91 97438 41005</t>
  </si>
  <si>
    <t>Tripxone</t>
  </si>
  <si>
    <t>EMP26-27EMP0209</t>
  </si>
  <si>
    <t>Rangaswamy</t>
  </si>
  <si>
    <t>+91 98455 28562</t>
  </si>
  <si>
    <t>Travel Catalyst Destination</t>
  </si>
  <si>
    <t>EMP26-27EMP0210</t>
  </si>
  <si>
    <t>Pratima</t>
  </si>
  <si>
    <t>+ 91 88850 15976</t>
  </si>
  <si>
    <t>Parikrama Holidays</t>
  </si>
  <si>
    <t>EMP26-27EMP0211</t>
  </si>
  <si>
    <t>Luknow</t>
  </si>
  <si>
    <t>09889735744</t>
  </si>
  <si>
    <t>tatw121212@gmail.com</t>
  </si>
  <si>
    <t>Travel Nexy</t>
  </si>
  <si>
    <t>EMP26-27EMP0212</t>
  </si>
  <si>
    <t xml:space="preserve"> 99727 41662</t>
  </si>
  <si>
    <t>Go Trip</t>
  </si>
  <si>
    <t>EMP26-27EMP0213</t>
  </si>
  <si>
    <t>Way 4 Tours</t>
  </si>
  <si>
    <t>EMP26-27EMP0214</t>
  </si>
  <si>
    <t>Gopi</t>
  </si>
  <si>
    <t>9789509632</t>
  </si>
  <si>
    <t>gotmytripofficial@gmail.com</t>
  </si>
  <si>
    <t>True Dream Holidays</t>
  </si>
  <si>
    <t>EMP26-27EMP0215</t>
  </si>
  <si>
    <t>Madan</t>
  </si>
  <si>
    <t>9960191515</t>
  </si>
  <si>
    <t>naturalblissholidays@gmail.com</t>
  </si>
  <si>
    <t>Grass Hills Holidays</t>
  </si>
  <si>
    <t>EMP26-27EMP0216</t>
  </si>
  <si>
    <t>Go Global Vacations</t>
  </si>
  <si>
    <t>Madeena</t>
  </si>
  <si>
    <t>88861 11799</t>
  </si>
  <si>
    <t>sales1@goglobalvacations.in</t>
  </si>
  <si>
    <t>Alpenglow</t>
  </si>
  <si>
    <t>EMP26-27EMP0217</t>
  </si>
  <si>
    <t>Crystaholidays</t>
  </si>
  <si>
    <t>EMP26-27EMP0218</t>
  </si>
  <si>
    <t>Nandalur</t>
  </si>
  <si>
    <t>No Name</t>
  </si>
  <si>
    <t>8019389939</t>
  </si>
  <si>
    <t>sales@jetkyte.com</t>
  </si>
  <si>
    <t>Aries Multi Dimension</t>
  </si>
  <si>
    <t>EMP26-27EMP0219</t>
  </si>
  <si>
    <t>MICE Globals,</t>
  </si>
  <si>
    <t>EMP26-27EMP0220</t>
  </si>
  <si>
    <t>Dreamland Escapes</t>
  </si>
  <si>
    <t>Supriyo</t>
  </si>
  <si>
    <t>76050 28284</t>
  </si>
  <si>
    <t>sales@dreamlandescapes.co.in</t>
  </si>
  <si>
    <t>Rez My Trip</t>
  </si>
  <si>
    <t>EMP26-27EMP0221</t>
  </si>
  <si>
    <t>Karnataka</t>
  </si>
  <si>
    <t>98866 65333</t>
  </si>
  <si>
    <t>Cloud 7 Hospitality Services</t>
  </si>
  <si>
    <t>EMP26-27EMP0222</t>
  </si>
  <si>
    <t>Shweta</t>
  </si>
  <si>
    <t>98444 25999</t>
  </si>
  <si>
    <t>Wild Trek Holidays</t>
  </si>
  <si>
    <t>EMP26-27EMP0223</t>
  </si>
  <si>
    <t>Kerala Travellers Online</t>
  </si>
  <si>
    <t>Ajay</t>
  </si>
  <si>
    <t>9846038482</t>
  </si>
  <si>
    <t>Satnam Travels</t>
  </si>
  <si>
    <t>EMP26-27EMP0224</t>
  </si>
  <si>
    <t>Aurora Hotels PVT LTD</t>
  </si>
  <si>
    <t>EMP26-27EMP0225</t>
  </si>
  <si>
    <t>Lokesh</t>
  </si>
  <si>
    <t>9986554513</t>
  </si>
  <si>
    <t>Nostalgic Tourisms Pvt.Ltd.</t>
  </si>
  <si>
    <t>EMP26-27EMP0226</t>
  </si>
  <si>
    <t>Dr. Veena</t>
  </si>
  <si>
    <t>9845390448</t>
  </si>
  <si>
    <t>Travel With David</t>
  </si>
  <si>
    <t>EMP26-27EMP0227</t>
  </si>
  <si>
    <t xml:space="preserve">Shantana </t>
  </si>
  <si>
    <t>8660106308</t>
  </si>
  <si>
    <t>7.9 Holidays</t>
  </si>
  <si>
    <t>EMP26-27EMP0228</t>
  </si>
  <si>
    <t>Poorna</t>
  </si>
  <si>
    <t>98445 55582</t>
  </si>
  <si>
    <t>Travel World</t>
  </si>
  <si>
    <t>EMP26-27EMP0229</t>
  </si>
  <si>
    <t>EMP26-27EMP0230</t>
  </si>
  <si>
    <t>Vidya</t>
  </si>
  <si>
    <t>9481776332</t>
  </si>
  <si>
    <t>Mahalaxmi Tour &amp; Travels</t>
  </si>
  <si>
    <t>EMP26-27EMP0231</t>
  </si>
  <si>
    <t xml:space="preserve">Pavithra </t>
  </si>
  <si>
    <t>9482077410</t>
  </si>
  <si>
    <t>My Tourz</t>
  </si>
  <si>
    <t>EMP26-27EMP0232</t>
  </si>
  <si>
    <t xml:space="preserve">Shobha </t>
  </si>
  <si>
    <t>8861831023</t>
  </si>
  <si>
    <t>Holiday to Himachal</t>
  </si>
  <si>
    <t>EMP26-27EMP0233</t>
  </si>
  <si>
    <t xml:space="preserve">Damini </t>
  </si>
  <si>
    <t>90607 50833</t>
  </si>
  <si>
    <t>Ayodhya</t>
  </si>
  <si>
    <t>Shree swaminarayan Tourism</t>
  </si>
  <si>
    <t>EMP26-27EMP0234</t>
  </si>
  <si>
    <t>Sumant</t>
  </si>
  <si>
    <t>9886179741</t>
  </si>
  <si>
    <t>Incredible India Holidays</t>
  </si>
  <si>
    <t>EMP26-27EMP0235</t>
  </si>
  <si>
    <t>Siddhu</t>
  </si>
  <si>
    <t xml:space="preserve">93437 70736 </t>
  </si>
  <si>
    <t>Rajveer Tour &amp; Travels</t>
  </si>
  <si>
    <t>EMP26-27EMP0236</t>
  </si>
  <si>
    <t>Siddarudh</t>
  </si>
  <si>
    <t>831 048 1354</t>
  </si>
  <si>
    <t>J Cube Holidays</t>
  </si>
  <si>
    <t>EMP26-27EMP0237</t>
  </si>
  <si>
    <t xml:space="preserve">Samiksha </t>
  </si>
  <si>
    <t>93371 47650</t>
  </si>
  <si>
    <t>Life Holidays and Cruises Pvt Ltd</t>
  </si>
  <si>
    <t>EMP26-27EMP0238</t>
  </si>
  <si>
    <t>Hapur</t>
  </si>
  <si>
    <t>Mallika Goel</t>
  </si>
  <si>
    <t>8265986892, 8279565455</t>
  </si>
  <si>
    <t>info@tripyapa.in</t>
  </si>
  <si>
    <t>UGI HOLIDAYS AND HOTELS</t>
  </si>
  <si>
    <t>EMP26-27EMP0239</t>
  </si>
  <si>
    <t>8130166772</t>
  </si>
  <si>
    <t>Rohit Tour &amp; Travels</t>
  </si>
  <si>
    <t>EMP26-27EMP0240</t>
  </si>
  <si>
    <t>Madhur</t>
  </si>
  <si>
    <t>78142-21618</t>
  </si>
  <si>
    <t>madhur@traveltatva.com</t>
  </si>
  <si>
    <t>EMP26-27EMP0241</t>
  </si>
  <si>
    <t>Rajesh</t>
  </si>
  <si>
    <t>9015138907</t>
  </si>
  <si>
    <t>Pranil Tours &amp; Travels</t>
  </si>
  <si>
    <t>EMP26-27EMP0242</t>
  </si>
  <si>
    <t>Jyoti</t>
  </si>
  <si>
    <t>8087648154</t>
  </si>
  <si>
    <t>Travel Comfort</t>
  </si>
  <si>
    <t>EMP26-27EMP0243</t>
  </si>
  <si>
    <t>88923 91169</t>
  </si>
  <si>
    <t>Royal Tern Hospitality Management</t>
  </si>
  <si>
    <t>EMP26-27EMP0244</t>
  </si>
  <si>
    <t>Bhavna</t>
  </si>
  <si>
    <t>95917 71459</t>
  </si>
  <si>
    <t>Heavens Management Services Pvt. Ltd</t>
  </si>
  <si>
    <t>EMP26-27EMP0245</t>
  </si>
  <si>
    <t>9986124855</t>
  </si>
  <si>
    <t>Manohar Travels</t>
  </si>
  <si>
    <t>EMP26-27EMP0246</t>
  </si>
  <si>
    <t>7090481927</t>
  </si>
  <si>
    <t>EMP26-27EMP0247</t>
  </si>
  <si>
    <t xml:space="preserve">Namrata </t>
  </si>
  <si>
    <t>9480738052</t>
  </si>
  <si>
    <t>​​Amazing Indien Reisen</t>
  </si>
  <si>
    <t>EMP26-27EMP0248</t>
  </si>
  <si>
    <t>Navya</t>
  </si>
  <si>
    <t>9886447645</t>
  </si>
  <si>
    <t>Samrat Holidays</t>
  </si>
  <si>
    <t>EMP26-27EMP0249</t>
  </si>
  <si>
    <t>Parameshwari</t>
  </si>
  <si>
    <t>7411 885 721</t>
  </si>
  <si>
    <t>Reisen Tours India Pvt. Ltd</t>
  </si>
  <si>
    <t>EMP26-27EMP0250</t>
  </si>
  <si>
    <t>A Maruti Tours &amp; Travels</t>
  </si>
  <si>
    <t>EMP26-27EMP0251</t>
  </si>
  <si>
    <t>Sudha</t>
  </si>
  <si>
    <t>Rupam Tours</t>
  </si>
  <si>
    <t>EMP26-27EMP0252</t>
  </si>
  <si>
    <t>shreyatravels1003@gmail.com</t>
  </si>
  <si>
    <t>SVK Tour &amp; Travels</t>
  </si>
  <si>
    <t>EMP26-27EMP0253</t>
  </si>
  <si>
    <t>Bhuthan</t>
  </si>
  <si>
    <t>Madhu's Vagabond</t>
  </si>
  <si>
    <t>Madhu</t>
  </si>
  <si>
    <t>89100 55321</t>
  </si>
  <si>
    <t>madhuvagabond@gmail.com</t>
  </si>
  <si>
    <t>Benreeza Travels</t>
  </si>
  <si>
    <t>EMP26-27EMP0254</t>
  </si>
  <si>
    <t>9900935151</t>
  </si>
  <si>
    <t>3 MD Travels PVT LTD</t>
  </si>
  <si>
    <t>EMP26-27EMP0255</t>
  </si>
  <si>
    <t>Annapurna</t>
  </si>
  <si>
    <t>7899511892</t>
  </si>
  <si>
    <t>EMP26-27EMP0256</t>
  </si>
  <si>
    <t>Jyotsana</t>
  </si>
  <si>
    <t>99724 48663</t>
  </si>
  <si>
    <t>In Time Tours</t>
  </si>
  <si>
    <t>EMP26-27EMP0257</t>
  </si>
  <si>
    <t>K2 Holidays LLP</t>
  </si>
  <si>
    <t>EMP26-27EMP0258</t>
  </si>
  <si>
    <t>Dream Holidays</t>
  </si>
  <si>
    <t>EMP26-27EMP0259</t>
  </si>
  <si>
    <t>Rahul</t>
  </si>
  <si>
    <t>9891378281</t>
  </si>
  <si>
    <t>NIRMAL HOSPITALITY A UNIT OF NIRMAL HOTELS AND RESORTS</t>
  </si>
  <si>
    <t>EMP26-27EMP0260</t>
  </si>
  <si>
    <t>Mishka Holidays</t>
  </si>
  <si>
    <t>Niket</t>
  </si>
  <si>
    <t>9830880016</t>
  </si>
  <si>
    <t>niket@mishkaholidays.in</t>
  </si>
  <si>
    <t>Yatra Genie Tour &amp; Travels</t>
  </si>
  <si>
    <t>EMP26-27EMP0261</t>
  </si>
  <si>
    <t>Kartik</t>
  </si>
  <si>
    <t>7406277789</t>
  </si>
  <si>
    <t>Parakta Discoveries Pvt. Ltd</t>
  </si>
  <si>
    <t>EMP26-27EMP0262</t>
  </si>
  <si>
    <t>Rakesh Kumar</t>
  </si>
  <si>
    <t>7483829880</t>
  </si>
  <si>
    <t>Gemini Tours &amp; Travels</t>
  </si>
  <si>
    <t>EMP26-27EMP0263</t>
  </si>
  <si>
    <t>Karuna</t>
  </si>
  <si>
    <t>70269 97979</t>
  </si>
  <si>
    <t>Trailblazers Adventure Travel PVT LTD.</t>
  </si>
  <si>
    <t>EMP26-27EMP0264</t>
  </si>
  <si>
    <t>Kashish</t>
  </si>
  <si>
    <t>98860 98945</t>
  </si>
  <si>
    <t>A2 tours and travels Pvt Ltd</t>
  </si>
  <si>
    <t>EMP26-27EMP0265</t>
  </si>
  <si>
    <t>Deekshith K</t>
  </si>
  <si>
    <t>96324 18592</t>
  </si>
  <si>
    <t>Blue Sky Travel Hub </t>
  </si>
  <si>
    <t>EMP26-27EMP0266</t>
  </si>
  <si>
    <t>Jayesh</t>
  </si>
  <si>
    <t>96200 38035</t>
  </si>
  <si>
    <t>EMP26-27EMP0267</t>
  </si>
  <si>
    <t>kailasa Holidays</t>
  </si>
  <si>
    <t>EMP26-27EMP0268</t>
  </si>
  <si>
    <t>Dilip</t>
  </si>
  <si>
    <t>9886114440  </t>
  </si>
  <si>
    <t>vimaltrls@gmail.com</t>
  </si>
  <si>
    <t>Triptopia</t>
  </si>
  <si>
    <t>EMP26-27EMP0269</t>
  </si>
  <si>
    <t>DM Travel Dom Operation</t>
  </si>
  <si>
    <t>Gourav</t>
  </si>
  <si>
    <t>9016036648</t>
  </si>
  <si>
    <t>dom.dmtravel@gmail.com</t>
  </si>
  <si>
    <t>Raipur</t>
  </si>
  <si>
    <t>Trident Net Holidays</t>
  </si>
  <si>
    <t>EMP26-27EMP0270</t>
  </si>
  <si>
    <t>Fastays</t>
  </si>
  <si>
    <t>Rithesh</t>
  </si>
  <si>
    <t>6360254560</t>
  </si>
  <si>
    <t>Info@fastays.com</t>
  </si>
  <si>
    <t>EMP26-27EMP0271</t>
  </si>
  <si>
    <t>Vishnupriya</t>
  </si>
  <si>
    <t>80957 39547</t>
  </si>
  <si>
    <t>wayward wanderlust travels</t>
  </si>
  <si>
    <t>EMP26-27EMP0272</t>
  </si>
  <si>
    <t>90103 37243</t>
  </si>
  <si>
    <t>High Five Holidays</t>
  </si>
  <si>
    <t>EMP26-27EMP0273</t>
  </si>
  <si>
    <t>Maheshwaram</t>
  </si>
  <si>
    <t>9502821888</t>
  </si>
  <si>
    <t>m.jhansi@southerntravels.com</t>
  </si>
  <si>
    <t>Universal Vacations</t>
  </si>
  <si>
    <t>EMP26-27EMP0274</t>
  </si>
  <si>
    <t>Travel Gallery</t>
  </si>
  <si>
    <t>EMP26-27EMP0275</t>
  </si>
  <si>
    <t>EMP26-27EMP0276</t>
  </si>
  <si>
    <t>EMP26-27EMP0277</t>
  </si>
  <si>
    <t>Excellence Travels</t>
  </si>
  <si>
    <t>Anupama</t>
  </si>
  <si>
    <t>9889198004</t>
  </si>
  <si>
    <t>exltravelvns@gmail.com</t>
  </si>
  <si>
    <t>Humsafar Holidays</t>
  </si>
  <si>
    <t>EMP26-27EMP0278</t>
  </si>
  <si>
    <t>Explora Eco Holidays</t>
  </si>
  <si>
    <t>98837 07005</t>
  </si>
  <si>
    <t>exploraecoholidays@gmail.com</t>
  </si>
  <si>
    <t>Memorable Journeys</t>
  </si>
  <si>
    <t>EMP26-27EMP0279</t>
  </si>
  <si>
    <t>Sonali</t>
  </si>
  <si>
    <t>97034 39982</t>
  </si>
  <si>
    <t>EMP26-27EMP0280</t>
  </si>
  <si>
    <t>SVR Tourism</t>
  </si>
  <si>
    <t>Sandeep</t>
  </si>
  <si>
    <t>9032444638</t>
  </si>
  <si>
    <t>office@svrtourism.in</t>
  </si>
  <si>
    <t>EMP26-27EMP0281</t>
  </si>
  <si>
    <t>Tweak Your Trip LLP</t>
  </si>
  <si>
    <t>Sejal</t>
  </si>
  <si>
    <t>97697 00330</t>
  </si>
  <si>
    <t>sejal@tweakyourtrip.com</t>
  </si>
  <si>
    <t>Titter Adventures</t>
  </si>
  <si>
    <t>EMP26-27EMP0282</t>
  </si>
  <si>
    <t>Arjun</t>
  </si>
  <si>
    <t>89518 50765</t>
  </si>
  <si>
    <t>arjun@travelsystems.in</t>
  </si>
  <si>
    <t>EMP26-27EMP0283</t>
  </si>
  <si>
    <t>S V Holidays</t>
  </si>
  <si>
    <t>EMP26-27EMP0284</t>
  </si>
  <si>
    <t>HolidayArt</t>
  </si>
  <si>
    <t>EMP26-27EMP0285</t>
  </si>
  <si>
    <t>M Jhansi</t>
  </si>
  <si>
    <t>7416534646</t>
  </si>
  <si>
    <t>Lost</t>
  </si>
  <si>
    <t>Not Another Tours Operator</t>
  </si>
  <si>
    <t>EMP26-27EMP0286</t>
  </si>
  <si>
    <t>Nithyananda</t>
  </si>
  <si>
    <t>70902 59857</t>
  </si>
  <si>
    <t>Na</t>
  </si>
  <si>
    <t xml:space="preserve">Anjanadri Tours and Travels </t>
  </si>
  <si>
    <t>EMP26-27EMP0287</t>
  </si>
  <si>
    <t>Chitta Ranjan Behera</t>
  </si>
  <si>
    <t>80011 93388</t>
  </si>
  <si>
    <t>Alessandra and Adriano</t>
  </si>
  <si>
    <t>EMP26-27EMP0288</t>
  </si>
  <si>
    <t>Travel Trikon</t>
  </si>
  <si>
    <t>Jaal</t>
  </si>
  <si>
    <t>76666 11666</t>
  </si>
  <si>
    <t>jaaltrikon@gmail.com</t>
  </si>
  <si>
    <t>Trip Fest</t>
  </si>
  <si>
    <t>EMP26-27EMP0289</t>
  </si>
  <si>
    <t>Bookit Forgetit</t>
  </si>
  <si>
    <t>EMP26-27EMP0290</t>
  </si>
  <si>
    <t>Zippy Journey</t>
  </si>
  <si>
    <t>EMP26-27EMP0291</t>
  </si>
  <si>
    <t>Saahil</t>
  </si>
  <si>
    <t>9147092012</t>
  </si>
  <si>
    <t>saahil@holidayhub.in</t>
  </si>
  <si>
    <t>Satna</t>
  </si>
  <si>
    <t>Rishika Tours</t>
  </si>
  <si>
    <t>EMP26-27EMP0292</t>
  </si>
  <si>
    <t>Gopal Travels</t>
  </si>
  <si>
    <t>Sakshi</t>
  </si>
  <si>
    <t>9837053583</t>
  </si>
  <si>
    <t>sales@gopaltravels.in</t>
  </si>
  <si>
    <t>Madhu Vagabond</t>
  </si>
  <si>
    <t>EMP26-27EMP0293</t>
  </si>
  <si>
    <t>Express India Journey</t>
  </si>
  <si>
    <t>EMP26-27EMP0294</t>
  </si>
  <si>
    <t>Dream Creators Club</t>
  </si>
  <si>
    <t>EMP26-27EMP0295</t>
  </si>
  <si>
    <t>Giriraj Holidays</t>
  </si>
  <si>
    <t>Nikhil</t>
  </si>
  <si>
    <t>7400984389</t>
  </si>
  <si>
    <t>prince.agrawal@girirajholidays.in</t>
  </si>
  <si>
    <t>Fab My Trip</t>
  </si>
  <si>
    <t>EMP26-27EMP0296</t>
  </si>
  <si>
    <t>Thane</t>
  </si>
  <si>
    <t>SHREE INTERNATIONAL TOURS &amp; TRAVELS</t>
  </si>
  <si>
    <t>Shripad</t>
  </si>
  <si>
    <t>7977055191</t>
  </si>
  <si>
    <t>shree.international.travels@gmail.com</t>
  </si>
  <si>
    <t>NeverEnding Explorers</t>
  </si>
  <si>
    <t>EMP26-27EMP0297</t>
  </si>
  <si>
    <t>EMP26-27EMP0298</t>
  </si>
  <si>
    <t>Partha</t>
  </si>
  <si>
    <t>9831090804</t>
  </si>
  <si>
    <t>partha@travelsystems.in</t>
  </si>
  <si>
    <t xml:space="preserve">Akash Travel </t>
  </si>
  <si>
    <t>EMP26-27EMP0299</t>
  </si>
  <si>
    <t>BINBRO TRAVEL PARK</t>
  </si>
  <si>
    <t>EMP26-27EMP0300</t>
  </si>
  <si>
    <t>Pack &amp; Go Holidays</t>
  </si>
  <si>
    <t>Gauri</t>
  </si>
  <si>
    <t>8951561010</t>
  </si>
  <si>
    <t>gaurikiran@gmail.com</t>
  </si>
  <si>
    <t>Travel Snap Toursim</t>
  </si>
  <si>
    <t>EMP26-27EMP0301</t>
  </si>
  <si>
    <t>My Tourz </t>
  </si>
  <si>
    <t>Koteswar </t>
  </si>
  <si>
    <t>97034 44497 </t>
  </si>
  <si>
    <t>mytourz09@gmail.com</t>
  </si>
  <si>
    <t>Curry Tours</t>
  </si>
  <si>
    <t>EMP26-27EMP0302</t>
  </si>
  <si>
    <t>EMP26-27EMP0303</t>
  </si>
  <si>
    <t>91871 91968</t>
  </si>
  <si>
    <t>Holidaz.com</t>
  </si>
  <si>
    <t>EMP26-27EMP0304</t>
  </si>
  <si>
    <t>Dipti</t>
  </si>
  <si>
    <t>Abeonaz</t>
  </si>
  <si>
    <t>EMP26-27EMP0305</t>
  </si>
  <si>
    <t>Aamish</t>
  </si>
  <si>
    <t>9528059926</t>
  </si>
  <si>
    <t>aamish@senkaytwd.com</t>
  </si>
  <si>
    <t>Ourindiantours</t>
  </si>
  <si>
    <t>EMP26-27EMP0306</t>
  </si>
  <si>
    <t>Skyline India Travels</t>
  </si>
  <si>
    <t>EMP26-27EMP0307</t>
  </si>
  <si>
    <t>Anusual Holiday Planner</t>
  </si>
  <si>
    <t>Anuja</t>
  </si>
  <si>
    <t>9819524745</t>
  </si>
  <si>
    <t>anusualholidayplanner@gmail.com</t>
  </si>
  <si>
    <t>Travel Path Holidays</t>
  </si>
  <si>
    <t>EMP26-27EMP0308</t>
  </si>
  <si>
    <t>GREENVIEW TRAVELS &amp; SERVICES PVT LTD</t>
  </si>
  <si>
    <t>Manisha Gandhi</t>
  </si>
  <si>
    <t>9810180507</t>
  </si>
  <si>
    <t>sales@greenviewtravels.com</t>
  </si>
  <si>
    <t xml:space="preserve">Ujjain </t>
  </si>
  <si>
    <t>Earth Trail</t>
  </si>
  <si>
    <t>EMP26-27EMP0309</t>
  </si>
  <si>
    <t>Travel Kiaa</t>
  </si>
  <si>
    <t>99566 32886</t>
  </si>
  <si>
    <t>Infotravelkiaa@gmail.com</t>
  </si>
  <si>
    <t>Pilgrim Pathways (Book my darshan)</t>
  </si>
  <si>
    <t>EMP26-27EMP0310</t>
  </si>
  <si>
    <t>Sriganesh Eswaran</t>
  </si>
  <si>
    <t>98732 37790</t>
  </si>
  <si>
    <t>ganesh@currytours.com</t>
  </si>
  <si>
    <t xml:space="preserve">Khajuraho </t>
  </si>
  <si>
    <t>Travel Tagline</t>
  </si>
  <si>
    <t>EMP26-27EMP0311</t>
  </si>
  <si>
    <t>EMP26-27EMP0312</t>
  </si>
  <si>
    <t>Narayan Das Pugalia</t>
  </si>
  <si>
    <t>86973 08069</t>
  </si>
  <si>
    <t>Ujjian</t>
  </si>
  <si>
    <t>Travel Wonders</t>
  </si>
  <si>
    <t>EMP26-27EMP0313</t>
  </si>
  <si>
    <t>Guwahati</t>
  </si>
  <si>
    <t>Priyanka Sharma</t>
  </si>
  <si>
    <t>98873 28806</t>
  </si>
  <si>
    <t>Saman'z Holidays</t>
  </si>
  <si>
    <t>EMP26-27EMP0314</t>
  </si>
  <si>
    <t>Kanti Kayal</t>
  </si>
  <si>
    <t>9433254297</t>
  </si>
  <si>
    <t>Extranomical Holidays</t>
  </si>
  <si>
    <t>EMP26-27EMP0315</t>
  </si>
  <si>
    <t xml:space="preserve">Arnab </t>
  </si>
  <si>
    <t>96741 63319</t>
  </si>
  <si>
    <t>Sreeja Holidays</t>
  </si>
  <si>
    <t>EMP26-27EMP0316</t>
  </si>
  <si>
    <t>Madhya Pradesh Tourism Board</t>
  </si>
  <si>
    <t>EMP26-27EMP0317</t>
  </si>
  <si>
    <t>Joydeep</t>
  </si>
  <si>
    <t>86970 66439</t>
  </si>
  <si>
    <t>Book My Darshan</t>
  </si>
  <si>
    <t>EMP26-27EMP0318</t>
  </si>
  <si>
    <t>Jugal Kishore Sharma</t>
  </si>
  <si>
    <t>9987519179</t>
  </si>
  <si>
    <t>Amazing Indien Reisen UG</t>
  </si>
  <si>
    <t>EMP26-27EMP0319</t>
  </si>
  <si>
    <t xml:space="preserve">Manisha </t>
  </si>
  <si>
    <t>9653197408</t>
  </si>
  <si>
    <t>Vistas India</t>
  </si>
  <si>
    <t>EMP26-27EMP0320</t>
  </si>
  <si>
    <t xml:space="preserve">Babita Sharma </t>
  </si>
  <si>
    <t>9836124327</t>
  </si>
  <si>
    <t>Chitrakoot</t>
  </si>
  <si>
    <t>Friends Travel Club</t>
  </si>
  <si>
    <t>EMP26-27EMP0321</t>
  </si>
  <si>
    <t>Aabir</t>
  </si>
  <si>
    <t>7397 432 545</t>
  </si>
  <si>
    <t>KKP Tours &amp; Travels</t>
  </si>
  <si>
    <t>EMP26-27EMP0322</t>
  </si>
  <si>
    <t>EMP26-27EMP0323</t>
  </si>
  <si>
    <t>jaipur</t>
  </si>
  <si>
    <t>Pathik the Traveller</t>
  </si>
  <si>
    <t>Vijay</t>
  </si>
  <si>
    <t xml:space="preserve"> 9717392021</t>
  </si>
  <si>
    <t>vijay@pathikthetraveller.com</t>
  </si>
  <si>
    <t>The Travel Experts</t>
  </si>
  <si>
    <t>EMP26-27EMP0324</t>
  </si>
  <si>
    <t>Harsitha</t>
  </si>
  <si>
    <t>Indoer</t>
  </si>
  <si>
    <t>Travel Wanderfuly</t>
  </si>
  <si>
    <t>EMP26-27EMP0325</t>
  </si>
  <si>
    <t>Dev Holidays</t>
  </si>
  <si>
    <t>EMP26-27EMP0326</t>
  </si>
  <si>
    <t>Sanchari Tour N Travels</t>
  </si>
  <si>
    <t>EMP26-27EMP0327</t>
  </si>
  <si>
    <t>Shanvi Tours &amp; Travels</t>
  </si>
  <si>
    <t>EMP26-27EMP0328</t>
  </si>
  <si>
    <t>Yogesh Kumar</t>
  </si>
  <si>
    <t>Jowks Travels</t>
  </si>
  <si>
    <t>EMP26-27EMP0329</t>
  </si>
  <si>
    <t>9594130239 </t>
  </si>
  <si>
    <t>connect@karlotravel.com</t>
  </si>
  <si>
    <t>Imperial Journey Pvt Ltd </t>
  </si>
  <si>
    <t>EMP26-27EMP0330</t>
  </si>
  <si>
    <t>My O Trips</t>
  </si>
  <si>
    <t>EMP26-27EMP0331</t>
  </si>
  <si>
    <t>Vedic Journey</t>
  </si>
  <si>
    <t>Subrata</t>
  </si>
  <si>
    <t>8178632701</t>
  </si>
  <si>
    <t>Subrata@vedicjourney.in</t>
  </si>
  <si>
    <t>Utkal Events &amp; Holidays</t>
  </si>
  <si>
    <t>EMP26-27EMP0332</t>
  </si>
  <si>
    <t>Dimple</t>
  </si>
  <si>
    <t>EMP26-27EMP0333</t>
  </si>
  <si>
    <t xml:space="preserve"> 75175 68585</t>
  </si>
  <si>
    <t>Travel Deal</t>
  </si>
  <si>
    <t>EMP26-27EMP0334</t>
  </si>
  <si>
    <t>VACAY MODE ON</t>
  </si>
  <si>
    <t>Krithika</t>
  </si>
  <si>
    <t>9940176258</t>
  </si>
  <si>
    <t>vacaymodeon1721@gmail.com</t>
  </si>
  <si>
    <t>EMP26-27EMP0335</t>
  </si>
  <si>
    <t xml:space="preserve">Belagavi </t>
  </si>
  <si>
    <t>Sagar</t>
  </si>
  <si>
    <t xml:space="preserve"> 9036405090</t>
  </si>
  <si>
    <t>AV TRIPS Amazing Vacations</t>
  </si>
  <si>
    <t>EMP26-27EMP0336</t>
  </si>
  <si>
    <t>Wings Tours</t>
  </si>
  <si>
    <t>EMP26-27EMP0337</t>
  </si>
  <si>
    <t>Vibrant Vacations</t>
  </si>
  <si>
    <t>EMP26-27EMP0338</t>
  </si>
  <si>
    <t>Travel Best Vacations</t>
  </si>
  <si>
    <t>EMP26-27EMP0339</t>
  </si>
  <si>
    <t>Jain Trip</t>
  </si>
  <si>
    <t>EMP26-27EMP0340</t>
  </si>
  <si>
    <t>Patidar Holidays/Dobariya vitthal Mohanbhai</t>
  </si>
  <si>
    <t>EMP26-27EMP0341</t>
  </si>
  <si>
    <t>MORPHEUS TOURS</t>
  </si>
  <si>
    <t>EMP26-27EMP0342</t>
  </si>
  <si>
    <t>Tourio</t>
  </si>
  <si>
    <t>EMP26-27EMP0343</t>
  </si>
  <si>
    <t>HPW Tours &amp; Travels</t>
  </si>
  <si>
    <t>EMP26-27EMP0344</t>
  </si>
  <si>
    <t>EMP26-27EMP0345</t>
  </si>
  <si>
    <t>Elegant Sojourns</t>
  </si>
  <si>
    <t>EMP26-27EMP0346</t>
  </si>
  <si>
    <t>Geo Fun Trips</t>
  </si>
  <si>
    <t>EMP26-27EMP0347</t>
  </si>
  <si>
    <t>EMP26-27EMP0348</t>
  </si>
  <si>
    <t>Honest Holidays</t>
  </si>
  <si>
    <t>EMP26-27EMP0349</t>
  </si>
  <si>
    <t>EMP26-27EMP0350</t>
  </si>
  <si>
    <t>Ojas</t>
  </si>
  <si>
    <t>8369 688 691</t>
  </si>
  <si>
    <t>ojasc@worldtravelstudio.com</t>
  </si>
  <si>
    <t>EMP26-27EMP0351</t>
  </si>
  <si>
    <t>EMP26-27EMP0352</t>
  </si>
  <si>
    <t>EMP26-27EMP0353</t>
  </si>
  <si>
    <t>9897115379</t>
  </si>
  <si>
    <t>sudha@saipearlholidays</t>
  </si>
  <si>
    <t>EMP26-27EMP0354</t>
  </si>
  <si>
    <t>Benito Hospitality</t>
  </si>
  <si>
    <t>Tushar Mallik</t>
  </si>
  <si>
    <t>7381064800</t>
  </si>
  <si>
    <t>tushar.m@benitotherapeutic.com</t>
  </si>
  <si>
    <t>EMP26-27EMP0355</t>
  </si>
  <si>
    <t>Sky Planner</t>
  </si>
  <si>
    <t>skyplanner.co.in@gmail.com</t>
  </si>
  <si>
    <t>EMP26-27EMP0356</t>
  </si>
  <si>
    <t>EMP26-27EMP0357</t>
  </si>
  <si>
    <t>EMP26-27EMP0358</t>
  </si>
  <si>
    <t>EMP26-27EMP0359</t>
  </si>
  <si>
    <t>EMP26-27EMP0360</t>
  </si>
  <si>
    <t>EMP26-27EMP0361</t>
  </si>
  <si>
    <t>EMP26-27EMP0362</t>
  </si>
  <si>
    <t>EMP26-27EMP0363</t>
  </si>
  <si>
    <t>EMP26-27EMP0364</t>
  </si>
  <si>
    <t>EMP26-27EMP0365</t>
  </si>
  <si>
    <t>EMP26-27EMP0366</t>
  </si>
  <si>
    <t>EMP26-27EMP0367</t>
  </si>
  <si>
    <t>EMP26-27EMP0368</t>
  </si>
  <si>
    <t>EMP26-27EMP0369</t>
  </si>
  <si>
    <t>EMP26-27EMP0370</t>
  </si>
  <si>
    <t>EMP26-27EMP0371</t>
  </si>
  <si>
    <t>EMP26-27EMP0372</t>
  </si>
  <si>
    <t>EMP26-27EMP0373</t>
  </si>
  <si>
    <t>EMP26-27EMP0374</t>
  </si>
  <si>
    <t>EMP26-27EMP0375</t>
  </si>
  <si>
    <t>EMP26-27EMP0376</t>
  </si>
  <si>
    <t>EMP26-27EMP0377</t>
  </si>
  <si>
    <t>EMP26-27EMP0378</t>
  </si>
  <si>
    <t>Sonu Holidays</t>
  </si>
  <si>
    <t>EMP26-27EMP0379</t>
  </si>
  <si>
    <t>EMP26-27EMP0380</t>
  </si>
  <si>
    <t>Kewalsons Holidays</t>
  </si>
  <si>
    <t>EMP26-27EMP0381</t>
  </si>
  <si>
    <t>Global Holidays</t>
  </si>
  <si>
    <t>EMP26-27EMP0382</t>
  </si>
  <si>
    <t>DIWAN HOLIDAYS</t>
  </si>
  <si>
    <t>EMP26-27EMP0383</t>
  </si>
  <si>
    <t>Bharath International Travels Pvt. Ltd</t>
  </si>
  <si>
    <t>EMP26-27EMP0384</t>
  </si>
  <si>
    <t>Toliday Trip</t>
  </si>
  <si>
    <t>EMP26-27EMP0385</t>
  </si>
  <si>
    <t>Aarvi Holidays</t>
  </si>
  <si>
    <t>EMP26-27EMP0386</t>
  </si>
  <si>
    <t>Xplorer's Paradise </t>
  </si>
  <si>
    <t>EMP26-27EMP0387</t>
  </si>
  <si>
    <t>EMP26-27EMP0388</t>
  </si>
  <si>
    <t>Trypmaker</t>
  </si>
  <si>
    <t>EMP26-27EMP0389</t>
  </si>
  <si>
    <t>VSK Tours and Travels</t>
  </si>
  <si>
    <t>EMP26-27EMP0390</t>
  </si>
  <si>
    <t>TRAVEL AROUND THE WORLD</t>
  </si>
  <si>
    <t>EMP26-27EMP0391</t>
  </si>
  <si>
    <t>EMP26-27EMP0392</t>
  </si>
  <si>
    <t>EMP26-27EMP0393</t>
  </si>
  <si>
    <t>EMP26-27EMP0394</t>
  </si>
  <si>
    <t>EMP26-27EMP0395</t>
  </si>
  <si>
    <t>EMP26-27EMP0396</t>
  </si>
  <si>
    <t>EMP26-27EMP0397</t>
  </si>
  <si>
    <t>EMP26-27EMP0398</t>
  </si>
  <si>
    <t>EMP26-27EMP0399</t>
  </si>
  <si>
    <t>EMP26-27EMP0400</t>
  </si>
  <si>
    <t>EMP26-27EMP0401</t>
  </si>
  <si>
    <t>EMP26-27EMP0402</t>
  </si>
  <si>
    <t>EMP26-27EMP0403</t>
  </si>
  <si>
    <t>EMP26-27EMP0404</t>
  </si>
  <si>
    <t>EMP26-27EMP0405</t>
  </si>
  <si>
    <t>EMP26-27EMP0406</t>
  </si>
  <si>
    <t>EMP26-27EMP0407</t>
  </si>
  <si>
    <t>EMP26-27EMP0408</t>
  </si>
  <si>
    <t>EMP26-27EMP0409</t>
  </si>
  <si>
    <t>EMP26-27EMP0410</t>
  </si>
  <si>
    <t>EMP26-27EMP0411</t>
  </si>
  <si>
    <t>EMP26-27EMP0412</t>
  </si>
  <si>
    <t>EMP26-27EMP0413</t>
  </si>
  <si>
    <t>Curry Tours Private Limited </t>
  </si>
  <si>
    <t>EMP26-27EMP0414</t>
  </si>
  <si>
    <t>EMP26-27EMP0415</t>
  </si>
  <si>
    <t>EMP26-27EMP0416</t>
  </si>
  <si>
    <t>EMP26-27EMP0417</t>
  </si>
  <si>
    <t>EMP26-27EMP0418</t>
  </si>
  <si>
    <t>EMP26-27EMP0419</t>
  </si>
  <si>
    <t>EMP26-27EMP0420</t>
  </si>
  <si>
    <t>EMP26-27EMP0421</t>
  </si>
  <si>
    <t>EMP26-27EMP0422</t>
  </si>
  <si>
    <t>EMP26-27EMP0423</t>
  </si>
  <si>
    <t>EMP26-27EMP0424</t>
  </si>
  <si>
    <t>EMP26-27EMP0425</t>
  </si>
  <si>
    <t>EMP26-27EMP0426</t>
  </si>
  <si>
    <t>EMP26-27EMP0427</t>
  </si>
  <si>
    <t>EMP26-27EMP0428</t>
  </si>
  <si>
    <t>EMP26-27EMP0429</t>
  </si>
  <si>
    <t>EMP26-27EMP0430</t>
  </si>
  <si>
    <t>EMP26-27EMP0431</t>
  </si>
  <si>
    <t>EMP26-27EMP0432</t>
  </si>
  <si>
    <t>EMP26-27EMP0433</t>
  </si>
  <si>
    <t>EMP26-27EMP0434</t>
  </si>
  <si>
    <t>EMP26-27EMP0435</t>
  </si>
  <si>
    <t>EMP26-27EMP0436</t>
  </si>
  <si>
    <t>EMP26-27EMP0437</t>
  </si>
  <si>
    <t>EMP26-27EMP0438</t>
  </si>
  <si>
    <t>EMP26-27EMP0439</t>
  </si>
  <si>
    <t>EMP26-27EMP0440</t>
  </si>
  <si>
    <t>EMP26-27EMP0441</t>
  </si>
  <si>
    <t>EMP26-27EMP0442</t>
  </si>
  <si>
    <t>EMP26-27EMP0443</t>
  </si>
  <si>
    <t>EMP26-27EMP0444</t>
  </si>
  <si>
    <t>EMP26-27EMP0445</t>
  </si>
  <si>
    <t>EMP26-27EMP0446</t>
  </si>
  <si>
    <t>EMP26-27EMP0447</t>
  </si>
  <si>
    <t>EMP26-27EMP0448</t>
  </si>
  <si>
    <t>EMP26-27EMP0449</t>
  </si>
  <si>
    <t>EMP26-27EMP0450</t>
  </si>
  <si>
    <t>EMP26-27EMP0451</t>
  </si>
  <si>
    <t>EMP26-27EMP0452</t>
  </si>
  <si>
    <t>EMP26-27EMP0453</t>
  </si>
  <si>
    <t>EMP26-27EMP0454</t>
  </si>
  <si>
    <t>EMP26-27EMP0455</t>
  </si>
  <si>
    <t>EMP26-27EMP0456</t>
  </si>
  <si>
    <t>EMP26-27EMP0457</t>
  </si>
  <si>
    <t>EMP26-27EMP0458</t>
  </si>
  <si>
    <t>EMP26-27EMP0459</t>
  </si>
  <si>
    <t>EMP26-27EMP0460</t>
  </si>
  <si>
    <t>EMP26-27EMP0461</t>
  </si>
  <si>
    <t>EMP26-27EMP0462</t>
  </si>
  <si>
    <t>EMP26-27EMP0463</t>
  </si>
  <si>
    <t>EMP26-27EMP0464</t>
  </si>
  <si>
    <t>EMP26-27EMP0465</t>
  </si>
  <si>
    <t>EMP26-27EMP0466</t>
  </si>
  <si>
    <t>EMP26-27EMP0467</t>
  </si>
  <si>
    <t>EMP26-27EMP0468</t>
  </si>
  <si>
    <t>EMP26-27EMP0469</t>
  </si>
  <si>
    <t>EMP26-27EMP0470</t>
  </si>
  <si>
    <t>EMP26-27EMP0471</t>
  </si>
  <si>
    <t>EMP26-27EMP0472</t>
  </si>
  <si>
    <t>EMP26-27EMP0473</t>
  </si>
  <si>
    <t>EMP26-27EMP0474</t>
  </si>
  <si>
    <t>EMP26-27EMP0475</t>
  </si>
  <si>
    <t>EMP26-27EMP0476</t>
  </si>
  <si>
    <t>EMP26-27EMP0477</t>
  </si>
  <si>
    <t>EMP26-27EMP0478</t>
  </si>
  <si>
    <t>EMP26-27EMP0479</t>
  </si>
  <si>
    <t>EMP26-27EMP0480</t>
  </si>
  <si>
    <t>EMP26-27EMP0481</t>
  </si>
  <si>
    <t>EMP26-27EMP0482</t>
  </si>
  <si>
    <t>EMP26-27EMP0483</t>
  </si>
  <si>
    <t>EMP26-27EMP0484</t>
  </si>
  <si>
    <t>EMP26-27EMP0485</t>
  </si>
  <si>
    <t>EMP26-27EMP0486</t>
  </si>
  <si>
    <t>EMP26-27EMP0487</t>
  </si>
  <si>
    <t>EMP26-27EMP0488</t>
  </si>
  <si>
    <t>EMP26-27EMP0489</t>
  </si>
  <si>
    <t>EMP26-27EMP0490</t>
  </si>
  <si>
    <t>EMP26-27EMP0491</t>
  </si>
  <si>
    <t>EMP26-27EMP0492</t>
  </si>
  <si>
    <t>EMP26-27EMP0493</t>
  </si>
  <si>
    <t>EMP26-27EMP0494</t>
  </si>
  <si>
    <t>EMP26-27EMP0495</t>
  </si>
  <si>
    <t>EMP26-27EMP0496</t>
  </si>
  <si>
    <t>EMP26-27EMP0497</t>
  </si>
  <si>
    <t>EMP26-27EMP0498</t>
  </si>
  <si>
    <t>EMP26-27EMP0499</t>
  </si>
  <si>
    <t>EMP26-27EMP0500</t>
  </si>
  <si>
    <t>EMP26-27EMP0501</t>
  </si>
  <si>
    <t>EMP26-27EMP0502</t>
  </si>
  <si>
    <t>EMP26-27EMP0503</t>
  </si>
  <si>
    <t>EMP26-27EMP0504</t>
  </si>
  <si>
    <t>EMP26-27EMP0505</t>
  </si>
  <si>
    <t>EMP26-27EMP0506</t>
  </si>
  <si>
    <t>EMP26-27EMP0507</t>
  </si>
  <si>
    <t>EMP26-27EMP0508</t>
  </si>
  <si>
    <t>EMP26-27EMP0509</t>
  </si>
  <si>
    <t>EMP26-27EMP0510</t>
  </si>
  <si>
    <t>EMP26-27EMP0511</t>
  </si>
  <si>
    <t>EMP26-27EMP0512</t>
  </si>
  <si>
    <t>EMP26-27EMP0513</t>
  </si>
  <si>
    <t>EMP26-27EMP0514</t>
  </si>
  <si>
    <t>EMP26-27EMP0515</t>
  </si>
  <si>
    <t>EMP26-27EMP0516</t>
  </si>
  <si>
    <t>EMP26-27EMP0517</t>
  </si>
  <si>
    <t>EMP26-27EMP0518</t>
  </si>
  <si>
    <t>EMP26-27EMP0519</t>
  </si>
  <si>
    <t>EMP26-27EMP0520</t>
  </si>
  <si>
    <t>EMP26-27EMP0521</t>
  </si>
  <si>
    <t>EMP26-27EMP0522</t>
  </si>
  <si>
    <t>EMP26-27EMP0523</t>
  </si>
  <si>
    <t>EMP26-27EMP0524</t>
  </si>
  <si>
    <t>EMP26-27EMP0525</t>
  </si>
  <si>
    <t>EMP26-27EMP0526</t>
  </si>
  <si>
    <t>EMP26-27EMP0527</t>
  </si>
  <si>
    <t>EMP26-27EMP0528</t>
  </si>
  <si>
    <t>EMP26-27EMP0529</t>
  </si>
  <si>
    <t>EMP26-27EMP0530</t>
  </si>
  <si>
    <t>EMP26-27EMP0531</t>
  </si>
  <si>
    <t>EMP26-27EMP0532</t>
  </si>
  <si>
    <t>EMP26-27EMP0533</t>
  </si>
  <si>
    <t>EMP26-27EMP0534</t>
  </si>
  <si>
    <t>EMP26-27EMP0535</t>
  </si>
  <si>
    <t>EMP26-27EMP0536</t>
  </si>
  <si>
    <t>EMP26-27EMP0537</t>
  </si>
  <si>
    <t>EMP26-27EMP0538</t>
  </si>
  <si>
    <t>EMP26-27EMP0539</t>
  </si>
  <si>
    <t>EMP26-27EMP0540</t>
  </si>
  <si>
    <t>EMP26-27EMP0541</t>
  </si>
  <si>
    <t>EMP26-27EMP0542</t>
  </si>
  <si>
    <t>EMP26-27EMP0543</t>
  </si>
  <si>
    <t>EMP26-27EMP0544</t>
  </si>
  <si>
    <t>EMP26-27EMP0545</t>
  </si>
  <si>
    <t>EMP26-27EMP0546</t>
  </si>
  <si>
    <t>EMP26-27EMP0547</t>
  </si>
  <si>
    <t>EMP26-27EMP0548</t>
  </si>
  <si>
    <t>EMP26-27EMP0549</t>
  </si>
  <si>
    <t>EMP26-27EMP0550</t>
  </si>
  <si>
    <t>EMP26-27EMP0551</t>
  </si>
  <si>
    <t>EMP26-27EMP0552</t>
  </si>
  <si>
    <t>EMP26-27EMP0553</t>
  </si>
  <si>
    <t>EMP26-27EMP0554</t>
  </si>
  <si>
    <t>EMP26-27EMP0555</t>
  </si>
  <si>
    <t>EMP26-27EMP0556</t>
  </si>
  <si>
    <t>EMP26-27EMP0557</t>
  </si>
  <si>
    <t>EMP26-27EMP0558</t>
  </si>
  <si>
    <t>EMP26-27EMP0559</t>
  </si>
  <si>
    <t>EMP26-27EMP0560</t>
  </si>
  <si>
    <t>EMP26-27EMP0561</t>
  </si>
  <si>
    <t>EMP26-27EMP0562</t>
  </si>
  <si>
    <t>EMP26-27EMP0563</t>
  </si>
  <si>
    <t>EMP26-27EMP0564</t>
  </si>
  <si>
    <t>EMP26-27EMP0565</t>
  </si>
  <si>
    <t>EMP26-27EMP0566</t>
  </si>
  <si>
    <t>EMP26-27EMP0567</t>
  </si>
  <si>
    <t>EMP26-27EMP0568</t>
  </si>
  <si>
    <t>EMP26-27EMP0569</t>
  </si>
  <si>
    <t>EMP26-27EMP0570</t>
  </si>
  <si>
    <t>EMP26-27EMP0571</t>
  </si>
  <si>
    <t>EMP26-27EMP0572</t>
  </si>
  <si>
    <t>EMP26-27EMP0573</t>
  </si>
  <si>
    <t>EMP26-27EMP0574</t>
  </si>
  <si>
    <t>EMP26-27EMP0575</t>
  </si>
  <si>
    <t>EMP26-27EMP0576</t>
  </si>
  <si>
    <t>EMP26-27EMP0577</t>
  </si>
  <si>
    <t>EMP26-27EMP0578</t>
  </si>
  <si>
    <t>EMP26-27EMP0579</t>
  </si>
  <si>
    <t>EMP26-27EMP0580</t>
  </si>
  <si>
    <t>EMP26-27EMP0581</t>
  </si>
  <si>
    <t>EMP26-27EMP0582</t>
  </si>
  <si>
    <t>EMP26-27EMP0583</t>
  </si>
  <si>
    <t>EMP26-27EMP0584</t>
  </si>
  <si>
    <t>EMP26-27EMP0585</t>
  </si>
  <si>
    <t>EMP26-27EMP0586</t>
  </si>
  <si>
    <t>EMP26-27EMP0587</t>
  </si>
  <si>
    <t>EMP26-27EMP0588</t>
  </si>
  <si>
    <t>EMP26-27EMP0589</t>
  </si>
  <si>
    <t>EMP26-27EMP0590</t>
  </si>
  <si>
    <t>EMP26-27EMP0591</t>
  </si>
  <si>
    <t>EMP26-27EMP0592</t>
  </si>
  <si>
    <t>EMP26-27EMP0593</t>
  </si>
  <si>
    <t>EMP26-27EMP0594</t>
  </si>
  <si>
    <t>EMP26-27EMP0595</t>
  </si>
  <si>
    <t>EMP26-27EMP0596</t>
  </si>
  <si>
    <t>EMP26-27EMP0597</t>
  </si>
  <si>
    <t>EMP26-27EMP0598</t>
  </si>
  <si>
    <t>EMP26-27EMP0599</t>
  </si>
  <si>
    <t>EMP26-27EMP0600</t>
  </si>
  <si>
    <t>EMP26-27EMP0601</t>
  </si>
  <si>
    <t>EMP26-27EMP0602</t>
  </si>
  <si>
    <t>EMP26-27EMP0603</t>
  </si>
  <si>
    <t>EMP26-27EMP0604</t>
  </si>
  <si>
    <t>EMP26-27EMP0605</t>
  </si>
  <si>
    <t>EMP26-27EMP0606</t>
  </si>
  <si>
    <t>EMP26-27EMP0607</t>
  </si>
  <si>
    <t>EMP26-27EMP0608</t>
  </si>
  <si>
    <t>EMP26-27EMP0609</t>
  </si>
  <si>
    <t>EMP26-27EMP0610</t>
  </si>
  <si>
    <t>EMP26-27EMP0611</t>
  </si>
  <si>
    <t>EMP26-27EMP0612</t>
  </si>
  <si>
    <t>EMP26-27EMP0613</t>
  </si>
  <si>
    <t>EMP26-27EMP0614</t>
  </si>
  <si>
    <t>EMP26-27EMP0615</t>
  </si>
  <si>
    <t>EMP26-27EMP0616</t>
  </si>
  <si>
    <t>EMP26-27EMP0617</t>
  </si>
  <si>
    <t>EMP26-27EMP0618</t>
  </si>
  <si>
    <t>EMP26-27EMP0619</t>
  </si>
  <si>
    <t>EMP26-27EMP0620</t>
  </si>
  <si>
    <t>EMP26-27EMP0621</t>
  </si>
  <si>
    <t>EMP26-27EMP0622</t>
  </si>
  <si>
    <t>EMP26-27EMP0623</t>
  </si>
  <si>
    <t>EMP26-27EMP0624</t>
  </si>
  <si>
    <t>EMP26-27EMP0625</t>
  </si>
  <si>
    <t>EMP26-27EMP0626</t>
  </si>
  <si>
    <t>EMP26-27EMP0627</t>
  </si>
  <si>
    <t>EMP26-27EMP0628</t>
  </si>
  <si>
    <t>EMP26-27EMP0629</t>
  </si>
  <si>
    <t>EMP26-27EMP0630</t>
  </si>
  <si>
    <t>EMP26-27EMP0631</t>
  </si>
  <si>
    <t>EMP26-27EMP0632</t>
  </si>
  <si>
    <t>EMP26-27EMP0633</t>
  </si>
  <si>
    <t>EMP26-27EMP0634</t>
  </si>
  <si>
    <t>EMP26-27EMP0635</t>
  </si>
  <si>
    <t>EMP26-27EMP0636</t>
  </si>
  <si>
    <t>EMP26-27EMP0637</t>
  </si>
  <si>
    <t>EMP26-27EMP0638</t>
  </si>
  <si>
    <t>EMP26-27EMP0639</t>
  </si>
  <si>
    <t>EMP26-27EMP0640</t>
  </si>
  <si>
    <t>EMP26-27EMP0641</t>
  </si>
  <si>
    <t>EMP26-27EMP0642</t>
  </si>
  <si>
    <t>EMP26-27EMP0643</t>
  </si>
  <si>
    <t>EMP26-27EMP0644</t>
  </si>
  <si>
    <t>EMP26-27EMP0645</t>
  </si>
  <si>
    <t>EMP26-27EMP0646</t>
  </si>
  <si>
    <t>EMP26-27EMP0647</t>
  </si>
  <si>
    <t>EMP26-27EMP0648</t>
  </si>
  <si>
    <t>EMP26-27EMP0649</t>
  </si>
  <si>
    <t>EMP26-27EMP0650</t>
  </si>
  <si>
    <t>EMP26-27EMP0651</t>
  </si>
  <si>
    <t>EMP26-27EMP0652</t>
  </si>
  <si>
    <t>EMP26-27EMP0653</t>
  </si>
  <si>
    <t>EMP26-27EMP0654</t>
  </si>
  <si>
    <t>EMP26-27EMP0655</t>
  </si>
  <si>
    <t>EMP26-27EMP0656</t>
  </si>
  <si>
    <t>EMP26-27EMP0657</t>
  </si>
  <si>
    <t>EMP26-27EMP0658</t>
  </si>
  <si>
    <t>EMP26-27EMP0659</t>
  </si>
  <si>
    <t>EMP26-27EMP0660</t>
  </si>
  <si>
    <t>EMP26-27EMP0661</t>
  </si>
  <si>
    <t>EMP26-27EMP0662</t>
  </si>
  <si>
    <t>EMP26-27EMP0663</t>
  </si>
  <si>
    <t>EMP26-27EMP0664</t>
  </si>
  <si>
    <t>EMP26-27EMP0665</t>
  </si>
  <si>
    <t>EMP26-27EMP0666</t>
  </si>
  <si>
    <t>EMP26-27EMP0667</t>
  </si>
  <si>
    <t>EMP26-27EMP0668</t>
  </si>
  <si>
    <t>EMP26-27EMP0669</t>
  </si>
  <si>
    <t>EMP26-27EMP0670</t>
  </si>
  <si>
    <t>EMP26-27EMP0671</t>
  </si>
  <si>
    <t>EMP26-27EMP0672</t>
  </si>
  <si>
    <t>EMP26-27EMP0673</t>
  </si>
  <si>
    <t>EMP26-27EMP0674</t>
  </si>
  <si>
    <t>EMP26-27EMP0675</t>
  </si>
  <si>
    <t>EMP26-27EMP0676</t>
  </si>
  <si>
    <t>EMP26-27EMP0677</t>
  </si>
  <si>
    <t>EMP26-27EMP0678</t>
  </si>
  <si>
    <t>EMP26-27EMP0679</t>
  </si>
  <si>
    <t>EMP26-27EMP0680</t>
  </si>
  <si>
    <t>EMP26-27EMP0681</t>
  </si>
  <si>
    <t>EMP26-27EMP0682</t>
  </si>
  <si>
    <t>EMP26-27EMP0683</t>
  </si>
  <si>
    <t>EMP26-27EMP0684</t>
  </si>
  <si>
    <t>EMP26-27EMP0685</t>
  </si>
  <si>
    <t>EMP26-27EMP0686</t>
  </si>
  <si>
    <t>EMP26-27EMP0687</t>
  </si>
  <si>
    <t>EMP26-27EMP0688</t>
  </si>
  <si>
    <t>EMP26-27EMP0689</t>
  </si>
  <si>
    <t>EMP26-27EMP0690</t>
  </si>
  <si>
    <t>EMP26-27EMP0691</t>
  </si>
  <si>
    <t>EMP26-27EMP0692</t>
  </si>
  <si>
    <t>EMP26-27EMP0693</t>
  </si>
  <si>
    <t>EMP26-27EMP0694</t>
  </si>
  <si>
    <t>EMP26-27EMP0695</t>
  </si>
  <si>
    <t>EMP26-27EMP0696</t>
  </si>
  <si>
    <t>EMP26-27EMP0697</t>
  </si>
  <si>
    <t>EMP26-27EMP0698</t>
  </si>
  <si>
    <t>EMP26-27EMP0699</t>
  </si>
  <si>
    <t>EMP26-27EMP0700</t>
  </si>
  <si>
    <t>EMP26-27EMP0701</t>
  </si>
  <si>
    <t>EMP26-27EMP0702</t>
  </si>
  <si>
    <t>EMP26-27EMP0703</t>
  </si>
  <si>
    <t>EMP26-27EMP0704</t>
  </si>
  <si>
    <t>EMP26-27EMP0705</t>
  </si>
  <si>
    <t>EMP26-27EMP0706</t>
  </si>
  <si>
    <t>EMP26-27EMP0707</t>
  </si>
  <si>
    <t>EMP26-27EMP0708</t>
  </si>
  <si>
    <t>EMP26-27EMP0709</t>
  </si>
  <si>
    <t>EMP26-27EMP0710</t>
  </si>
  <si>
    <t>EMP26-27EMP0711</t>
  </si>
  <si>
    <t>EMP26-27EMP0712</t>
  </si>
  <si>
    <t>EMP26-27EMP0713</t>
  </si>
  <si>
    <t>EMP26-27EMP0714</t>
  </si>
  <si>
    <t>EMP26-27EMP0715</t>
  </si>
  <si>
    <t>EMP26-27EMP0716</t>
  </si>
  <si>
    <t>EMP26-27EMP0717</t>
  </si>
  <si>
    <t>EMP26-27EMP0718</t>
  </si>
  <si>
    <t>EMP26-27EMP0719</t>
  </si>
  <si>
    <t>EMP26-27EMP0720</t>
  </si>
  <si>
    <t>EMP26-27EMP0721</t>
  </si>
  <si>
    <t>EMP26-27EMP0722</t>
  </si>
  <si>
    <t>EMP26-27EMP0723</t>
  </si>
  <si>
    <t>EMP26-27EMP0724</t>
  </si>
  <si>
    <t>EMP26-27EMP0725</t>
  </si>
  <si>
    <t>EMP26-27EMP0726</t>
  </si>
  <si>
    <t>EMP26-27EMP0727</t>
  </si>
  <si>
    <t>EMP26-27EMP0728</t>
  </si>
  <si>
    <t>EMP26-27EMP0729</t>
  </si>
  <si>
    <t>EMP26-27EMP0730</t>
  </si>
  <si>
    <t>EMP26-27EMP0731</t>
  </si>
  <si>
    <t>EMP26-27EMP0732</t>
  </si>
  <si>
    <t>EMP26-27EMP0733</t>
  </si>
  <si>
    <t>EMP26-27EMP0734</t>
  </si>
  <si>
    <t>EMP26-27EMP0735</t>
  </si>
  <si>
    <t>EMP26-27EMP0736</t>
  </si>
  <si>
    <t>EMP26-27EMP0737</t>
  </si>
  <si>
    <t>EMP26-27EMP0738</t>
  </si>
  <si>
    <t>EMP26-27EMP0739</t>
  </si>
  <si>
    <t>EMP26-27EMP0740</t>
  </si>
  <si>
    <t>EMP26-27EMP0741</t>
  </si>
  <si>
    <t>EMP26-27EMP0742</t>
  </si>
  <si>
    <t>EMP26-27EMP0743</t>
  </si>
  <si>
    <t>EMP26-27EMP0744</t>
  </si>
  <si>
    <t>EMP26-27EMP0745</t>
  </si>
  <si>
    <t>EMP26-27EMP0746</t>
  </si>
  <si>
    <t>EMP26-27EMP0747</t>
  </si>
  <si>
    <t>EMP26-27EMP0748</t>
  </si>
  <si>
    <t>EMP26-27EMP0749</t>
  </si>
  <si>
    <t>EMP26-27EMP0750</t>
  </si>
  <si>
    <t>EMP26-27EMP0751</t>
  </si>
  <si>
    <t>EMP26-27EMP0752</t>
  </si>
  <si>
    <t>EMP26-27EMP0753</t>
  </si>
  <si>
    <t>EMP26-27EMP0754</t>
  </si>
  <si>
    <t>EMP26-27EMP0755</t>
  </si>
  <si>
    <t>EMP26-27EMP0756</t>
  </si>
  <si>
    <t>EMP26-27EMP0757</t>
  </si>
  <si>
    <t>EMP26-27EMP0758</t>
  </si>
  <si>
    <t>EMP26-27EMP0759</t>
  </si>
  <si>
    <t>EMP26-27EMP0760</t>
  </si>
  <si>
    <t>EMP26-27EMP0761</t>
  </si>
  <si>
    <t>EMP26-27EMP0762</t>
  </si>
  <si>
    <t>EMP26-27EMP0763</t>
  </si>
  <si>
    <t>EMP26-27EMP0764</t>
  </si>
  <si>
    <t>EMP26-27EMP0765</t>
  </si>
  <si>
    <t>EMP26-27EMP0766</t>
  </si>
  <si>
    <t>EMP26-27EMP0767</t>
  </si>
  <si>
    <t>EMP26-27EMP0768</t>
  </si>
  <si>
    <t>EMP26-27EMP0769</t>
  </si>
  <si>
    <t>EMP26-27EMP0770</t>
  </si>
  <si>
    <t>EMP26-27EMP0771</t>
  </si>
  <si>
    <t>EMP26-27EMP0772</t>
  </si>
  <si>
    <t>EMP26-27EMP0773</t>
  </si>
  <si>
    <t>EMP26-27EMP0774</t>
  </si>
  <si>
    <t>EMP26-27EMP0775</t>
  </si>
  <si>
    <t>EMP26-27EMP0776</t>
  </si>
  <si>
    <t>EMP26-27EMP0777</t>
  </si>
  <si>
    <t>EMP26-27EMP0778</t>
  </si>
  <si>
    <t>EMP26-27EMP0779</t>
  </si>
  <si>
    <t>EMP26-27EMP0780</t>
  </si>
  <si>
    <t>EMP26-27EMP0781</t>
  </si>
  <si>
    <t>EMP26-27EMP0782</t>
  </si>
  <si>
    <t>EMP26-27EMP0783</t>
  </si>
  <si>
    <t>EMP26-27EMP0784</t>
  </si>
  <si>
    <t>EMP26-27EMP0785</t>
  </si>
  <si>
    <t>EMP26-27EMP0786</t>
  </si>
  <si>
    <t>EMP26-27EMP0787</t>
  </si>
  <si>
    <t>EMP26-27EMP0788</t>
  </si>
  <si>
    <t>EMP26-27EMP0789</t>
  </si>
  <si>
    <t>EMP26-27EMP0790</t>
  </si>
  <si>
    <t>EMP26-27EMP0791</t>
  </si>
  <si>
    <t>EMP26-27EMP0792</t>
  </si>
  <si>
    <t>EMP26-27EMP0793</t>
  </si>
  <si>
    <t>EMP26-27EMP0794</t>
  </si>
  <si>
    <t>EMP26-27EMP0795</t>
  </si>
  <si>
    <t>EMP26-27EMP0796</t>
  </si>
  <si>
    <t>EMP26-27EMP0797</t>
  </si>
  <si>
    <t>EMP26-27EMP0798</t>
  </si>
  <si>
    <t>EMP26-27EMP0799</t>
  </si>
  <si>
    <t>EMP26-27EMP0800</t>
  </si>
  <si>
    <t>EMP26-27EMP0801</t>
  </si>
  <si>
    <t>EMP26-27EMP0802</t>
  </si>
  <si>
    <t>EMP26-27EMP0803</t>
  </si>
  <si>
    <t>EMP26-27EMP0804</t>
  </si>
  <si>
    <t>EMP26-27EMP0805</t>
  </si>
  <si>
    <t>EMP26-27EMP0806</t>
  </si>
  <si>
    <t>EMP26-27EMP0807</t>
  </si>
  <si>
    <t>EMP26-27EMP0808</t>
  </si>
  <si>
    <t>EMP26-27EMP0809</t>
  </si>
  <si>
    <t>EMP26-27EMP0810</t>
  </si>
  <si>
    <t>EMP26-27EMP0811</t>
  </si>
  <si>
    <t>EMP26-27EMP0812</t>
  </si>
  <si>
    <t>EMP26-27EMP0813</t>
  </si>
  <si>
    <t>EMP26-27EMP0814</t>
  </si>
  <si>
    <t>EMP26-27EMP0815</t>
  </si>
  <si>
    <t>EMP26-27EMP0816</t>
  </si>
  <si>
    <t>EMP26-27EMP0817</t>
  </si>
  <si>
    <t>EMP26-27EMP0818</t>
  </si>
  <si>
    <t>EMP26-27EMP0819</t>
  </si>
  <si>
    <t>EMP26-27EMP0820</t>
  </si>
  <si>
    <t>EMP26-27EMP0821</t>
  </si>
  <si>
    <t>EMP26-27EMP0822</t>
  </si>
  <si>
    <t>EMP26-27EMP0823</t>
  </si>
  <si>
    <t>EMP26-27EMP0824</t>
  </si>
  <si>
    <t>EMP26-27EMP0825</t>
  </si>
  <si>
    <t>EMP26-27EMP0826</t>
  </si>
  <si>
    <t>EMP26-27EMP0827</t>
  </si>
  <si>
    <t>EMP26-27EMP0828</t>
  </si>
  <si>
    <t>EMP26-27EMP0829</t>
  </si>
  <si>
    <t>EMP26-27EMP0830</t>
  </si>
  <si>
    <t>EMP26-27EMP0831</t>
  </si>
  <si>
    <t>EMP26-27EMP0832</t>
  </si>
  <si>
    <t>EMP26-27EMP0833</t>
  </si>
  <si>
    <t>EMP26-27EMP0834</t>
  </si>
  <si>
    <t>EMP26-27EMP0835</t>
  </si>
  <si>
    <t>EMP26-27EMP0836</t>
  </si>
  <si>
    <t>EMP26-27EMP0837</t>
  </si>
  <si>
    <t>EMP26-27EMP0838</t>
  </si>
  <si>
    <t>EMP26-27EMP0839</t>
  </si>
  <si>
    <t>EMP26-27EMP0840</t>
  </si>
  <si>
    <t>EMP26-27EMP0841</t>
  </si>
  <si>
    <t>EMP26-27EMP0842</t>
  </si>
  <si>
    <t>EMP26-27EMP0843</t>
  </si>
  <si>
    <t>EMP26-27EMP0844</t>
  </si>
  <si>
    <t>EMP26-27EMP0845</t>
  </si>
  <si>
    <t>EMP26-27EMP0846</t>
  </si>
  <si>
    <t>EMP26-27EMP0847</t>
  </si>
  <si>
    <t>EMP26-27EMP0848</t>
  </si>
  <si>
    <t>EMP26-27EMP0849</t>
  </si>
  <si>
    <t>EMP26-27EMP0850</t>
  </si>
  <si>
    <t>EMP26-27EMP0851</t>
  </si>
  <si>
    <t>EMP26-27EMP0852</t>
  </si>
  <si>
    <t>EMP26-27EMP0853</t>
  </si>
  <si>
    <t>EMP26-27EMP0854</t>
  </si>
  <si>
    <t>EMP26-27EMP0855</t>
  </si>
  <si>
    <t>EMP26-27EMP0856</t>
  </si>
  <si>
    <t>EMP26-27EMP0857</t>
  </si>
  <si>
    <t>EMP26-27EMP0858</t>
  </si>
  <si>
    <t>EMP26-27EMP0859</t>
  </si>
  <si>
    <t>EMP26-27EMP0860</t>
  </si>
  <si>
    <t>EMP26-27EMP0861</t>
  </si>
  <si>
    <t>EMP26-27EMP0862</t>
  </si>
  <si>
    <t>EMP26-27EMP0863</t>
  </si>
  <si>
    <t>EMP26-27EMP0864</t>
  </si>
  <si>
    <t>EMP26-27EMP0865</t>
  </si>
  <si>
    <t>EMP26-27EMP0866</t>
  </si>
  <si>
    <t>EMP26-27EMP0867</t>
  </si>
  <si>
    <t>EMP26-27EMP0868</t>
  </si>
  <si>
    <t>EMP26-27EMP0869</t>
  </si>
  <si>
    <t>EMP26-27EMP0870</t>
  </si>
  <si>
    <t>EMP26-27EMP0871</t>
  </si>
  <si>
    <t>EMP26-27EMP0872</t>
  </si>
  <si>
    <t>EMP26-27EMP0873</t>
  </si>
  <si>
    <t>EMP26-27EMP0874</t>
  </si>
  <si>
    <t>EMP26-27EMP0875</t>
  </si>
  <si>
    <t>EMP26-27EMP0876</t>
  </si>
  <si>
    <t>EMP26-27EMP0877</t>
  </si>
  <si>
    <t>EMP26-27EMP0878</t>
  </si>
  <si>
    <t>EMP26-27EMP0879</t>
  </si>
  <si>
    <t>EMP26-27EMP0880</t>
  </si>
  <si>
    <t>EMP26-27EMP0881</t>
  </si>
  <si>
    <t>EMP26-27EMP0882</t>
  </si>
  <si>
    <t>EMP26-27EMP0883</t>
  </si>
  <si>
    <t>EMP26-27EMP0884</t>
  </si>
  <si>
    <t>EMP26-27EMP0885</t>
  </si>
  <si>
    <t>EMP26-27EMP0886</t>
  </si>
  <si>
    <t>EMP26-27EMP0887</t>
  </si>
  <si>
    <t>EMP26-27EMP0888</t>
  </si>
  <si>
    <t>EMP26-27EMP0889</t>
  </si>
  <si>
    <t>EMP26-27EMP0890</t>
  </si>
  <si>
    <t>EMP26-27EMP0891</t>
  </si>
  <si>
    <t>EMP26-27EMP0892</t>
  </si>
  <si>
    <t>EMP26-27EMP0893</t>
  </si>
  <si>
    <t>EMP26-27EMP0894</t>
  </si>
  <si>
    <t>EMP26-27EMP0895</t>
  </si>
  <si>
    <t>EMP26-27EMP0896</t>
  </si>
  <si>
    <t>EMP26-27EMP0897</t>
  </si>
  <si>
    <t>EMP26-27EMP0898</t>
  </si>
  <si>
    <t>EMP26-27EMP0899</t>
  </si>
  <si>
    <t>EMP26-27EMP0900</t>
  </si>
  <si>
    <t>EMP26-27EMP0901</t>
  </si>
  <si>
    <t>EMP26-27EMP0902</t>
  </si>
  <si>
    <t>EMP26-27EMP0903</t>
  </si>
  <si>
    <t>EMP26-27EMP0904</t>
  </si>
  <si>
    <t>EMP26-27EMP0905</t>
  </si>
  <si>
    <t>EMP26-27EMP0906</t>
  </si>
  <si>
    <t>EMP26-27EMP0907</t>
  </si>
  <si>
    <t>EMP26-27EMP0908</t>
  </si>
  <si>
    <t>EMP26-27EMP0909</t>
  </si>
  <si>
    <t>EMP26-27EMP0910</t>
  </si>
  <si>
    <t>EMP26-27EMP0911</t>
  </si>
  <si>
    <t>EMP26-27EMP0912</t>
  </si>
  <si>
    <t>EMP26-27EMP0913</t>
  </si>
  <si>
    <t>EMP26-27EMP0914</t>
  </si>
  <si>
    <t>EMP26-27EMP0915</t>
  </si>
  <si>
    <t>EMP26-27EMP0916</t>
  </si>
  <si>
    <t>EMP26-27EMP0917</t>
  </si>
  <si>
    <t>EMP26-27EMP0918</t>
  </si>
  <si>
    <t>EMP26-27EMP0919</t>
  </si>
  <si>
    <t>EMP26-27EMP0920</t>
  </si>
  <si>
    <t>EMP26-27EMP0921</t>
  </si>
  <si>
    <t>EMP26-27EMP0922</t>
  </si>
  <si>
    <t>EMP26-27EMP0923</t>
  </si>
  <si>
    <t>EMP26-27EMP0924</t>
  </si>
  <si>
    <t>EMP26-27EMP0925</t>
  </si>
  <si>
    <t>EMP26-27EMP0926</t>
  </si>
  <si>
    <t>EMP26-27EMP0927</t>
  </si>
  <si>
    <t>EMP26-27EMP0928</t>
  </si>
  <si>
    <t>EMP26-27EMP0929</t>
  </si>
  <si>
    <t>EMP26-27EMP0930</t>
  </si>
  <si>
    <t>EMP26-27EMP0931</t>
  </si>
  <si>
    <t>EMP26-27EMP0932</t>
  </si>
  <si>
    <t>EMP26-27EMP0933</t>
  </si>
  <si>
    <t>EMP26-27EMP0934</t>
  </si>
  <si>
    <t>EMP26-27EMP0935</t>
  </si>
  <si>
    <t>EMP26-27EMP0936</t>
  </si>
  <si>
    <t>EMP26-27EMP0937</t>
  </si>
  <si>
    <t>EMP26-27EMP0938</t>
  </si>
  <si>
    <t>EMP26-27EMP0939</t>
  </si>
  <si>
    <t>EMP26-27EMP0940</t>
  </si>
  <si>
    <t>EMP26-27EMP0941</t>
  </si>
  <si>
    <t>EMP26-27EMP0942</t>
  </si>
  <si>
    <t>EMP26-27EMP0943</t>
  </si>
  <si>
    <t>EMP26-27EMP0944</t>
  </si>
  <si>
    <t>EMP26-27EMP0945</t>
  </si>
  <si>
    <t>EMP26-27EMP0946</t>
  </si>
  <si>
    <t>EMP26-27EMP0947</t>
  </si>
  <si>
    <t>EMP26-27EMP0948</t>
  </si>
  <si>
    <t>EMP26-27EMP0949</t>
  </si>
  <si>
    <t>EMP26-27EMP0950</t>
  </si>
  <si>
    <t>EMP26-27EMP0951</t>
  </si>
  <si>
    <t>EMP26-27EMP0952</t>
  </si>
  <si>
    <t>EMP26-27EMP0953</t>
  </si>
  <si>
    <t>EMP26-27EMP0954</t>
  </si>
  <si>
    <t>EMP26-27EMP0955</t>
  </si>
  <si>
    <t>EMP26-27EMP0956</t>
  </si>
  <si>
    <t>EMP26-27EMP0957</t>
  </si>
  <si>
    <t>EMP26-27EMP0958</t>
  </si>
  <si>
    <t>EMP26-27EMP0959</t>
  </si>
  <si>
    <t>EMP26-27EMP0960</t>
  </si>
  <si>
    <t>EMP26-27EMP0961</t>
  </si>
  <si>
    <t>EMP26-27EMP0962</t>
  </si>
  <si>
    <t>EMP26-27EMP0963</t>
  </si>
  <si>
    <t>EMP26-27EMP0964</t>
  </si>
  <si>
    <t>EMP26-27EMP0965</t>
  </si>
  <si>
    <t>EMP26-27EMP0966</t>
  </si>
  <si>
    <t>EMP26-27EMP0967</t>
  </si>
  <si>
    <t>EMP26-27EMP0968</t>
  </si>
  <si>
    <t>EMP26-27EMP0969</t>
  </si>
  <si>
    <t>EMP26-27EMP0970</t>
  </si>
  <si>
    <t>EMP26-27EMP0971</t>
  </si>
  <si>
    <t>EMP26-27EMP0972</t>
  </si>
  <si>
    <t>EMP26-27EMP0973</t>
  </si>
  <si>
    <t>EMP26-27EMP0974</t>
  </si>
  <si>
    <t>EMP26-27EMP0975</t>
  </si>
  <si>
    <t>EMP26-27EMP0976</t>
  </si>
  <si>
    <t>EMP26-27EMP0977</t>
  </si>
  <si>
    <t>EMP26-27EMP0978</t>
  </si>
  <si>
    <t>EMP26-27EMP0979</t>
  </si>
  <si>
    <t>EMP26-27EMP0980</t>
  </si>
  <si>
    <t>EMP26-27EMP0981</t>
  </si>
  <si>
    <t>EMP26-27EMP0982</t>
  </si>
  <si>
    <t>EMP26-27EMP0983</t>
  </si>
  <si>
    <t>EMP26-27EMP0984</t>
  </si>
  <si>
    <t>EMP26-27EMP0985</t>
  </si>
  <si>
    <t>EMP26-27EMP0986</t>
  </si>
  <si>
    <t>EMP26-27EMP0987</t>
  </si>
  <si>
    <t>EMP26-27EMP0988</t>
  </si>
  <si>
    <t>EMP26-27EMP0989</t>
  </si>
  <si>
    <t>EMP26-27EMP0990</t>
  </si>
  <si>
    <t>EMP26-27EMP0991</t>
  </si>
  <si>
    <t>EMP26-27EMP0992</t>
  </si>
  <si>
    <t>EMP26-27EMP0993</t>
  </si>
  <si>
    <t>EMP26-27EMP0994</t>
  </si>
  <si>
    <t>EMP26-27EMP0995</t>
  </si>
  <si>
    <t>EMP26-27EMP0996</t>
  </si>
  <si>
    <t>EMP26-27EMP0997</t>
  </si>
  <si>
    <t>EMP26-27EMP0998</t>
  </si>
  <si>
    <t>EMP26-27EMP0999</t>
  </si>
  <si>
    <t>EMP26-27EMP1000</t>
  </si>
  <si>
    <t>QUERY DATA - REZ MY TRIP</t>
  </si>
  <si>
    <t>QUERY VALUE DATA - REZ MY TRIP</t>
  </si>
  <si>
    <t>Count of Query No.</t>
  </si>
  <si>
    <t>Sum of Total Query Amount</t>
  </si>
  <si>
    <t>Grand Total</t>
  </si>
  <si>
    <t/>
  </si>
  <si>
    <t>(blank)</t>
  </si>
  <si>
    <t xml:space="preserve"> Total</t>
  </si>
  <si>
    <t>EMP26-27EMP0001 Total</t>
  </si>
  <si>
    <t>EMP26-27EMP0002 Total</t>
  </si>
  <si>
    <t>(blank) Total</t>
  </si>
  <si>
    <t>EMP26-27EMP0003 Total</t>
  </si>
  <si>
    <t>EMP26-27EMP0004 Total</t>
  </si>
  <si>
    <t>EMP26-27EMP0005 Total</t>
  </si>
  <si>
    <t>EMP26-27EMP0006 Total</t>
  </si>
  <si>
    <t>EMP26-27EMP0007 Total</t>
  </si>
  <si>
    <t>EMP26-27EMP0008 Total</t>
  </si>
  <si>
    <t>EMP26-27EMP0009 Total</t>
  </si>
  <si>
    <t>EMP26-27EMP0010 Total</t>
  </si>
  <si>
    <t>EMP26-27EMP0011 Total</t>
  </si>
  <si>
    <t>EMP26-27EMP0012 Total</t>
  </si>
  <si>
    <t>EMP26-27EMP0013 Total</t>
  </si>
  <si>
    <t>EMP26-27EMP0014 Total</t>
  </si>
  <si>
    <t>EMP26-27EMP0015 Total</t>
  </si>
  <si>
    <t>EMP26-27EMP0016 Total</t>
  </si>
  <si>
    <t>EMP26-27EMP0017 Total</t>
  </si>
  <si>
    <t>EMP26-27EMP0018 Total</t>
  </si>
  <si>
    <t>EMP26-27EMP0019 Total</t>
  </si>
  <si>
    <t>EMP26-27EMP0020 Total</t>
  </si>
  <si>
    <t>EMP26-27EMP0021 Total</t>
  </si>
  <si>
    <t>EMP26-27EMP0022 Total</t>
  </si>
  <si>
    <t>EMP26-27EMP0023 Total</t>
  </si>
  <si>
    <t>EMP26-27EMP0024 Total</t>
  </si>
  <si>
    <t>EMP26-27EMP0025 Total</t>
  </si>
  <si>
    <t>EMP26-27EMP0026 Total</t>
  </si>
  <si>
    <t>EMP26-27EMP0027 Total</t>
  </si>
  <si>
    <t>EMP26-27EMP0028 Total</t>
  </si>
  <si>
    <t>EMP26-27EMP0029 Total</t>
  </si>
  <si>
    <t>EMP26-27EMP0030 Total</t>
  </si>
  <si>
    <t>EMP26-27EMP0031 Total</t>
  </si>
  <si>
    <t>EMP26-27EMP0032 Total</t>
  </si>
  <si>
    <t>EMP26-27EMP0033 Total</t>
  </si>
  <si>
    <t>EMP26-27EMP0034 Total</t>
  </si>
  <si>
    <t>EMP26-27EMP0035 Total</t>
  </si>
  <si>
    <t>EMP26-27EMP0036 Total</t>
  </si>
  <si>
    <t>EMP26-27EMP0037 Total</t>
  </si>
  <si>
    <t>EMP26-27EMP0038 Total</t>
  </si>
  <si>
    <t>EMP26-27EMP0039 Total</t>
  </si>
  <si>
    <t>EMP26-27EMP0040 Total</t>
  </si>
  <si>
    <t>EMP26-27EMP0041 Total</t>
  </si>
  <si>
    <t>EMP26-27EMP0042 Total</t>
  </si>
  <si>
    <t>EMP26-27EMP0043 Total</t>
  </si>
  <si>
    <t>EMP26-27EMP0044 Total</t>
  </si>
  <si>
    <t>EMP26-27EMP0045 Total</t>
  </si>
  <si>
    <t>EMP26-27EMP0046 Total</t>
  </si>
  <si>
    <t>EMP26-27EMP0047 Total</t>
  </si>
  <si>
    <t>EMP26-27EMP0048 Total</t>
  </si>
  <si>
    <t>EMP26-27EMP0049 Total</t>
  </si>
  <si>
    <t>EMP26-27EMP0050 Total</t>
  </si>
  <si>
    <t>EMP26-27EMP0051 Total</t>
  </si>
  <si>
    <t>EMP26-27EMP0052 Total</t>
  </si>
  <si>
    <t>EMP26-27EMP0053 Total</t>
  </si>
  <si>
    <t>EMP26-27EMP0054 Total</t>
  </si>
  <si>
    <t>EMP26-27EMP0055 Total</t>
  </si>
  <si>
    <t>EMP26-27EMP0056 Total</t>
  </si>
  <si>
    <t>EMP26-27EMP0057 Total</t>
  </si>
  <si>
    <t>EMP26-27EMP0058 Total</t>
  </si>
  <si>
    <t>EMP26-27EMP0059 Total</t>
  </si>
  <si>
    <t>EMP26-27EMP0060 Total</t>
  </si>
  <si>
    <t>EMP26-27EMP0061 Total</t>
  </si>
  <si>
    <t>EMP26-27EMP0062 Total</t>
  </si>
  <si>
    <t>EMP26-27EMP0063 Total</t>
  </si>
  <si>
    <t>EMP26-27EMP0064 Total</t>
  </si>
  <si>
    <t>EMP26-27EMP0065 Total</t>
  </si>
  <si>
    <t>EMP26-27EMP0066 Total</t>
  </si>
  <si>
    <t>EMP26-27EMP0067 Total</t>
  </si>
  <si>
    <t>EMP26-27EMP0068 Total</t>
  </si>
  <si>
    <t>EMP26-27EMP0069 Total</t>
  </si>
  <si>
    <t>EMP26-27EMP0070 Total</t>
  </si>
  <si>
    <t>EMP26-27EMP0071 Total</t>
  </si>
  <si>
    <t>EMP26-27EMP0072 Total</t>
  </si>
  <si>
    <t>EMP26-27EMP0073 Total</t>
  </si>
  <si>
    <t>EMP26-27EMP0074 Total</t>
  </si>
  <si>
    <t>EMP26-27EMP0075 Total</t>
  </si>
  <si>
    <t>EMP26-27EMP0076 Total</t>
  </si>
  <si>
    <t>EMP26-27EMP0077 Total</t>
  </si>
  <si>
    <t>EMP26-27EMP0078 Total</t>
  </si>
  <si>
    <t>EMP26-27EMP0079 Total</t>
  </si>
  <si>
    <t>EMP26-27EMP0080 Total</t>
  </si>
  <si>
    <t>EMP26-27EMP0081 Total</t>
  </si>
  <si>
    <t>EMP26-27EMP0082 Total</t>
  </si>
  <si>
    <t>EMP26-27EMP0083 Total</t>
  </si>
  <si>
    <t>EMP26-27EMP0084 Total</t>
  </si>
  <si>
    <t>EMP26-27EMP0085 Total</t>
  </si>
  <si>
    <t>EMP26-27EMP0086 Total</t>
  </si>
  <si>
    <t>EMP26-27EMP0087 Total</t>
  </si>
  <si>
    <t>EMP26-27EMP0088 Total</t>
  </si>
  <si>
    <t>EMP26-27EMP0089 Total</t>
  </si>
  <si>
    <t>EMP26-27EMP0090 Total</t>
  </si>
  <si>
    <t>EMP26-27EMP0091 Total</t>
  </si>
  <si>
    <t>EMP26-27EMP0092 Total</t>
  </si>
  <si>
    <t>EMP26-27EMP0093 Total</t>
  </si>
  <si>
    <t>EMP26-27EMP0094 Total</t>
  </si>
  <si>
    <t>EMP26-27EMP0095 Total</t>
  </si>
  <si>
    <t>EMP26-27EMP0096 Total</t>
  </si>
  <si>
    <t>EMP26-27EMP0097 Total</t>
  </si>
  <si>
    <t>EMP26-27EMP0098 Total</t>
  </si>
  <si>
    <t>EMP26-27EMP0099 Total</t>
  </si>
  <si>
    <t>EMP26-27EMP0100 Total</t>
  </si>
  <si>
    <t>EMP26-27EMP0101 Total</t>
  </si>
  <si>
    <t>EMP26-27EMP0102 Total</t>
  </si>
  <si>
    <t>EMP26-27EMP0103 Total</t>
  </si>
  <si>
    <t>EMP26-27EMP0104 Total</t>
  </si>
  <si>
    <t>EMP26-27EMP0105 Total</t>
  </si>
  <si>
    <t>EMP26-27EMP0106 Total</t>
  </si>
  <si>
    <t>EMP26-27EMP0107 Total</t>
  </si>
  <si>
    <t>EMP26-27EMP0108 Total</t>
  </si>
  <si>
    <t>EMP26-27EMP0109 Total</t>
  </si>
  <si>
    <t>EMP26-27EMP0110 Total</t>
  </si>
  <si>
    <t>EMP26-27EMP0111 Total</t>
  </si>
  <si>
    <t>EMP26-27EMP0112 Total</t>
  </si>
  <si>
    <t>EMP26-27EMP0113 Total</t>
  </si>
  <si>
    <t>EMP26-27EMP0114 Total</t>
  </si>
  <si>
    <t>EMP26-27EMP0115 Total</t>
  </si>
  <si>
    <t>EMP26-27EMP0116 Total</t>
  </si>
  <si>
    <t>EMP26-27EMP0117 Total</t>
  </si>
  <si>
    <t>EMP26-27EMP0118 Total</t>
  </si>
  <si>
    <t>EMP26-27EMP0119 Total</t>
  </si>
  <si>
    <t>EMP26-27EMP0120 Total</t>
  </si>
  <si>
    <t>EMP26-27EMP0121 Total</t>
  </si>
  <si>
    <t>EMP26-27EMP0122 Total</t>
  </si>
  <si>
    <t>EMP26-27EMP0123 Total</t>
  </si>
  <si>
    <t>EMP26-27EMP0124 Total</t>
  </si>
  <si>
    <t>EMP26-27EMP0125 Total</t>
  </si>
  <si>
    <t>EMP26-27EMP0126 Total</t>
  </si>
  <si>
    <t>EMP26-27EMP0127 Total</t>
  </si>
  <si>
    <t>EMP26-27EMP0128 Total</t>
  </si>
  <si>
    <t>EMP26-27EMP0129 Total</t>
  </si>
  <si>
    <t>EMP26-27EMP0130 Total</t>
  </si>
  <si>
    <t>EMP26-27EMP0131 Total</t>
  </si>
  <si>
    <t>EMP26-27EMP0132 Total</t>
  </si>
  <si>
    <t>EMP26-27EMP0133 Total</t>
  </si>
  <si>
    <t>EMP26-27EMP0134 Total</t>
  </si>
  <si>
    <t>EMP26-27EMP0135 Total</t>
  </si>
  <si>
    <t>EMP26-27EMP0136 Total</t>
  </si>
  <si>
    <t>EMP26-27EMP0137 Total</t>
  </si>
  <si>
    <t>EMP26-27EMP0138 Total</t>
  </si>
  <si>
    <t>EMP26-27EMP0139 Total</t>
  </si>
  <si>
    <t>EMP26-27EMP0140 Total</t>
  </si>
  <si>
    <t>EMP26-27EMP0141 Total</t>
  </si>
  <si>
    <t>EMP26-27EMP0142 Total</t>
  </si>
  <si>
    <t>EMP26-27EMP0143 Total</t>
  </si>
  <si>
    <t>EMP26-27EMP0144 Total</t>
  </si>
  <si>
    <t>EMP26-27EMP0145 Total</t>
  </si>
  <si>
    <t>EMP26-27EMP0146 Total</t>
  </si>
  <si>
    <t>EMP26-27EMP0147 Total</t>
  </si>
  <si>
    <t>EMP26-27EMP0148 Total</t>
  </si>
  <si>
    <t>EMP26-27EMP0149 Total</t>
  </si>
  <si>
    <t>EMP26-27EMP0150 Total</t>
  </si>
  <si>
    <t>EMP26-27EMP0151 Total</t>
  </si>
  <si>
    <t>EMP26-27EMP0152 Total</t>
  </si>
  <si>
    <t>EMP26-27EMP0153 Total</t>
  </si>
  <si>
    <t>EMP26-27EMP0154 Total</t>
  </si>
  <si>
    <t>EMP26-27EMP0155 Total</t>
  </si>
  <si>
    <t>EMP26-27EMP0156 Total</t>
  </si>
  <si>
    <t>EMP26-27EMP0157 Total</t>
  </si>
  <si>
    <t>EMP26-27EMP0158 Total</t>
  </si>
  <si>
    <t>EMP26-27EMP0159 Total</t>
  </si>
  <si>
    <t>EMP26-27EMP0160 Total</t>
  </si>
  <si>
    <t>EMP26-27EMP0161 Total</t>
  </si>
  <si>
    <t>EMP26-27EMP0162 Total</t>
  </si>
  <si>
    <t>EMP26-27EMP0163 Total</t>
  </si>
  <si>
    <t>EMP26-27EMP0164 Total</t>
  </si>
  <si>
    <t>EMP26-27EMP0165 Total</t>
  </si>
  <si>
    <t>EMP26-27EMP0166 Total</t>
  </si>
  <si>
    <t>EMP26-27EMP0167 Total</t>
  </si>
  <si>
    <t>EMP26-27EMP0168 Total</t>
  </si>
  <si>
    <t>EMP26-27EMP0169 Total</t>
  </si>
  <si>
    <t>EMP26-27EMP0170 Total</t>
  </si>
  <si>
    <t>EMP26-27EMP0171 Total</t>
  </si>
  <si>
    <t>EMP26-27EMP0172 Total</t>
  </si>
  <si>
    <t>EMP26-27EMP0173 Total</t>
  </si>
  <si>
    <t>EMP26-27EMP0174 Total</t>
  </si>
  <si>
    <t>EMP26-27EMP0175 Total</t>
  </si>
  <si>
    <t>EMP26-27EMP0176 Total</t>
  </si>
  <si>
    <t>EMP26-27EMP0177 Total</t>
  </si>
  <si>
    <t>EMP26-27EMP0178 Total</t>
  </si>
  <si>
    <t>EMP26-27EMP0179 Total</t>
  </si>
  <si>
    <t>EMP26-27EMP0180 Total</t>
  </si>
  <si>
    <t>EMP26-27EMP0181 Total</t>
  </si>
  <si>
    <t>EMP26-27EMP0182 Total</t>
  </si>
  <si>
    <t>EMP26-27EMP0183 Total</t>
  </si>
  <si>
    <t>EMP26-27EMP0184 Total</t>
  </si>
  <si>
    <t>EMP26-27EMP0185 Total</t>
  </si>
  <si>
    <t>EMP26-27EMP0186 Total</t>
  </si>
  <si>
    <t>EMP26-27EMP0187 Total</t>
  </si>
  <si>
    <t>EMP26-27EMP0188 Total</t>
  </si>
  <si>
    <t>EMP26-27EMP0189 Total</t>
  </si>
  <si>
    <t>EMP26-27EMP0190 Total</t>
  </si>
  <si>
    <t>EMP26-27EMP0191 Total</t>
  </si>
  <si>
    <t>EMP26-27EMP0192 Total</t>
  </si>
  <si>
    <t>EMP26-27EMP0193 Total</t>
  </si>
  <si>
    <t>EMP26-27EMP0194 Total</t>
  </si>
  <si>
    <t>EMP26-27EMP0195 Total</t>
  </si>
  <si>
    <t>EMP26-27EMP0196 Total</t>
  </si>
  <si>
    <t>EMP26-27EMP0197 Total</t>
  </si>
  <si>
    <t>EMP26-27EMP0198 Total</t>
  </si>
  <si>
    <t>EMP26-27EMP0199 Total</t>
  </si>
  <si>
    <t>EMP26-27EMP0200 Total</t>
  </si>
  <si>
    <t>EMP26-27EMP0201 Total</t>
  </si>
  <si>
    <t>EMP26-27EMP0202 Total</t>
  </si>
  <si>
    <t>EMP26-27EMP0203 Total</t>
  </si>
  <si>
    <t>EMP26-27EMP0204 Total</t>
  </si>
  <si>
    <t>EMP26-27EMP0205 Total</t>
  </si>
  <si>
    <t>EMP26-27EMP0206 Total</t>
  </si>
  <si>
    <t>EMP26-27EMP0207 Total</t>
  </si>
  <si>
    <t>EMP26-27EMP0208 Total</t>
  </si>
  <si>
    <t>EMP26-27EMP0209 Total</t>
  </si>
  <si>
    <t>EMP26-27EMP0210 Total</t>
  </si>
  <si>
    <t>EMP26-27EMP0211 Total</t>
  </si>
  <si>
    <t>EMP26-27EMP0212 Total</t>
  </si>
  <si>
    <t>EMP26-27EMP0213 Total</t>
  </si>
  <si>
    <t>EMP26-27EMP0214 Total</t>
  </si>
  <si>
    <t>EMP26-27EMP0215 Total</t>
  </si>
  <si>
    <t>EMP26-27EMP0216 Total</t>
  </si>
  <si>
    <t>EMP26-27EMP0217 Total</t>
  </si>
  <si>
    <t>EMP26-27EMP0218 Total</t>
  </si>
  <si>
    <t>EMP26-27EMP0219 Total</t>
  </si>
  <si>
    <t>EMP26-27EMP0220 Total</t>
  </si>
  <si>
    <t>EMP26-27EMP0221 Total</t>
  </si>
  <si>
    <t>EMP26-27EMP0222 Total</t>
  </si>
  <si>
    <t>EMP26-27EMP0223 Total</t>
  </si>
  <si>
    <t>EMP26-27EMP0224 Total</t>
  </si>
  <si>
    <t>EMP26-27EMP0225 Total</t>
  </si>
  <si>
    <t>EMP26-27EMP0226 Total</t>
  </si>
  <si>
    <t>EMP26-27EMP0227 Total</t>
  </si>
  <si>
    <t>EMP26-27EMP0228 Total</t>
  </si>
  <si>
    <t>EMP26-27EMP0229 Total</t>
  </si>
  <si>
    <t>EMP26-27EMP0230 Total</t>
  </si>
  <si>
    <t>EMP26-27EMP0231 Total</t>
  </si>
  <si>
    <t>EMP26-27EMP0232 Total</t>
  </si>
  <si>
    <t>EMP26-27EMP0233 Total</t>
  </si>
  <si>
    <t>EMP26-27EMP0234 Total</t>
  </si>
  <si>
    <t>EMP26-27EMP0235 Total</t>
  </si>
  <si>
    <t>EMP26-27EMP0236 Total</t>
  </si>
  <si>
    <t>EMP26-27EMP0237 Total</t>
  </si>
  <si>
    <t>EMP26-27EMP0238 Total</t>
  </si>
  <si>
    <t>EMP26-27EMP0239 Total</t>
  </si>
  <si>
    <t>EMP26-27EMP0240 Total</t>
  </si>
  <si>
    <t>EMP26-27EMP0241 Total</t>
  </si>
  <si>
    <t>EMP26-27EMP0242 Total</t>
  </si>
  <si>
    <t>EMP26-27EMP0243 Total</t>
  </si>
  <si>
    <t>EMP26-27EMP0244 Total</t>
  </si>
  <si>
    <t>EMP26-27EMP0245 Total</t>
  </si>
  <si>
    <t>EMP26-27EMP0246 Total</t>
  </si>
  <si>
    <t>EMP26-27EMP0247 Total</t>
  </si>
  <si>
    <t>EMP26-27EMP0248 Total</t>
  </si>
  <si>
    <t>EMP26-27EMP0249 Total</t>
  </si>
  <si>
    <t>EMP26-27EMP0250 Total</t>
  </si>
  <si>
    <t>EMP26-27EMP0251 Total</t>
  </si>
  <si>
    <t>EMP26-27EMP0252 Total</t>
  </si>
  <si>
    <t>EMP26-27EMP0253 Total</t>
  </si>
  <si>
    <t>EMP26-27EMP0254 Total</t>
  </si>
  <si>
    <t>EMP26-27EMP0255 Total</t>
  </si>
  <si>
    <t>EMP26-27EMP0256 Total</t>
  </si>
  <si>
    <t>EMP26-27EMP0257 Total</t>
  </si>
  <si>
    <t>EMP26-27EMP0258 Total</t>
  </si>
  <si>
    <t>EMP26-27EMP0259 Total</t>
  </si>
  <si>
    <t>EMP26-27EMP0260 Total</t>
  </si>
  <si>
    <t>EMP26-27EMP0261 Total</t>
  </si>
  <si>
    <t>EMP26-27EMP0262 Total</t>
  </si>
  <si>
    <t>EMP26-27EMP0263 Total</t>
  </si>
  <si>
    <t>EMP26-27EMP0264 Total</t>
  </si>
  <si>
    <t>EMP26-27EMP0265 Total</t>
  </si>
  <si>
    <t>EMP26-27EMP0266 Total</t>
  </si>
  <si>
    <t>EMP26-27EMP0267 Total</t>
  </si>
  <si>
    <t>EMP26-27EMP0268 Total</t>
  </si>
  <si>
    <t>EMP26-27EMP0269 Total</t>
  </si>
  <si>
    <t>EMP26-27EMP0270 Total</t>
  </si>
  <si>
    <t>EMP26-27EMP0271 Total</t>
  </si>
  <si>
    <t>EMP26-27EMP0272 Total</t>
  </si>
  <si>
    <t>EMP26-27EMP0273 Total</t>
  </si>
  <si>
    <t>EMP26-27EMP0274 Total</t>
  </si>
  <si>
    <t>EMP26-27EMP0275 Total</t>
  </si>
  <si>
    <t>EMP26-27EMP0276 Total</t>
  </si>
  <si>
    <t>EMP26-27EMP0277 Total</t>
  </si>
  <si>
    <t>EMP26-27EMP0278 Total</t>
  </si>
  <si>
    <t>EMP26-27EMP0279 Total</t>
  </si>
  <si>
    <t>EMP26-27EMP0280 Total</t>
  </si>
  <si>
    <t>EMP26-27EMP0281 Total</t>
  </si>
  <si>
    <t>EMP26-27EMP0282 Total</t>
  </si>
  <si>
    <t>EMP26-27EMP0283 Total</t>
  </si>
  <si>
    <t>EMP26-27EMP0284 Total</t>
  </si>
  <si>
    <t>EMP26-27EMP0285 Total</t>
  </si>
  <si>
    <t>EMP26-27EMP0286 Total</t>
  </si>
  <si>
    <t>EMP26-27EMP0287 Total</t>
  </si>
  <si>
    <t>EMP26-27EMP0288 Total</t>
  </si>
  <si>
    <t>EMP26-27EMP0289 Total</t>
  </si>
  <si>
    <t>EMP26-27EMP0290 Total</t>
  </si>
  <si>
    <t>EMP26-27EMP0291 Total</t>
  </si>
  <si>
    <t>EMP26-27EMP0292 Total</t>
  </si>
  <si>
    <t>EMP26-27EMP0293 Total</t>
  </si>
  <si>
    <t>EMP26-27EMP0294 Total</t>
  </si>
  <si>
    <t>EMP26-27EMP0295 Total</t>
  </si>
  <si>
    <t>EMP26-27EMP0296 Total</t>
  </si>
  <si>
    <t>EMP26-27EMP0297 Total</t>
  </si>
  <si>
    <t>EMP26-27EMP0298 Total</t>
  </si>
  <si>
    <t>EMP26-27EMP0299 Total</t>
  </si>
  <si>
    <t>EMP26-27EMP0300 Total</t>
  </si>
  <si>
    <t>EMP26-27EMP0301 Total</t>
  </si>
  <si>
    <t>EMP26-27EMP0302 Total</t>
  </si>
  <si>
    <t>EMP26-27EMP0303 Total</t>
  </si>
  <si>
    <t>EMP26-27EMP0304 Total</t>
  </si>
  <si>
    <t>EMP26-27EMP0305 Total</t>
  </si>
  <si>
    <t>EMP26-27EMP0306 Total</t>
  </si>
  <si>
    <t>EMP26-27EMP0307 Total</t>
  </si>
  <si>
    <t>EMP26-27EMP0308 Total</t>
  </si>
  <si>
    <t>EMP26-27EMP0309 Total</t>
  </si>
  <si>
    <t>EMP26-27EMP0310 Total</t>
  </si>
  <si>
    <t>EMP26-27EMP0311 Total</t>
  </si>
  <si>
    <t>EMP26-27EMP0312 Total</t>
  </si>
  <si>
    <t>EMP26-27EMP0313 Total</t>
  </si>
  <si>
    <t>EMP26-27EMP0314 Total</t>
  </si>
  <si>
    <t>EMP26-27EMP0315 Total</t>
  </si>
  <si>
    <t>EMP26-27EMP0316 Total</t>
  </si>
  <si>
    <t>EMP26-27EMP0317 Total</t>
  </si>
  <si>
    <t>EMP26-27EMP0318 Total</t>
  </si>
  <si>
    <t>EMP26-27EMP0319 Total</t>
  </si>
  <si>
    <t>EMP26-27EMP0320 Total</t>
  </si>
  <si>
    <t>EMP26-27EMP0321 Total</t>
  </si>
  <si>
    <t>EMP26-27EMP0322 Total</t>
  </si>
  <si>
    <t>EMP26-27EMP0323 Total</t>
  </si>
  <si>
    <t>EMP26-27EMP0324 Total</t>
  </si>
  <si>
    <t>EMP26-27EMP0325 Total</t>
  </si>
  <si>
    <t>EMP26-27EMP0326 Total</t>
  </si>
  <si>
    <t>EMP26-27EMP0327 Total</t>
  </si>
  <si>
    <t>EMP26-27EMP0328 Total</t>
  </si>
  <si>
    <t>EMP26-27EMP0329 Total</t>
  </si>
  <si>
    <t>EMP26-27EMP0330 Total</t>
  </si>
  <si>
    <t>EMP26-27EMP0331 Total</t>
  </si>
  <si>
    <t>EMP26-27EMP0332 Total</t>
  </si>
  <si>
    <t>EMP26-27EMP0333 Total</t>
  </si>
  <si>
    <t>EMP26-27EMP0334 Total</t>
  </si>
  <si>
    <t>EMP26-27EMP0335 Total</t>
  </si>
  <si>
    <t>EMP26-27EMP0336 Total</t>
  </si>
  <si>
    <t>EMP26-27EMP0337 Total</t>
  </si>
  <si>
    <t>EMP26-27EMP0338 Total</t>
  </si>
  <si>
    <t>EMP26-27EMP0339 Total</t>
  </si>
  <si>
    <t>EMP26-27EMP0340 Total</t>
  </si>
  <si>
    <t>EMP26-27EMP0341 Total</t>
  </si>
  <si>
    <t>EMP26-27EMP0342 Total</t>
  </si>
  <si>
    <t>EMP26-27EMP0343 Total</t>
  </si>
  <si>
    <t>EMP26-27EMP0344 Total</t>
  </si>
  <si>
    <t>EMP26-27EMP0345 Total</t>
  </si>
  <si>
    <t>EMP26-27EMP0346 Total</t>
  </si>
  <si>
    <t>EMP26-27EMP0347 Total</t>
  </si>
  <si>
    <t>EMP26-27EMP0348 Total</t>
  </si>
  <si>
    <t>EMP26-27EMP0349 Total</t>
  </si>
  <si>
    <t>EMP26-27EMP0350 Total</t>
  </si>
  <si>
    <t>EMP26-27EMP0351 Total</t>
  </si>
  <si>
    <t>EMP26-27EMP0352 Total</t>
  </si>
  <si>
    <t>EMP26-27EMP0353 Total</t>
  </si>
  <si>
    <t>EMP26-27EMP0354 Total</t>
  </si>
  <si>
    <t>EMP26-27EMP0355 Total</t>
  </si>
  <si>
    <t>EMP26-27EMP0356 Total</t>
  </si>
  <si>
    <t>EMP26-27EMP0357 Total</t>
  </si>
  <si>
    <t>EMP26-27EMP0358 Total</t>
  </si>
  <si>
    <t>EMP26-27EMP0359 Total</t>
  </si>
  <si>
    <t>EMP26-27EMP0360 Total</t>
  </si>
  <si>
    <t>EMP26-27EMP0361 Total</t>
  </si>
  <si>
    <t>EMP26-27EMP0362 Total</t>
  </si>
  <si>
    <t>EMP26-27EMP0363 Total</t>
  </si>
  <si>
    <t>EMP26-27EMP0364 Total</t>
  </si>
  <si>
    <t>EMP26-27EMP0365 Total</t>
  </si>
  <si>
    <t>EMP26-27EMP0366 Total</t>
  </si>
  <si>
    <t>EMP26-27EMP0367 Total</t>
  </si>
  <si>
    <t>EMP26-27EMP0368 Total</t>
  </si>
  <si>
    <t>EMP26-27EMP0369 Total</t>
  </si>
  <si>
    <t>EMP26-27EMP0370 Total</t>
  </si>
  <si>
    <t>EMP26-27EMP0371 Total</t>
  </si>
  <si>
    <t>EMP26-27EMP0372 Total</t>
  </si>
  <si>
    <t>EMP26-27EMP0373 Total</t>
  </si>
  <si>
    <t>EMP26-27EMP0374 Total</t>
  </si>
  <si>
    <t>EMP26-27EMP0375 Total</t>
  </si>
  <si>
    <t>EMP26-27EMP0376 Total</t>
  </si>
  <si>
    <t>EMP26-27EMP0377 Total</t>
  </si>
  <si>
    <t>EMP26-27EMP0378 Total</t>
  </si>
  <si>
    <t>EMP26-27EMP0379 Total</t>
  </si>
  <si>
    <t>EMP26-27EMP0380 Total</t>
  </si>
  <si>
    <t>EMP26-27EMP0381 Total</t>
  </si>
  <si>
    <t>EMP26-27EMP0382 Total</t>
  </si>
  <si>
    <t>EMP26-27EMP0383 Total</t>
  </si>
  <si>
    <t>EMP26-27EMP0384 Total</t>
  </si>
  <si>
    <t>EMP26-27EMP0385 Total</t>
  </si>
  <si>
    <t>EMP26-27EMP0386 Total</t>
  </si>
  <si>
    <t>EMP26-27EMP0387 Total</t>
  </si>
  <si>
    <t>EMP26-27EMP0388 Total</t>
  </si>
  <si>
    <t>EMP26-27EMP0389 Total</t>
  </si>
  <si>
    <t>EMP26-27EMP0390 Total</t>
  </si>
  <si>
    <t>EMP26-27EMP0391 Total</t>
  </si>
  <si>
    <t>EMP26-27EMP0392 Total</t>
  </si>
  <si>
    <t>EMP26-27EMP0393 Total</t>
  </si>
  <si>
    <t>EMP26-27EMP0394 Total</t>
  </si>
  <si>
    <t>EMP26-27EMP0395 Total</t>
  </si>
  <si>
    <t>EMP26-27EMP0396 Total</t>
  </si>
  <si>
    <t>EMP26-27EMP0397 Total</t>
  </si>
  <si>
    <t>EMP26-27EMP0398 Total</t>
  </si>
  <si>
    <t>EMP26-27EMP0399 Total</t>
  </si>
  <si>
    <t>EMP26-27EMP0400 Total</t>
  </si>
  <si>
    <t>EMP26-27EMP0401 Total</t>
  </si>
  <si>
    <t>EMP26-27EMP0402 Total</t>
  </si>
  <si>
    <t>EMP26-27EMP0403 Total</t>
  </si>
  <si>
    <t>EMP26-27EMP0404 Total</t>
  </si>
  <si>
    <t>EMP26-27EMP0405 Total</t>
  </si>
  <si>
    <t>EMP26-27EMP0406 Total</t>
  </si>
  <si>
    <t>EMP26-27EMP0407 Total</t>
  </si>
  <si>
    <t>EMP26-27EMP0408 Total</t>
  </si>
  <si>
    <t>EMP26-27EMP0409 Total</t>
  </si>
  <si>
    <t>EMP26-27EMP0410 Total</t>
  </si>
  <si>
    <t>EMP26-27EMP0411 Total</t>
  </si>
  <si>
    <t>EMP26-27EMP0412 Total</t>
  </si>
  <si>
    <t>EMP26-27EMP0413 Total</t>
  </si>
  <si>
    <t>EMP26-27EMP0414 Total</t>
  </si>
  <si>
    <t>EMP26-27EMP0415 Total</t>
  </si>
  <si>
    <t>EMP26-27EMP0416 Total</t>
  </si>
  <si>
    <t>EMP26-27EMP0417 Total</t>
  </si>
  <si>
    <t>EMP26-27EMP0418 Total</t>
  </si>
  <si>
    <t>EMP26-27EMP0419 Total</t>
  </si>
  <si>
    <t>EMP26-27EMP0420 Total</t>
  </si>
  <si>
    <t>EMP26-27EMP0421 Total</t>
  </si>
  <si>
    <t>EMP26-27EMP0422 Total</t>
  </si>
  <si>
    <t>EMP26-27EMP0423 Total</t>
  </si>
  <si>
    <t>EMP26-27EMP0424 Total</t>
  </si>
  <si>
    <t>EMP26-27EMP0425 Total</t>
  </si>
  <si>
    <t>EMP26-27EMP0426 Total</t>
  </si>
  <si>
    <t>EMP26-27EMP0427 Total</t>
  </si>
  <si>
    <t>EMP26-27EMP0428 Total</t>
  </si>
  <si>
    <t>EMP26-27EMP0429 Total</t>
  </si>
  <si>
    <t>EMP26-27EMP0430 Total</t>
  </si>
  <si>
    <t>EMP26-27EMP0431 Total</t>
  </si>
  <si>
    <t>EMP26-27EMP0432 Total</t>
  </si>
  <si>
    <t>EMP26-27EMP0433 Total</t>
  </si>
  <si>
    <t>EMP26-27EMP0434 Total</t>
  </si>
  <si>
    <t>EMP26-27EMP0435 Total</t>
  </si>
  <si>
    <t>EMP26-27EMP0436 Total</t>
  </si>
  <si>
    <t>EMP26-27EMP0437 Total</t>
  </si>
  <si>
    <t>EMP26-27EMP0438 Total</t>
  </si>
  <si>
    <t>EMP26-27EMP0439 Total</t>
  </si>
  <si>
    <t>EMP26-27EMP0440 Total</t>
  </si>
  <si>
    <t>EMP26-27EMP0441 Total</t>
  </si>
  <si>
    <t>EMP26-27EMP0442 Total</t>
  </si>
  <si>
    <t>EMP26-27EMP0443 Total</t>
  </si>
  <si>
    <t>EMP26-27EMP0444 Total</t>
  </si>
  <si>
    <t>EMP26-27EMP0445 Total</t>
  </si>
  <si>
    <t>EMP26-27EMP0446 Total</t>
  </si>
  <si>
    <t>EMP26-27EMP0447 Total</t>
  </si>
  <si>
    <t>EMP26-27EMP0448 Total</t>
  </si>
  <si>
    <t>EMP26-27EMP0449 Total</t>
  </si>
  <si>
    <t>EMP26-27EMP0450 Total</t>
  </si>
  <si>
    <t>EMP26-27EMP0451 Total</t>
  </si>
  <si>
    <t>EMP26-27EMP0452 Total</t>
  </si>
  <si>
    <t>EMP26-27EMP0453 Total</t>
  </si>
  <si>
    <t>EMP26-27EMP0454 Total</t>
  </si>
  <si>
    <t>EMP26-27EMP0455 Total</t>
  </si>
  <si>
    <t>EMP26-27EMP0456 Total</t>
  </si>
  <si>
    <t>EMP26-27EMP0457 Total</t>
  </si>
  <si>
    <t>EMP26-27EMP0458 Total</t>
  </si>
  <si>
    <t>EMP26-27EMP0459 Total</t>
  </si>
  <si>
    <t>EMP26-27EMP0460 Total</t>
  </si>
  <si>
    <t>EMP26-27EMP0461 Total</t>
  </si>
  <si>
    <t>EMP26-27EMP0462 Total</t>
  </si>
  <si>
    <t>EMP26-27EMP0463 Total</t>
  </si>
  <si>
    <t>EMP26-27EMP0464 Total</t>
  </si>
  <si>
    <t>EMP26-27EMP0465 Total</t>
  </si>
  <si>
    <t>EMP26-27EMP0466 Total</t>
  </si>
  <si>
    <t>EMP26-27EMP0467 Total</t>
  </si>
  <si>
    <t>EMP26-27EMP0468 Total</t>
  </si>
  <si>
    <t>EMP26-27EMP0469 Total</t>
  </si>
  <si>
    <t>EMP26-27EMP0470 Total</t>
  </si>
  <si>
    <t>EMP26-27EMP0471 Total</t>
  </si>
  <si>
    <t>EMP26-27EMP0472 Total</t>
  </si>
  <si>
    <t>EMP26-27EMP0473 Total</t>
  </si>
  <si>
    <t>EMP26-27EMP0474 Total</t>
  </si>
  <si>
    <t>EMP26-27EMP0475 Total</t>
  </si>
  <si>
    <t>EMP26-27EMP0476 Total</t>
  </si>
  <si>
    <t>EMP26-27EMP0477 Total</t>
  </si>
  <si>
    <t>EMP26-27EMP0478 Total</t>
  </si>
  <si>
    <t>EMP26-27EMP0479 Total</t>
  </si>
  <si>
    <t>EMP26-27EMP0480 Total</t>
  </si>
  <si>
    <t>EMP26-27EMP0481 Total</t>
  </si>
  <si>
    <t>EMP26-27EMP0482 Total</t>
  </si>
  <si>
    <t>EMP26-27EMP0483 Total</t>
  </si>
  <si>
    <t>EMP26-27EMP0484 Total</t>
  </si>
  <si>
    <t>EMP26-27EMP0485 Total</t>
  </si>
  <si>
    <t>EMP26-27EMP0486 Total</t>
  </si>
  <si>
    <t>EMP26-27EMP0487 Total</t>
  </si>
  <si>
    <t>EMP26-27EMP0488 Total</t>
  </si>
  <si>
    <t>EMP26-27EMP0489 Total</t>
  </si>
  <si>
    <t>EMP26-27EMP0490 Total</t>
  </si>
  <si>
    <t>EMP26-27EMP0491 Total</t>
  </si>
  <si>
    <t>EMP26-27EMP0492 Total</t>
  </si>
  <si>
    <t>EMP26-27EMP0493 Total</t>
  </si>
  <si>
    <t>EMP26-27EMP0494 Total</t>
  </si>
  <si>
    <t>EMP26-27EMP0495 Total</t>
  </si>
  <si>
    <t>EMP26-27EMP0496 Total</t>
  </si>
  <si>
    <t>EMP26-27EMP0497 Total</t>
  </si>
  <si>
    <t>EMP26-27EMP0498 Total</t>
  </si>
  <si>
    <t>EMP26-27EMP0499 Total</t>
  </si>
  <si>
    <t>EMP26-27EMP0500 Total</t>
  </si>
  <si>
    <t>EMP26-27EMP0501 Total</t>
  </si>
  <si>
    <t>EMP26-27EMP0502 Total</t>
  </si>
  <si>
    <t>EMP26-27EMP0503 Total</t>
  </si>
  <si>
    <t>EMP26-27EMP0504 Total</t>
  </si>
  <si>
    <t>EMP26-27EMP0505 Total</t>
  </si>
  <si>
    <t>EMP26-27EMP0506 Total</t>
  </si>
  <si>
    <t>EMP26-27EMP0507 Total</t>
  </si>
  <si>
    <t>EMP26-27EMP0508 Total</t>
  </si>
  <si>
    <t>EMP26-27EMP0509 Total</t>
  </si>
  <si>
    <t>EMP26-27EMP0510 Total</t>
  </si>
  <si>
    <t>EMP26-27EMP0511 Total</t>
  </si>
  <si>
    <t>EMP26-27EMP0512 Total</t>
  </si>
  <si>
    <t>EMP26-27EMP0513 Total</t>
  </si>
  <si>
    <t>EMP26-27EMP0514 Total</t>
  </si>
  <si>
    <t>EMP26-27EMP0515 Total</t>
  </si>
  <si>
    <t>EMP26-27EMP0516 Total</t>
  </si>
  <si>
    <t>EMP26-27EMP0517 Total</t>
  </si>
  <si>
    <t>EMP26-27EMP0518 Total</t>
  </si>
  <si>
    <t>EMP26-27EMP0519 Total</t>
  </si>
  <si>
    <t>EMP26-27EMP0520 Total</t>
  </si>
  <si>
    <t>EMP26-27EMP0521 Total</t>
  </si>
  <si>
    <t>EMP26-27EMP0522 Total</t>
  </si>
  <si>
    <t>EMP26-27EMP0523 Total</t>
  </si>
  <si>
    <t>EMP26-27EMP0524 Total</t>
  </si>
  <si>
    <t>EMP26-27EMP0525 Total</t>
  </si>
  <si>
    <t>EMP26-27EMP0526 Total</t>
  </si>
  <si>
    <t>EMP26-27EMP0527 Total</t>
  </si>
  <si>
    <t>EMP26-27EMP0528 Total</t>
  </si>
  <si>
    <t>EMP26-27EMP0529 Total</t>
  </si>
  <si>
    <t>EMP26-27EMP0530 Total</t>
  </si>
  <si>
    <t>EMP26-27EMP0531 Total</t>
  </si>
  <si>
    <t>EMP26-27EMP0532 Total</t>
  </si>
  <si>
    <t>EMP26-27EMP0533 Total</t>
  </si>
  <si>
    <t>EMP26-27EMP0534 Total</t>
  </si>
  <si>
    <t>EMP26-27EMP0535 Total</t>
  </si>
  <si>
    <t>EMP26-27EMP0536 Total</t>
  </si>
  <si>
    <t>EMP26-27EMP0537 Total</t>
  </si>
  <si>
    <t>EMP26-27EMP0538 Total</t>
  </si>
  <si>
    <t>EMP26-27EMP0539 Total</t>
  </si>
  <si>
    <t>EMP26-27EMP0540 Total</t>
  </si>
  <si>
    <t>EMP26-27EMP0541 Total</t>
  </si>
  <si>
    <t>EMP26-27EMP0542 Total</t>
  </si>
  <si>
    <t>EMP26-27EMP0543 Total</t>
  </si>
  <si>
    <t>EMP26-27EMP0544 Total</t>
  </si>
  <si>
    <t>EMP26-27EMP0545 Total</t>
  </si>
  <si>
    <t>EMP26-27EMP0546 Total</t>
  </si>
  <si>
    <t>EMP26-27EMP0547 Total</t>
  </si>
  <si>
    <t>EMP26-27EMP0548 Total</t>
  </si>
  <si>
    <t>EMP26-27EMP0549 Total</t>
  </si>
  <si>
    <t>EMP26-27EMP0550 Total</t>
  </si>
  <si>
    <t>EMP26-27EMP0551 Total</t>
  </si>
  <si>
    <t>EMP26-27EMP0552 Total</t>
  </si>
  <si>
    <t>EMP26-27EMP0553 Total</t>
  </si>
  <si>
    <t>EMP26-27EMP0554 Total</t>
  </si>
  <si>
    <t>EMP26-27EMP0555 Total</t>
  </si>
  <si>
    <t>EMP26-27EMP0556 Total</t>
  </si>
  <si>
    <t>EMP26-27EMP0557 Total</t>
  </si>
  <si>
    <t>EMP26-27EMP0558 Total</t>
  </si>
  <si>
    <t>EMP26-27EMP0559 Total</t>
  </si>
  <si>
    <t>EMP26-27EMP0560 Total</t>
  </si>
  <si>
    <t>EMP26-27EMP0561 Total</t>
  </si>
  <si>
    <t>EMP26-27EMP0562 Total</t>
  </si>
  <si>
    <t>EMP26-27EMP0563 Total</t>
  </si>
  <si>
    <t>EMP26-27EMP0564 Total</t>
  </si>
  <si>
    <t>EMP26-27EMP0565 Total</t>
  </si>
  <si>
    <t>EMP26-27EMP0566 Total</t>
  </si>
  <si>
    <t>EMP26-27EMP0567 Total</t>
  </si>
  <si>
    <t>EMP26-27EMP0568 Total</t>
  </si>
  <si>
    <t>EMP26-27EMP0569 Total</t>
  </si>
  <si>
    <t>EMP26-27EMP0570 Total</t>
  </si>
  <si>
    <t>EMP26-27EMP0571 Total</t>
  </si>
  <si>
    <t>EMP26-27EMP0572 Total</t>
  </si>
  <si>
    <t>EMP26-27EMP0573 Total</t>
  </si>
  <si>
    <t>EMP26-27EMP0574 Total</t>
  </si>
  <si>
    <t>EMP26-27EMP0575 Total</t>
  </si>
  <si>
    <t>EMP26-27EMP0576 Total</t>
  </si>
  <si>
    <t>EMP26-27EMP0577 Total</t>
  </si>
  <si>
    <t>EMP26-27EMP0578 Total</t>
  </si>
  <si>
    <t>EMP26-27EMP0579 Total</t>
  </si>
  <si>
    <t>EMP26-27EMP0580 Total</t>
  </si>
  <si>
    <t>EMP26-27EMP0581 Total</t>
  </si>
  <si>
    <t>EMP26-27EMP0582 Total</t>
  </si>
  <si>
    <t>EMP26-27EMP0583 Total</t>
  </si>
  <si>
    <t>EMP26-27EMP0584 Total</t>
  </si>
  <si>
    <t>EMP26-27EMP0585 Total</t>
  </si>
  <si>
    <t>EMP26-27EMP0586 Total</t>
  </si>
  <si>
    <t>EMP26-27EMP0587 Total</t>
  </si>
  <si>
    <t>EMP26-27EMP0588 Total</t>
  </si>
  <si>
    <t>EMP26-27EMP0589 Total</t>
  </si>
  <si>
    <t>EMP26-27EMP0590 Total</t>
  </si>
  <si>
    <t>EMP26-27EMP0591 Total</t>
  </si>
  <si>
    <t>EMP26-27EMP0592 Total</t>
  </si>
  <si>
    <t>EMP26-27EMP0593 Total</t>
  </si>
  <si>
    <t>EMP26-27EMP0594 Total</t>
  </si>
  <si>
    <t>EMP26-27EMP0595 Total</t>
  </si>
  <si>
    <t>EMP26-27EMP0596 Total</t>
  </si>
  <si>
    <t>EMP26-27EMP0597 Total</t>
  </si>
  <si>
    <t>EMP26-27EMP0598 Total</t>
  </si>
  <si>
    <t>EMP26-27EMP0599 Total</t>
  </si>
  <si>
    <t>EMP26-27EMP0600 Total</t>
  </si>
  <si>
    <t>EMP26-27EMP0601 Total</t>
  </si>
  <si>
    <t>EMP26-27EMP0602 Total</t>
  </si>
  <si>
    <t>EMP26-27EMP0603 Total</t>
  </si>
  <si>
    <t>EMP26-27EMP0604 Total</t>
  </si>
  <si>
    <t>EMP26-27EMP0605 Total</t>
  </si>
  <si>
    <t>EMP26-27EMP0606 Total</t>
  </si>
  <si>
    <t>EMP26-27EMP0607 Total</t>
  </si>
  <si>
    <t>EMP26-27EMP0608 Total</t>
  </si>
  <si>
    <t>EMP26-27EMP0609 Total</t>
  </si>
  <si>
    <t>EMP26-27EMP0610 Total</t>
  </si>
  <si>
    <t>EMP26-27EMP0611 Total</t>
  </si>
  <si>
    <t>EMP26-27EMP0612 Total</t>
  </si>
  <si>
    <t>EMP26-27EMP0613 Total</t>
  </si>
  <si>
    <t>EMP26-27EMP0614 Total</t>
  </si>
  <si>
    <t>EMP26-27EMP0615 Total</t>
  </si>
  <si>
    <t>EMP26-27EMP0616 Total</t>
  </si>
  <si>
    <t>EMP26-27EMP0617 Total</t>
  </si>
  <si>
    <t>EMP26-27EMP0618 Total</t>
  </si>
  <si>
    <t>EMP26-27EMP0619 Total</t>
  </si>
  <si>
    <t>EMP26-27EMP0620 Total</t>
  </si>
  <si>
    <t>EMP26-27EMP0621 Total</t>
  </si>
  <si>
    <t>EMP26-27EMP0622 Total</t>
  </si>
  <si>
    <t>EMP26-27EMP0623 Total</t>
  </si>
  <si>
    <t>EMP26-27EMP0624 Total</t>
  </si>
  <si>
    <t>EMP26-27EMP0625 Total</t>
  </si>
  <si>
    <t>EMP26-27EMP0626 Total</t>
  </si>
  <si>
    <t>EMP26-27EMP0627 Total</t>
  </si>
  <si>
    <t>EMP26-27EMP0628 Total</t>
  </si>
  <si>
    <t>EMP26-27EMP0629 Total</t>
  </si>
  <si>
    <t>EMP26-27EMP0630 Total</t>
  </si>
  <si>
    <t>EMP26-27EMP0631 Total</t>
  </si>
  <si>
    <t>EMP26-27EMP0632 Total</t>
  </si>
  <si>
    <t>EMP26-27EMP0633 Total</t>
  </si>
  <si>
    <t>EMP26-27EMP0634 Total</t>
  </si>
  <si>
    <t>EMP26-27EMP0635 Total</t>
  </si>
  <si>
    <t>EMP26-27EMP0636 Total</t>
  </si>
  <si>
    <t>EMP26-27EMP0637 Total</t>
  </si>
  <si>
    <t>EMP26-27EMP0638 Total</t>
  </si>
  <si>
    <t>EMP26-27EMP0639 Total</t>
  </si>
  <si>
    <t>EMP26-27EMP0640 Total</t>
  </si>
  <si>
    <t>EMP26-27EMP0641 Total</t>
  </si>
  <si>
    <t>EMP26-27EMP0642 Total</t>
  </si>
  <si>
    <t>EMP26-27EMP0643 Total</t>
  </si>
  <si>
    <t>EMP26-27EMP0644 Total</t>
  </si>
  <si>
    <t>EMP26-27EMP0645 Total</t>
  </si>
  <si>
    <t>EMP26-27EMP0646 Total</t>
  </si>
  <si>
    <t>EMP26-27EMP0647 Total</t>
  </si>
  <si>
    <t>EMP26-27EMP0648 Total</t>
  </si>
  <si>
    <t>EMP26-27EMP0649 Total</t>
  </si>
  <si>
    <t>EMP26-27EMP0650 Total</t>
  </si>
  <si>
    <t>EMP26-27EMP0651 Total</t>
  </si>
  <si>
    <t>EMP26-27EMP0652 Total</t>
  </si>
  <si>
    <t>EMP26-27EMP0653 Total</t>
  </si>
  <si>
    <t>EMP26-27EMP0654 Total</t>
  </si>
  <si>
    <t>EMP26-27EMP0655 Total</t>
  </si>
  <si>
    <t>EMP26-27EMP0656 Total</t>
  </si>
  <si>
    <t>EMP26-27EMP0657 Total</t>
  </si>
  <si>
    <t>EMP26-27EMP0658 Total</t>
  </si>
  <si>
    <t>EMP26-27EMP0659 Total</t>
  </si>
  <si>
    <t>EMP26-27EMP0660 Total</t>
  </si>
  <si>
    <t>EMP26-27EMP0661 Total</t>
  </si>
  <si>
    <t>EMP26-27EMP0662 Total</t>
  </si>
  <si>
    <t>EMP26-27EMP0663 Total</t>
  </si>
  <si>
    <t>EMP26-27EMP0664 Total</t>
  </si>
  <si>
    <t>EMP26-27EMP0665 Total</t>
  </si>
  <si>
    <t>EMP26-27EMP0666 Total</t>
  </si>
  <si>
    <t>EMP26-27EMP0667 Total</t>
  </si>
  <si>
    <t>EMP26-27EMP0668 Total</t>
  </si>
  <si>
    <t>EMP26-27EMP0669 Total</t>
  </si>
  <si>
    <t>EMP26-27EMP0670 Total</t>
  </si>
  <si>
    <t>EMP26-27EMP0671 Total</t>
  </si>
  <si>
    <t>EMP26-27EMP0672 Total</t>
  </si>
  <si>
    <t>EMP26-27EMP0673 Total</t>
  </si>
  <si>
    <t>EMP26-27EMP0674 Total</t>
  </si>
  <si>
    <t>EMP26-27EMP0675 Total</t>
  </si>
  <si>
    <t>EMP26-27EMP0676 Total</t>
  </si>
  <si>
    <t>EMP26-27EMP0677 Total</t>
  </si>
  <si>
    <t>EMP26-27EMP0678 Total</t>
  </si>
  <si>
    <t>EMP26-27EMP0679 Total</t>
  </si>
  <si>
    <t>EMP26-27EMP0680 Total</t>
  </si>
  <si>
    <t>EMP26-27EMP0681 Total</t>
  </si>
  <si>
    <t>EMP26-27EMP0682 Total</t>
  </si>
  <si>
    <t>EMP26-27EMP0683 Total</t>
  </si>
  <si>
    <t>EMP26-27EMP0684 Total</t>
  </si>
  <si>
    <t>EMP26-27EMP0685 Total</t>
  </si>
  <si>
    <t>EMP26-27EMP0686 Total</t>
  </si>
  <si>
    <t>EMP26-27EMP0687 Total</t>
  </si>
  <si>
    <t>EMP26-27EMP0688 Total</t>
  </si>
  <si>
    <t>EMP26-27EMP0689 Total</t>
  </si>
  <si>
    <t>EMP26-27EMP0690 Total</t>
  </si>
  <si>
    <t>EMP26-27EMP0691 Total</t>
  </si>
  <si>
    <t>EMP26-27EMP0692 Total</t>
  </si>
  <si>
    <t>EMP26-27EMP0693 Total</t>
  </si>
  <si>
    <t>EMP26-27EMP0694 Total</t>
  </si>
  <si>
    <t>EMP26-27EMP0695 Total</t>
  </si>
  <si>
    <t>EMP26-27EMP0696 Total</t>
  </si>
  <si>
    <t>EMP26-27EMP0697 Total</t>
  </si>
  <si>
    <t>EMP26-27EMP0698 Total</t>
  </si>
  <si>
    <t>EMP26-27EMP0699 Total</t>
  </si>
  <si>
    <t>EMP26-27EMP0700 Total</t>
  </si>
  <si>
    <t>EMP26-27EMP0701 Total</t>
  </si>
  <si>
    <t>EMP26-27EMP0702 Total</t>
  </si>
  <si>
    <t>EMP26-27EMP0703 Total</t>
  </si>
  <si>
    <t>EMP26-27EMP0704 Total</t>
  </si>
  <si>
    <t>EMP26-27EMP0705 Total</t>
  </si>
  <si>
    <t>EMP26-27EMP0706 Total</t>
  </si>
  <si>
    <t>EMP26-27EMP0707 Total</t>
  </si>
  <si>
    <t>EMP26-27EMP0708 Total</t>
  </si>
  <si>
    <t>EMP26-27EMP0709 Total</t>
  </si>
  <si>
    <t>EMP26-27EMP0710 Total</t>
  </si>
  <si>
    <t>EMP26-27EMP0711 Total</t>
  </si>
  <si>
    <t>EMP26-27EMP0712 Total</t>
  </si>
  <si>
    <t>EMP26-27EMP0713 Total</t>
  </si>
  <si>
    <t>EMP26-27EMP0714 Total</t>
  </si>
  <si>
    <t>EMP26-27EMP0715 Total</t>
  </si>
  <si>
    <t>EMP26-27EMP0716 Total</t>
  </si>
  <si>
    <t>EMP26-27EMP0717 Total</t>
  </si>
  <si>
    <t>EMP26-27EMP0718 Total</t>
  </si>
  <si>
    <t>EMP26-27EMP0719 Total</t>
  </si>
  <si>
    <t>EMP26-27EMP0720 Total</t>
  </si>
  <si>
    <t>EMP26-27EMP0721 Total</t>
  </si>
  <si>
    <t>EMP26-27EMP0722 Total</t>
  </si>
  <si>
    <t>EMP26-27EMP0723 Total</t>
  </si>
  <si>
    <t>EMP26-27EMP0724 Total</t>
  </si>
  <si>
    <t>EMP26-27EMP0725 Total</t>
  </si>
  <si>
    <t>EMP26-27EMP0726 Total</t>
  </si>
  <si>
    <t>EMP26-27EMP0727 Total</t>
  </si>
  <si>
    <t>EMP26-27EMP0728 Total</t>
  </si>
  <si>
    <t>EMP26-27EMP0729 Total</t>
  </si>
  <si>
    <t>EMP26-27EMP0730 Total</t>
  </si>
  <si>
    <t>EMP26-27EMP0731 Total</t>
  </si>
  <si>
    <t>EMP26-27EMP0732 Total</t>
  </si>
  <si>
    <t>EMP26-27EMP0733 Total</t>
  </si>
  <si>
    <t>EMP26-27EMP0734 Total</t>
  </si>
  <si>
    <t>EMP26-27EMP0735 Total</t>
  </si>
  <si>
    <t>EMP26-27EMP0736 Total</t>
  </si>
  <si>
    <t>EMP26-27EMP0737 Total</t>
  </si>
  <si>
    <t>EMP26-27EMP0738 Total</t>
  </si>
  <si>
    <t>EMP26-27EMP0739 Total</t>
  </si>
  <si>
    <t>EMP26-27EMP0740 Total</t>
  </si>
  <si>
    <t>EMP26-27EMP0741 Total</t>
  </si>
  <si>
    <t>EMP26-27EMP0742 Total</t>
  </si>
  <si>
    <t>EMP26-27EMP0743 Total</t>
  </si>
  <si>
    <t>EMP26-27EMP0744 Total</t>
  </si>
  <si>
    <t>EMP26-27EMP0745 Total</t>
  </si>
  <si>
    <t>EMP26-27EMP0746 Total</t>
  </si>
  <si>
    <t>EMP26-27EMP0747 Total</t>
  </si>
  <si>
    <t>EMP26-27EMP0748 Total</t>
  </si>
  <si>
    <t>EMP26-27EMP0749 Total</t>
  </si>
  <si>
    <t>EMP26-27EMP0750 Total</t>
  </si>
  <si>
    <t>EMP26-27EMP0751 Total</t>
  </si>
  <si>
    <t>EMP26-27EMP0752 Total</t>
  </si>
  <si>
    <t>EMP26-27EMP0753 Total</t>
  </si>
  <si>
    <t>EMP26-27EMP0754 Total</t>
  </si>
  <si>
    <t>EMP26-27EMP0755 Total</t>
  </si>
  <si>
    <t>EMP26-27EMP0756 Total</t>
  </si>
  <si>
    <t>EMP26-27EMP0757 Total</t>
  </si>
  <si>
    <t>EMP26-27EMP0758 Total</t>
  </si>
  <si>
    <t>EMP26-27EMP0759 Total</t>
  </si>
  <si>
    <t>EMP26-27EMP0760 Total</t>
  </si>
  <si>
    <t>EMP26-27EMP0761 Total</t>
  </si>
  <si>
    <t>EMP26-27EMP0762 Total</t>
  </si>
  <si>
    <t>EMP26-27EMP0763 Total</t>
  </si>
  <si>
    <t>EMP26-27EMP0764 Total</t>
  </si>
  <si>
    <t>EMP26-27EMP0765 Total</t>
  </si>
  <si>
    <t>EMP26-27EMP0766 Total</t>
  </si>
  <si>
    <t>EMP26-27EMP0767 Total</t>
  </si>
  <si>
    <t>EMP26-27EMP0768 Total</t>
  </si>
  <si>
    <t>EMP26-27EMP0769 Total</t>
  </si>
  <si>
    <t>EMP26-27EMP0770 Total</t>
  </si>
  <si>
    <t>EMP26-27EMP0771 Total</t>
  </si>
  <si>
    <t>EMP26-27EMP0772 Total</t>
  </si>
  <si>
    <t>EMP26-27EMP0773 Total</t>
  </si>
  <si>
    <t>EMP26-27EMP0774 Total</t>
  </si>
  <si>
    <t>EMP26-27EMP0775 Total</t>
  </si>
  <si>
    <t>EMP26-27EMP0776 Total</t>
  </si>
  <si>
    <t>EMP26-27EMP0777 Total</t>
  </si>
  <si>
    <t>EMP26-27EMP0778 Total</t>
  </si>
  <si>
    <t>EMP26-27EMP0779 Total</t>
  </si>
  <si>
    <t>EMP26-27EMP0780 Total</t>
  </si>
  <si>
    <t>EMP26-27EMP0781 Total</t>
  </si>
  <si>
    <t>EMP26-27EMP0782 Total</t>
  </si>
  <si>
    <t>EMP26-27EMP0783 Total</t>
  </si>
  <si>
    <t>EMP26-27EMP0784 Total</t>
  </si>
  <si>
    <t>EMP26-27EMP0785 Total</t>
  </si>
  <si>
    <t>EMP26-27EMP0786 Total</t>
  </si>
  <si>
    <t>EMP26-27EMP0787 Total</t>
  </si>
  <si>
    <t>EMP26-27EMP0788 Total</t>
  </si>
  <si>
    <t>EMP26-27EMP0789 Total</t>
  </si>
  <si>
    <t>EMP26-27EMP0790 Total</t>
  </si>
  <si>
    <t>EMP26-27EMP0791 Total</t>
  </si>
  <si>
    <t>EMP26-27EMP0792 Total</t>
  </si>
  <si>
    <t>EMP26-27EMP0793 Total</t>
  </si>
  <si>
    <t>EMP26-27EMP0794 Total</t>
  </si>
  <si>
    <t>EMP26-27EMP0795 Total</t>
  </si>
  <si>
    <t>EMP26-27EMP0796 Total</t>
  </si>
  <si>
    <t>EMP26-27EMP0797 Total</t>
  </si>
  <si>
    <t>EMP26-27EMP0798 Total</t>
  </si>
  <si>
    <t>EMP26-27EMP0799 Total</t>
  </si>
  <si>
    <t>EMP26-27EMP0800 Total</t>
  </si>
  <si>
    <t>EMP26-27EMP0801 Total</t>
  </si>
  <si>
    <t>EMP26-27EMP0802 Total</t>
  </si>
  <si>
    <t>EMP26-27EMP0803 Total</t>
  </si>
  <si>
    <t>EMP26-27EMP0804 Total</t>
  </si>
  <si>
    <t>EMP26-27EMP0805 Total</t>
  </si>
  <si>
    <t>EMP26-27EMP0806 Total</t>
  </si>
  <si>
    <t>EMP26-27EMP0807 Total</t>
  </si>
  <si>
    <t>EMP26-27EMP0808 Total</t>
  </si>
  <si>
    <t>EMP26-27EMP0809 Total</t>
  </si>
  <si>
    <t>EMP26-27EMP0810 Total</t>
  </si>
  <si>
    <t>EMP26-27EMP0811 Total</t>
  </si>
  <si>
    <t>EMP26-27EMP0812 Total</t>
  </si>
  <si>
    <t>EMP26-27EMP0813 Total</t>
  </si>
  <si>
    <t>EMP26-27EMP0814 Total</t>
  </si>
  <si>
    <t>EMP26-27EMP0815 Total</t>
  </si>
  <si>
    <t>EMP26-27EMP0816 Total</t>
  </si>
  <si>
    <t>EMP26-27EMP0817 Total</t>
  </si>
  <si>
    <t>EMP26-27EMP0818 Total</t>
  </si>
  <si>
    <t>EMP26-27EMP0819 Total</t>
  </si>
  <si>
    <t>EMP26-27EMP0820 Total</t>
  </si>
  <si>
    <t>EMP26-27EMP0821 Total</t>
  </si>
  <si>
    <t>EMP26-27EMP0822 Total</t>
  </si>
  <si>
    <t>EMP26-27EMP0823 Total</t>
  </si>
  <si>
    <t>EMP26-27EMP0824 Total</t>
  </si>
  <si>
    <t>EMP26-27EMP0825 Total</t>
  </si>
  <si>
    <t>EMP26-27EMP0826 Total</t>
  </si>
  <si>
    <t>EMP26-27EMP0827 Total</t>
  </si>
  <si>
    <t>EMP26-27EMP0828 Total</t>
  </si>
  <si>
    <t>EMP26-27EMP0829 Total</t>
  </si>
  <si>
    <t>EMP26-27EMP0830 Total</t>
  </si>
  <si>
    <t>EMP26-27EMP0831 Total</t>
  </si>
  <si>
    <t>EMP26-27EMP0832 Total</t>
  </si>
  <si>
    <t>EMP26-27EMP0833 Total</t>
  </si>
  <si>
    <t>EMP26-27EMP0834 Total</t>
  </si>
  <si>
    <t>EMP26-27EMP0835 Total</t>
  </si>
  <si>
    <t>EMP26-27EMP0836 Total</t>
  </si>
  <si>
    <t>EMP26-27EMP0837 Total</t>
  </si>
  <si>
    <t>EMP26-27EMP0838 Total</t>
  </si>
  <si>
    <t>EMP26-27EMP0839 Total</t>
  </si>
  <si>
    <t>EMP26-27EMP0840 Total</t>
  </si>
  <si>
    <t>EMP26-27EMP0841 Total</t>
  </si>
  <si>
    <t>EMP26-27EMP0842 Total</t>
  </si>
  <si>
    <t>EMP26-27EMP0843 Total</t>
  </si>
  <si>
    <t>EMP26-27EMP0844 Total</t>
  </si>
  <si>
    <t>EMP26-27EMP0845 Total</t>
  </si>
  <si>
    <t>EMP26-27EMP0846 Total</t>
  </si>
  <si>
    <t>EMP26-27EMP0847 Total</t>
  </si>
  <si>
    <t>EMP26-27EMP0848 Total</t>
  </si>
  <si>
    <t>EMP26-27EMP0849 Total</t>
  </si>
  <si>
    <t>EMP26-27EMP0850 Total</t>
  </si>
  <si>
    <t>EMP26-27EMP0851 Total</t>
  </si>
  <si>
    <t>EMP26-27EMP0852 Total</t>
  </si>
  <si>
    <t>EMP26-27EMP0853 Total</t>
  </si>
  <si>
    <t>EMP26-27EMP0854 Total</t>
  </si>
  <si>
    <t>EMP26-27EMP0855 Total</t>
  </si>
  <si>
    <t>EMP26-27EMP0856 Total</t>
  </si>
  <si>
    <t>EMP26-27EMP0857 Total</t>
  </si>
  <si>
    <t>EMP26-27EMP0858 Total</t>
  </si>
  <si>
    <t>EMP26-27EMP0859 Total</t>
  </si>
  <si>
    <t>EMP26-27EMP0860 Total</t>
  </si>
  <si>
    <t>EMP26-27EMP0861 Total</t>
  </si>
  <si>
    <t>EMP26-27EMP0862 Total</t>
  </si>
  <si>
    <t>EMP26-27EMP0863 Total</t>
  </si>
  <si>
    <t>EMP26-27EMP0864 Total</t>
  </si>
  <si>
    <t>EMP26-27EMP0865 Total</t>
  </si>
  <si>
    <t>EMP26-27EMP0866 Total</t>
  </si>
  <si>
    <t>EMP26-27EMP0867 Total</t>
  </si>
  <si>
    <t>EMP26-27EMP0868 Total</t>
  </si>
  <si>
    <t>EMP26-27EMP0869 Total</t>
  </si>
  <si>
    <t>EMP26-27EMP0870 Total</t>
  </si>
  <si>
    <t>EMP26-27EMP0871 Total</t>
  </si>
  <si>
    <t>EMP26-27EMP0872 Total</t>
  </si>
  <si>
    <t>EMP26-27EMP0873 Total</t>
  </si>
  <si>
    <t>EMP26-27EMP0874 Total</t>
  </si>
  <si>
    <t>EMP26-27EMP0875 Total</t>
  </si>
  <si>
    <t>EMP26-27EMP0876 Total</t>
  </si>
  <si>
    <t>EMP26-27EMP0877 Total</t>
  </si>
  <si>
    <t>EMP26-27EMP0878 Total</t>
  </si>
  <si>
    <t>EMP26-27EMP0879 Total</t>
  </si>
  <si>
    <t>EMP26-27EMP0880 Total</t>
  </si>
  <si>
    <t>EMP26-27EMP0881 Total</t>
  </si>
  <si>
    <t>EMP26-27EMP0882 Total</t>
  </si>
  <si>
    <t>EMP26-27EMP0883 Total</t>
  </si>
  <si>
    <t>EMP26-27EMP0884 Total</t>
  </si>
  <si>
    <t>EMP26-27EMP0885 Total</t>
  </si>
  <si>
    <t>EMP26-27EMP0886 Total</t>
  </si>
  <si>
    <t>EMP26-27EMP0887 Total</t>
  </si>
  <si>
    <t>EMP26-27EMP0888 Total</t>
  </si>
  <si>
    <t>EMP26-27EMP0889 Total</t>
  </si>
  <si>
    <t>EMP26-27EMP0890 Total</t>
  </si>
  <si>
    <t>EMP26-27EMP0891 Total</t>
  </si>
  <si>
    <t>EMP26-27EMP0892 Total</t>
  </si>
  <si>
    <t>EMP26-27EMP0893 Total</t>
  </si>
  <si>
    <t>EMP26-27EMP0894 Total</t>
  </si>
  <si>
    <t>EMP26-27EMP0895 Total</t>
  </si>
  <si>
    <t>EMP26-27EMP0896 Total</t>
  </si>
  <si>
    <t>EMP26-27EMP0897 Total</t>
  </si>
  <si>
    <t>EMP26-27EMP0898 Total</t>
  </si>
  <si>
    <t>EMP26-27EMP0899 Total</t>
  </si>
  <si>
    <t>EMP26-27EMP0900 Total</t>
  </si>
  <si>
    <t>EMP26-27EMP0901 Total</t>
  </si>
  <si>
    <t>EMP26-27EMP0902 Total</t>
  </si>
  <si>
    <t>EMP26-27EMP0903 Total</t>
  </si>
  <si>
    <t>EMP26-27EMP0904 Total</t>
  </si>
  <si>
    <t>EMP26-27EMP0905 Total</t>
  </si>
  <si>
    <t>EMP26-27EMP0906 Total</t>
  </si>
  <si>
    <t>EMP26-27EMP0907 Total</t>
  </si>
  <si>
    <t>EMP26-27EMP0908 Total</t>
  </si>
  <si>
    <t>EMP26-27EMP0909 Total</t>
  </si>
  <si>
    <t>EMP26-27EMP0910 Total</t>
  </si>
  <si>
    <t>EMP26-27EMP0911 Total</t>
  </si>
  <si>
    <t>EMP26-27EMP0912 Total</t>
  </si>
  <si>
    <t>EMP26-27EMP0913 Total</t>
  </si>
  <si>
    <t>EMP26-27EMP0914 Total</t>
  </si>
  <si>
    <t>EMP26-27EMP0915 Total</t>
  </si>
  <si>
    <t>EMP26-27EMP0916 Total</t>
  </si>
  <si>
    <t>EMP26-27EMP0917 Total</t>
  </si>
  <si>
    <t>EMP26-27EMP0918 Total</t>
  </si>
  <si>
    <t>EMP26-27EMP0919 Total</t>
  </si>
  <si>
    <t>EMP26-27EMP0920 Total</t>
  </si>
  <si>
    <t>EMP26-27EMP0921 Total</t>
  </si>
  <si>
    <t>EMP26-27EMP0922 Total</t>
  </si>
  <si>
    <t>EMP26-27EMP0923 Total</t>
  </si>
  <si>
    <t>EMP26-27EMP0924 Total</t>
  </si>
  <si>
    <t>EMP26-27EMP0925 Total</t>
  </si>
  <si>
    <t>EMP26-27EMP0926 Total</t>
  </si>
  <si>
    <t>EMP26-27EMP0927 Total</t>
  </si>
  <si>
    <t>EMP26-27EMP0928 Total</t>
  </si>
  <si>
    <t>EMP26-27EMP0929 Total</t>
  </si>
  <si>
    <t>EMP26-27EMP0930 Total</t>
  </si>
  <si>
    <t>EMP26-27EMP0931 Total</t>
  </si>
  <si>
    <t>EMP26-27EMP0932 Total</t>
  </si>
  <si>
    <t>EMP26-27EMP0933 Total</t>
  </si>
  <si>
    <t>EMP26-27EMP0934 Total</t>
  </si>
  <si>
    <t>EMP26-27EMP0935 Total</t>
  </si>
  <si>
    <t>EMP26-27EMP0936 Total</t>
  </si>
  <si>
    <t>EMP26-27EMP0937 Total</t>
  </si>
  <si>
    <t>EMP26-27EMP0938 Total</t>
  </si>
  <si>
    <t>EMP26-27EMP0939 Total</t>
  </si>
  <si>
    <t>EMP26-27EMP0940 Total</t>
  </si>
  <si>
    <t>EMP26-27EMP0941 Total</t>
  </si>
  <si>
    <t>EMP26-27EMP0942 Total</t>
  </si>
  <si>
    <t>EMP26-27EMP0943 Total</t>
  </si>
  <si>
    <t>EMP26-27EMP0944 Total</t>
  </si>
  <si>
    <t>EMP26-27EMP0945 Total</t>
  </si>
  <si>
    <t>EMP26-27EMP0946 Total</t>
  </si>
  <si>
    <t>EMP26-27EMP0947 Total</t>
  </si>
  <si>
    <t>EMP26-27EMP0948 Total</t>
  </si>
  <si>
    <t>EMP26-27EMP0949 Total</t>
  </si>
  <si>
    <t>EMP26-27EMP0950 Total</t>
  </si>
  <si>
    <t>EMP26-27EMP0951 Total</t>
  </si>
  <si>
    <t>EMP26-27EMP0952 Total</t>
  </si>
  <si>
    <t>EMP26-27EMP0953 Total</t>
  </si>
  <si>
    <t>EMP26-27EMP0954 Total</t>
  </si>
  <si>
    <t>EMP26-27EMP0955 Total</t>
  </si>
  <si>
    <t>EMP26-27EMP0956 Total</t>
  </si>
  <si>
    <t>EMP26-27EMP0957 Total</t>
  </si>
  <si>
    <t>EMP26-27EMP0958 Total</t>
  </si>
  <si>
    <t>EMP26-27EMP0959 Total</t>
  </si>
  <si>
    <t>EMP26-27EMP0960 Total</t>
  </si>
  <si>
    <t>EMP26-27EMP0961 Total</t>
  </si>
  <si>
    <t>EMP26-27EMP0962 Total</t>
  </si>
  <si>
    <t>EMP26-27EMP0963 Total</t>
  </si>
  <si>
    <t>EMP26-27EMP0964 Total</t>
  </si>
  <si>
    <t>EMP26-27EMP0965 Total</t>
  </si>
  <si>
    <t>EMP26-27EMP0966 Total</t>
  </si>
  <si>
    <t>EMP26-27EMP0967 Total</t>
  </si>
  <si>
    <t>EMP26-27EMP0968 Total</t>
  </si>
  <si>
    <t>EMP26-27EMP0969 Total</t>
  </si>
  <si>
    <t>EMP26-27EMP0970 Total</t>
  </si>
  <si>
    <t>EMP26-27EMP0971 Total</t>
  </si>
  <si>
    <t>EMP26-27EMP0972 Total</t>
  </si>
  <si>
    <t>EMP26-27EMP0973 Total</t>
  </si>
  <si>
    <t>EMP26-27EMP0974 Total</t>
  </si>
  <si>
    <t>EMP26-27EMP0975 Total</t>
  </si>
  <si>
    <t>EMP26-27EMP0976 Total</t>
  </si>
  <si>
    <t>EMP26-27EMP0977 Total</t>
  </si>
  <si>
    <t>EMP26-27EMP0978 Total</t>
  </si>
  <si>
    <t>EMP26-27EMP0979 Total</t>
  </si>
  <si>
    <t>EMP26-27EMP0980 Total</t>
  </si>
  <si>
    <t>EMP26-27EMP0981 Total</t>
  </si>
  <si>
    <t>EMP26-27EMP0982 Total</t>
  </si>
  <si>
    <t>EMP26-27EMP0983 Total</t>
  </si>
  <si>
    <t>EMP26-27EMP0984 Total</t>
  </si>
  <si>
    <t>EMP26-27EMP0985 Total</t>
  </si>
  <si>
    <t>EMP26-27EMP0986 Total</t>
  </si>
  <si>
    <t>EMP26-27EMP0987 Total</t>
  </si>
  <si>
    <t>EMP26-27EMP0988 Total</t>
  </si>
  <si>
    <t>EMP26-27EMP0989 Total</t>
  </si>
  <si>
    <t>EMP26-27EMP0990 Total</t>
  </si>
  <si>
    <t>EMP26-27EMP0991 Total</t>
  </si>
  <si>
    <t>EMP26-27EMP0992 Total</t>
  </si>
  <si>
    <t>EMP26-27EMP0993 Total</t>
  </si>
  <si>
    <t>EMP26-27EMP0994 Total</t>
  </si>
  <si>
    <t>EMP26-27EMP0995 Total</t>
  </si>
  <si>
    <t>EMP26-27EMP0996 Total</t>
  </si>
  <si>
    <t>EMP26-27EMP0997 Total</t>
  </si>
  <si>
    <t>EMP26-27EMP0998 Total</t>
  </si>
  <si>
    <t>EMP26-27EMP0999 Total</t>
  </si>
  <si>
    <t>EMP26-27EMP1000 Total</t>
  </si>
  <si>
    <t>AGENT - MONTH WISE COMPARISSON</t>
  </si>
  <si>
    <t>Travel Advisor's Comparisson - Overall</t>
  </si>
  <si>
    <t>AGENT - OVERALL COMPARISSON</t>
  </si>
  <si>
    <t>Travel Advisor's Comparisson - Month Wise</t>
  </si>
  <si>
    <t>Source Vs Package Type Comparisson - Overall</t>
  </si>
  <si>
    <t>Count of Remarks / Reason - Month Wise</t>
  </si>
  <si>
    <t>Tour Duration VS Source Comparisson - Overall</t>
  </si>
  <si>
    <t>Count of Remarks / Reason - Total</t>
  </si>
  <si>
    <t>CITY WISE COMPARISSON</t>
  </si>
  <si>
    <t>Program Comparisson - Overall</t>
  </si>
  <si>
    <t>Tour Starting Day Wise Comparisson - Overall</t>
  </si>
  <si>
    <t>Tour Duration Comparisson - Overall</t>
  </si>
  <si>
    <t>Total Pax Travelled in Month Vs File Comparisson</t>
  </si>
  <si>
    <t>SOURCE VALUE - OVERALL COMPARISSON</t>
  </si>
  <si>
    <t xml:space="preserve">Long Weekend - Mahavir Jayanti </t>
  </si>
  <si>
    <t>Long Weekend - Buddh Purnima</t>
  </si>
  <si>
    <t>Long Weekend - Independence Day + Janamashtami</t>
  </si>
  <si>
    <t>Long Weekend - Eid + Onam</t>
  </si>
  <si>
    <t>Chirstmas &amp; New Year Period</t>
  </si>
  <si>
    <t>Long Weekend - Basant Panchami + Republic Day</t>
  </si>
  <si>
    <t>Long Weekend - Shivaji Maharaj Jayanti</t>
  </si>
  <si>
    <t>Long Weekend - Gudi Padwa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</si>
</sst>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$-409]d/mmm/yy;@"/>
    <numFmt numFmtId="165" formatCode="[$-14009]dddd\,\ d\ mmmm\,\ yyyy;@"/>
    <numFmt numFmtId="166" formatCode="&quot;₹&quot;\ #,##0.00"/>
    <numFmt numFmtId="167" formatCode="[$-14009]dd\ mmmm\ yyyy;@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1"/>
    </font>
    <font>
      <sz val="11"/>
      <color rgb="FF0070C0"/>
      <name val="Calibri"/>
      <family val="2"/>
      <scheme val="minor"/>
    </font>
    <font>
      <sz val="10"/>
      <color theme="1"/>
      <name val="Tahoma"/>
      <family val="2"/>
    </font>
    <font>
      <sz val="11"/>
      <color rgb="FF000000"/>
      <name val="Calibri"/>
      <family val="2"/>
    </font>
    <font>
      <sz val="11"/>
      <color rgb="FF242424"/>
      <name val="Calibri"/>
      <family val="2"/>
      <charset val="1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scheme val="minor"/>
    </font>
    <font>
      <sz val="11"/>
      <color rgb="FF242424"/>
      <name val="Segoe UI"/>
      <family val="2"/>
    </font>
    <font>
      <b/>
      <sz val="14"/>
      <color rgb="FF242424"/>
      <name val="Calibri"/>
      <family val="2"/>
      <scheme val="minor"/>
    </font>
    <font>
      <sz val="11"/>
      <color rgb="FF242424"/>
      <name val="Calibri"/>
      <scheme val="minor"/>
    </font>
    <font>
      <sz val="10"/>
      <color rgb="FF000000"/>
      <name val="Arial Unicode MS"/>
    </font>
    <font>
      <sz val="11"/>
      <color rgb="FF000000"/>
      <name val="Calibri"/>
    </font>
    <font>
      <sz val="11"/>
      <color rgb="FF000000"/>
      <name val="Calibri"/>
      <scheme val="minor"/>
    </font>
    <font>
      <sz val="11"/>
      <color rgb="FF000000"/>
      <name val="Calibri"/>
      <charset val="1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4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3" fillId="6" borderId="10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3" fillId="10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0" fontId="0" fillId="11" borderId="0" xfId="0" applyFill="1"/>
    <xf numFmtId="0" fontId="3" fillId="12" borderId="12" xfId="0" applyFont="1" applyFill="1" applyBorder="1" applyAlignment="1">
      <alignment horizontal="center" vertical="center"/>
    </xf>
    <xf numFmtId="165" fontId="0" fillId="0" borderId="0" xfId="0" applyNumberFormat="1"/>
    <xf numFmtId="0" fontId="0" fillId="0" borderId="13" xfId="0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2" fillId="0" borderId="13" xfId="1" applyFont="1" applyFill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7" fillId="0" borderId="13" xfId="0" applyFont="1" applyBorder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/>
    </xf>
    <xf numFmtId="0" fontId="9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2" fillId="0" borderId="13" xfId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2" fillId="0" borderId="13" xfId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64" fontId="0" fillId="0" borderId="32" xfId="0" applyNumberFormat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3" fillId="0" borderId="24" xfId="0" applyFont="1" applyBorder="1" applyAlignment="1">
      <alignment horizontal="left"/>
    </xf>
    <xf numFmtId="0" fontId="3" fillId="5" borderId="36" xfId="0" applyFont="1" applyFill="1" applyBorder="1" applyAlignment="1">
      <alignment horizontal="center" vertical="center"/>
    </xf>
    <xf numFmtId="0" fontId="3" fillId="5" borderId="37" xfId="0" applyFont="1" applyFill="1" applyBorder="1" applyAlignment="1">
      <alignment horizontal="center" vertical="center"/>
    </xf>
    <xf numFmtId="0" fontId="3" fillId="5" borderId="38" xfId="0" applyFont="1" applyFill="1" applyBorder="1" applyAlignment="1">
      <alignment horizontal="center" vertical="center"/>
    </xf>
    <xf numFmtId="0" fontId="3" fillId="5" borderId="39" xfId="0" applyFont="1" applyFill="1" applyBorder="1" applyAlignment="1">
      <alignment horizontal="center" vertical="center"/>
    </xf>
    <xf numFmtId="166" fontId="0" fillId="0" borderId="23" xfId="0" applyNumberFormat="1" applyBorder="1" applyAlignment="1">
      <alignment horizontal="center" vertical="center"/>
    </xf>
    <xf numFmtId="166" fontId="0" fillId="0" borderId="24" xfId="0" applyNumberFormat="1" applyBorder="1" applyAlignment="1">
      <alignment horizontal="center" vertical="center"/>
    </xf>
    <xf numFmtId="166" fontId="6" fillId="0" borderId="24" xfId="0" applyNumberFormat="1" applyFont="1" applyBorder="1" applyAlignment="1">
      <alignment horizontal="center" vertical="center"/>
    </xf>
    <xf numFmtId="167" fontId="0" fillId="0" borderId="19" xfId="0" applyNumberFormat="1" applyBorder="1" applyAlignment="1">
      <alignment horizontal="center" vertical="center"/>
    </xf>
    <xf numFmtId="167" fontId="0" fillId="0" borderId="19" xfId="1" applyNumberFormat="1" applyFont="1" applyFill="1" applyBorder="1" applyAlignment="1">
      <alignment horizontal="center" vertical="center"/>
    </xf>
    <xf numFmtId="0" fontId="3" fillId="5" borderId="40" xfId="0" applyFont="1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43" xfId="0" applyNumberFormat="1" applyBorder="1" applyAlignment="1">
      <alignment horizontal="center" vertical="center"/>
    </xf>
    <xf numFmtId="164" fontId="0" fillId="0" borderId="44" xfId="0" applyNumberFormat="1" applyBorder="1" applyAlignment="1">
      <alignment horizontal="center" vertical="center"/>
    </xf>
    <xf numFmtId="164" fontId="0" fillId="0" borderId="45" xfId="0" applyNumberForma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164" fontId="0" fillId="0" borderId="47" xfId="0" applyNumberForma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64" fontId="0" fillId="0" borderId="50" xfId="0" applyNumberFormat="1" applyBorder="1" applyAlignment="1">
      <alignment horizontal="center" vertical="center"/>
    </xf>
    <xf numFmtId="164" fontId="0" fillId="0" borderId="51" xfId="0" applyNumberFormat="1" applyBorder="1" applyAlignment="1">
      <alignment horizontal="center" vertical="center"/>
    </xf>
    <xf numFmtId="164" fontId="0" fillId="0" borderId="52" xfId="0" applyNumberFormat="1" applyBorder="1" applyAlignment="1">
      <alignment horizontal="center" vertical="center"/>
    </xf>
    <xf numFmtId="164" fontId="0" fillId="0" borderId="53" xfId="0" applyNumberForma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164" fontId="0" fillId="0" borderId="41" xfId="0" applyNumberFormat="1" applyBorder="1" applyAlignment="1">
      <alignment horizontal="center" vertical="center"/>
    </xf>
    <xf numFmtId="0" fontId="0" fillId="0" borderId="21" xfId="0" applyBorder="1" applyAlignment="1">
      <alignment horizontal="left"/>
    </xf>
    <xf numFmtId="0" fontId="3" fillId="9" borderId="54" xfId="0" applyFont="1" applyFill="1" applyBorder="1" applyAlignment="1">
      <alignment horizontal="center" vertical="center"/>
    </xf>
    <xf numFmtId="0" fontId="3" fillId="9" borderId="55" xfId="0" applyFont="1" applyFill="1" applyBorder="1" applyAlignment="1">
      <alignment horizontal="center" vertical="center"/>
    </xf>
    <xf numFmtId="0" fontId="3" fillId="9" borderId="56" xfId="0" applyFont="1" applyFill="1" applyBorder="1" applyAlignment="1">
      <alignment horizontal="center" vertical="center"/>
    </xf>
    <xf numFmtId="0" fontId="3" fillId="2" borderId="57" xfId="0" applyFont="1" applyFill="1" applyBorder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2" fillId="0" borderId="13" xfId="1" applyBorder="1" applyAlignment="1">
      <alignment horizontal="center" vertical="center"/>
    </xf>
    <xf numFmtId="0" fontId="0" fillId="0" borderId="0" xfId="0" pivotButton="1"/>
    <xf numFmtId="0" fontId="8" fillId="0" borderId="13" xfId="0" applyFont="1" applyBorder="1" applyAlignment="1">
      <alignment horizontal="center" vertical="center" wrapText="1"/>
    </xf>
    <xf numFmtId="10" fontId="0" fillId="0" borderId="0" xfId="0" applyNumberFormat="1"/>
    <xf numFmtId="14" fontId="0" fillId="0" borderId="13" xfId="0" applyNumberForma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0" borderId="13" xfId="1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2" fillId="0" borderId="19" xfId="1" applyFill="1" applyBorder="1" applyAlignment="1">
      <alignment horizontal="center" vertical="center"/>
    </xf>
    <xf numFmtId="165" fontId="3" fillId="5" borderId="37" xfId="0" applyNumberFormat="1" applyFont="1" applyFill="1" applyBorder="1" applyAlignment="1">
      <alignment horizontal="center" vertical="center"/>
    </xf>
    <xf numFmtId="15" fontId="0" fillId="0" borderId="0" xfId="0" applyNumberFormat="1"/>
    <xf numFmtId="0" fontId="0" fillId="0" borderId="0" xfId="0" applyNumberFormat="1"/>
    <xf numFmtId="0" fontId="10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10" fillId="0" borderId="0" xfId="0" applyFont="1" applyBorder="1" applyAlignment="1"/>
    <xf numFmtId="0" fontId="17" fillId="0" borderId="0" xfId="0" applyFont="1" applyAlignment="1">
      <alignment horizontal="center"/>
    </xf>
    <xf numFmtId="0" fontId="10" fillId="0" borderId="0" xfId="0" applyFont="1" applyFill="1" applyBorder="1" applyAlignment="1"/>
    <xf numFmtId="15" fontId="0" fillId="0" borderId="19" xfId="0" applyNumberFormat="1" applyBorder="1" applyAlignment="1">
      <alignment horizontal="center" vertical="center"/>
    </xf>
    <xf numFmtId="0" fontId="7" fillId="0" borderId="13" xfId="0" applyFont="1" applyBorder="1" applyAlignment="1">
      <alignment horizontal="center" wrapText="1"/>
    </xf>
    <xf numFmtId="49" fontId="0" fillId="0" borderId="19" xfId="0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/>
    </xf>
    <xf numFmtId="49" fontId="1" fillId="0" borderId="13" xfId="0" applyNumberFormat="1" applyFont="1" applyBorder="1" applyAlignment="1">
      <alignment horizontal="center" vertical="center"/>
    </xf>
    <xf numFmtId="49" fontId="0" fillId="0" borderId="13" xfId="1" applyNumberFormat="1" applyFont="1" applyFill="1" applyBorder="1" applyAlignment="1">
      <alignment horizontal="center" vertical="center"/>
    </xf>
    <xf numFmtId="49" fontId="7" fillId="0" borderId="13" xfId="0" applyNumberFormat="1" applyFont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 wrapText="1"/>
    </xf>
    <xf numFmtId="49" fontId="0" fillId="0" borderId="59" xfId="0" applyNumberFormat="1" applyBorder="1" applyAlignment="1">
      <alignment horizontal="center" vertical="center"/>
    </xf>
    <xf numFmtId="49" fontId="0" fillId="0" borderId="58" xfId="0" applyNumberFormat="1" applyFont="1" applyBorder="1" applyAlignment="1">
      <alignment horizontal="center" vertical="center"/>
    </xf>
    <xf numFmtId="49" fontId="2" fillId="0" borderId="13" xfId="1" applyNumberFormat="1" applyBorder="1" applyAlignment="1">
      <alignment horizontal="center" vertical="center"/>
    </xf>
    <xf numFmtId="0" fontId="18" fillId="0" borderId="0" xfId="0" applyFont="1" applyFill="1" applyAlignment="1">
      <alignment readingOrder="1"/>
    </xf>
    <xf numFmtId="0" fontId="18" fillId="0" borderId="0" xfId="0" applyFont="1" applyFill="1" applyAlignment="1"/>
    <xf numFmtId="0" fontId="19" fillId="0" borderId="0" xfId="0" applyFont="1"/>
    <xf numFmtId="15" fontId="19" fillId="0" borderId="0" xfId="0" applyNumberFormat="1" applyFont="1"/>
    <xf numFmtId="0" fontId="14" fillId="0" borderId="13" xfId="0" applyFont="1" applyBorder="1" applyAlignment="1">
      <alignment horizontal="center" vertical="center"/>
    </xf>
    <xf numFmtId="0" fontId="20" fillId="0" borderId="0" xfId="0" applyFont="1"/>
    <xf numFmtId="0" fontId="0" fillId="0" borderId="24" xfId="0" applyBorder="1" applyAlignment="1">
      <alignment horizontal="center" vertical="center" wrapText="1"/>
    </xf>
    <xf numFmtId="0" fontId="21" fillId="0" borderId="0" xfId="0" applyFont="1"/>
    <xf numFmtId="0" fontId="0" fillId="0" borderId="24" xfId="0" applyNumberFormat="1" applyBorder="1" applyAlignment="1">
      <alignment horizontal="center" vertical="center"/>
    </xf>
    <xf numFmtId="49" fontId="20" fillId="0" borderId="13" xfId="0" applyNumberFormat="1" applyFont="1" applyBorder="1" applyAlignment="1">
      <alignment horizontal="center" vertical="center"/>
    </xf>
    <xf numFmtId="0" fontId="20" fillId="0" borderId="0" xfId="1" applyFont="1"/>
    <xf numFmtId="0" fontId="5" fillId="5" borderId="33" xfId="0" applyFont="1" applyFill="1" applyBorder="1" applyAlignment="1">
      <alignment horizontal="left"/>
    </xf>
    <xf numFmtId="0" fontId="5" fillId="5" borderId="34" xfId="0" applyFont="1" applyFill="1" applyBorder="1" applyAlignment="1">
      <alignment horizontal="left"/>
    </xf>
    <xf numFmtId="0" fontId="3" fillId="7" borderId="11" xfId="0" applyFont="1" applyFill="1" applyBorder="1" applyAlignment="1">
      <alignment horizontal="center"/>
    </xf>
    <xf numFmtId="0" fontId="3" fillId="7" borderId="12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8" borderId="11" xfId="0" applyFont="1" applyFill="1" applyBorder="1" applyAlignment="1">
      <alignment horizontal="center"/>
    </xf>
    <xf numFmtId="0" fontId="3" fillId="8" borderId="12" xfId="0" applyFont="1" applyFill="1" applyBorder="1" applyAlignment="1">
      <alignment horizontal="center"/>
    </xf>
    <xf numFmtId="0" fontId="3" fillId="9" borderId="11" xfId="0" applyFont="1" applyFill="1" applyBorder="1" applyAlignment="1">
      <alignment horizontal="center"/>
    </xf>
    <xf numFmtId="0" fontId="3" fillId="9" borderId="12" xfId="0" applyFont="1" applyFill="1" applyBorder="1" applyAlignment="1">
      <alignment horizontal="center"/>
    </xf>
    <xf numFmtId="0" fontId="3" fillId="9" borderId="10" xfId="0" applyFont="1" applyFill="1" applyBorder="1" applyAlignment="1">
      <alignment horizontal="center"/>
    </xf>
    <xf numFmtId="0" fontId="5" fillId="5" borderId="33" xfId="0" applyFont="1" applyFill="1" applyBorder="1" applyAlignment="1">
      <alignment horizontal="center"/>
    </xf>
    <xf numFmtId="0" fontId="5" fillId="5" borderId="34" xfId="0" applyFont="1" applyFill="1" applyBorder="1" applyAlignment="1">
      <alignment horizontal="center"/>
    </xf>
    <xf numFmtId="0" fontId="5" fillId="5" borderId="35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66">
    <dxf>
      <font>
        <color theme="1"/>
      </font>
      <alignment horizontal="left" vertical="bottom" textRotation="0" wrapText="0" indent="0" justifyLastLine="0" shrinkToFit="0" readingOrder="0"/>
    </dxf>
    <dxf>
      <font>
        <color theme="1"/>
      </font>
      <alignment horizontal="center" vertical="center" textRotation="0" wrapText="0" indent="0" justifyLastLine="0" shrinkToFit="0" readingOrder="0"/>
    </dxf>
    <dxf>
      <font>
        <color theme="1"/>
      </font>
      <numFmt numFmtId="164" formatCode="[$-409]d/mmm/yy;@"/>
      <alignment horizontal="center" vertical="center" textRotation="0" wrapText="0" indent="0" justifyLastLine="0" shrinkToFit="0" readingOrder="0"/>
    </dxf>
    <dxf>
      <font>
        <color theme="1"/>
      </font>
      <numFmt numFmtId="164" formatCode="[$-409]d/mmm/yy;@"/>
      <alignment horizontal="center" vertical="center" textRotation="0" wrapText="0" indent="0" justifyLastLine="0" shrinkToFit="0" readingOrder="0"/>
    </dxf>
    <dxf>
      <font>
        <color theme="1"/>
      </font>
      <numFmt numFmtId="164" formatCode="[$-409]d/mmm/yy;@"/>
      <alignment horizontal="center" vertical="center" textRotation="0" wrapText="0" indent="0" justifyLastLine="0" shrinkToFit="0" readingOrder="0"/>
    </dxf>
    <dxf>
      <font>
        <color theme="1"/>
      </font>
      <numFmt numFmtId="164" formatCode="[$-409]d/mmm/yy;@"/>
      <alignment horizontal="center" vertical="center" textRotation="0" wrapText="0" indent="0" justifyLastLine="0" shrinkToFit="0" readingOrder="0"/>
    </dxf>
    <dxf>
      <font>
        <color theme="1"/>
      </font>
      <numFmt numFmtId="164" formatCode="[$-409]d/mmm/yy;@"/>
      <alignment horizontal="center" vertical="center" textRotation="0" wrapText="0" indent="0" justifyLastLine="0" shrinkToFit="0" readingOrder="0"/>
    </dxf>
    <dxf>
      <font>
        <color theme="1"/>
      </font>
      <numFmt numFmtId="164" formatCode="[$-409]d/mmm/yy;@"/>
      <alignment horizontal="center" vertical="center" textRotation="0" wrapText="0" indent="0" justifyLastLine="0" shrinkToFit="0" readingOrder="0"/>
    </dxf>
    <dxf>
      <font>
        <color theme="1"/>
      </font>
      <alignment horizontal="center" vertical="center" textRotation="0" wrapText="0" indent="0" justifyLastLine="0" shrinkToFit="0" readingOrder="0"/>
      <border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theme="1"/>
      </font>
      <alignment horizontal="center" vertical="center" textRotation="0" wrapText="0" indent="0" justifyLastLine="0" shrinkToFit="0" readingOrder="0"/>
      <border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theme="1"/>
      </font>
      <alignment horizontal="center" vertical="center" textRotation="0" wrapText="0" indent="0" justifyLastLine="0" shrinkToFit="0" readingOrder="0"/>
      <border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theme="1"/>
      </font>
      <alignment horizontal="center" vertical="center" textRotation="0" wrapText="0" indent="0" justifyLastLine="0" shrinkToFit="0" readingOrder="0"/>
      <border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theme="1"/>
      </font>
      <alignment horizontal="center" vertical="center" textRotation="0" wrapText="0" indent="0" justifyLastLine="0" shrinkToFit="0" readingOrder="0"/>
      <border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&quot;₹&quot;\ #,##0.00"/>
      <alignment horizontal="center" vertical="center" textRotation="0" wrapText="0" indent="0" justifyLastLine="0" shrinkToFit="0" readingOrder="0"/>
    </dxf>
    <dxf>
      <numFmt numFmtId="166" formatCode="&quot;₹&quot;\ #,##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&quot;₹&quot;\ #,##0.00"/>
      <alignment horizontal="center" vertical="center" textRotation="0" wrapText="0" indent="0" justifyLastLine="0" shrinkToFit="0" readingOrder="0"/>
    </dxf>
    <dxf>
      <numFmt numFmtId="166" formatCode="&quot;₹&quot;\ #,##0.00"/>
      <alignment horizontal="center" vertical="center" textRotation="0" wrapText="0" indent="0" justifyLastLine="0" shrinkToFit="0" readingOrder="0"/>
    </dxf>
    <dxf>
      <font>
        <color theme="1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color theme="1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color theme="1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7" formatCode="[$-14009]dd\ mmmm\ yyyy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7" formatCode="[$-14009]dd\ mmmm\ yyyy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7" formatCode="[$-14009]dd\ mmmm\ yyyy;@"/>
      <alignment horizontal="center" vertical="center" textRotation="0" wrapText="0" indent="0" justifyLastLine="0" shrinkToFit="0" readingOrder="0"/>
    </dxf>
    <dxf>
      <font>
        <color rgb="FF0070C0"/>
      </font>
      <alignment horizontal="center" vertical="center" textRotation="0" wrapText="0" indent="0" justifyLastLine="0" shrinkToFit="0" readingOrder="0"/>
    </dxf>
    <dxf>
      <font>
        <color theme="1"/>
      </font>
      <numFmt numFmtId="30" formatCode="@"/>
      <alignment horizontal="center" vertical="center" textRotation="0" wrapText="0" indent="0" justifyLastLine="0" shrinkToFit="0" readingOrder="0"/>
    </dxf>
    <dxf>
      <font>
        <color theme="1"/>
      </font>
      <alignment horizontal="center" vertical="center" textRotation="0" wrapText="0" indent="0" justifyLastLine="0" shrinkToFit="0" readingOrder="0"/>
    </dxf>
    <dxf>
      <font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color theme="1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color theme="1"/>
      </font>
      <numFmt numFmtId="0" formatCode="General"/>
      <alignment horizontal="center" vertical="center" textRotation="0" wrapText="0" indent="0" justifyLastLine="0" shrinkToFit="0" readingOrder="0"/>
    </dxf>
    <dxf>
      <font>
        <color theme="1"/>
      </font>
      <numFmt numFmtId="167" formatCode="[$-14009]dd\ mmmm\ yyyy;@"/>
      <alignment horizontal="center" vertical="center" textRotation="0" wrapText="0" indent="0" justifyLastLine="0" shrinkToFit="0" readingOrder="0"/>
      <border>
        <left style="thin">
          <color indexed="64"/>
        </left>
      </border>
    </dxf>
    <dxf>
      <font>
        <color theme="1"/>
      </font>
      <alignment horizontal="center" vertical="center" textRotation="0" wrapText="0" indent="0" justifyLastLine="0" shrinkToFit="0" readingOrder="0"/>
    </dxf>
    <dxf>
      <font>
        <color theme="1"/>
      </font>
      <fill>
        <patternFill patternType="none"/>
      </fill>
      <alignment horizontal="center" vertical="bottom" textRotation="0" wrapText="0" indent="0" justifyLastLine="0" shrinkToFit="0" readingOrder="0"/>
    </dxf>
    <dxf>
      <border>
        <bottom style="medium">
          <color indexed="64"/>
        </bottom>
      </border>
    </dxf>
    <dxf>
      <font>
        <color theme="1"/>
      </font>
    </dxf>
    <dxf>
      <font>
        <b/>
      </font>
      <alignment horizontal="center" vertical="center" textRotation="0" wrapText="0" indent="0" justifyLastLine="0" shrinkToFit="0" readingOrder="0"/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0000"/>
      </font>
      <fill>
        <patternFill patternType="solid">
          <bgColor theme="7" tint="0.5999938962981048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</dxfs>
  <tableStyles count="1" defaultTableStyle="TableStyleMedium2" defaultPivotStyle="PivotStyleLight16">
    <tableStyle name="Table Style 1" pivot="0" count="0" xr9:uid="{00000000-0011-0000-FFFF-FFFF00000000}"/>
  </tableStyles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F82CC4BE-C8C9-4977-B4B8-1A5BED8B56D8}">
    <nsvFilter filterId="{00000000-0009-0000-0100-000005000000}" ref="B4:AU1004" tableId="5">
      <sortRules>
        <sortRule colId="45" id="{00000000-0010-0000-0000-000018000000}">
          <sortCondition ref="AU4:AU1004"/>
        </sortRule>
      </sortRules>
    </nsvFilter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Enchanting MP" id="{A87A03F1-D194-4224-B6ED-B822BAF16891}" userId="fa15973c0be6e517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989224421297" createdVersion="8" refreshedVersion="8" minRefreshableVersion="3" recordCount="1000" xr:uid="{9F37AABC-B3B2-46EA-9241-4C5DCF69C861}">
  <cacheSource type="worksheet">
    <worksheetSource name="Table5"/>
  </cacheSource>
  <cacheFields count="46">
    <cacheField name="S. No" numFmtId="0">
      <sharedItems containsSemiMixedTypes="0" containsString="0" containsNumber="1" containsInteger="1" minValue="1" maxValue="1000"/>
    </cacheField>
    <cacheField name="Query No." numFmtId="0">
      <sharedItems containsBlank="1" count="2702">
        <s v="EMP26-27EMP0001"/>
        <s v="EMP26-27EMP0002"/>
        <s v="EMP26-27EMP0003"/>
        <s v="EMP26-27EMP0004"/>
        <s v="EMP26-27EMP0005"/>
        <s v="EMP26-27EMP0006"/>
        <s v="EMP26-27EMP0007"/>
        <s v="EMP26-27EMP0008"/>
        <s v="EMP26-27EMP0009"/>
        <s v="EMP26-27EMP0010"/>
        <s v="EMP26-27EMP0011"/>
        <s v="EMP26-27EMP0012"/>
        <s v="EMP26-27EMP0013"/>
        <s v="EMP26-27EMP0014"/>
        <s v="EMP26-27EMP0015"/>
        <s v="EMP26-27EMP0016"/>
        <s v="EMP26-27EMP0017"/>
        <s v="EMP26-27EMP0018"/>
        <s v="EMP26-27EMP0019"/>
        <s v="EMP26-27EMP0020"/>
        <s v="EMP26-27EMP0021"/>
        <s v="EMP26-27EMP0022"/>
        <s v="EMP26-27EMP0023"/>
        <s v="EMP26-27EMP0024"/>
        <s v="EMP26-27EMP0025"/>
        <s v="EMP26-27EMP0026"/>
        <s v="EMP26-27EMP0027"/>
        <s v="EMP26-27EMP0028"/>
        <s v="EMP26-27EMP0029"/>
        <s v="EMP26-27EMP0030"/>
        <s v="EMP26-27EMP0031"/>
        <s v="EMP26-27EMP0032"/>
        <s v="EMP26-27EMP0033"/>
        <s v="EMP26-27EMP0034"/>
        <s v="EMP26-27EMP0035"/>
        <s v="EMP26-27EMP0036"/>
        <s v="EMP26-27EMP0037"/>
        <s v="EMP26-27EMP0038"/>
        <s v="EMP26-27EMP0039"/>
        <s v="EMP26-27EMP0040"/>
        <s v="EMP26-27EMP0041"/>
        <s v="EMP26-27EMP0042"/>
        <s v="EMP26-27EMP0043"/>
        <s v="EMP26-27EMP0044"/>
        <s v="EMP26-27EMP0045"/>
        <s v="EMP26-27EMP0046"/>
        <s v="EMP26-27EMP0047"/>
        <s v="EMP26-27EMP0048"/>
        <s v="EMP26-27EMP0049"/>
        <s v="EMP26-27EMP0050"/>
        <s v="EMP26-27EMP0051"/>
        <s v="EMP26-27EMP0052"/>
        <s v="EMP26-27EMP0053"/>
        <s v="EMP26-27EMP0054"/>
        <s v="EMP26-27EMP0055"/>
        <s v="EMP26-27EMP0056"/>
        <s v="EMP26-27EMP0057"/>
        <s v="EMP26-27EMP0058"/>
        <s v="EMP26-27EMP0059"/>
        <s v="EMP26-27EMP0060"/>
        <s v="EMP26-27EMP0061"/>
        <s v="EMP26-27EMP0062"/>
        <s v="EMP26-27EMP0063"/>
        <s v="EMP26-27EMP0064"/>
        <s v="EMP26-27EMP0065"/>
        <s v="EMP26-27EMP0066"/>
        <s v="EMP26-27EMP0067"/>
        <s v="EMP26-27EMP0068"/>
        <s v="EMP26-27EMP0069"/>
        <s v="EMP26-27EMP0070"/>
        <s v="EMP26-27EMP0071"/>
        <s v="EMP26-27EMP0072"/>
        <s v="EMP26-27EMP0073"/>
        <s v="EMP26-27EMP0074"/>
        <s v="EMP26-27EMP0075"/>
        <s v="EMP26-27EMP0076"/>
        <s v="EMP26-27EMP0077"/>
        <s v="EMP26-27EMP0078"/>
        <s v="EMP26-27EMP0079"/>
        <s v="EMP26-27EMP0080"/>
        <s v="EMP26-27EMP0081"/>
        <s v="EMP26-27EMP0082"/>
        <s v="EMP26-27EMP0083"/>
        <s v="EMP26-27EMP0084"/>
        <s v="EMP26-27EMP0085"/>
        <s v="EMP26-27EMP0086"/>
        <s v="EMP26-27EMP0087"/>
        <s v="EMP26-27EMP0088"/>
        <s v="EMP26-27EMP0089"/>
        <s v="EMP26-27EMP0090"/>
        <s v="EMP26-27EMP0091"/>
        <s v="EMP26-27EMP0092"/>
        <s v="EMP26-27EMP0093"/>
        <s v="EMP26-27EMP0094"/>
        <s v="EMP26-27EMP0095"/>
        <s v="EMP26-27EMP0096"/>
        <s v="EMP26-27EMP0097"/>
        <s v="EMP26-27EMP0098"/>
        <s v="EMP26-27EMP0099"/>
        <s v="EMP26-27EMP0100"/>
        <s v="EMP26-27EMP0101"/>
        <s v="EMP26-27EMP0102"/>
        <s v="EMP26-27EMP0103"/>
        <s v="EMP26-27EMP0104"/>
        <s v="EMP26-27EMP0105"/>
        <s v="EMP26-27EMP0106"/>
        <s v="EMP26-27EMP0107"/>
        <s v="EMP26-27EMP0108"/>
        <s v="EMP26-27EMP0109"/>
        <s v="EMP26-27EMP0110"/>
        <s v="EMP26-27EMP0111"/>
        <s v="EMP26-27EMP0112"/>
        <s v="EMP26-27EMP0113"/>
        <s v="EMP26-27EMP0114"/>
        <s v="EMP26-27EMP0115"/>
        <s v="EMP26-27EMP0116"/>
        <s v="EMP26-27EMP0117"/>
        <s v="EMP26-27EMP0118"/>
        <s v="EMP26-27EMP0119"/>
        <s v="EMP26-27EMP0120"/>
        <s v="EMP26-27EMP0121"/>
        <s v="EMP26-27EMP0122"/>
        <s v="EMP26-27EMP0123"/>
        <s v="EMP26-27EMP0124"/>
        <s v="EMP26-27EMP0125"/>
        <s v="EMP26-27EMP0126"/>
        <s v="EMP26-27EMP0127"/>
        <s v="EMP26-27EMP0128"/>
        <s v="EMP26-27EMP0129"/>
        <s v="EMP26-27EMP0130"/>
        <s v="EMP26-27EMP0131"/>
        <s v="EMP26-27EMP0132"/>
        <s v="EMP26-27EMP0133"/>
        <s v="EMP26-27EMP0134"/>
        <s v="EMP26-27EMP0135"/>
        <s v="EMP26-27EMP0136"/>
        <s v="EMP26-27EMP0137"/>
        <s v="EMP26-27EMP0138"/>
        <s v="EMP26-27EMP0139"/>
        <s v="EMP26-27EMP0140"/>
        <s v="EMP26-27EMP0141"/>
        <s v="EMP26-27EMP0142"/>
        <s v="EMP26-27EMP0143"/>
        <s v="EMP26-27EMP0144"/>
        <s v="EMP26-27EMP0145"/>
        <s v="EMP26-27EMP0146"/>
        <s v="EMP26-27EMP0147"/>
        <s v="EMP26-27EMP0148"/>
        <s v="EMP26-27EMP0149"/>
        <s v="EMP26-27EMP0150"/>
        <s v="EMP26-27EMP0151"/>
        <s v="EMP26-27EMP0152"/>
        <s v="EMP26-27EMP0153"/>
        <s v="EMP26-27EMP0154"/>
        <s v="EMP26-27EMP0155"/>
        <s v="EMP26-27EMP0156"/>
        <s v="EMP26-27EMP0157"/>
        <s v="EMP26-27EMP0158"/>
        <s v="EMP26-27EMP0159"/>
        <s v="EMP26-27EMP0160"/>
        <s v="EMP26-27EMP0161"/>
        <s v="EMP26-27EMP0162"/>
        <s v="EMP26-27EMP0163"/>
        <s v="EMP26-27EMP0164"/>
        <s v="EMP26-27EMP0165"/>
        <s v="EMP26-27EMP0166"/>
        <s v="EMP26-27EMP0167"/>
        <s v="EMP26-27EMP0168"/>
        <s v="EMP26-27EMP0169"/>
        <s v="EMP26-27EMP0170"/>
        <s v="EMP26-27EMP0171"/>
        <s v="EMP26-27EMP0172"/>
        <s v="EMP26-27EMP0173"/>
        <s v="EMP26-27EMP0174"/>
        <s v="EMP26-27EMP0175"/>
        <s v="EMP26-27EMP0176"/>
        <s v="EMP26-27EMP0177"/>
        <s v="EMP26-27EMP0178"/>
        <s v="EMP26-27EMP0179"/>
        <s v="EMP26-27EMP0180"/>
        <s v="EMP26-27EMP0181"/>
        <s v="EMP26-27EMP0182"/>
        <s v="EMP26-27EMP0183"/>
        <s v="EMP26-27EMP0184"/>
        <s v="EMP26-27EMP0185"/>
        <s v="EMP26-27EMP0186"/>
        <s v="EMP26-27EMP0187"/>
        <s v="EMP26-27EMP0188"/>
        <s v="EMP26-27EMP0189"/>
        <s v="EMP26-27EMP0190"/>
        <s v="EMP26-27EMP0191"/>
        <s v="EMP26-27EMP0192"/>
        <s v="EMP26-27EMP0193"/>
        <s v="EMP26-27EMP0194"/>
        <s v="EMP26-27EMP0195"/>
        <s v="EMP26-27EMP0196"/>
        <s v="EMP26-27EMP0197"/>
        <s v="EMP26-27EMP0198"/>
        <s v="EMP26-27EMP0199"/>
        <s v="EMP26-27EMP0200"/>
        <s v="EMP26-27EMP0201"/>
        <s v="EMP26-27EMP0202"/>
        <s v="EMP26-27EMP0203"/>
        <s v="EMP26-27EMP0204"/>
        <s v="EMP26-27EMP0205"/>
        <s v="EMP26-27EMP0206"/>
        <s v="EMP26-27EMP0207"/>
        <s v="EMP26-27EMP0208"/>
        <s v="EMP26-27EMP0209"/>
        <s v="EMP26-27EMP0210"/>
        <s v="EMP26-27EMP0211"/>
        <s v="EMP26-27EMP0212"/>
        <s v="EMP26-27EMP0213"/>
        <s v="EMP26-27EMP0214"/>
        <s v="EMP26-27EMP0215"/>
        <s v="EMP26-27EMP0216"/>
        <s v="EMP26-27EMP0217"/>
        <s v="EMP26-27EMP0218"/>
        <s v="EMP26-27EMP0219"/>
        <s v="EMP26-27EMP0220"/>
        <s v="EMP26-27EMP0221"/>
        <s v="EMP26-27EMP0222"/>
        <s v="EMP26-27EMP0223"/>
        <s v="EMP26-27EMP0224"/>
        <s v="EMP26-27EMP0225"/>
        <s v="EMP26-27EMP0226"/>
        <s v="EMP26-27EMP0227"/>
        <s v="EMP26-27EMP0228"/>
        <s v="EMP26-27EMP0229"/>
        <s v="EMP26-27EMP0230"/>
        <s v="EMP26-27EMP0231"/>
        <s v="EMP26-27EMP0232"/>
        <s v="EMP26-27EMP0233"/>
        <s v="EMP26-27EMP0234"/>
        <s v="EMP26-27EMP0235"/>
        <s v="EMP26-27EMP0236"/>
        <s v="EMP26-27EMP0237"/>
        <s v="EMP26-27EMP0238"/>
        <s v="EMP26-27EMP0239"/>
        <s v="EMP26-27EMP0240"/>
        <s v="EMP26-27EMP0241"/>
        <s v="EMP26-27EMP0242"/>
        <s v="EMP26-27EMP0243"/>
        <s v="EMP26-27EMP0244"/>
        <s v="EMP26-27EMP0245"/>
        <s v="EMP26-27EMP0246"/>
        <s v="EMP26-27EMP0247"/>
        <s v="EMP26-27EMP0248"/>
        <s v="EMP26-27EMP0249"/>
        <s v="EMP26-27EMP0250"/>
        <s v="EMP26-27EMP0251"/>
        <s v="EMP26-27EMP0252"/>
        <s v="EMP26-27EMP0253"/>
        <s v="EMP26-27EMP0254"/>
        <s v="EMP26-27EMP0255"/>
        <s v="EMP26-27EMP0256"/>
        <s v="EMP26-27EMP0257"/>
        <s v="EMP26-27EMP0258"/>
        <s v="EMP26-27EMP0259"/>
        <s v="EMP26-27EMP0260"/>
        <s v="EMP26-27EMP0261"/>
        <s v="EMP26-27EMP0262"/>
        <s v="EMP26-27EMP0263"/>
        <s v="EMP26-27EMP0264"/>
        <s v="EMP26-27EMP0265"/>
        <s v="EMP26-27EMP0266"/>
        <s v="EMP26-27EMP0267"/>
        <s v="EMP26-27EMP0268"/>
        <s v="EMP26-27EMP0269"/>
        <s v="EMP26-27EMP0270"/>
        <s v="EMP26-27EMP0271"/>
        <s v="EMP26-27EMP0272"/>
        <s v="EMP26-27EMP0273"/>
        <s v="EMP26-27EMP0274"/>
        <s v="EMP26-27EMP0275"/>
        <s v="EMP26-27EMP0276"/>
        <s v="EMP26-27EMP0277"/>
        <s v="EMP26-27EMP0278"/>
        <s v="EMP26-27EMP0279"/>
        <s v="EMP26-27EMP0280"/>
        <s v="EMP26-27EMP0281"/>
        <s v="EMP26-27EMP0282"/>
        <s v="EMP26-27EMP0283"/>
        <s v="EMP26-27EMP0284"/>
        <s v="EMP26-27EMP0285"/>
        <s v="EMP26-27EMP0286"/>
        <s v="EMP26-27EMP0287"/>
        <s v="EMP26-27EMP0288"/>
        <s v="EMP26-27EMP0289"/>
        <s v="EMP26-27EMP0290"/>
        <s v="EMP26-27EMP0291"/>
        <s v="EMP26-27EMP0292"/>
        <s v="EMP26-27EMP0293"/>
        <s v="EMP26-27EMP0294"/>
        <s v="EMP26-27EMP0295"/>
        <s v="EMP26-27EMP0296"/>
        <s v="EMP26-27EMP0297"/>
        <s v="EMP26-27EMP0298"/>
        <s v="EMP26-27EMP0299"/>
        <s v="EMP26-27EMP0300"/>
        <s v="EMP26-27EMP0301"/>
        <s v="EMP26-27EMP0302"/>
        <s v="EMP26-27EMP0303"/>
        <s v="EMP26-27EMP0304"/>
        <s v="EMP26-27EMP0305"/>
        <s v="EMP26-27EMP0306"/>
        <s v="EMP26-27EMP0307"/>
        <s v="EMP26-27EMP0308"/>
        <s v="EMP26-27EMP0309"/>
        <s v="EMP26-27EMP0310"/>
        <s v="EMP26-27EMP0311"/>
        <s v="EMP26-27EMP0312"/>
        <s v="EMP26-27EMP0313"/>
        <s v="EMP26-27EMP0314"/>
        <s v="EMP26-27EMP0315"/>
        <s v="EMP26-27EMP0316"/>
        <s v="EMP26-27EMP0317"/>
        <s v="EMP26-27EMP0318"/>
        <s v="EMP26-27EMP0319"/>
        <s v="EMP26-27EMP0320"/>
        <s v="EMP26-27EMP0321"/>
        <s v="EMP26-27EMP0322"/>
        <s v="EMP26-27EMP0323"/>
        <s v="EMP26-27EMP0324"/>
        <s v="EMP26-27EMP0325"/>
        <s v="EMP26-27EMP0326"/>
        <s v="EMP26-27EMP0327"/>
        <s v="EMP26-27EMP0328"/>
        <s v="EMP26-27EMP0329"/>
        <s v="EMP26-27EMP0330"/>
        <s v="EMP26-27EMP0331"/>
        <s v="EMP26-27EMP0332"/>
        <s v="EMP26-27EMP0333"/>
        <s v="EMP26-27EMP0334"/>
        <s v="EMP26-27EMP0335"/>
        <s v="EMP26-27EMP0336"/>
        <s v="EMP26-27EMP0337"/>
        <s v="EMP26-27EMP0338"/>
        <s v="EMP26-27EMP0339"/>
        <s v="EMP26-27EMP0340"/>
        <s v="EMP26-27EMP0341"/>
        <s v="EMP26-27EMP0342"/>
        <s v="EMP26-27EMP0343"/>
        <s v="EMP26-27EMP0344"/>
        <s v="EMP26-27EMP0345"/>
        <s v="EMP26-27EMP0346"/>
        <s v="EMP26-27EMP0347"/>
        <s v="EMP26-27EMP0348"/>
        <s v="EMP26-27EMP0349"/>
        <s v="EMP26-27EMP0350"/>
        <s v="EMP26-27EMP0351"/>
        <s v="EMP26-27EMP0352"/>
        <s v="EMP26-27EMP0353"/>
        <s v="EMP26-27EMP0354"/>
        <s v="EMP26-27EMP0355"/>
        <s v="EMP26-27EMP0356"/>
        <s v="EMP26-27EMP0357"/>
        <s v="EMP26-27EMP0358"/>
        <s v="EMP26-27EMP0359"/>
        <s v="EMP26-27EMP0360"/>
        <s v="EMP26-27EMP0361"/>
        <s v="EMP26-27EMP0362"/>
        <s v="EMP26-27EMP0363"/>
        <s v="EMP26-27EMP0364"/>
        <s v="EMP26-27EMP0365"/>
        <s v="EMP26-27EMP0366"/>
        <s v="EMP26-27EMP0367"/>
        <s v="EMP26-27EMP0368"/>
        <s v="EMP26-27EMP0369"/>
        <s v="EMP26-27EMP0370"/>
        <s v="EMP26-27EMP0371"/>
        <s v="EMP26-27EMP0372"/>
        <s v="EMP26-27EMP0373"/>
        <s v="EMP26-27EMP0374"/>
        <s v="EMP26-27EMP0375"/>
        <s v="EMP26-27EMP0376"/>
        <s v="EMP26-27EMP0377"/>
        <s v="EMP26-27EMP0378"/>
        <s v="EMP26-27EMP0379"/>
        <s v="EMP26-27EMP0380"/>
        <s v="EMP26-27EMP0381"/>
        <s v="EMP26-27EMP0382"/>
        <s v="EMP26-27EMP0383"/>
        <s v="EMP26-27EMP0384"/>
        <s v="EMP26-27EMP0385"/>
        <s v="EMP26-27EMP0386"/>
        <s v="EMP26-27EMP0387"/>
        <s v="EMP26-27EMP0388"/>
        <s v="EMP26-27EMP0389"/>
        <s v="EMP26-27EMP0390"/>
        <s v="EMP26-27EMP0391"/>
        <s v="EMP26-27EMP0392"/>
        <s v="EMP26-27EMP0393"/>
        <s v="EMP26-27EMP0394"/>
        <s v="EMP26-27EMP0395"/>
        <s v="EMP26-27EMP0396"/>
        <s v="EMP26-27EMP0397"/>
        <s v="EMP26-27EMP0398"/>
        <s v="EMP26-27EMP0399"/>
        <s v="EMP26-27EMP0400"/>
        <s v="EMP26-27EMP0401"/>
        <s v="EMP26-27EMP0402"/>
        <s v="EMP26-27EMP0403"/>
        <s v="EMP26-27EMP0404"/>
        <s v="EMP26-27EMP0405"/>
        <s v="EMP26-27EMP0406"/>
        <s v="EMP26-27EMP0407"/>
        <s v="EMP26-27EMP0408"/>
        <s v="EMP26-27EMP0409"/>
        <s v="EMP26-27EMP0410"/>
        <s v="EMP26-27EMP0411"/>
        <s v="EMP26-27EMP0412"/>
        <s v="EMP26-27EMP0413"/>
        <s v="EMP26-27EMP0414"/>
        <s v="EMP26-27EMP0415"/>
        <s v="EMP26-27EMP0416"/>
        <s v="EMP26-27EMP0417"/>
        <s v="EMP26-27EMP0418"/>
        <s v="EMP26-27EMP0419"/>
        <s v="EMP26-27EMP0420"/>
        <s v="EMP26-27EMP0421"/>
        <s v="EMP26-27EMP0422"/>
        <s v="EMP26-27EMP0423"/>
        <s v="EMP26-27EMP0424"/>
        <s v="EMP26-27EMP0425"/>
        <s v="EMP26-27EMP0426"/>
        <s v="EMP26-27EMP0427"/>
        <s v="EMP26-27EMP0428"/>
        <s v="EMP26-27EMP0429"/>
        <s v="EMP26-27EMP0430"/>
        <s v="EMP26-27EMP0431"/>
        <s v="EMP26-27EMP0432"/>
        <s v="EMP26-27EMP0433"/>
        <s v="EMP26-27EMP0434"/>
        <s v="EMP26-27EMP0435"/>
        <s v="EMP26-27EMP0436"/>
        <s v="EMP26-27EMP0437"/>
        <s v="EMP26-27EMP0438"/>
        <s v="EMP26-27EMP0439"/>
        <s v="EMP26-27EMP0440"/>
        <s v="EMP26-27EMP0441"/>
        <s v="EMP26-27EMP0442"/>
        <s v="EMP26-27EMP0443"/>
        <s v="EMP26-27EMP0444"/>
        <s v="EMP26-27EMP0445"/>
        <s v="EMP26-27EMP0446"/>
        <s v="EMP26-27EMP0447"/>
        <s v="EMP26-27EMP0448"/>
        <s v="EMP26-27EMP0449"/>
        <s v="EMP26-27EMP0450"/>
        <s v="EMP26-27EMP0451"/>
        <s v="EMP26-27EMP0452"/>
        <s v="EMP26-27EMP0453"/>
        <s v="EMP26-27EMP0454"/>
        <s v="EMP26-27EMP0455"/>
        <s v="EMP26-27EMP0456"/>
        <s v="EMP26-27EMP0457"/>
        <s v="EMP26-27EMP0458"/>
        <s v="EMP26-27EMP0459"/>
        <s v="EMP26-27EMP0460"/>
        <s v="EMP26-27EMP0461"/>
        <s v="EMP26-27EMP0462"/>
        <s v="EMP26-27EMP0463"/>
        <s v="EMP26-27EMP0464"/>
        <s v="EMP26-27EMP0465"/>
        <s v="EMP26-27EMP0466"/>
        <s v="EMP26-27EMP0467"/>
        <s v="EMP26-27EMP0468"/>
        <s v="EMP26-27EMP0469"/>
        <s v="EMP26-27EMP0470"/>
        <s v="EMP26-27EMP0471"/>
        <s v="EMP26-27EMP0472"/>
        <s v="EMP26-27EMP0473"/>
        <s v="EMP26-27EMP0474"/>
        <s v="EMP26-27EMP0475"/>
        <s v="EMP26-27EMP0476"/>
        <s v="EMP26-27EMP0477"/>
        <s v="EMP26-27EMP0478"/>
        <s v="EMP26-27EMP0479"/>
        <s v="EMP26-27EMP0480"/>
        <s v="EMP26-27EMP0481"/>
        <s v="EMP26-27EMP0482"/>
        <s v="EMP26-27EMP0483"/>
        <s v="EMP26-27EMP0484"/>
        <s v="EMP26-27EMP0485"/>
        <s v="EMP26-27EMP0486"/>
        <s v="EMP26-27EMP0487"/>
        <s v="EMP26-27EMP0488"/>
        <s v="EMP26-27EMP0489"/>
        <s v="EMP26-27EMP0490"/>
        <s v="EMP26-27EMP0491"/>
        <s v="EMP26-27EMP0492"/>
        <s v="EMP26-27EMP0493"/>
        <s v="EMP26-27EMP0494"/>
        <s v="EMP26-27EMP0495"/>
        <s v="EMP26-27EMP0496"/>
        <s v="EMP26-27EMP0497"/>
        <s v="EMP26-27EMP0498"/>
        <s v="EMP26-27EMP0499"/>
        <s v="EMP26-27EMP0500"/>
        <s v="EMP26-27EMP0501"/>
        <s v="EMP26-27EMP0502"/>
        <s v="EMP26-27EMP0503"/>
        <s v="EMP26-27EMP0504"/>
        <s v="EMP26-27EMP0505"/>
        <s v="EMP26-27EMP0506"/>
        <s v="EMP26-27EMP0507"/>
        <s v="EMP26-27EMP0508"/>
        <s v="EMP26-27EMP0509"/>
        <s v="EMP26-27EMP0510"/>
        <s v="EMP26-27EMP0511"/>
        <s v="EMP26-27EMP0512"/>
        <s v="EMP26-27EMP0513"/>
        <s v="EMP26-27EMP0514"/>
        <s v="EMP26-27EMP0515"/>
        <s v="EMP26-27EMP0516"/>
        <s v="EMP26-27EMP0517"/>
        <s v="EMP26-27EMP0518"/>
        <s v="EMP26-27EMP0519"/>
        <s v="EMP26-27EMP0520"/>
        <s v="EMP26-27EMP0521"/>
        <s v="EMP26-27EMP0522"/>
        <s v="EMP26-27EMP0523"/>
        <s v="EMP26-27EMP0524"/>
        <s v="EMP26-27EMP0525"/>
        <s v="EMP26-27EMP0526"/>
        <s v="EMP26-27EMP0527"/>
        <s v="EMP26-27EMP0528"/>
        <s v="EMP26-27EMP0529"/>
        <s v="EMP26-27EMP0530"/>
        <s v="EMP26-27EMP0531"/>
        <s v="EMP26-27EMP0532"/>
        <s v="EMP26-27EMP0533"/>
        <s v="EMP26-27EMP0534"/>
        <s v="EMP26-27EMP0535"/>
        <s v="EMP26-27EMP0536"/>
        <s v="EMP26-27EMP0537"/>
        <s v="EMP26-27EMP0538"/>
        <s v="EMP26-27EMP0539"/>
        <s v="EMP26-27EMP0540"/>
        <s v="EMP26-27EMP0541"/>
        <s v="EMP26-27EMP0542"/>
        <s v="EMP26-27EMP0543"/>
        <s v="EMP26-27EMP0544"/>
        <s v="EMP26-27EMP0545"/>
        <s v="EMP26-27EMP0546"/>
        <s v="EMP26-27EMP0547"/>
        <s v="EMP26-27EMP0548"/>
        <s v="EMP26-27EMP0549"/>
        <s v="EMP26-27EMP0550"/>
        <s v="EMP26-27EMP0551"/>
        <s v="EMP26-27EMP0552"/>
        <s v="EMP26-27EMP0553"/>
        <s v="EMP26-27EMP0554"/>
        <s v="EMP26-27EMP0555"/>
        <s v="EMP26-27EMP0556"/>
        <s v="EMP26-27EMP0557"/>
        <s v="EMP26-27EMP0558"/>
        <s v="EMP26-27EMP0559"/>
        <s v="EMP26-27EMP0560"/>
        <s v="EMP26-27EMP0561"/>
        <s v="EMP26-27EMP0562"/>
        <s v="EMP26-27EMP0563"/>
        <s v="EMP26-27EMP0564"/>
        <s v="EMP26-27EMP0565"/>
        <s v="EMP26-27EMP0566"/>
        <s v="EMP26-27EMP0567"/>
        <s v="EMP26-27EMP0568"/>
        <s v="EMP26-27EMP0569"/>
        <s v="EMP26-27EMP0570"/>
        <s v="EMP26-27EMP0571"/>
        <s v="EMP26-27EMP0572"/>
        <s v="EMP26-27EMP0573"/>
        <s v="EMP26-27EMP0574"/>
        <s v="EMP26-27EMP0575"/>
        <s v="EMP26-27EMP0576"/>
        <s v="EMP26-27EMP0577"/>
        <s v="EMP26-27EMP0578"/>
        <s v="EMP26-27EMP0579"/>
        <s v="EMP26-27EMP0580"/>
        <s v="EMP26-27EMP0581"/>
        <s v="EMP26-27EMP0582"/>
        <s v="EMP26-27EMP0583"/>
        <s v="EMP26-27EMP0584"/>
        <s v="EMP26-27EMP0585"/>
        <s v="EMP26-27EMP0586"/>
        <s v="EMP26-27EMP0587"/>
        <s v="EMP26-27EMP0588"/>
        <s v="EMP26-27EMP0589"/>
        <s v="EMP26-27EMP0590"/>
        <s v="EMP26-27EMP0591"/>
        <s v="EMP26-27EMP0592"/>
        <s v="EMP26-27EMP0593"/>
        <s v="EMP26-27EMP0594"/>
        <s v="EMP26-27EMP0595"/>
        <s v="EMP26-27EMP0596"/>
        <s v="EMP26-27EMP0597"/>
        <s v="EMP26-27EMP0598"/>
        <s v="EMP26-27EMP0599"/>
        <s v="EMP26-27EMP0600"/>
        <s v="EMP26-27EMP0601"/>
        <s v="EMP26-27EMP0602"/>
        <s v="EMP26-27EMP0603"/>
        <s v="EMP26-27EMP0604"/>
        <s v="EMP26-27EMP0605"/>
        <s v="EMP26-27EMP0606"/>
        <s v="EMP26-27EMP0607"/>
        <s v="EMP26-27EMP0608"/>
        <s v="EMP26-27EMP0609"/>
        <s v="EMP26-27EMP0610"/>
        <s v="EMP26-27EMP0611"/>
        <s v="EMP26-27EMP0612"/>
        <s v="EMP26-27EMP0613"/>
        <s v="EMP26-27EMP0614"/>
        <s v="EMP26-27EMP0615"/>
        <s v="EMP26-27EMP0616"/>
        <s v="EMP26-27EMP0617"/>
        <s v="EMP26-27EMP0618"/>
        <s v="EMP26-27EMP0619"/>
        <s v="EMP26-27EMP0620"/>
        <s v="EMP26-27EMP0621"/>
        <s v="EMP26-27EMP0622"/>
        <s v="EMP26-27EMP0623"/>
        <s v="EMP26-27EMP0624"/>
        <s v="EMP26-27EMP0625"/>
        <s v="EMP26-27EMP0626"/>
        <s v="EMP26-27EMP0627"/>
        <s v="EMP26-27EMP0628"/>
        <s v="EMP26-27EMP0629"/>
        <s v="EMP26-27EMP0630"/>
        <s v="EMP26-27EMP0631"/>
        <s v="EMP26-27EMP0632"/>
        <s v="EMP26-27EMP0633"/>
        <s v="EMP26-27EMP0634"/>
        <s v="EMP26-27EMP0635"/>
        <s v="EMP26-27EMP0636"/>
        <s v="EMP26-27EMP0637"/>
        <s v="EMP26-27EMP0638"/>
        <s v="EMP26-27EMP0639"/>
        <s v="EMP26-27EMP0640"/>
        <s v="EMP26-27EMP0641"/>
        <s v="EMP26-27EMP0642"/>
        <s v="EMP26-27EMP0643"/>
        <s v="EMP26-27EMP0644"/>
        <s v="EMP26-27EMP0645"/>
        <s v="EMP26-27EMP0646"/>
        <s v="EMP26-27EMP0647"/>
        <s v="EMP26-27EMP0648"/>
        <s v="EMP26-27EMP0649"/>
        <s v="EMP26-27EMP0650"/>
        <s v="EMP26-27EMP0651"/>
        <s v="EMP26-27EMP0652"/>
        <s v="EMP26-27EMP0653"/>
        <s v="EMP26-27EMP0654"/>
        <s v="EMP26-27EMP0655"/>
        <s v="EMP26-27EMP0656"/>
        <s v="EMP26-27EMP0657"/>
        <s v="EMP26-27EMP0658"/>
        <s v="EMP26-27EMP0659"/>
        <s v="EMP26-27EMP0660"/>
        <s v="EMP26-27EMP0661"/>
        <s v="EMP26-27EMP0662"/>
        <s v="EMP26-27EMP0663"/>
        <s v="EMP26-27EMP0664"/>
        <s v="EMP26-27EMP0665"/>
        <s v="EMP26-27EMP0666"/>
        <s v="EMP26-27EMP0667"/>
        <s v="EMP26-27EMP0668"/>
        <s v="EMP26-27EMP0669"/>
        <s v="EMP26-27EMP0670"/>
        <s v="EMP26-27EMP0671"/>
        <s v="EMP26-27EMP0672"/>
        <s v="EMP26-27EMP0673"/>
        <s v="EMP26-27EMP0674"/>
        <s v="EMP26-27EMP0675"/>
        <s v="EMP26-27EMP0676"/>
        <s v="EMP26-27EMP0677"/>
        <s v="EMP26-27EMP0678"/>
        <s v="EMP26-27EMP0679"/>
        <s v="EMP26-27EMP0680"/>
        <s v="EMP26-27EMP0681"/>
        <s v="EMP26-27EMP0682"/>
        <s v="EMP26-27EMP0683"/>
        <s v="EMP26-27EMP0684"/>
        <s v="EMP26-27EMP0685"/>
        <s v="EMP26-27EMP0686"/>
        <s v="EMP26-27EMP0687"/>
        <s v="EMP26-27EMP0688"/>
        <s v="EMP26-27EMP0689"/>
        <s v="EMP26-27EMP0690"/>
        <s v="EMP26-27EMP0691"/>
        <s v="EMP26-27EMP0692"/>
        <s v="EMP26-27EMP0693"/>
        <s v="EMP26-27EMP0694"/>
        <s v="EMP26-27EMP0695"/>
        <s v="EMP26-27EMP0696"/>
        <s v="EMP26-27EMP0697"/>
        <s v="EMP26-27EMP0698"/>
        <s v="EMP26-27EMP0699"/>
        <s v="EMP26-27EMP0700"/>
        <s v="EMP26-27EMP0701"/>
        <s v="EMP26-27EMP0702"/>
        <s v="EMP26-27EMP0703"/>
        <s v="EMP26-27EMP0704"/>
        <s v="EMP26-27EMP0705"/>
        <s v="EMP26-27EMP0706"/>
        <s v="EMP26-27EMP0707"/>
        <s v="EMP26-27EMP0708"/>
        <s v="EMP26-27EMP0709"/>
        <s v="EMP26-27EMP0710"/>
        <s v="EMP26-27EMP0711"/>
        <s v="EMP26-27EMP0712"/>
        <s v="EMP26-27EMP0713"/>
        <s v="EMP26-27EMP0714"/>
        <s v="EMP26-27EMP0715"/>
        <s v="EMP26-27EMP0716"/>
        <s v="EMP26-27EMP0717"/>
        <s v="EMP26-27EMP0718"/>
        <s v="EMP26-27EMP0719"/>
        <s v="EMP26-27EMP0720"/>
        <s v="EMP26-27EMP0721"/>
        <s v="EMP26-27EMP0722"/>
        <s v="EMP26-27EMP0723"/>
        <s v="EMP26-27EMP0724"/>
        <s v="EMP26-27EMP0725"/>
        <s v="EMP26-27EMP0726"/>
        <s v="EMP26-27EMP0727"/>
        <s v="EMP26-27EMP0728"/>
        <s v="EMP26-27EMP0729"/>
        <s v="EMP26-27EMP0730"/>
        <s v="EMP26-27EMP0731"/>
        <s v="EMP26-27EMP0732"/>
        <s v="EMP26-27EMP0733"/>
        <s v="EMP26-27EMP0734"/>
        <s v="EMP26-27EMP0735"/>
        <s v="EMP26-27EMP0736"/>
        <s v="EMP26-27EMP0737"/>
        <s v="EMP26-27EMP0738"/>
        <s v="EMP26-27EMP0739"/>
        <s v="EMP26-27EMP0740"/>
        <s v="EMP26-27EMP0741"/>
        <s v="EMP26-27EMP0742"/>
        <s v="EMP26-27EMP0743"/>
        <s v="EMP26-27EMP0744"/>
        <s v="EMP26-27EMP0745"/>
        <s v="EMP26-27EMP0746"/>
        <s v="EMP26-27EMP0747"/>
        <s v="EMP26-27EMP0748"/>
        <s v="EMP26-27EMP0749"/>
        <s v="EMP26-27EMP0750"/>
        <s v="EMP26-27EMP0751"/>
        <s v="EMP26-27EMP0752"/>
        <s v="EMP26-27EMP0753"/>
        <s v="EMP26-27EMP0754"/>
        <s v="EMP26-27EMP0755"/>
        <s v="EMP26-27EMP0756"/>
        <s v="EMP26-27EMP0757"/>
        <s v="EMP26-27EMP0758"/>
        <s v="EMP26-27EMP0759"/>
        <s v="EMP26-27EMP0760"/>
        <s v="EMP26-27EMP0761"/>
        <s v="EMP26-27EMP0762"/>
        <s v="EMP26-27EMP0763"/>
        <s v="EMP26-27EMP0764"/>
        <s v="EMP26-27EMP0765"/>
        <s v="EMP26-27EMP0766"/>
        <s v="EMP26-27EMP0767"/>
        <s v="EMP26-27EMP0768"/>
        <s v="EMP26-27EMP0769"/>
        <s v="EMP26-27EMP0770"/>
        <s v="EMP26-27EMP0771"/>
        <s v="EMP26-27EMP0772"/>
        <s v="EMP26-27EMP0773"/>
        <s v="EMP26-27EMP0774"/>
        <s v="EMP26-27EMP0775"/>
        <s v="EMP26-27EMP0776"/>
        <s v="EMP26-27EMP0777"/>
        <s v="EMP26-27EMP0778"/>
        <s v="EMP26-27EMP0779"/>
        <s v="EMP26-27EMP0780"/>
        <s v="EMP26-27EMP0781"/>
        <s v="EMP26-27EMP0782"/>
        <s v="EMP26-27EMP0783"/>
        <s v="EMP26-27EMP0784"/>
        <s v="EMP26-27EMP0785"/>
        <s v="EMP26-27EMP0786"/>
        <s v="EMP26-27EMP0787"/>
        <s v="EMP26-27EMP0788"/>
        <s v="EMP26-27EMP0789"/>
        <s v="EMP26-27EMP0790"/>
        <s v="EMP26-27EMP0791"/>
        <s v="EMP26-27EMP0792"/>
        <s v="EMP26-27EMP0793"/>
        <s v="EMP26-27EMP0794"/>
        <s v="EMP26-27EMP0795"/>
        <s v="EMP26-27EMP0796"/>
        <s v="EMP26-27EMP0797"/>
        <s v="EMP26-27EMP0798"/>
        <s v="EMP26-27EMP0799"/>
        <s v="EMP26-27EMP0800"/>
        <s v="EMP26-27EMP0801"/>
        <s v="EMP26-27EMP0802"/>
        <s v="EMP26-27EMP0803"/>
        <s v="EMP26-27EMP0804"/>
        <s v="EMP26-27EMP0805"/>
        <s v="EMP26-27EMP0806"/>
        <s v="EMP26-27EMP0807"/>
        <s v="EMP26-27EMP0808"/>
        <s v="EMP26-27EMP0809"/>
        <s v="EMP26-27EMP0810"/>
        <s v="EMP26-27EMP0811"/>
        <s v="EMP26-27EMP0812"/>
        <s v="EMP26-27EMP0813"/>
        <s v="EMP26-27EMP0814"/>
        <s v="EMP26-27EMP0815"/>
        <s v="EMP26-27EMP0816"/>
        <s v="EMP26-27EMP0817"/>
        <s v="EMP26-27EMP0818"/>
        <s v="EMP26-27EMP0819"/>
        <s v="EMP26-27EMP0820"/>
        <s v="EMP26-27EMP0821"/>
        <s v="EMP26-27EMP0822"/>
        <s v="EMP26-27EMP0823"/>
        <s v="EMP26-27EMP0824"/>
        <s v="EMP26-27EMP0825"/>
        <s v="EMP26-27EMP0826"/>
        <s v="EMP26-27EMP0827"/>
        <s v="EMP26-27EMP0828"/>
        <s v="EMP26-27EMP0829"/>
        <s v="EMP26-27EMP0830"/>
        <s v="EMP26-27EMP0831"/>
        <s v="EMP26-27EMP0832"/>
        <s v="EMP26-27EMP0833"/>
        <s v="EMP26-27EMP0834"/>
        <s v="EMP26-27EMP0835"/>
        <s v="EMP26-27EMP0836"/>
        <s v="EMP26-27EMP0837"/>
        <s v="EMP26-27EMP0838"/>
        <s v="EMP26-27EMP0839"/>
        <s v="EMP26-27EMP0840"/>
        <s v="EMP26-27EMP0841"/>
        <s v="EMP26-27EMP0842"/>
        <s v="EMP26-27EMP0843"/>
        <s v="EMP26-27EMP0844"/>
        <s v="EMP26-27EMP0845"/>
        <s v="EMP26-27EMP0846"/>
        <s v="EMP26-27EMP0847"/>
        <s v="EMP26-27EMP0848"/>
        <s v="EMP26-27EMP0849"/>
        <s v="EMP26-27EMP0850"/>
        <s v="EMP26-27EMP0851"/>
        <s v="EMP26-27EMP0852"/>
        <s v="EMP26-27EMP0853"/>
        <s v="EMP26-27EMP0854"/>
        <s v="EMP26-27EMP0855"/>
        <s v="EMP26-27EMP0856"/>
        <s v="EMP26-27EMP0857"/>
        <s v="EMP26-27EMP0858"/>
        <s v="EMP26-27EMP0859"/>
        <s v="EMP26-27EMP0860"/>
        <s v="EMP26-27EMP0861"/>
        <s v="EMP26-27EMP0862"/>
        <s v="EMP26-27EMP0863"/>
        <s v="EMP26-27EMP0864"/>
        <s v="EMP26-27EMP0865"/>
        <s v="EMP26-27EMP0866"/>
        <s v="EMP26-27EMP0867"/>
        <s v="EMP26-27EMP0868"/>
        <s v="EMP26-27EMP0869"/>
        <s v="EMP26-27EMP0870"/>
        <s v="EMP26-27EMP0871"/>
        <s v="EMP26-27EMP0872"/>
        <s v="EMP26-27EMP0873"/>
        <s v="EMP26-27EMP0874"/>
        <s v="EMP26-27EMP0875"/>
        <s v="EMP26-27EMP0876"/>
        <s v="EMP26-27EMP0877"/>
        <s v="EMP26-27EMP0878"/>
        <s v="EMP26-27EMP0879"/>
        <s v="EMP26-27EMP0880"/>
        <s v="EMP26-27EMP0881"/>
        <s v="EMP26-27EMP0882"/>
        <s v="EMP26-27EMP0883"/>
        <s v="EMP26-27EMP0884"/>
        <s v="EMP26-27EMP0885"/>
        <s v="EMP26-27EMP0886"/>
        <s v="EMP26-27EMP0887"/>
        <s v="EMP26-27EMP0888"/>
        <s v="EMP26-27EMP0889"/>
        <s v="EMP26-27EMP0890"/>
        <s v="EMP26-27EMP0891"/>
        <s v="EMP26-27EMP0892"/>
        <s v="EMP26-27EMP0893"/>
        <s v="EMP26-27EMP0894"/>
        <s v="EMP26-27EMP0895"/>
        <s v="EMP26-27EMP0896"/>
        <s v="EMP26-27EMP0897"/>
        <s v="EMP26-27EMP0898"/>
        <s v="EMP26-27EMP0899"/>
        <s v="EMP26-27EMP0900"/>
        <s v="EMP26-27EMP0901"/>
        <s v="EMP26-27EMP0902"/>
        <s v="EMP26-27EMP0903"/>
        <s v="EMP26-27EMP0904"/>
        <s v="EMP26-27EMP0905"/>
        <s v="EMP26-27EMP0906"/>
        <s v="EMP26-27EMP0907"/>
        <s v="EMP26-27EMP0908"/>
        <s v="EMP26-27EMP0909"/>
        <s v="EMP26-27EMP0910"/>
        <s v="EMP26-27EMP0911"/>
        <s v="EMP26-27EMP0912"/>
        <s v="EMP26-27EMP0913"/>
        <s v="EMP26-27EMP0914"/>
        <s v="EMP26-27EMP0915"/>
        <s v="EMP26-27EMP0916"/>
        <s v="EMP26-27EMP0917"/>
        <s v="EMP26-27EMP0918"/>
        <s v="EMP26-27EMP0919"/>
        <s v="EMP26-27EMP0920"/>
        <s v="EMP26-27EMP0921"/>
        <s v="EMP26-27EMP0922"/>
        <s v="EMP26-27EMP0923"/>
        <s v="EMP26-27EMP0924"/>
        <s v="EMP26-27EMP0925"/>
        <s v="EMP26-27EMP0926"/>
        <s v="EMP26-27EMP0927"/>
        <s v="EMP26-27EMP0928"/>
        <s v="EMP26-27EMP0929"/>
        <s v="EMP26-27EMP0930"/>
        <s v="EMP26-27EMP0931"/>
        <s v="EMP26-27EMP0932"/>
        <s v="EMP26-27EMP0933"/>
        <s v="EMP26-27EMP0934"/>
        <s v="EMP26-27EMP0935"/>
        <s v="EMP26-27EMP0936"/>
        <s v="EMP26-27EMP0937"/>
        <s v="EMP26-27EMP0938"/>
        <s v="EMP26-27EMP0939"/>
        <s v="EMP26-27EMP0940"/>
        <s v="EMP26-27EMP0941"/>
        <s v="EMP26-27EMP0942"/>
        <s v="EMP26-27EMP0943"/>
        <s v="EMP26-27EMP0944"/>
        <s v="EMP26-27EMP0945"/>
        <s v="EMP26-27EMP0946"/>
        <s v="EMP26-27EMP0947"/>
        <s v="EMP26-27EMP0948"/>
        <s v="EMP26-27EMP0949"/>
        <s v="EMP26-27EMP0950"/>
        <s v="EMP26-27EMP0951"/>
        <s v="EMP26-27EMP0952"/>
        <s v="EMP26-27EMP0953"/>
        <s v="EMP26-27EMP0954"/>
        <s v="EMP26-27EMP0955"/>
        <s v="EMP26-27EMP0956"/>
        <s v="EMP26-27EMP0957"/>
        <s v="EMP26-27EMP0958"/>
        <s v="EMP26-27EMP0959"/>
        <s v="EMP26-27EMP0960"/>
        <s v="EMP26-27EMP0961"/>
        <s v="EMP26-27EMP0962"/>
        <s v="EMP26-27EMP0963"/>
        <s v="EMP26-27EMP0964"/>
        <s v="EMP26-27EMP0965"/>
        <s v="EMP26-27EMP0966"/>
        <s v="EMP26-27EMP0967"/>
        <s v="EMP26-27EMP0968"/>
        <s v="EMP26-27EMP0969"/>
        <s v="EMP26-27EMP0970"/>
        <s v="EMP26-27EMP0971"/>
        <s v="EMP26-27EMP0972"/>
        <s v="EMP26-27EMP0973"/>
        <s v="EMP26-27EMP0974"/>
        <s v="EMP26-27EMP0975"/>
        <s v="EMP26-27EMP0976"/>
        <s v="EMP26-27EMP0977"/>
        <s v="EMP26-27EMP0978"/>
        <s v="EMP26-27EMP0979"/>
        <s v="EMP26-27EMP0980"/>
        <s v="EMP26-27EMP0981"/>
        <s v="EMP26-27EMP0982"/>
        <s v="EMP26-27EMP0983"/>
        <s v="EMP26-27EMP0984"/>
        <s v="EMP26-27EMP0985"/>
        <s v="EMP26-27EMP0986"/>
        <s v="EMP26-27EMP0987"/>
        <s v="EMP26-27EMP0988"/>
        <s v="EMP26-27EMP0989"/>
        <s v="EMP26-27EMP0990"/>
        <s v="EMP26-27EMP0991"/>
        <s v="EMP26-27EMP0992"/>
        <s v="EMP26-27EMP0993"/>
        <s v="EMP26-27EMP0994"/>
        <s v="EMP26-27EMP0995"/>
        <s v="EMP26-27EMP0996"/>
        <s v="EMP26-27EMP0997"/>
        <s v="EMP26-27EMP0998"/>
        <s v="EMP26-27EMP0999"/>
        <s v="EMP26-27EMP1000"/>
        <s v="EMP25-26EMP0001" u="1"/>
        <s v="EMP25-26EMP0002" u="1"/>
        <s v="EMP25-26EMP0003" u="1"/>
        <s v="EMP25-26EMP0004" u="1"/>
        <s v="EMP25-26EMP0005" u="1"/>
        <s v="EMP25-26EMP0006" u="1"/>
        <s v="EMP25-26EMP0007" u="1"/>
        <s v="EMP25-26EMP0008" u="1"/>
        <s v="EMP25-26EMP0009" u="1"/>
        <s v="EMP25-26EMP0010" u="1"/>
        <s v="EMP25-26EMP0011" u="1"/>
        <s v="EMP25-26EMP0012" u="1"/>
        <s v="EMP25-26EMP0013" u="1"/>
        <s v="EMP25-26EMP0014" u="1"/>
        <s v="EMP25-26EMP0015" u="1"/>
        <s v="EMP25-26EMP0016" u="1"/>
        <s v="EMP25-26EMP0017" u="1"/>
        <s v="EMP25-26EMP0018" u="1"/>
        <s v="EMP25-26EMP0019" u="1"/>
        <s v="EMP25-26EMP0020" u="1"/>
        <s v="EMP25-26EMP0021" u="1"/>
        <s v="EMP25-26EMP0022" u="1"/>
        <s v="EMP25-26EMP0023" u="1"/>
        <s v="EMP25-26EMP0024" u="1"/>
        <s v="EMP25-26EMP0025" u="1"/>
        <s v="EMP25-26EMP0026" u="1"/>
        <s v="EMP25-26EMP0027" u="1"/>
        <s v="EMP25-26EMP0028" u="1"/>
        <s v="EMP25-26EMP0029" u="1"/>
        <s v="EMP25-26EMP0030" u="1"/>
        <s v="EMP25-26EMP0031" u="1"/>
        <s v="EMP25-26EMP0032" u="1"/>
        <s v="EMP25-26EMP0033" u="1"/>
        <s v="EMP25-26EMP0034" u="1"/>
        <s v="EMP25-26EMP0035" u="1"/>
        <s v="EMP25-26EMP0036" u="1"/>
        <s v="EMP25-26EMP0037" u="1"/>
        <s v="EMP25-26EMP0038" u="1"/>
        <s v="EMP25-26EMP0039" u="1"/>
        <s v="EMP25-26EMP0040" u="1"/>
        <s v="EMP25-26EMP0041" u="1"/>
        <s v="EMP25-26EMP0042" u="1"/>
        <s v="EMP25-26EMP0043" u="1"/>
        <s v="EMP25-26EMP0044" u="1"/>
        <s v="EMP25-26EMP0045" u="1"/>
        <s v="EMP25-26EMP0046" u="1"/>
        <s v="EMP25-26EMP0047" u="1"/>
        <s v="EMP25-26EMP0048" u="1"/>
        <s v="EMP25-26EMP0049" u="1"/>
        <s v="EMP25-26EMP0050" u="1"/>
        <s v="EMP25-26EMP0051" u="1"/>
        <s v="EMP25-26EMP0052" u="1"/>
        <s v="EMP25-26EMP0053" u="1"/>
        <s v="EMP25-26EMP0054" u="1"/>
        <s v="EMP25-26EMP0055" u="1"/>
        <s v="EMP25-26EMP0056" u="1"/>
        <s v="EMP25-26EMP0057" u="1"/>
        <s v="EMP25-26EMP0058" u="1"/>
        <s v="EMP25-26EMP0059" u="1"/>
        <s v="EMP25-26EMP0060" u="1"/>
        <s v="EMP25-26EMP0061" u="1"/>
        <s v="EMP25-26EMP0062" u="1"/>
        <s v="EMP25-26EMP0063" u="1"/>
        <s v="EMP25-26EMP0064" u="1"/>
        <s v="EMP25-26EMP0065" u="1"/>
        <s v="EMP25-26EMP0066" u="1"/>
        <s v="EMP25-26EMP0067" u="1"/>
        <s v="EMP25-26EMP0068" u="1"/>
        <s v="EMP25-26EMP0069" u="1"/>
        <s v="EMP25-26EMP0070" u="1"/>
        <s v="EMP25-26EMP0071" u="1"/>
        <s v="EMP25-26EMP0072" u="1"/>
        <s v="EMP25-26EMP0073" u="1"/>
        <s v="EMP25-26EMP0074" u="1"/>
        <s v="EMP25-26EMP0075" u="1"/>
        <s v="EMP25-26EMP0076" u="1"/>
        <s v="EMP25-26EMP0077" u="1"/>
        <s v="EMP25-26EMP0078" u="1"/>
        <s v="EMP25-26EMP0079" u="1"/>
        <s v="EMP25-26EMP0080" u="1"/>
        <s v="EMP25-26EMP0081" u="1"/>
        <s v="EMP25-26EMP0082" u="1"/>
        <s v="EMP25-26EMP0083" u="1"/>
        <s v="EMP25-26EMP0084" u="1"/>
        <s v="EMP25-26EMP0085" u="1"/>
        <s v="EMP25-26EMP0086" u="1"/>
        <s v="EMP25-26EMP0087" u="1"/>
        <s v="EMP25-26EMP0088" u="1"/>
        <s v="EMP25-26EMP0089" u="1"/>
        <s v="EMP25-26EMP0090" u="1"/>
        <s v="EMP25-26EMP0091" u="1"/>
        <s v="EMP25-26EMP0092" u="1"/>
        <s v="EMP25-26EMP0093" u="1"/>
        <s v="EMP25-26EMP0094" u="1"/>
        <s v="EMP25-26EMP0095" u="1"/>
        <s v="EMP25-26EMP0096" u="1"/>
        <s v="EMP25-26EMP0097" u="1"/>
        <s v="EMP25-26EMP0098" u="1"/>
        <s v="EMP25-26EMP0099" u="1"/>
        <s v="EMP25-26EMP0100" u="1"/>
        <s v="EMP25-26EMP0101" u="1"/>
        <s v="EMP25-26EMP0102" u="1"/>
        <s v="EMP25-26EMP0103" u="1"/>
        <s v="EMP25-26EMP0104" u="1"/>
        <s v="EMP25-26EMP0105" u="1"/>
        <s v="EMP25-26EMP0106" u="1"/>
        <s v="EMP25-26EMP0107" u="1"/>
        <s v="EMP25-26EMP0108" u="1"/>
        <s v="EMP25-26EMP0109" u="1"/>
        <s v="EMP25-26EMP0110" u="1"/>
        <s v="EMP25-26EMP0111" u="1"/>
        <s v="EMP25-26EMP0112" u="1"/>
        <s v="EMP25-26EMP0113" u="1"/>
        <s v="EMP25-26EMP0114" u="1"/>
        <s v="EMP25-26EMP0115" u="1"/>
        <s v="EMP25-26EMP0116" u="1"/>
        <s v="EMP25-26EMP0117" u="1"/>
        <s v="EMP25-26EMP0118" u="1"/>
        <s v="EMP25-26EMP0119" u="1"/>
        <s v="EMP25-26EMP0120" u="1"/>
        <s v="EMP25-26EMP0121" u="1"/>
        <s v="EMP25-26EMP0122" u="1"/>
        <s v="EMP25-26EMP0123" u="1"/>
        <s v="EMP25-26EMP0124" u="1"/>
        <s v="EMP25-26EMP0125" u="1"/>
        <s v="EMP25-26EMP0126" u="1"/>
        <s v="EMP25-26EMP0127" u="1"/>
        <s v="EMP25-26EMP0128" u="1"/>
        <s v="EMP25-26EMP0129" u="1"/>
        <s v="EMP25-26EMP0130" u="1"/>
        <s v="EMP25-26EMP0131" u="1"/>
        <s v="EMP25-26EMP0132" u="1"/>
        <s v="EMP25-26EMP0133" u="1"/>
        <s v="EMP25-26EMP0134" u="1"/>
        <s v="EMP25-26EMP0135" u="1"/>
        <s v="EMP25-26EMP0136" u="1"/>
        <s v="EMP25-26EMP0137" u="1"/>
        <s v="EMP25-26EMP0138" u="1"/>
        <s v="EMP25-26EMP0139" u="1"/>
        <s v="EMP25-26EMP0140" u="1"/>
        <s v="EMP25-26EMP0141" u="1"/>
        <s v="EMP25-26EMP0142" u="1"/>
        <s v="EMP25-26EMP0143" u="1"/>
        <s v="EMP25-26EMP0144" u="1"/>
        <s v="EMP25-26EMP0145" u="1"/>
        <s v="EMP25-26EMP0146" u="1"/>
        <s v="EMP25-26EMP0147" u="1"/>
        <s v="EMP25-26EMP0148" u="1"/>
        <s v="EMP25-26EMP0149" u="1"/>
        <s v="EMP25-26EMP0150" u="1"/>
        <s v="EMP25-26EMP0151" u="1"/>
        <s v="EMP25-26EMP0152" u="1"/>
        <s v="EMP25-26EMP0153" u="1"/>
        <s v="EMP25-26EMP0154" u="1"/>
        <s v="EMP25-26EMP0155" u="1"/>
        <s v="EMP25-26EMP0156" u="1"/>
        <s v="EMP25-26EMP0157" u="1"/>
        <s v="EMP25-26EMP0158" u="1"/>
        <s v="EMP25-26EMP0159" u="1"/>
        <s v="EMP25-26EMP0160" u="1"/>
        <s v="EMP25-26EMP0161" u="1"/>
        <s v="EMP25-26EMP0162" u="1"/>
        <s v="EMP25-26EMP0163" u="1"/>
        <s v="EMP25-26EMP0164" u="1"/>
        <s v="EMP25-26EMP0165" u="1"/>
        <s v="EMP25-26EMP0166" u="1"/>
        <s v="EMP25-26EMP0167" u="1"/>
        <s v="EMP25-26EMP0168" u="1"/>
        <s v="EMP25-26EMP0169" u="1"/>
        <s v="EMP25-26EMP0170" u="1"/>
        <s v="EMP25-26EMP0171" u="1"/>
        <s v="EMP25-26EMP0172" u="1"/>
        <s v="EMP25-26EMP0173" u="1"/>
        <s v="EMP25-26EMP0174" u="1"/>
        <s v="EMP25-26EMP0175" u="1"/>
        <s v="EMP25-26EMP0176" u="1"/>
        <s v="EMP25-26EMP0177" u="1"/>
        <s v="EMP25-26EMP0178" u="1"/>
        <s v="EMP25-26EMP0179" u="1"/>
        <s v="EMP25-26EMP0180" u="1"/>
        <s v="EMP25-26EMP0181" u="1"/>
        <s v="EMP25-26EMP0182" u="1"/>
        <s v="EMP25-26EMP0183" u="1"/>
        <s v="EMP25-26EMP0184" u="1"/>
        <s v="EMP25-26EMP0185" u="1"/>
        <s v="EMP25-26EMP0186" u="1"/>
        <s v="EMP25-26EMP0187" u="1"/>
        <s v="EMP25-26EMP0188" u="1"/>
        <s v="EMP25-26EMP0189" u="1"/>
        <s v="EMP25-26EMP0190" u="1"/>
        <s v="EMP25-26EMP0191" u="1"/>
        <s v="EMP25-26EMP0192" u="1"/>
        <s v="EMP25-26EMP0193" u="1"/>
        <s v="EMP25-26EMP0194" u="1"/>
        <s v="EMP25-26EMP0195" u="1"/>
        <s v="EMP25-26EMP0196" u="1"/>
        <s v="EMP25-26EMP0197" u="1"/>
        <s v="EMP25-26EMP0198" u="1"/>
        <s v="EMP25-26EMP0199" u="1"/>
        <s v="EMP25-26EMP0200" u="1"/>
        <s v="EMP25-26EMP0201" u="1"/>
        <s v="EMP25-26EMP0202" u="1"/>
        <s v="EMP25-26EMP0203" u="1"/>
        <s v="EMP25-26EMP0204" u="1"/>
        <s v="EMP25-26EMP0205" u="1"/>
        <s v="EMP25-26EMP0206" u="1"/>
        <s v="EMP25-26EMP0207" u="1"/>
        <s v="EMP25-26EMP0208" u="1"/>
        <s v="EMP25-26EMP0209" u="1"/>
        <s v="EMP25-26EMP0210" u="1"/>
        <s v="EMP25-26EMP0211" u="1"/>
        <s v="EMP25-26EMP0212" u="1"/>
        <s v="EMP25-26EMP0213" u="1"/>
        <s v="EMP25-26EMP0214" u="1"/>
        <s v="EMP25-26EMP0215" u="1"/>
        <s v="EMP25-26EMP0216" u="1"/>
        <s v="EMP25-26EMP0217" u="1"/>
        <s v="EMP25-26EMP0218" u="1"/>
        <s v="EMP25-26EMP0219" u="1"/>
        <s v="EMP25-26EMP0220" u="1"/>
        <s v="EMP25-26EMP0221" u="1"/>
        <s v="EMP25-26EMP0222" u="1"/>
        <s v="EMP25-26EMP0223" u="1"/>
        <s v="EMP25-26EMP0224" u="1"/>
        <s v="EMP25-26EMP0225" u="1"/>
        <s v="EMP25-26EMP0226" u="1"/>
        <s v="EMP25-26EMP0227" u="1"/>
        <s v="EMP25-26EMP0228" u="1"/>
        <s v="EMP25-26EMP0229" u="1"/>
        <s v="EMP25-26EMP0230" u="1"/>
        <s v="EMP25-26EMP0231" u="1"/>
        <s v="EMP25-26EMP0232" u="1"/>
        <s v="EMP25-26EMP0233" u="1"/>
        <s v="EMP25-26EMP0234" u="1"/>
        <s v="EMP25-26EMP0235" u="1"/>
        <s v="EMP25-26EMP0236" u="1"/>
        <s v="EMP25-26EMP0237" u="1"/>
        <s v="EMP25-26EMP0238" u="1"/>
        <s v="EMP25-26EMP0239" u="1"/>
        <s v="EMP25-26EMP0240" u="1"/>
        <s v="EMP25-26EMP0241" u="1"/>
        <s v="EMP25-26EMP0242" u="1"/>
        <s v="EMP25-26EMP0243" u="1"/>
        <s v="EMP25-26EMP0244" u="1"/>
        <s v="EMP25-26EMP0245" u="1"/>
        <s v="EMP25-26EMP0246" u="1"/>
        <s v="EMP25-26EMP0247" u="1"/>
        <s v="EMP25-26EMP0248" u="1"/>
        <s v="EMP25-26EMP0249" u="1"/>
        <s v="EMP25-26EMP0250" u="1"/>
        <s v="EMP25-26EMP0251" u="1"/>
        <s v="EMP25-26EMP0252" u="1"/>
        <s v="EMP25-26EMP0253" u="1"/>
        <s v="EMP25-26EMP0254" u="1"/>
        <s v="EMP25-26EMP0255" u="1"/>
        <s v="EMP25-26EMP0256" u="1"/>
        <s v="EMP25-26EMP0257" u="1"/>
        <s v="EMP25-26EMP0258" u="1"/>
        <s v="EMP25-26EMP0259" u="1"/>
        <s v="EMP25-26EMP0260" u="1"/>
        <s v="EMP25-26EMP0261" u="1"/>
        <s v="EMP25-26EMP0262" u="1"/>
        <s v="EMP25-26EMP0263" u="1"/>
        <s v="EMP25-26EMP0264" u="1"/>
        <s v="EMP25-26EMP0265" u="1"/>
        <s v="EMP25-26EMP0266" u="1"/>
        <s v="EMP25-26EMP0267" u="1"/>
        <s v="EMP25-26EMP0268" u="1"/>
        <s v="EMP25-26EMP0269" u="1"/>
        <s v="EMP25-26EMP0270" u="1"/>
        <s v="EMP25-26EMP0271" u="1"/>
        <s v="EMP25-26EMP0272" u="1"/>
        <s v="EMP25-26EMP0273" u="1"/>
        <s v="EMP25-26EMP0274" u="1"/>
        <s v="EMP25-26EMP0275" u="1"/>
        <s v="EMP25-26EMP0276" u="1"/>
        <s v="EMP25-26EMP0277" u="1"/>
        <s v="EMP25-26EMP0278" u="1"/>
        <s v="EMP25-26EMP0279" u="1"/>
        <s v="EMP25-26EMP0280" u="1"/>
        <s v="EMP25-26EMP0281" u="1"/>
        <s v="EMP25-26EMP0282" u="1"/>
        <s v="EMP25-26EMP0283" u="1"/>
        <s v="EMP25-26EMP0284" u="1"/>
        <s v="EMP25-26EMP0285" u="1"/>
        <s v="EMP25-26EMP0286" u="1"/>
        <s v="EMP25-26EMP0287" u="1"/>
        <s v="EMP25-26EMP0288" u="1"/>
        <s v="EMP25-26EMP0289" u="1"/>
        <s v="EMP25-26EMP0290" u="1"/>
        <s v="EMP25-26EMP0291" u="1"/>
        <s v="EMP25-26EMP0292" u="1"/>
        <s v="EMP25-26EMP0293" u="1"/>
        <s v="EMP25-26EMP0294" u="1"/>
        <s v="EMP25-26EMP0295" u="1"/>
        <s v="EMP25-26EMP0296" u="1"/>
        <s v="EMP25-26EMP0297" u="1"/>
        <s v="EMP25-26EMP0298" u="1"/>
        <s v="EMP25-26EMP0299" u="1"/>
        <s v="EMP25-26EMP0300" u="1"/>
        <s v="EMP25-26EMP0301" u="1"/>
        <s v="EMP25-26EMP0302" u="1"/>
        <s v="EMP25-26EMP0303" u="1"/>
        <s v="EMP25-26EMP0304" u="1"/>
        <s v="EMP25-26EMP0305" u="1"/>
        <s v="EMP25-26EMP0306" u="1"/>
        <s v="EMP25-26EMP0307" u="1"/>
        <s v="EMP25-26EMP0308" u="1"/>
        <s v="EMP25-26EMP0309" u="1"/>
        <s v="EMP25-26EMP0310" u="1"/>
        <s v="EMP25-26EMP0311" u="1"/>
        <s v="EMP25-26EMP0312" u="1"/>
        <s v="EMP25-26EMP0313" u="1"/>
        <s v="EMP25-26EMP0314" u="1"/>
        <s v="EMP25-26EMP0315" u="1"/>
        <s v="EMP25-26EMP0316" u="1"/>
        <s v="EMP25-26EMP0317" u="1"/>
        <s v="EMP25-26EMP0318" u="1"/>
        <s v="EMP25-26EMP0319" u="1"/>
        <s v="EMP25-26EMP0320" u="1"/>
        <s v="EMP25-26EMP0321" u="1"/>
        <s v="EMP25-26EMP0322" u="1"/>
        <s v="EMP25-26EMP0323" u="1"/>
        <s v="EMP25-26EMP0324" u="1"/>
        <s v="EMP25-26EMP0325" u="1"/>
        <s v="EMP25-26EMP0326" u="1"/>
        <s v="EMP25-26EMP0327" u="1"/>
        <s v="EMP25-26EMP0328" u="1"/>
        <s v="EMP25-26EMP0329" u="1"/>
        <s v="EMP25-26EMP0330" u="1"/>
        <s v="EMP25-26EMP0331" u="1"/>
        <s v="EMP25-26EMP0332" u="1"/>
        <s v="EMP25-26EMP0333" u="1"/>
        <s v="EMP25-26EMP0334" u="1"/>
        <s v="EMP25-26EMP0335" u="1"/>
        <s v="EMP25-26EMP0336" u="1"/>
        <s v="EMP25-26EMP0337" u="1"/>
        <s v="EMP25-26EMP0338" u="1"/>
        <s v="EMP25-26EMP0339" u="1"/>
        <s v="EMP25-26EMP0340" u="1"/>
        <s v="EMP25-26EMP0341" u="1"/>
        <s v="EMP25-26EMP0342" u="1"/>
        <s v="EMP25-26EMP0343" u="1"/>
        <s v="EMP25-26EMP0344" u="1"/>
        <s v="EMP25-26EMP0345" u="1"/>
        <s v="EMP25-26EMP0346" u="1"/>
        <s v="EMP25-26EMP0347" u="1"/>
        <s v="EMP25-26EMP0348" u="1"/>
        <s v="EMP25-26EMP0349" u="1"/>
        <s v="EMP25-26EMP0350" u="1"/>
        <s v="EMP25-26EMP0351" u="1"/>
        <s v="EMP25-26EMP0352" u="1"/>
        <s v="EMP25-26EMP0353" u="1"/>
        <s v="EMP25-26EMP0354" u="1"/>
        <s v="EMP25-26EMP0355" u="1"/>
        <s v="EMP25-26EMP0356" u="1"/>
        <s v="EMP25-26EMP0357" u="1"/>
        <s v="EMP25-26EMP0358" u="1"/>
        <s v="EMP25-26EMP0359" u="1"/>
        <s v="EMP25-26EMP0360" u="1"/>
        <s v="EMP25-26EMP0361" u="1"/>
        <s v="EMP25-26EMP0362" u="1"/>
        <s v="EMP25-26EMP0363" u="1"/>
        <s v="EMP25-26EMP0364" u="1"/>
        <s v="EMP25-26EMP0365" u="1"/>
        <s v="EMP25-26EMP0366" u="1"/>
        <s v="EMP25-26EMP0367" u="1"/>
        <s v="EMP25-26EMP0368" u="1"/>
        <s v="EMP25-26EMP0369" u="1"/>
        <s v="EMP25-26EMP0370" u="1"/>
        <s v="EMP25-26EMP0371" u="1"/>
        <s v="EMP25-26EMP0372" u="1"/>
        <s v="EMP25-26EMP0373" u="1"/>
        <s v="EMP25-26EMP0374" u="1"/>
        <s v="EMP25-26EMP0375" u="1"/>
        <s v="EMP25-26EMP0376" u="1"/>
        <s v="EMP25-26EMP0377" u="1"/>
        <s v="EMP25-26EMP0378" u="1"/>
        <s v="EMP25-26EMP0379" u="1"/>
        <s v="EMP25-26EMP0380" u="1"/>
        <s v="EMP25-26EMP0381" u="1"/>
        <s v="EMP25-26EMP0382" u="1"/>
        <s v="EMP25-26EMP0383" u="1"/>
        <s v="EMP25-26EMP0384" u="1"/>
        <s v="EMP25-26EMP0385" u="1"/>
        <s v="EMP25-26EMP0386" u="1"/>
        <s v="EMP25-26EMP0387" u="1"/>
        <s v="EMP25-26EMP0388" u="1"/>
        <s v="EMP25-26EMP0389" u="1"/>
        <s v="EMP25-26EMP0390" u="1"/>
        <s v="EMP25-26EMP0391" u="1"/>
        <s v="EMP25-26EMP0392" u="1"/>
        <s v="EMP25-26EMP0393" u="1"/>
        <s v="EMP25-26EMP0394" u="1"/>
        <s v="EMP25-26EMP0395" u="1"/>
        <s v="EMP25-26EMP0396" u="1"/>
        <s v="EMP25-26EMP0397" u="1"/>
        <s v="EMP25-26EMP0398" u="1"/>
        <s v="EMP25-26EMP0399" u="1"/>
        <s v="EMP25-26EMP0400" u="1"/>
        <s v="EMP25-26EMP0401" u="1"/>
        <s v="EMP25-26EMP0402" u="1"/>
        <s v="EMP25-26EMP0403" u="1"/>
        <s v="EMP25-26EMP0404" u="1"/>
        <s v="EMP25-26EMP0405" u="1"/>
        <s v="EMP25-26EMP0406" u="1"/>
        <s v="EMP25-26EMP0407" u="1"/>
        <s v="EMP25-26EMP0408" u="1"/>
        <s v="EMP25-26EMP0409" u="1"/>
        <s v="EMP25-26EMP0410" u="1"/>
        <s v="EMP25-26EMP0411" u="1"/>
        <s v="EMP25-26EMP0412" u="1"/>
        <s v="EMP25-26EMP0413" u="1"/>
        <s v="EMP25-26EMP0414" u="1"/>
        <s v="EMP25-26EMP0415" u="1"/>
        <s v="EMP25-26EMP0416" u="1"/>
        <s v="EMP25-26EMP0417" u="1"/>
        <s v="EMP25-26EMP0418" u="1"/>
        <s v="EMP25-26EMP0419" u="1"/>
        <s v="EMP25-26EMP0420" u="1"/>
        <s v="EMP25-26EMP0421" u="1"/>
        <s v="EMP25-26EMP0422" u="1"/>
        <s v="EMP25-26EMP0423" u="1"/>
        <s v="EMP25-26EMP0424" u="1"/>
        <s v="EMP25-26EMP0425" u="1"/>
        <s v="EMP25-26EMP0426" u="1"/>
        <s v="EMP25-26EMP0427" u="1"/>
        <s v="EMP25-26EMP0428" u="1"/>
        <s v="EMP25-26EMP0429" u="1"/>
        <s v="EMP25-26EMP0430" u="1"/>
        <s v="EMP25-26EMP0431" u="1"/>
        <s v="EMP25-26EMP0432" u="1"/>
        <s v="EMP25-26EMP0433" u="1"/>
        <s v="EMP25-26EMP0434" u="1"/>
        <s v="EMP25-26EMP0435" u="1"/>
        <s v="EMP25-26EMP0436" u="1"/>
        <s v="EMP25-26EMP0437" u="1"/>
        <s v="EMP25-26EMP0438" u="1"/>
        <s v="EMP25-26EMP0439" u="1"/>
        <s v="EMP25-26EMP0440" u="1"/>
        <s v="EMP25-26EMP0441" u="1"/>
        <s v="EMP25-26EMP0442" u="1"/>
        <s v="EMP25-26EMP0443" u="1"/>
        <s v="EMP25-26EMP0444" u="1"/>
        <s v="EMP25-26EMP0445" u="1"/>
        <s v="EMP25-26EMP0446" u="1"/>
        <s v="EMP25-26EMP0447" u="1"/>
        <s v="EMP25-26EMP0448" u="1"/>
        <s v="EMP25-26EMP0449" u="1"/>
        <s v="EMP25-26EMP0450" u="1"/>
        <s v="EMP25-26EMP0451" u="1"/>
        <s v="EMP25-26EMP0452" u="1"/>
        <s v="EMP25-26EMP0453" u="1"/>
        <s v="EMP25-26EMP0454" u="1"/>
        <s v="EMP25-26EMP0455" u="1"/>
        <s v="EMP25-26EMP0456" u="1"/>
        <s v="EMP25-26EMP0457" u="1"/>
        <s v="EMP25-26EMP0458" u="1"/>
        <s v="EMP25-26EMP0459" u="1"/>
        <s v="EMP25-26EMP0460" u="1"/>
        <s v="EMP25-26EMP0461" u="1"/>
        <s v="EMP25-26EMP0462" u="1"/>
        <s v="EMP25-26EMP0463" u="1"/>
        <s v="EMP25-26EMP0464" u="1"/>
        <s v="EMP25-26EMP0465" u="1"/>
        <s v="EMP25-26EMP0466" u="1"/>
        <s v="EMP25-26EMP0467" u="1"/>
        <s v="EMP25-26EMP0468" u="1"/>
        <s v="EMP25-26EMP0469" u="1"/>
        <s v="EMP25-26EMP0470" u="1"/>
        <s v="EMP25-26EMP0471" u="1"/>
        <s v="EMP25-26EMP0472" u="1"/>
        <s v="EMP25-26EMP0473" u="1"/>
        <s v="EMP25-26EMP0474" u="1"/>
        <s v="EMP25-26EMP0475" u="1"/>
        <s v="EMP25-26EMP0476" u="1"/>
        <s v="EMP25-26EMP0477" u="1"/>
        <s v="EMP25-26EMP0478" u="1"/>
        <s v="EMP25-26EMP0479" u="1"/>
        <s v="EMP25-26EMP0480" u="1"/>
        <s v="EMP25-26EMP0481" u="1"/>
        <s v="EMP25-26EMP0482" u="1"/>
        <s v="EMP25-26EMP0483" u="1"/>
        <s v="EMP25-26EMP0484" u="1"/>
        <s v="EMP25-26EMP0485" u="1"/>
        <s v="EMP25-26EMP0486" u="1"/>
        <s v="EMP25-26EMP0487" u="1"/>
        <s v="EMP25-26EMP0488" u="1"/>
        <s v="EMP25-26EMP0489" u="1"/>
        <s v="EMP25-26EMP0490" u="1"/>
        <s v="EMP25-26EMP0491" u="1"/>
        <s v="EMP25-26EMP0492" u="1"/>
        <s v="EMP25-26EMP0493" u="1"/>
        <s v="EMP25-26EMP0494" u="1"/>
        <s v="EMP25-26EMP0495" u="1"/>
        <s v="EMP25-26EMP0496" u="1"/>
        <s v="EMP25-26EMP0497" u="1"/>
        <s v="EMP25-26EMP0498" u="1"/>
        <s v="EMP25-26EMP0499" u="1"/>
        <s v="EMP25-26EMP0500" u="1"/>
        <s v="EMP25-26EMP0501" u="1"/>
        <s v="EMP25-26EMP0502" u="1"/>
        <s v="EMP25-26EMP0503" u="1"/>
        <s v="EMP25-26EMP0504" u="1"/>
        <s v="EMP25-26EMP0505" u="1"/>
        <s v="EMP25-26EMP0506" u="1"/>
        <s v="EMP25-26EMP0507" u="1"/>
        <s v="EMP25-26EMP0508" u="1"/>
        <s v="EMP25-26EMP0509" u="1"/>
        <s v="EMP25-26EMP0510" u="1"/>
        <s v="EMP25-26EMP0511" u="1"/>
        <s v="EMP25-26EMP0512" u="1"/>
        <s v="EMP25-26EMP0513" u="1"/>
        <s v="EMP25-26EMP0514" u="1"/>
        <s v="EMP25-26EMP0515" u="1"/>
        <s v="EMP25-26EMP0516" u="1"/>
        <s v="EMP25-26EMP0517" u="1"/>
        <s v="EMP25-26EMP0518" u="1"/>
        <s v="EMP25-26EMP0519" u="1"/>
        <s v="EMP25-26EMP0520" u="1"/>
        <s v="EMP25-26EMP0521" u="1"/>
        <s v="EMP25-26EMP0522" u="1"/>
        <s v="EMP25-26EMP0523" u="1"/>
        <s v="EMP25-26EMP0524" u="1"/>
        <s v="EMP25-26EMP0525" u="1"/>
        <s v="EMP25-26EMP0526" u="1"/>
        <s v="EMP25-26EMP0527" u="1"/>
        <s v="EMP25-26EMP0528" u="1"/>
        <s v="EMP25-26EMP0529" u="1"/>
        <s v="EMP25-26EMP0530" u="1"/>
        <s v="EMP25-26EMP0531" u="1"/>
        <s v="EMP25-26EMP0532" u="1"/>
        <s v="EMP25-26EMP0533" u="1"/>
        <s v="EMP25-26EMP0534" u="1"/>
        <s v="EMP25-26EMP0535" u="1"/>
        <s v="EMP25-26EMP0536" u="1"/>
        <s v="EMP25-26EMP0537" u="1"/>
        <s v="EMP25-26EMP0538" u="1"/>
        <s v="EMP25-26EMP0539" u="1"/>
        <s v="EMP25-26EMP0540" u="1"/>
        <s v="EMP25-26EMP0541" u="1"/>
        <s v="EMP25-26EMP0542" u="1"/>
        <s v="EMP25-26EMP0543" u="1"/>
        <s v="EMP25-26EMP0544" u="1"/>
        <s v="EMP25-26EMP0545" u="1"/>
        <s v="EMP25-26EMP0546" u="1"/>
        <s v="EMP25-26EMP0547" u="1"/>
        <s v="EMP25-26EMP0548" u="1"/>
        <s v="EMP25-26EMP0549" u="1"/>
        <s v="EMP25-26EMP0550" u="1"/>
        <s v="EMP25-26EMP0551" u="1"/>
        <s v="EMP25-26EMP0552" u="1"/>
        <s v="EMP25-26EMP0553" u="1"/>
        <s v="EMP25-26EMP0554" u="1"/>
        <s v="EMP25-26EMP0555" u="1"/>
        <s v="EMP25-26EMP0556" u="1"/>
        <s v="EMP25-26EMP0557" u="1"/>
        <s v="EMP25-26EMP0558" u="1"/>
        <s v="EMP25-26EMP0559" u="1"/>
        <s v="EMP25-26EMP0560" u="1"/>
        <s v="EMP25-26EMP0561" u="1"/>
        <s v="EMP25-26EMP0562" u="1"/>
        <s v="EMP25-26EMP0563" u="1"/>
        <s v="EMP25-26EMP0564" u="1"/>
        <s v="EMP25-26EMP0565" u="1"/>
        <s v="EMP25-26EMP0566" u="1"/>
        <s v="EMP25-26EMP0567" u="1"/>
        <s v="EMP25-26EMP0568" u="1"/>
        <s v="EMP25-26EMP0569" u="1"/>
        <s v="EMP25-26EMP0570" u="1"/>
        <s v="EMP25-26EMP0571" u="1"/>
        <s v="EMP25-26EMP0572" u="1"/>
        <s v="EMP25-26EMP0573" u="1"/>
        <s v="EMP25-26EMP0574" u="1"/>
        <s v="EMP25-26EMP0575" u="1"/>
        <s v="EMP25-26EMP0576" u="1"/>
        <s v="EMP25-26EMP0577" u="1"/>
        <s v="EMP25-26EMP0578" u="1"/>
        <s v="EMP25-26EMP0579" u="1"/>
        <s v="EMP25-26EMP0580" u="1"/>
        <s v="EMP25-26EMP0581" u="1"/>
        <s v="EMP25-26EMP0582" u="1"/>
        <s v="EMP25-26EMP0583" u="1"/>
        <s v="EMP25-26EMP0584" u="1"/>
        <s v="EMP25-26EMP0585" u="1"/>
        <s v="EMP25-26EMP0586" u="1"/>
        <s v="EMP25-26EMP0587" u="1"/>
        <s v="EMP25-26EMP0588" u="1"/>
        <s v="EMP25-26EMP0589" u="1"/>
        <s v="EMP25-26EMP0590" u="1"/>
        <s v="EMP25-26EMP0591" u="1"/>
        <s v="EMP25-26EMP0592" u="1"/>
        <s v="EMP25-26EMP0593" u="1"/>
        <s v="EMP25-26EMP0594" u="1"/>
        <s v="EMP25-26EMP0595" u="1"/>
        <s v="EMP25-26EMP0596" u="1"/>
        <s v="EMP25-26EMP0597" u="1"/>
        <s v="EMP25-26EMP0598" u="1"/>
        <s v="EMP25-26EMP0599" u="1"/>
        <s v="EMP25-26EMP0600" u="1"/>
        <s v="EMP25-26EMP0601" u="1"/>
        <s v="EMP25-26EMP0602" u="1"/>
        <s v="EMP25-26EMP0603" u="1"/>
        <s v="EMP25-26EMP0604" u="1"/>
        <s v="EMP25-26EMP0605" u="1"/>
        <s v="EMP25-26EMP0606" u="1"/>
        <s v="EMP25-26EMP0607" u="1"/>
        <s v="EMP25-26EMP0608" u="1"/>
        <s v="EMP25-26EMP0609" u="1"/>
        <s v="EMP25-26EMP0610" u="1"/>
        <s v="EMP25-26EMP0611" u="1"/>
        <s v="EMP25-26EMP0612" u="1"/>
        <s v="EMP25-26EMP0613" u="1"/>
        <s v="EMP25-26EMP0614" u="1"/>
        <s v="EMP25-26EMP0615" u="1"/>
        <s v="EMP25-26EMP0616" u="1"/>
        <s v="EMP25-26EMP0617" u="1"/>
        <s v="EMP25-26EMP0618" u="1"/>
        <s v="EMP25-26EMP0619" u="1"/>
        <s v="EMP25-26EMP0620" u="1"/>
        <s v="EMP25-26EMP0621" u="1"/>
        <s v="EMP25-26EMP0622" u="1"/>
        <s v="EMP25-26EMP0623" u="1"/>
        <s v="EMP25-26EMP0624" u="1"/>
        <s v="EMP25-26EMP0625" u="1"/>
        <s v="EMP25-26EMP0626" u="1"/>
        <s v="EMP25-26EMP0627" u="1"/>
        <s v="EMP25-26EMP0628" u="1"/>
        <s v="EMP25-26EMP0629" u="1"/>
        <s v="EMP25-26EMP0630" u="1"/>
        <s v="EMP25-26EMP0631" u="1"/>
        <s v="EMP25-26EMP0632" u="1"/>
        <s v="EMP25-26EMP0633" u="1"/>
        <s v="EMP25-26EMP0634" u="1"/>
        <s v="EMP25-26EMP0635" u="1"/>
        <s v="EMP25-26EMP0636" u="1"/>
        <s v="EMP25-26EMP0637" u="1"/>
        <s v="EMP25-26EMP0638" u="1"/>
        <s v="EMP25-26EMP0639" u="1"/>
        <s v="EMP25-26EMP0640" u="1"/>
        <s v="EMP25-26EMP0641" u="1"/>
        <s v="EMP25-26EMP0642" u="1"/>
        <s v="EMP25-26EMP0643" u="1"/>
        <s v="EMP25-26EMP0644" u="1"/>
        <s v="EMP25-26EMP0645" u="1"/>
        <s v="EMP25-26EMP0646" u="1"/>
        <s v="EMP25-26EMP0647" u="1"/>
        <s v="EMP25-26EMP0648" u="1"/>
        <s v="EMP25-26EMP0649" u="1"/>
        <s v="EMP25-26EMP0650" u="1"/>
        <s v="EMP25-26EMP0651" u="1"/>
        <s v="EMP25-26EMP0652" u="1"/>
        <s v="EMP25-26EMP0653" u="1"/>
        <s v="EMP25-26EMP0654" u="1"/>
        <s v="EMP25-26EMP0655" u="1"/>
        <s v="EMP25-26EMP0656" u="1"/>
        <s v="EMP25-26EMP0657" u="1"/>
        <s v="EMP25-26EMP0658" u="1"/>
        <s v="EMP25-26EMP0659" u="1"/>
        <s v="EMP25-26EMP0660" u="1"/>
        <s v="EMP25-26EMP0661" u="1"/>
        <s v="EMP25-26EMP0662" u="1"/>
        <s v="EMP25-26EMP0663" u="1"/>
        <s v="EMP25-26EMP0664" u="1"/>
        <s v="EMP25-26EMP0665" u="1"/>
        <s v="EMP25-26EMP0666" u="1"/>
        <s v="EMP25-26EMP0667" u="1"/>
        <s v="EMP25-26EMP0668" u="1"/>
        <s v="EMP25-26EMP0669" u="1"/>
        <s v="EMP25-26EMP0670" u="1"/>
        <s v="EMP25-26EMP0671" u="1"/>
        <s v="EMP25-26EMP0672" u="1"/>
        <s v="EMP25-26EMP0673" u="1"/>
        <s v="EMP25-26EMP0674" u="1"/>
        <s v="EMP25-26EMP0675" u="1"/>
        <s v="EMP25-26EMP0676" u="1"/>
        <s v="EMP25-26EMP0677" u="1"/>
        <s v="EMP25-26EMP0678" u="1"/>
        <s v="EMP25-26EMP0679" u="1"/>
        <s v="EMP25-26EMP0680" u="1"/>
        <s v="EMP25-26EMP0681" u="1"/>
        <s v="EMP25-26EMP0682" u="1"/>
        <s v="EMP25-26EMP0683" u="1"/>
        <s v="EMP25-26EMP0684" u="1"/>
        <s v="EMP25-26EMP0685" u="1"/>
        <s v="EMP25-26EMP0686" u="1"/>
        <s v="EMP25-26EMP0687" u="1"/>
        <s v="EMP25-26EMP0688" u="1"/>
        <s v="EMP25-26EMP0689" u="1"/>
        <s v="EMP25-26EMP0690" u="1"/>
        <s v="EMP25-26EMP0691" u="1"/>
        <s v="EMP25-26EMP0692" u="1"/>
        <s v="EMP25-26EMP0693" u="1"/>
        <s v="EMP25-26EMP0694" u="1"/>
        <s v="EMP25-26EMP0695" u="1"/>
        <s v="EMP25-26EMP0696" u="1"/>
        <s v="EMP25-26EMP0697" u="1"/>
        <s v="EMP25-26EMP0698" u="1"/>
        <s v="EMP25-26EMP0699" u="1"/>
        <s v="EMP25-26EMP0700" u="1"/>
        <s v="EMP25-26EMP0701" u="1"/>
        <s v="EMP25-26EMP0702" u="1"/>
        <s v="EMP25-26EMP0703" u="1"/>
        <s v="EMP25-26EMP0704" u="1"/>
        <s v="EMP25-26EMP0705" u="1"/>
        <s v="EMP25-26EMP0706" u="1"/>
        <s v="EMP25-26EMP0707" u="1"/>
        <s v="EMP25-26EMP0708" u="1"/>
        <s v="EMP25-26EMP0709" u="1"/>
        <s v="EMP25-26EMP0710" u="1"/>
        <s v="EMP25-26EMP0711" u="1"/>
        <s v="EMP25-26EMP0712" u="1"/>
        <s v="EMP25-26EMP0713" u="1"/>
        <s v="EMP25-26EMP0714" u="1"/>
        <s v="EMP25-26EMP0715" u="1"/>
        <s v="EMP25-26EMP0716" u="1"/>
        <s v="EMP25-26EMP0717" u="1"/>
        <s v="EMP25-26EMP0718" u="1"/>
        <s v="EMP25-26EMP0719" u="1"/>
        <s v="EMP25-26EMP0720" u="1"/>
        <s v="EMP25-26EMP0721" u="1"/>
        <s v="EMP25-26EMP0722" u="1"/>
        <s v="EMP25-26EMP0723" u="1"/>
        <s v="EMP25-26EMP0724" u="1"/>
        <s v="EMP25-26EMP0725" u="1"/>
        <s v="EMP25-26EMP0726" u="1"/>
        <s v="EMP25-26EMP0727" u="1"/>
        <s v="EMP25-26EMP0728" u="1"/>
        <s v="EMP25-26EMP0729" u="1"/>
        <s v="EMP25-26EMP0730" u="1"/>
        <s v="EMP25-26EMP0731" u="1"/>
        <s v="EMP25-26EMP0732" u="1"/>
        <s v="EMP25-26EMP0733" u="1"/>
        <s v="EMP25-26EMP0734" u="1"/>
        <s v="EMP25-26EMP0735" u="1"/>
        <s v="EMP25-26EMP0736" u="1"/>
        <s v="EMP25-26EMP0737" u="1"/>
        <s v="EMP25-26EMP0738" u="1"/>
        <s v="EMP25-26EMP0739" u="1"/>
        <s v="EMP25-26EMP0740" u="1"/>
        <s v="EMP25-26EMP0741" u="1"/>
        <s v="EMP25-26EMP0742" u="1"/>
        <s v="EMP25-26EMP0743" u="1"/>
        <s v="EMP25-26EMP0744" u="1"/>
        <s v="EMP25-26EMP0745" u="1"/>
        <s v="EMP25-26EMP0746" u="1"/>
        <s v="EMP25-26EMP0747" u="1"/>
        <s v="EMP25-26EMP0748" u="1"/>
        <s v="EMP25-26EMP0749" u="1"/>
        <s v="EMP25-26EMP0750" u="1"/>
        <s v="EMP25-26EMP0751" u="1"/>
        <s v="EMP25-26EMP0752" u="1"/>
        <s v="EMP25-26EMP0753" u="1"/>
        <s v="EMP25-26EMP0754" u="1"/>
        <s v="EMP25-26EMP0755" u="1"/>
        <s v="EMP25-26EMP0756" u="1"/>
        <s v="EMP25-26EMP0757" u="1"/>
        <s v="EMP25-26EMP0758" u="1"/>
        <s v="EMP25-26EMP0759" u="1"/>
        <s v="EMP25-26EMP0760" u="1"/>
        <s v="EMP25-26EMP0761" u="1"/>
        <s v="EMP25-26EMP0762" u="1"/>
        <s v="EMP25-26EMP0763" u="1"/>
        <s v="EMP25-26EMP0764" u="1"/>
        <s v="EMP25-26EMP0765" u="1"/>
        <s v="EMP25-26EMP0766" u="1"/>
        <s v="EMP25-26EMP0767" u="1"/>
        <s v="EMP25-26EMP0768" u="1"/>
        <s v="EMP25-26EMP0769" u="1"/>
        <s v="EMP25-26EMP0770" u="1"/>
        <s v="EMP25-26EMP0771" u="1"/>
        <s v="EMP25-26EMP0772" u="1"/>
        <s v="EMP25-26EMP0773" u="1"/>
        <s v="EMP25-26EMP0774" u="1"/>
        <s v="EMP25-26EMP0775" u="1"/>
        <s v="EMP25-26EMP0776" u="1"/>
        <s v="EMP25-26EMP0777" u="1"/>
        <s v="EMP25-26EMP0778" u="1"/>
        <s v="EMP25-26EMP0779" u="1"/>
        <s v="EMP25-26EMP0780" u="1"/>
        <s v="EMP25-26EMP0781" u="1"/>
        <s v="EMP25-26EMP0782" u="1"/>
        <s v="EMP25-26EMP0783" u="1"/>
        <s v="EMP25-26EMP0784" u="1"/>
        <s v="EMP25-26EMP0785" u="1"/>
        <s v="EMP25-26EMP0786" u="1"/>
        <s v="EMP25-26EMP0787" u="1"/>
        <s v="EMP25-26EMP0788" u="1"/>
        <s v="EMP25-26EMP0789" u="1"/>
        <s v="EMP25-26EMP0790" u="1"/>
        <s v="EMP25-26EMP0791" u="1"/>
        <s v="EMP25-26EMP0792" u="1"/>
        <s v="EMP25-26EMP0793" u="1"/>
        <s v="EMP25-26EMP0794" u="1"/>
        <s v="EMP25-26EMP0795" u="1"/>
        <s v="EMP25-26EMP0796" u="1"/>
        <s v="EMP25-26EMP0797" u="1"/>
        <s v="EMP25-26EMP0798" u="1"/>
        <s v="EMP25-26EMP0799" u="1"/>
        <s v="EMP25-26EMP0800" u="1"/>
        <s v="EMP25-26EMP0801" u="1"/>
        <s v="EMP25-26EMP0802" u="1"/>
        <s v="EMP25-26EMP0803" u="1"/>
        <s v="EMP25-26EMP0804" u="1"/>
        <s v="EMP25-26EMP0805" u="1"/>
        <s v="EMP25-26EMP0806" u="1"/>
        <s v="EMP25-26EMP0807" u="1"/>
        <s v="EMP25-26EMP0808" u="1"/>
        <s v="EMP25-26EMP0809" u="1"/>
        <s v="EMP25-26EMP0810" u="1"/>
        <s v="EMP25-26EMP0811" u="1"/>
        <s v="EMP25-26EMP0812" u="1"/>
        <s v="EMP25-26EMP0813" u="1"/>
        <s v="EMP25-26EMP0814" u="1"/>
        <s v="EMP25-26EMP0815" u="1"/>
        <s v="EMP25-26EMP0816" u="1"/>
        <s v="EMP25-26EMP0817" u="1"/>
        <s v="EMP25-26EMP0818" u="1"/>
        <s v="EMP25-26EMP0819" u="1"/>
        <s v="EMP25-26EMP0820" u="1"/>
        <s v="EMP25-26EMP0821" u="1"/>
        <s v="EMP25-26EMP0822" u="1"/>
        <s v="EMP25-26EMP0823" u="1"/>
        <s v="EMP25-26EMP0824" u="1"/>
        <s v="EMP25-26EMP0825" u="1"/>
        <s v="EMP25-26EMP0826" u="1"/>
        <s v="EMP25-26EMP0827" u="1"/>
        <s v="EMP25-26EMP0828" u="1"/>
        <s v="EMP25-26EMP0829" u="1"/>
        <s v="EMP25-26EMP0830" u="1"/>
        <s v="EMP25-26EMP0831" u="1"/>
        <s v="EMP25-26EMP0832" u="1"/>
        <s v="EMP25-26EMP0833" u="1"/>
        <s v="EMP25-26EMP0834" u="1"/>
        <s v="EMP25-26EMP0835" u="1"/>
        <s v="EMP25-26EMP0836" u="1"/>
        <s v="EMP25-26EMP0837" u="1"/>
        <s v="EMP25-26EMP0838" u="1"/>
        <s v="EMP25-26EMP0839" u="1"/>
        <s v="EMP25-26EMP0840" u="1"/>
        <s v="EMP25-26EMP0841" u="1"/>
        <s v="EMP25-26EMP0842" u="1"/>
        <s v="EMP25-26EMP0843" u="1"/>
        <s v="EMP25-26EMP0844" u="1"/>
        <s v="EMP25-26EMP0845" u="1"/>
        <s v="EMP25-26EMP0846" u="1"/>
        <s v="EMP25-26EMP0847" u="1"/>
        <s v="EMP25-26EMP0848" u="1"/>
        <s v="EMP25-26EMP0849" u="1"/>
        <s v="EMP25-26EMP0850" u="1"/>
        <s v="EMP25-26EMP0851" u="1"/>
        <s v="EMP25-26EMP0852" u="1"/>
        <s v="EMP25-26EMP0853" u="1"/>
        <s v="EMP25-26EMP0854" u="1"/>
        <s v="EMP25-26EMP0855" u="1"/>
        <s v="EMP25-26EMP0856" u="1"/>
        <s v="EMP25-26EMP0857" u="1"/>
        <s v="EMP25-26EMP0858" u="1"/>
        <s v="EMP25-26EMP0859" u="1"/>
        <s v="EMP25-26EMP0860" u="1"/>
        <s v="EMP25-26EMP0861" u="1"/>
        <s v="EMP25-26EMP0862" u="1"/>
        <s v="EMP25-26EMP0863" u="1"/>
        <s v="EMP25-26EMP0864" u="1"/>
        <s v="EMP25-26EMP0865" u="1"/>
        <s v="EMP25-26EMP0866" u="1"/>
        <s v="EMP25-26EMP0867" u="1"/>
        <s v="EMP25-26EMP0868" u="1"/>
        <s v="EMP25-26EMP0869" u="1"/>
        <s v="EMP25-26EMP0870" u="1"/>
        <s v="EMP25-26EMP0871" u="1"/>
        <s v="EMP25-26EMP0872" u="1"/>
        <s v="EMP25-26EMP0873" u="1"/>
        <s v="EMP25-26EMP0874" u="1"/>
        <s v="EMP25-26EMP0875" u="1"/>
        <s v="EMP25-26EMP0876" u="1"/>
        <s v="EMP25-26EMP0877" u="1"/>
        <s v="EMP25-26EMP0878" u="1"/>
        <s v="EMP25-26EMP0879" u="1"/>
        <s v="EMP25-26EMP0880" u="1"/>
        <s v="EMP25-26EMP0881" u="1"/>
        <s v="EMP25-26EMP0882" u="1"/>
        <s v="EMP25-26EMP0883" u="1"/>
        <s v="EMP25-26EMP0884" u="1"/>
        <s v="EMP25-26EMP0885" u="1"/>
        <s v="EMP25-26EMP0886" u="1"/>
        <s v="EMP25-26EMP0887" u="1"/>
        <s v="EMP25-26EMP0888" u="1"/>
        <s v="EMP25-26EMP0889" u="1"/>
        <s v="EMP25-26EMP0890" u="1"/>
        <s v="EMP25-26EMP0891" u="1"/>
        <s v="EMP25-26EMP0892" u="1"/>
        <s v="EMP25-26EMP0893" u="1"/>
        <s v="EMP25-26EMP0894" u="1"/>
        <s v="EMP25-26EMP0895" u="1"/>
        <s v="EMP25-26EMP0896" u="1"/>
        <s v="EMP25-26EMP0897" u="1"/>
        <s v="EMP25-26EMP0898" u="1"/>
        <s v="EMP25-26EMP0899" u="1"/>
        <s v="EMP25-26EMP0900" u="1"/>
        <s v="EMP25-26EMP0901" u="1"/>
        <s v="EMP25-26EMP0902" u="1"/>
        <s v="EMP25-26EMP0903" u="1"/>
        <s v="EMP25-26EMP0904" u="1"/>
        <s v="EMP25-26EMP0905" u="1"/>
        <s v="EMP25-26EMP0906" u="1"/>
        <s v="EMP25-26EMP0907" u="1"/>
        <s v="EMP25-26EMP0908" u="1"/>
        <s v="EMP25-26EMP0909" u="1"/>
        <s v="EMP25-26EMP0910" u="1"/>
        <s v="EMP25-26EMP0911" u="1"/>
        <s v="EMP25-26EMP0912" u="1"/>
        <s v="EMP25-26EMP0913" u="1"/>
        <s v="EMP25-26EMP0914" u="1"/>
        <s v="EMP25-26EMP0915" u="1"/>
        <s v="EMP25-26EMP0916" u="1"/>
        <s v="EMP25-26EMP0917" u="1"/>
        <s v="EMP25-26EMP0918" u="1"/>
        <s v="EMP25-26EMP0919" u="1"/>
        <s v="EMP25-26EMP0920" u="1"/>
        <s v="EMP25-26EMP0921" u="1"/>
        <s v="EMP25-26EMP0922" u="1"/>
        <s v="EMP25-26EMP0923" u="1"/>
        <s v="EMP25-26EMP0924" u="1"/>
        <s v="EMP25-26EMP0925" u="1"/>
        <s v="EMP25-26EMP0926" u="1"/>
        <s v="EMP25-26EMP0927" u="1"/>
        <s v="EMP25-26EMP0928" u="1"/>
        <s v="EMP25-26EMP0929" u="1"/>
        <s v="EMP25-26EMP0930" u="1"/>
        <s v="EMP25-26EMP0931" u="1"/>
        <s v="EMP25-26EMP0932" u="1"/>
        <s v="EMP25-26EMP0933" u="1"/>
        <s v="EMP25-26EMP0934" u="1"/>
        <s v="EMP25-26EMP0935" u="1"/>
        <s v="EMP25-26EMP0936" u="1"/>
        <s v="EMP25-26EMP0937" u="1"/>
        <s v="EMP25-26EMP0938" u="1"/>
        <s v="EMP25-26EMP0939" u="1"/>
        <s v="EMP25-26EMP0940" u="1"/>
        <s v="EMP25-26EMP0941" u="1"/>
        <s v="EMP25-26EMP0942" u="1"/>
        <s v="EMP25-26EMP0943" u="1"/>
        <s v="EMP25-26EMP0944" u="1"/>
        <s v="EMP25-26EMP0945" u="1"/>
        <s v="EMP25-26EMP0946" u="1"/>
        <s v="EMP25-26EMP0947" u="1"/>
        <s v="EMP25-26EMP0948" u="1"/>
        <s v="EMP25-26EMP0949" u="1"/>
        <s v="EMP25-26EMP0950" u="1"/>
        <s v="EMP25-26EMP0951" u="1"/>
        <s v="EMP25-26EMP0952" u="1"/>
        <s v="EMP25-26EMP0953" u="1"/>
        <s v="EMP25-26EMP0954" u="1"/>
        <s v="EMP25-26EMP0955" u="1"/>
        <s v="EMP25-26EMP0956" u="1"/>
        <s v="EMP25-26EMP0957" u="1"/>
        <s v="EMP25-26EMP0958" u="1"/>
        <s v="EMP25-26EMP0959" u="1"/>
        <s v="EMP25-26EMP0960" u="1"/>
        <s v="EMP25-26EMP0961" u="1"/>
        <s v="EMP25-26EMP0962" u="1"/>
        <s v="EMP25-26EMP0963" u="1"/>
        <s v="EMP25-26EMP0964" u="1"/>
        <s v="EMP25-26EMP0965" u="1"/>
        <s v="EMP25-26EMP0966" u="1"/>
        <s v="EMP25-26EMP0967" u="1"/>
        <s v="EMP25-26EMP0968" u="1"/>
        <s v="EMP25-26EMP0969" u="1"/>
        <s v="EMP25-26EMP0970" u="1"/>
        <s v="EMP25-26EMP0971" u="1"/>
        <s v="EMP25-26EMP0972" u="1"/>
        <s v="EMP25-26EMP0973" u="1"/>
        <s v="EMP25-26EMP0974" u="1"/>
        <s v="EMP25-26EMP0975" u="1"/>
        <s v="EMP25-26EMP0976" u="1"/>
        <s v="EMP25-26EMP0977" u="1"/>
        <s v="EMP25-26EMP0978" u="1"/>
        <s v="EMP25-26EMP0979" u="1"/>
        <s v="EMP25-26EMP0980" u="1"/>
        <s v="EMP25-26EMP0981" u="1"/>
        <s v="EMP25-26EMP0982" u="1"/>
        <s v="EMP25-26EMP0983" u="1"/>
        <s v="EMP25-26EMP0984" u="1"/>
        <s v="EMP25-26EMP0985" u="1"/>
        <s v="EMP25-26EMP0986" u="1"/>
        <s v="EMP25-26EMP0987" u="1"/>
        <s v="EMP25-26EMP0988" u="1"/>
        <s v="EMP25-26EMP0989" u="1"/>
        <s v="EMP25-26EMP0990" u="1"/>
        <s v="EMP25-26EMP0991" u="1"/>
        <s v="EMP25-26EMP0992" u="1"/>
        <s v="EMP25-26EMP0993" u="1"/>
        <s v="EMP25-26EMP0994" u="1"/>
        <s v="EMP25-26EMP0995" u="1"/>
        <s v="EMP25-26EMP0996" u="1"/>
        <s v="EMP25-26EMP0997" u="1"/>
        <s v="EMP25-26EMP0998" u="1"/>
        <s v="EMP25-26EMP0999" u="1"/>
        <s v="EMP25-26EMP1000" u="1"/>
        <s v="EMP24-25EMP0001" u="1"/>
        <s v="EMP24-25EMP0002" u="1"/>
        <s v="EMP24-25EMP0003" u="1"/>
        <s v="EMP24-25EMP0004" u="1"/>
        <s v="EMP24-25EMP0005" u="1"/>
        <s v="EMP24-25EMP0006" u="1"/>
        <s v="EMP24-25EMP0007" u="1"/>
        <s v="EMP24-25EMP0008" u="1"/>
        <s v="EMP24-25EMP0009" u="1"/>
        <s v="EMP24-25EMP0010" u="1"/>
        <s v="EMP24-25EMP0011" u="1"/>
        <s v="EMP24-25EMP0012" u="1"/>
        <s v="EMP24-25EMP0013" u="1"/>
        <s v="EMP24-25EMP0014" u="1"/>
        <s v="EMP24-25EMP0015" u="1"/>
        <s v="EMP24-25EMP0016" u="1"/>
        <s v="EMP24-25EMP0017" u="1"/>
        <s v="EMP24-25EMP0018" u="1"/>
        <s v="EMP24-25EMP0019" u="1"/>
        <s v="EMP24-25EMP0020" u="1"/>
        <s v="EMP24-25EMP0021" u="1"/>
        <s v="EMP24-25EMP0022" u="1"/>
        <s v="EMP24-25EMP0023" u="1"/>
        <s v="EMP24-25EMP0024" u="1"/>
        <s v="EMP24-25EMP0025" u="1"/>
        <s v="EMP24-25EMP0026" u="1"/>
        <s v="EMP24-25EMP0027" u="1"/>
        <s v="EMP24-25EMP0028" u="1"/>
        <s v="EMP24-25EMP0029" u="1"/>
        <s v="EMP24-25EMP0030" u="1"/>
        <s v="EMP24-25EMP0031" u="1"/>
        <s v="EMP24-25EMP0032" u="1"/>
        <s v="EMP24-25EMP0033" u="1"/>
        <s v="EMP24-25EMP0034" u="1"/>
        <s v="EMP24-25EMP0035" u="1"/>
        <s v="EMP24-25EMP0036" u="1"/>
        <s v="EMP24-25EMP0037" u="1"/>
        <s v="EMP24-25EMP0038" u="1"/>
        <s v="EMP24-25EMP0039" u="1"/>
        <s v="EMP24-25EMP0040" u="1"/>
        <s v="EMP24-25EMP0041" u="1"/>
        <s v="EMP24-25EMP0042" u="1"/>
        <s v="EMP24-25EMP0043" u="1"/>
        <s v="EMP24-25EMP0044" u="1"/>
        <s v="EMP24-25EMP0045" u="1"/>
        <s v="EMP24-25EMP0046" u="1"/>
        <s v="EMP24-25EMP0047" u="1"/>
        <s v="EMP24-25EMP0048" u="1"/>
        <s v="EMP24-25EMP0049" u="1"/>
        <s v="EMP24-25EMP0050" u="1"/>
        <s v="EMP24-25EMP0051" u="1"/>
        <s v="EMP24-25EMP0052" u="1"/>
        <s v="EMP24-25EMP0053" u="1"/>
        <s v="EMP24-25EMP0054" u="1"/>
        <s v="EMP24-25EMP0055" u="1"/>
        <s v="EMP24-25EMP0056" u="1"/>
        <s v="EMP24-25EMP0057" u="1"/>
        <s v="EMP24-25EMP0058" u="1"/>
        <s v="EMP24-25EMP0059" u="1"/>
        <s v="EMP24-25EMP0060" u="1"/>
        <s v="EMP24-25EMP0061" u="1"/>
        <s v="EMP24-25EMP0062" u="1"/>
        <s v="EMP24-25EMP0063" u="1"/>
        <s v="EMP24-25EMP0064" u="1"/>
        <s v="EMP24-25EMP0065" u="1"/>
        <s v="EMP24-25EMP0066" u="1"/>
        <s v="EMP24-25EMP0067" u="1"/>
        <s v="EMP24-25EMP0068" u="1"/>
        <s v="EMP24-25EMP0069" u="1"/>
        <s v="EMP24-25EMP0070" u="1"/>
        <s v="EMP24-25EMP0071" u="1"/>
        <s v="EMP24-25EMP0072" u="1"/>
        <s v="EMP24-25EMP0073" u="1"/>
        <s v="EMP24-25EMP0074" u="1"/>
        <s v="EMP24-25EMP0075" u="1"/>
        <s v="EMP24-25EMP0076" u="1"/>
        <s v="EMP24-25EMP0077" u="1"/>
        <s v="EMP24-25EMP0078" u="1"/>
        <s v="EMP24-25EMP0079" u="1"/>
        <s v="EMP24-25EMP0080" u="1"/>
        <s v="EMP24-25EMP0081" u="1"/>
        <s v="EMP24-25EMP0082" u="1"/>
        <s v="EMP24-25EMP0083" u="1"/>
        <s v="EMP24-25EMP0084" u="1"/>
        <s v="EMP24-25EMP0085" u="1"/>
        <s v="EMP24-25EMP0086" u="1"/>
        <s v="EMP24-25EMP0087" u="1"/>
        <s v="EMP24-25EMP0088" u="1"/>
        <s v="EMP24-25EMP0089" u="1"/>
        <s v="EMP24-25EMP0090" u="1"/>
        <s v="EMP24-25EMP0091" u="1"/>
        <s v="EMP24-25EMP0092" u="1"/>
        <s v="EMP24-25EMP0093" u="1"/>
        <s v="EMP24-25EMP0094" u="1"/>
        <s v="EMP24-25EMP0095" u="1"/>
        <s v="EMP24-25EMP0096" u="1"/>
        <s v="EMP24-25EMP0097" u="1"/>
        <s v="EMP24-25EMP0098" u="1"/>
        <s v="EMP24-25EMP0099" u="1"/>
        <s v="EMP24-25EMP0100" u="1"/>
        <s v="EMP24-25EMP0101" u="1"/>
        <s v="EMP24-25EMP0102" u="1"/>
        <s v="EMP24-25EMP0103" u="1"/>
        <s v="EMP24-25EMP0104" u="1"/>
        <s v="EMP24-25EMP0105" u="1"/>
        <s v="EMP24-25EMP0106" u="1"/>
        <s v="EMP24-25EMP0107" u="1"/>
        <s v="EMP24-25EMP0108" u="1"/>
        <s v="EMP24-25EMP0109" u="1"/>
        <s v="EMP24-25EMP0110" u="1"/>
        <s v="EMP24-25EMP0111" u="1"/>
        <s v="EMP24-25EMP0112" u="1"/>
        <s v="EMP24-25EMP0113" u="1"/>
        <s v="EMP24-25EMP0114" u="1"/>
        <s v="EMP24-25EMP0115" u="1"/>
        <s v="EMP24-25EMP0116" u="1"/>
        <s v="EMP24-25EMP0117" u="1"/>
        <s v="EMP24-25EMP0118" u="1"/>
        <s v="EMP24-25EMP0119" u="1"/>
        <s v="EMP24-25EMP0120" u="1"/>
        <s v="EMP24-25EMP0121" u="1"/>
        <s v="EMP24-25EMP0122" u="1"/>
        <s v="EMP24-25EMP0123" u="1"/>
        <s v="EMP24-25EMP0124" u="1"/>
        <s v="EMP24-25EMP0125" u="1"/>
        <s v="EMP24-25EMP0126" u="1"/>
        <s v="EMP24-25EMP0127" u="1"/>
        <s v="EMP24-25EMP0128" u="1"/>
        <s v="EMP24-25EMP0129" u="1"/>
        <s v="EMP24-25EMP0130" u="1"/>
        <s v="EMP24-25EMP0131" u="1"/>
        <s v="EMP24-25EMP0132" u="1"/>
        <s v="EMP24-25EMP0133" u="1"/>
        <s v="EMP24-25EMP0134" u="1"/>
        <s v="EMP24-25EMP0135" u="1"/>
        <s v="EMP24-25EMP0136" u="1"/>
        <s v="EMP24-25EMP0137" u="1"/>
        <s v="EMP24-25EMP0138" u="1"/>
        <s v="EMP24-25EMP0139" u="1"/>
        <s v="EMP24-25EMP0140" u="1"/>
        <s v="EMP24-25EMP0141" u="1"/>
        <s v="EMP24-25EMP0142" u="1"/>
        <s v="EMP24-25EMP0143" u="1"/>
        <s v="EMP24-25EMP0144" u="1"/>
        <s v="EMP24-25EMP0145" u="1"/>
        <s v="EMP24-25EMP0146" u="1"/>
        <s v="EMP24-25EMP0147" u="1"/>
        <s v="EMP24-25EMP0148" u="1"/>
        <s v="EMP24-25EMP0149" u="1"/>
        <s v="EMP24-25EMP0150" u="1"/>
        <s v="EMP24-25EMP0151" u="1"/>
        <s v="EMP24-25EMP0152" u="1"/>
        <s v="EMP24-25EMP0153" u="1"/>
        <s v="EMP24-25EMP0154" u="1"/>
        <s v="EMP24-25EMP0155" u="1"/>
        <s v="EMP24-25EMP0156" u="1"/>
        <s v="EMP24-25EMP0157" u="1"/>
        <s v="EMP24-25EMP0158" u="1"/>
        <s v="EMP24-25EMP0159" u="1"/>
        <s v="EMP24-25EMP0160" u="1"/>
        <s v="EMP24-25EMP0161" u="1"/>
        <s v="EMP24-25EMP0162" u="1"/>
        <s v="EMP24-25EMP0163" u="1"/>
        <s v="EMP24-25EMP0164" u="1"/>
        <s v="EMP24-25EMP0165" u="1"/>
        <s v="EMP24-25EMP0166" u="1"/>
        <s v="EMP24-25EMP0167" u="1"/>
        <s v="EMP24-25EMP0168" u="1"/>
        <s v="EMP24-25EMP0169" u="1"/>
        <s v="EMP24-25EMP0170" u="1"/>
        <s v="EMP24-25EMP0171" u="1"/>
        <s v="EMP24-25EMP0172" u="1"/>
        <s v="EMP24-25EMP0173" u="1"/>
        <s v="EMP24-25EMP0174" u="1"/>
        <s v="EMP24-25EMP0175" u="1"/>
        <s v="EMP24-25EMP0176" u="1"/>
        <s v="EMP24-25EMP0177" u="1"/>
        <s v="EMP24-25EMP0178" u="1"/>
        <s v="EMP24-25EMP0179" u="1"/>
        <s v="EMP24-25EMP0180" u="1"/>
        <s v="EMP24-25EMP0181" u="1"/>
        <s v="EMP24-25EMP0182" u="1"/>
        <s v="EMP24-25EMP0183" u="1"/>
        <s v="EMP24-25EMP0184" u="1"/>
        <s v="EMP24-25EMP0185" u="1"/>
        <s v="EMP24-25EMP0186" u="1"/>
        <s v="EMP24-25EMP0187" u="1"/>
        <s v="EMP24-25EMP0188" u="1"/>
        <s v="EMP24-25EMP0189" u="1"/>
        <s v="EMP24-25EMP0190" u="1"/>
        <s v="EMP24-25EMP0191" u="1"/>
        <s v="EMP24-25EMP0192" u="1"/>
        <s v="EMP24-25EMP0193" u="1"/>
        <s v="EMP24-25EMP0194" u="1"/>
        <s v="EMP24-25EMP0195" u="1"/>
        <s v="EMP24-25EMP0196" u="1"/>
        <s v="EMP24-25EMP0197" u="1"/>
        <s v="EMP24-25EMP0198" u="1"/>
        <s v="EMP24-25EMP0199" u="1"/>
        <s v="EMP24-25EMP0200" u="1"/>
        <s v="EMP24-25EMP0201" u="1"/>
        <s v="EMP24-25EMP0202" u="1"/>
        <s v="EMP24-25EMP0203" u="1"/>
        <s v="EMP24-25EMP0204" u="1"/>
        <s v="EMP24-25EMP0205" u="1"/>
        <s v="EMP24-25EMP0206" u="1"/>
        <s v="EMP24-25EMP0207" u="1"/>
        <s v="EMP24-25EMP0208" u="1"/>
        <s v="EMP24-25EMP0209" u="1"/>
        <s v="EMP24-25EMP0210" u="1"/>
        <s v="EMP24-25EMP0211" u="1"/>
        <s v="EMP24-25EMP0212" u="1"/>
        <s v="EMP24-25EMP0213" u="1"/>
        <s v="EMP24-25EMP0214" u="1"/>
        <s v="EMP24-25EMP0215" u="1"/>
        <s v="EMP24-25EMP0216" u="1"/>
        <s v="EMP24-25EMP0217" u="1"/>
        <s v="EMP24-25EMP0218" u="1"/>
        <s v="EMP24-25EMP0219" u="1"/>
        <s v="EMP24-25EMP0220" u="1"/>
        <s v="EMP24-25EMP0221" u="1"/>
        <s v="EMP24-25EMP0222" u="1"/>
        <s v="EMP24-25EMP0223" u="1"/>
        <s v="EMP24-25EMP0224" u="1"/>
        <s v="EMP24-25EMP0225" u="1"/>
        <s v="EMP24-25EMP0226" u="1"/>
        <s v="EMP24-25EMP0227" u="1"/>
        <s v="EMP24-25EMP0228" u="1"/>
        <s v="EMP24-25EMP0229" u="1"/>
        <s v="EMP24-25EMP0230" u="1"/>
        <s v="EMP24-25EMP0231" u="1"/>
        <s v="EMP24-25EMP0232" u="1"/>
        <s v="EMP24-25EMP0233" u="1"/>
        <s v="EMP24-25EMP0234" u="1"/>
        <s v="EMP24-25EMP0235" u="1"/>
        <s v="EMP24-25EMP0236" u="1"/>
        <s v="EMP24-25EMP0237" u="1"/>
        <s v="EMP24-25EMP0238" u="1"/>
        <s v="EMP24-25EMP0239" u="1"/>
        <s v="EMP24-25EMP0240" u="1"/>
        <s v="EMP24-25EMP0241" u="1"/>
        <s v="EMP24-25EMP0242" u="1"/>
        <s v="EMP24-25EMP0243" u="1"/>
        <s v="EMP24-25EMP0244" u="1"/>
        <s v="EMP24-25EMP0245" u="1"/>
        <s v="EMP24-25EMP0246" u="1"/>
        <s v="EMP24-25EMP0247" u="1"/>
        <s v="EMP24-25EMP0248" u="1"/>
        <s v="EMP24-25EMP0249" u="1"/>
        <s v="EMP24-25EMP0250" u="1"/>
        <s v="EMP24-25EMP0251" u="1"/>
        <s v="EMP24-25EMP0252" u="1"/>
        <s v="EMP24-25EMP0253" u="1"/>
        <s v="EMP24-25EMP0254" u="1"/>
        <s v="EMP24-25EMP0255" u="1"/>
        <s v="EMP24-25EMP0256" u="1"/>
        <s v="EMP24-25EMP0257" u="1"/>
        <s v="EMP24-25EMP0258" u="1"/>
        <s v="EMP24-25EMP0259" u="1"/>
        <s v="EMP24-25EMP0260" u="1"/>
        <s v="EMP24-25EMP0261" u="1"/>
        <s v="EMP24-25EMP0262" u="1"/>
        <s v="EMP24-25EMP0263" u="1"/>
        <s v="EMP24-25EMP0264" u="1"/>
        <s v="EMP24-25EMP0265" u="1"/>
        <s v="EMP24-25EMP0266" u="1"/>
        <s v="EMP24-25EMP0267" u="1"/>
        <s v="EMP24-25EMP0268" u="1"/>
        <s v="EMP24-25EMP0269" u="1"/>
        <s v="EMP24-25EMP0270" u="1"/>
        <s v="EMP24-25EMP0271" u="1"/>
        <s v="EMP24-25EMP0272" u="1"/>
        <s v="EMP24-25EMP0273" u="1"/>
        <s v="EMP24-25EMP0274" u="1"/>
        <s v="EMP24-25EMP0275" u="1"/>
        <s v="EMP24-25EMP0276" u="1"/>
        <s v="EMP24-25EMP0277" u="1"/>
        <s v="EMP24-25EMP0278" u="1"/>
        <s v="EMP24-25EMP0279" u="1"/>
        <s v="EMP24-25EMP0280" u="1"/>
        <s v="EMP24-25EMP0281" u="1"/>
        <s v="EMP24-25EMP0282" u="1"/>
        <s v="EMP24-25EMP0283" u="1"/>
        <s v="EMP24-25EMP0284" u="1"/>
        <s v="EMP24-25EMP0285" u="1"/>
        <s v="EMP24-25EMP0286" u="1"/>
        <s v="EMP24-25EMP0287" u="1"/>
        <s v="EMP24-25EMP0288" u="1"/>
        <s v="EMP24-25EMP0289" u="1"/>
        <s v="EMP24-25EMP0290" u="1"/>
        <s v="EMP24-25EMP0291" u="1"/>
        <s v="EMP24-25EMP0292" u="1"/>
        <s v="EMP24-25EMP0293" u="1"/>
        <s v="EMP24-25EMP0294" u="1"/>
        <s v="EMP24-25EMP0295" u="1"/>
        <s v="EMP24-25EMP0296" u="1"/>
        <s v="EMP24-25EMP0297" u="1"/>
        <s v="EMP24-25EMP0298" u="1"/>
        <s v="EMP24-25EMP0299" u="1"/>
        <s v="EMP24-25EMP0300" u="1"/>
        <s v="EMP24-25EMP0301" u="1"/>
        <s v="EMP24-25EMP0302" u="1"/>
        <s v="EMP24-25EMP0303" u="1"/>
        <s v="EMP24-25EMP0304" u="1"/>
        <s v="EMP24-25EMP0305" u="1"/>
        <s v="EMP24-25EMP0306" u="1"/>
        <s v="EMP24-25EMP0307" u="1"/>
        <s v="EMP24-25EMP0308" u="1"/>
        <s v="EMP24-25EMP0309" u="1"/>
        <s v="EMP24-25EMP0310" u="1"/>
        <s v="EMP24-25EMP0311" u="1"/>
        <s v="EMP24-25EMP0312" u="1"/>
        <s v="EMP24-25EMP0313" u="1"/>
        <s v="EMP24-25EMP0314" u="1"/>
        <s v="EMP24-25EMP0315" u="1"/>
        <s v="EMP24-25EMP0316" u="1"/>
        <s v="EMP24-25EMP0317" u="1"/>
        <s v="EMP24-25EMP0318" u="1"/>
        <s v="EMP24-25EMP0319" u="1"/>
        <s v="EMP24-25EMP0320" u="1"/>
        <s v="EMP24-25EMP0321" u="1"/>
        <s v="EMP24-25EMP0322" u="1"/>
        <s v="EMP24-25EMP0323" u="1"/>
        <s v="EMP24-25EMP0324" u="1"/>
        <s v="EMP24-25EMP0325" u="1"/>
        <s v="EMP24-25EMP0326" u="1"/>
        <s v="EMP24-25EMP0327" u="1"/>
        <s v="EMP24-25EMP0328" u="1"/>
        <s v="EMP24-25EMP0329" u="1"/>
        <s v="EMP24-25EMP0330" u="1"/>
        <s v="EMP24-25EMP0331" u="1"/>
        <s v="EMP24-25EMP0332" u="1"/>
        <s v="EMP24-25EMP0333" u="1"/>
        <s v="EMP24-25EMP0334" u="1"/>
        <s v="EMP24-25EMP0335" u="1"/>
        <s v="EMP24-25EMP0336" u="1"/>
        <s v="EMP24-25EMP0337" u="1"/>
        <s v="EMP24-25EMP0338" u="1"/>
        <s v="EMP24-25EMP0339" u="1"/>
        <s v="EMP24-25EMP0340" u="1"/>
        <s v="EMP24-25EMP0341" u="1"/>
        <s v="EMP24-25EMP0342" u="1"/>
        <s v="EMP24-25EMP0343" u="1"/>
        <s v="EMP24-25EMP0344" u="1"/>
        <s v="EMP24-25EMP0345" u="1"/>
        <s v="EMP24-25EMP0346" u="1"/>
        <s v="EMP24-25EMP0347" u="1"/>
        <s v="EMP24-25EMP0348" u="1"/>
        <s v="EMP24-25EMP0349" u="1"/>
        <s v="EMP24-25EMP0350" u="1"/>
        <s v="EMP24-25EMP0351" u="1"/>
        <s v="EMP24-25EMP0352" u="1"/>
        <s v="EMP24-25EMP0353" u="1"/>
        <s v="EMP24-25EMP0354" u="1"/>
        <s v="EMP24-25EMP0355" u="1"/>
        <s v="EMP24-25EMP0356" u="1"/>
        <s v="EMP24-25EMP0357" u="1"/>
        <s v="EMP24-25EMP0358" u="1"/>
        <s v="EMP24-25EMP0359" u="1"/>
        <s v="EMP24-25EMP0360" u="1"/>
        <s v="EMP24-25EMP0361" u="1"/>
        <s v="EMP24-25EMP0362" u="1"/>
        <s v="EMP24-25EMP0363" u="1"/>
        <s v="EMP24-25EMP0364" u="1"/>
        <s v="EMP24-25EMP0365" u="1"/>
        <s v="EMP24-25EMP0366" u="1"/>
        <s v="EMP24-25EMP0367" u="1"/>
        <s v="EMP24-25EMP0368" u="1"/>
        <s v="EMP24-25EMP0369" u="1"/>
        <s v="EMP24-25EMP0370" u="1"/>
        <s v="EMP24-25EMP0371" u="1"/>
        <s v="EMP24-25EMP0372" u="1"/>
        <s v="EMP24-25EMP0373" u="1"/>
        <s v="EMP24-25EMP0374" u="1"/>
        <s v="EMP24-25EMP0375" u="1"/>
        <s v="EMP24-25EMP0376" u="1"/>
        <s v="EMP24-25EMP0377" u="1"/>
        <s v="EMP24-25EMP0378" u="1"/>
        <s v="EMP24-25EMP0379" u="1"/>
        <s v="EMP24-25EMP0380" u="1"/>
        <s v="EMP24-25EMP0381" u="1"/>
        <s v="EMP24-25EMP0382" u="1"/>
        <s v="EMP24-25EMP0383" u="1"/>
        <s v="EMP24-25EMP0384" u="1"/>
        <s v="EMP24-25EMP0385" u="1"/>
        <s v="EMP24-25EMP0386" u="1"/>
        <s v="EMP24-25EMP0387" u="1"/>
        <s v="EMP24-25EMP0388" u="1"/>
        <s v="EMP24-25EMP0389" u="1"/>
        <s v="EMP24-25EMP0390" u="1"/>
        <s v="EMP24-25EMP0391" u="1"/>
        <s v="EMP24-25EMP0392" u="1"/>
        <s v="EMP24-25EMP0393" u="1"/>
        <s v="EMP24-25EMP0394" u="1"/>
        <s v="EMP24-25EMP0395" u="1"/>
        <s v="EMP24-25EMP0396" u="1"/>
        <s v="EMP24-25EMP0397" u="1"/>
        <s v="EMP24-25EMP0398" u="1"/>
        <s v="EMP24-25EMP0399" u="1"/>
        <s v="EMP24-25EMP0400" u="1"/>
        <s v="EMP24-25EMP0401" u="1"/>
        <s v="EMP24-25EMP0402" u="1"/>
        <s v="EMP24-25EMP0403" u="1"/>
        <s v="EMP24-25EMP0404" u="1"/>
        <s v="EMP24-25EMP0405" u="1"/>
        <s v="EMP24-25EMP0406" u="1"/>
        <s v="EMP24-25EMP0407" u="1"/>
        <s v="EMP24-25EMP0408" u="1"/>
        <s v="EMP24-25EMP0409" u="1"/>
        <s v="EMP24-25EMP0410" u="1"/>
        <s v="EMP24-25EMP0411" u="1"/>
        <s v="EMP24-25EMP0412" u="1"/>
        <s v="EMP24-25EMP0413" u="1"/>
        <s v="EMP24-25EMP0414" u="1"/>
        <s v="EMP24-25EMP0415" u="1"/>
        <s v="EMP24-25EMP0416" u="1"/>
        <s v="EMP24-25EMP0417" u="1"/>
        <s v="EMP24-25EMP0418" u="1"/>
        <s v="EMP24-25EMP0419" u="1"/>
        <s v="EMP24-25EMP0420" u="1"/>
        <s v="EMP24-25EMP0421" u="1"/>
        <s v="EMP24-25EMP0422" u="1"/>
        <s v="EMP24-25EMP0423" u="1"/>
        <s v="EMP24-25EMP0424" u="1"/>
        <s v="EMP24-25EMP0425" u="1"/>
        <s v="EMP24-25EMP0426" u="1"/>
        <s v="EMP24-25EMP0427" u="1"/>
        <s v="EMP24-25EMP0428" u="1"/>
        <s v="EMP24-25EMP0429" u="1"/>
        <s v="EMP24-25EMP0430" u="1"/>
        <s v="EMP24-25EMP0431" u="1"/>
        <s v="EMP24-25EMP0432" u="1"/>
        <s v="EMP24-25EMP0433" u="1"/>
        <s v="EMP24-25EMP0434" u="1"/>
        <s v="EMP24-25EMP0435" u="1"/>
        <s v="EMP24-25EMP0436" u="1"/>
        <s v="EMP24-25EMP0437" u="1"/>
        <s v="EMP24-25EMP0438" u="1"/>
        <s v="EMP24-25EMP0439" u="1"/>
        <s v="EMP24-25EMP0440" u="1"/>
        <s v="EMP24-25EMP0441" u="1"/>
        <s v="EMP24-25EMP0442" u="1"/>
        <s v="EMP24-25EMP0443" u="1"/>
        <s v="EMP24-25EMP0444" u="1"/>
        <s v="EMP24-25EMP0445" u="1"/>
        <s v="EMP24-25EMP0446" u="1"/>
        <s v="EMP24-25EMP0447" u="1"/>
        <s v="EMP24-25EMP0448" u="1"/>
        <s v="EMP24-25EMP0449" u="1"/>
        <s v="EMP24-25EMP0450" u="1"/>
        <s v="EMP24-25EMP0451" u="1"/>
        <s v="EMP24-25EMP0452" u="1"/>
        <s v="EMP24-25EMP0453" u="1"/>
        <s v="EMP24-25EMP0454" u="1"/>
        <s v="EMP24-25EMP0455" u="1"/>
        <s v="EMP24-25EMP0456" u="1"/>
        <s v="EMP24-25EMP0457" u="1"/>
        <s v="EMP24-25EMP0458" u="1"/>
        <s v="EMP24-25EMP0459" u="1"/>
        <s v="EMP24-25EMP0460" u="1"/>
        <s v="EMP24-25EMP0461" u="1"/>
        <s v="EMP24-25EMP0462" u="1"/>
        <s v="EMP24-25EMP0463" u="1"/>
        <s v="EMP24-25EMP0464" u="1"/>
        <s v="EMP24-25EMP0465" u="1"/>
        <s v="EMP24-25EMP0466" u="1"/>
        <s v="EMP24-25EMP0467" u="1"/>
        <s v="EMP24-25EMP0468" u="1"/>
        <s v="EMP24-25EMP0469" u="1"/>
        <s v="EMP24-25EMP0470" u="1"/>
        <s v="EMP24-25EMP0471" u="1"/>
        <s v="EMP24-25EMP0472" u="1"/>
        <s v="EMP24-25EMP0473" u="1"/>
        <s v="EMP24-25EMP0474" u="1"/>
        <s v="EMP24-25EMP0475" u="1"/>
        <s v="EMP24-25EMP0476" u="1"/>
        <s v="EMP24-25EMP0477" u="1"/>
        <s v="EMP24-25EMP0478" u="1"/>
        <s v="EMP24-25EMP0479" u="1"/>
        <s v="EMP24-25EMP0480" u="1"/>
        <s v="EMP24-25EMP0481" u="1"/>
        <s v="EMP24-25EMP0482" u="1"/>
        <s v="EMP24-25EMP0483" u="1"/>
        <s v="EMP24-25EMP0484" u="1"/>
        <s v="EMP24-25EMP0485" u="1"/>
        <s v="EMP24-25EMP0486" u="1"/>
        <s v="EMP24-25EMP0487" u="1"/>
        <s v="EMP24-25EMP0488" u="1"/>
        <s v="EMP24-25EMP0489" u="1"/>
        <s v="EMP24-25EMP0490" u="1"/>
        <s v="EMP24-25EMP0491" u="1"/>
        <s v="EMP24-25EMP0492" u="1"/>
        <s v="EMP24-25EMP0493" u="1"/>
        <s v="EMP24-25EMP0494" u="1"/>
        <s v="EMP24-25EMP0495" u="1"/>
        <s v="EMP24-25EMP0496" u="1"/>
        <s v="EMP24-25EMP0497" u="1"/>
        <s v="EMP24-25EMP0498" u="1"/>
        <s v="EMP24-25EMP0499" u="1"/>
        <s v="EMP24-25EMP0500" u="1"/>
        <s v="EMP24-25EMP0501" u="1"/>
        <s v="EMP24-25EMP0502" u="1"/>
        <s v="EMP24-25EMP0503" u="1"/>
        <s v="EMP24-25EMP0504" u="1"/>
        <s v="EMP24-25EMP0505" u="1"/>
        <s v="EMP24-25EMP0506" u="1"/>
        <s v="EMP24-25EMP0507" u="1"/>
        <s v="EMP24-25EMP0508" u="1"/>
        <s v="EMP24-25EMP0509" u="1"/>
        <s v="EMP24-25EMP0510" u="1"/>
        <s v="EMP24-25EMP0511" u="1"/>
        <s v="EMP24-25EMP0512" u="1"/>
        <s v="EMP24-25EMP0513" u="1"/>
        <s v="EMP24-25EMP0514" u="1"/>
        <s v="EMP24-25EMP0515" u="1"/>
        <s v="EMP24-25EMP0516" u="1"/>
        <s v="EMP24-25EMP0517" u="1"/>
        <s v="EMP24-25EMP0518" u="1"/>
        <s v="EMP24-25EMP0519" u="1"/>
        <s v="EMP24-25EMP0520" u="1"/>
        <s v="EMP24-25EMP0521" u="1"/>
        <s v="EMP24-25EMP0522" u="1"/>
        <s v="EMP24-25EMP0523" u="1"/>
        <s v="EMP24-25EMP0524" u="1"/>
        <s v="EMP24-25EMP0525" u="1"/>
        <s v="EMP24-25EMP0526" u="1"/>
        <s v="EMP24-25EMP0527" u="1"/>
        <s v="EMP24-25EMP0528" u="1"/>
        <s v="EMP24-25EMP0529" u="1"/>
        <s v="EMP24-25EMP0530" u="1"/>
        <s v="EMP24-25EMP0531" u="1"/>
        <s v="EMP24-25EMP0532" u="1"/>
        <s v="EMP24-25EMP0533" u="1"/>
        <s v="EMP24-25EMP0534" u="1"/>
        <s v="EMP24-25EMP0535" u="1"/>
        <s v="EMP24-25EMP0536" u="1"/>
        <s v="EMP24-25EMP0537" u="1"/>
        <s v="EMP24-25EMP0538" u="1"/>
        <s v="EMP24-25EMP0539" u="1"/>
        <s v="EMP24-25EMP0540" u="1"/>
        <s v="EMP24-25EMP0541" u="1"/>
        <s v="EMP24-25EMP0542" u="1"/>
        <s v="EMP24-25EMP0543" u="1"/>
        <s v="EMP24-25EMP0544" u="1"/>
        <s v="EMP24-25EMP0545" u="1"/>
        <s v="EMP24-25EMP0546" u="1"/>
        <s v="EMP24-25EMP0547" u="1"/>
        <s v="EMP24-25EMP0548" u="1"/>
        <s v="EMP24-25EMP0549" u="1"/>
        <s v="EMP24-25EMP0550" u="1"/>
        <s v="EMP24-25EMP0551" u="1"/>
        <s v="EMP24-25EMP0552" u="1"/>
        <s v="EMP24-25EMP0553" u="1"/>
        <s v="EMP24-25EMP0554" u="1"/>
        <s v="EMP24-25EMP0555" u="1"/>
        <s v="EMP24-25EMP0556" u="1"/>
        <s v="EMP24-25EMP0557" u="1"/>
        <s v="EMP24-25EMP0558" u="1"/>
        <s v="EMP24-25EMP0559" u="1"/>
        <s v="EMP24-25EMP0560" u="1"/>
        <s v="EMP24-25EMP0561" u="1"/>
        <s v="EMP24-25EMP0562" u="1"/>
        <s v="EMP24-25EMP0563" u="1"/>
        <s v="EMP24-25EMP0564" u="1"/>
        <s v="EMP24-25EMP0565" u="1"/>
        <s v="EMP24-25EMP0566" u="1"/>
        <s v="EMP24-25EMP0567" u="1"/>
        <s v="EMP24-25EMP0568" u="1"/>
        <s v="EMP24-25EMP0569" u="1"/>
        <s v="EMP24-25EMP0570" u="1"/>
        <s v="EMP24-25EMP0571" u="1"/>
        <s v="EMP24-25EMP0572" u="1"/>
        <s v="EMP24-25EMP0573" u="1"/>
        <s v="EMP24-25EMP0574" u="1"/>
        <s v="EMP24-25EMP0575" u="1"/>
        <s v="EMP24-25EMP0576" u="1"/>
        <s v="EMP24-25EMP0577" u="1"/>
        <s v="EMP24-25EMP0578" u="1"/>
        <s v="EMP24-25EMP0579" u="1"/>
        <s v="EMP24-25EMP0580" u="1"/>
        <s v="EMP24-25EMP0581" u="1"/>
        <s v="EMP24-25EMP0582" u="1"/>
        <s v="EMP24-25EMP0583" u="1"/>
        <s v="EMP24-25EMP0584" u="1"/>
        <s v="EMP24-25EMP0585" u="1"/>
        <s v="EMP24-25EMP0586" u="1"/>
        <s v="EMP24-25EMP0587" u="1"/>
        <s v="EMP24-25EMP0588" u="1"/>
        <s v="EMP24-25EMP0589" u="1"/>
        <s v="EMP24-25EMP0590" u="1"/>
        <s v="EMP24-25EMP0591" u="1"/>
        <s v="EMP24-25EMP0592" u="1"/>
        <s v="EMP24-25EMP0593" u="1"/>
        <s v="EMP24-25EMP0594" u="1"/>
        <s v="EMP24-25EMP0595" u="1"/>
        <s v="EMP24-25EMP0596" u="1"/>
        <s v="EMP24-25EMP0597" u="1"/>
        <s v="EMP24-25EMP0598" u="1"/>
        <s v="EMP24-25EMP0599" u="1"/>
        <s v="EMP24-25EMP0600" u="1"/>
        <s v="EMP24-25EMP0601" u="1"/>
        <s v="EMP24-25EMP0602" u="1"/>
        <s v="EMP24-25EMP0603" u="1"/>
        <s v="EMP24-25EMP0604" u="1"/>
        <s v="EMP24-25EMP0605" u="1"/>
        <s v="EMP24-25EMP0606" u="1"/>
        <s v="EMP24-25EMP0607" u="1"/>
        <s v="EMP24-25EMP0608" u="1"/>
        <s v="EMP24-25EMP0609" u="1"/>
        <s v="EMP24-25EMP0610" u="1"/>
        <s v="EMP24-25EMP0611" u="1"/>
        <s v="EMP24-25EMP0612" u="1"/>
        <s v="EMP24-25EMP0613" u="1"/>
        <s v="EMP24-25EMP0614" u="1"/>
        <s v="EMP24-25EMP0615" u="1"/>
        <s v="EMP24-25EMP0616" u="1"/>
        <s v="EMP24-25EMP0617" u="1"/>
        <s v="EMP24-25EMP0618" u="1"/>
        <s v="EMP24-25EMP0619" u="1"/>
        <s v="EMP24-25EMP0620" u="1"/>
        <s v="EMP24-25EMP0621" u="1"/>
        <s v="EMP24-25EMP0622" u="1"/>
        <s v="EMP24-25EMP0623" u="1"/>
        <s v="EMP24-25EMP0624" u="1"/>
        <s v="EMP24-25EMP0625" u="1"/>
        <s v="EMP24-25EMP0626" u="1"/>
        <s v="EMP24-25EMP0627" u="1"/>
        <s v="EMP24-25EMP0628" u="1"/>
        <s v="EMP24-25EMP0629" u="1"/>
        <s v="EMP24-25EMP0630" u="1"/>
        <s v="EMP24-25EMP0631" u="1"/>
        <s v="EMP24-25EMP0632" u="1"/>
        <s v="EMP24-25EMP0633" u="1"/>
        <s v="EMP24-25EMP0634" u="1"/>
        <s v="EMP24-25EMP0635" u="1"/>
        <s v="EMP24-25EMP0636" u="1"/>
        <s v="EMP24-25EMP0637" u="1"/>
        <s v="EMP24-25EMP0638" u="1"/>
        <s v="EMP24-25EMP0639" u="1"/>
        <s v="EMP24-25EMP0640" u="1"/>
        <s v="EMP24-25EMP0641" u="1"/>
        <s v="EMP24-25EMP0642" u="1"/>
        <s v="EMP24-25EMP0643" u="1"/>
        <s v="EMP24-25EMP0644" u="1"/>
        <s v="EMP24-25EMP0645" u="1"/>
        <s v="EMP24-25EMP0646" u="1"/>
        <s v="EMP24-25EMP0647" u="1"/>
        <s v="EMP24-25EMP0648" u="1"/>
        <s v="EMP24-25EMP0649" u="1"/>
        <s v="EMP24-25EMP0650" u="1"/>
        <s v="EMP24-25EMP0651" u="1"/>
        <s v="EMP24-25EMP0652" u="1"/>
        <s v="EMP24-25EMP0653" u="1"/>
        <s v="EMP24-25EMP0654" u="1"/>
        <s v="EMP24-25EMP0655" u="1"/>
        <s v="EMP24-25EMP0656" u="1"/>
        <s v="EMP24-25EMP0657" u="1"/>
        <s v="EMP24-25EMP0658" u="1"/>
        <s v="EMP24-25EMP0659" u="1"/>
        <s v="EMP24-25EMP0660" u="1"/>
        <s v="EMP24-25EMP0661" u="1"/>
        <s v="EMP24-25EMP0662" u="1"/>
        <s v="EMP24-25EMP0663" u="1"/>
        <s v="EMP24-25EMP0664" u="1"/>
        <s v="EMP24-25EMP0665" u="1"/>
        <s v="EMP24-25EMP0666" u="1"/>
        <s v="EMP24-25EMP0667" u="1"/>
        <s v="EMP24-25EMP0668" u="1"/>
        <s v="EMP24-25EMP0669" u="1"/>
        <s v="EMP24-25EMP0670" u="1"/>
        <s v="EMP24-25EMP0671" u="1"/>
        <s v="EMP24-25EMP0672" u="1"/>
        <s v="EMP24-25EMP0673" u="1"/>
        <s v="EMP24-25EMP0674" u="1"/>
        <s v="EMP24-25EMP0675" u="1"/>
        <s v="EMP24-25EMP0676" u="1"/>
        <s v="EMP24-25EMP0677" u="1"/>
        <s v="EMP24-25EMP0678" u="1"/>
        <s v="EMP24-25EMP0679" u="1"/>
        <s v="EMP24-25EMP0680" u="1"/>
        <s v="EMP24-25EMP0681" u="1"/>
        <s v="EMP24-25EMP0682" u="1"/>
        <s v="EMP24-25EMP0683" u="1"/>
        <s v="EMP24-25EMP0684" u="1"/>
        <s v="EMP24-25EMP0685" u="1"/>
        <s v="EMP24-25EMP0686" u="1"/>
        <s v="EMP24-25EMP0687" u="1"/>
        <s v="EMP24-25EMP0688" u="1"/>
        <s v="EMP24-25EMP0689" u="1"/>
        <s v="EMP24-25EMP0690" u="1"/>
        <s v="EMP24-25EMP0691" u="1"/>
        <s v="EMP24-25EMP0692" u="1"/>
        <s v="EMP24-25EMP0693" u="1"/>
        <s v="EMP24-25EMP0694" u="1"/>
        <s v="EMP24-25EMP0695" u="1"/>
        <s v="EMP24-25EMP0696" u="1"/>
        <s v="EMP24-25EMP0697" u="1"/>
        <s v="EMP24-25EMP0698" u="1"/>
        <s v="EMP24-25EMP0699" u="1"/>
        <s v="EMP24-25EMP0700" u="1"/>
        <s v="EMP24-25EMP0701" u="1"/>
        <m u="1"/>
      </sharedItems>
    </cacheField>
    <cacheField name="Query Date" numFmtId="167">
      <sharedItems containsNonDate="0" containsDate="1" containsString="0" containsBlank="1" minDate="2023-11-20T00:00:00" maxDate="2026-02-01T00:00:00" count="452">
        <m/>
        <d v="2025-01-09T00:00:00" u="1"/>
        <d v="2025-02-05T00:00:00" u="1"/>
        <d v="2025-01-30T00:00:00" u="1"/>
        <d v="2025-02-17T00:00:00" u="1"/>
        <d v="2025-02-22T00:00:00" u="1"/>
        <d v="2025-02-25T00:00:00" u="1"/>
        <d v="2025-02-20T00:00:00" u="1"/>
        <d v="2025-03-03T00:00:00" u="1"/>
        <d v="2025-03-05T00:00:00" u="1"/>
        <d v="2025-03-12T00:00:00" u="1"/>
        <d v="2025-03-15T00:00:00" u="1"/>
        <d v="2025-03-17T00:00:00" u="1"/>
        <d v="2025-03-18T00:00:00" u="1"/>
        <d v="2025-03-20T00:00:00" u="1"/>
        <d v="2025-03-24T00:00:00" u="1"/>
        <d v="2025-03-25T00:00:00" u="1"/>
        <d v="2025-03-26T00:00:00" u="1"/>
        <d v="2025-03-31T00:00:00" u="1"/>
        <d v="2025-02-07T00:00:00" u="1"/>
        <d v="2025-04-02T00:00:00" u="1"/>
        <d v="2025-02-10T00:00:00" u="1"/>
        <d v="2024-09-19T00:00:00" u="1"/>
        <d v="2025-01-20T00:00:00" u="1"/>
        <d v="2025-04-01T00:00:00" u="1"/>
        <d v="2025-01-22T00:00:00" u="1"/>
        <d v="2025-04-04T00:00:00" u="1"/>
        <d v="2025-04-05T00:00:00" u="1"/>
        <d v="2025-04-07T00:00:00" u="1"/>
        <d v="2025-04-08T00:00:00" u="1"/>
        <d v="2025-04-09T00:00:00" u="1"/>
        <d v="2025-04-11T00:00:00" u="1"/>
        <d v="2025-04-14T00:00:00" u="1"/>
        <d v="2025-04-15T00:00:00" u="1"/>
        <d v="2025-04-17T00:00:00" u="1"/>
        <d v="2025-04-19T00:00:00" u="1"/>
        <d v="2025-04-22T00:00:00" u="1"/>
        <d v="2025-04-23T00:00:00" u="1"/>
        <d v="2025-04-24T00:00:00" u="1"/>
        <d v="2025-04-25T00:00:00" u="1"/>
        <d v="2025-05-05T00:00:00" u="1"/>
        <d v="2025-05-06T00:00:00" u="1"/>
        <d v="2025-05-07T00:00:00" u="1"/>
        <d v="2025-05-08T00:00:00" u="1"/>
        <d v="2025-05-09T00:00:00" u="1"/>
        <d v="2025-05-10T00:00:00" u="1"/>
        <d v="2025-05-13T00:00:00" u="1"/>
        <d v="2025-05-14T00:00:00" u="1"/>
        <d v="2025-05-15T00:00:00" u="1"/>
        <d v="2025-05-16T00:00:00" u="1"/>
        <d v="2025-05-17T00:00:00" u="1"/>
        <d v="2025-05-19T00:00:00" u="1"/>
        <d v="2025-05-20T00:00:00" u="1"/>
        <d v="2025-05-27T00:00:00" u="1"/>
        <d v="2025-05-29T00:00:00" u="1"/>
        <d v="2025-05-26T00:00:00" u="1"/>
        <d v="2025-06-02T00:00:00" u="1"/>
        <d v="2025-05-30T00:00:00" u="1"/>
        <d v="2025-06-03T00:00:00" u="1"/>
        <d v="2025-06-05T00:00:00" u="1"/>
        <d v="2025-06-09T00:00:00" u="1"/>
        <d v="2025-06-10T00:00:00" u="1"/>
        <d v="2025-06-11T00:00:00" u="1"/>
        <d v="2025-06-13T00:00:00" u="1"/>
        <d v="2025-06-14T00:00:00" u="1"/>
        <d v="2025-06-16T00:00:00" u="1"/>
        <d v="2025-06-18T00:00:00" u="1"/>
        <d v="2025-06-23T00:00:00" u="1"/>
        <d v="2025-06-24T00:00:00" u="1"/>
        <d v="2025-06-25T00:00:00" u="1"/>
        <d v="2025-06-26T00:00:00" u="1"/>
        <d v="2025-06-27T00:00:00" u="1"/>
        <d v="2025-06-30T00:00:00" u="1"/>
        <d v="2025-07-02T00:00:00" u="1"/>
        <d v="2025-07-05T00:00:00" u="1"/>
        <d v="2025-07-07T00:00:00" u="1"/>
        <d v="2025-07-08T00:00:00" u="1"/>
        <d v="2025-07-10T00:00:00" u="1"/>
        <d v="2025-07-11T00:00:00" u="1"/>
        <d v="2025-07-14T00:00:00" u="1"/>
        <d v="2025-07-15T00:00:00" u="1"/>
        <d v="2025-07-16T00:00:00" u="1"/>
        <d v="2025-07-23T00:00:00" u="1"/>
        <d v="2025-07-24T00:00:00" u="1"/>
        <d v="2025-07-25T00:00:00" u="1"/>
        <d v="2025-07-26T00:00:00" u="1"/>
        <d v="2025-07-18T00:00:00" u="1"/>
        <d v="2025-08-01T00:00:00" u="1"/>
        <d v="2025-07-31T00:00:00" u="1"/>
        <d v="2025-08-04T00:00:00" u="1"/>
        <d v="2025-08-06T00:00:00" u="1"/>
        <d v="2025-08-07T00:00:00" u="1"/>
        <d v="2025-08-08T00:00:00" u="1"/>
        <d v="2025-08-14T00:00:00" u="1"/>
        <d v="2025-08-16T00:00:00" u="1"/>
        <d v="2025-08-18T00:00:00" u="1"/>
        <d v="2025-08-11T00:00:00" u="1"/>
        <d v="2025-08-19T00:00:00" u="1"/>
        <d v="2025-08-20T00:00:00" u="1"/>
        <d v="2025-08-21T00:00:00" u="1"/>
        <d v="2025-10-22T00:00:00" u="1"/>
        <d v="2025-08-25T00:00:00" u="1"/>
        <d v="2025-08-27T00:00:00" u="1"/>
        <d v="2025-08-28T00:00:00" u="1"/>
        <d v="2025-08-29T00:00:00" u="1"/>
        <d v="2025-08-30T00:00:00" u="1"/>
        <d v="2025-09-01T00:00:00" u="1"/>
        <d v="2025-09-02T00:00:00" u="1"/>
        <d v="2025-09-05T00:00:00" u="1"/>
        <d v="2025-09-06T00:00:00" u="1"/>
        <d v="2025-09-09T00:00:00" u="1"/>
        <d v="2025-09-03T00:00:00" u="1"/>
        <d v="2025-09-10T00:00:00" u="1"/>
        <d v="2025-09-12T00:00:00" u="1"/>
        <d v="2025-09-13T00:00:00" u="1"/>
        <d v="2025-09-15T00:00:00" u="1"/>
        <d v="2025-09-16T00:00:00" u="1"/>
        <d v="2025-09-18T00:00:00" u="1"/>
        <d v="2025-09-19T00:00:00" u="1"/>
        <d v="2025-09-22T00:00:00" u="1"/>
        <d v="2025-09-23T00:00:00" u="1"/>
        <d v="2025-09-25T00:00:00" u="1"/>
        <d v="2025-09-30T00:00:00" u="1"/>
        <d v="2025-10-01T00:00:00" u="1"/>
        <d v="2025-10-03T00:00:00" u="1"/>
        <d v="2025-10-04T00:00:00" u="1"/>
        <d v="2025-10-06T00:00:00" u="1"/>
        <d v="2025-10-07T00:00:00" u="1"/>
        <d v="2025-10-08T00:00:00" u="1"/>
        <d v="2025-10-09T00:00:00" u="1"/>
        <d v="2025-10-13T00:00:00" u="1"/>
        <d v="2025-10-14T00:00:00" u="1"/>
        <d v="2025-10-15T00:00:00" u="1"/>
        <d v="2025-10-16T00:00:00" u="1"/>
        <d v="2025-10-17T00:00:00" u="1"/>
        <d v="2025-10-18T00:00:00" u="1"/>
        <d v="2025-10-23T00:00:00" u="1"/>
        <d v="2025-10-24T00:00:00" u="1"/>
        <d v="2025-10-25T00:00:00" u="1"/>
        <d v="2025-10-27T00:00:00" u="1"/>
        <d v="2025-10-29T00:00:00" u="1"/>
        <d v="2025-10-30T00:00:00" u="1"/>
        <d v="2025-10-31T00:00:00" u="1"/>
        <d v="2025-11-03T00:00:00" u="1"/>
        <d v="2025-11-04T00:00:00" u="1"/>
        <d v="2025-11-06T00:00:00" u="1"/>
        <d v="2025-11-09T00:00:00" u="1"/>
        <d v="2025-11-10T00:00:00" u="1"/>
        <d v="2025-11-11T00:00:00" u="1"/>
        <d v="2025-11-13T00:00:00" u="1"/>
        <d v="2025-11-14T00:00:00" u="1"/>
        <d v="2025-11-15T00:00:00" u="1"/>
        <d v="2025-11-17T00:00:00" u="1"/>
        <d v="2025-11-18T00:00:00" u="1"/>
        <d v="2025-11-19T00:00:00" u="1"/>
        <d v="2025-11-20T00:00:00" u="1"/>
        <d v="2025-11-21T00:00:00" u="1"/>
        <d v="2025-11-24T00:00:00" u="1"/>
        <d v="2025-11-25T00:00:00" u="1"/>
        <d v="2025-11-28T00:00:00" u="1"/>
        <d v="2025-12-03T00:00:00" u="1"/>
        <d v="2025-12-04T00:00:00" u="1"/>
        <d v="2025-12-05T00:00:00" u="1"/>
        <d v="2025-12-09T00:00:00" u="1"/>
        <d v="2025-12-11T00:00:00" u="1"/>
        <d v="2025-12-12T00:00:00" u="1"/>
        <d v="2025-12-15T00:00:00" u="1"/>
        <d v="2025-12-17T00:00:00" u="1"/>
        <d v="2025-12-18T00:00:00" u="1"/>
        <d v="2025-12-20T00:00:00" u="1"/>
        <d v="2025-12-26T00:00:00" u="1"/>
        <d v="2025-12-29T00:00:00" u="1"/>
        <d v="2025-12-30T00:00:00" u="1"/>
        <d v="2026-01-02T00:00:00" u="1"/>
        <d v="2026-01-03T00:00:00" u="1"/>
        <d v="2026-01-05T00:00:00" u="1"/>
        <d v="2026-01-06T00:00:00" u="1"/>
        <d v="2026-01-07T00:00:00" u="1"/>
        <d v="2026-01-08T00:00:00" u="1"/>
        <d v="2026-01-09T00:00:00" u="1"/>
        <d v="2026-01-12T00:00:00" u="1"/>
        <d v="2026-01-13T00:00:00" u="1"/>
        <d v="2026-01-14T00:00:00" u="1"/>
        <d v="2026-01-16T00:00:00" u="1"/>
        <d v="2026-01-17T00:00:00" u="1"/>
        <d v="2026-01-19T00:00:00" u="1"/>
        <d v="2026-01-20T00:00:00" u="1"/>
        <d v="2026-01-21T00:00:00" u="1"/>
        <d v="2026-01-22T00:00:00" u="1"/>
        <d v="2026-01-27T00:00:00" u="1"/>
        <d v="2026-01-28T00:00:00" u="1"/>
        <d v="2026-01-30T00:00:00" u="1"/>
        <d v="2026-01-31T00:00:00" u="1"/>
        <d v="2023-11-20T00:00:00" u="1"/>
        <d v="2024-01-09T00:00:00" u="1"/>
        <d v="2024-01-17T00:00:00" u="1"/>
        <d v="2024-01-18T00:00:00" u="1"/>
        <d v="2024-01-22T00:00:00" u="1"/>
        <d v="2024-01-23T00:00:00" u="1"/>
        <d v="2024-01-26T00:00:00" u="1"/>
        <d v="2024-01-29T00:00:00" u="1"/>
        <d v="2024-01-30T00:00:00" u="1"/>
        <d v="2024-02-01T00:00:00" u="1"/>
        <d v="2024-02-05T00:00:00" u="1"/>
        <d v="2024-02-06T00:00:00" u="1"/>
        <d v="2024-02-08T00:00:00" u="1"/>
        <d v="2024-02-09T00:00:00" u="1"/>
        <d v="2024-02-10T00:00:00" u="1"/>
        <d v="2024-02-13T00:00:00" u="1"/>
        <d v="2024-02-17T00:00:00" u="1"/>
        <d v="2024-02-20T00:00:00" u="1"/>
        <d v="2024-02-22T00:00:00" u="1"/>
        <d v="2024-02-23T00:00:00" u="1"/>
        <d v="2024-02-26T00:00:00" u="1"/>
        <d v="2024-02-27T00:00:00" u="1"/>
        <d v="2024-03-02T00:00:00" u="1"/>
        <d v="2024-03-04T00:00:00" u="1"/>
        <d v="2024-03-06T00:00:00" u="1"/>
        <d v="2024-03-07T00:00:00" u="1"/>
        <d v="2024-03-08T00:00:00" u="1"/>
        <d v="2024-03-11T00:00:00" u="1"/>
        <d v="2024-03-13T00:00:00" u="1"/>
        <d v="2024-03-14T00:00:00" u="1"/>
        <d v="2024-03-16T00:00:00" u="1"/>
        <d v="2024-03-18T00:00:00" u="1"/>
        <d v="2024-03-19T00:00:00" u="1"/>
        <d v="2024-03-20T00:00:00" u="1"/>
        <d v="2024-03-21T00:00:00" u="1"/>
        <d v="2024-03-22T00:00:00" u="1"/>
        <d v="2024-03-27T00:00:00" u="1"/>
        <d v="2024-03-28T00:00:00" u="1"/>
        <d v="2024-03-30T00:00:00" u="1"/>
        <d v="2024-04-01T00:00:00" u="1"/>
        <d v="2024-04-02T00:00:00" u="1"/>
        <d v="2024-04-03T00:00:00" u="1"/>
        <d v="2024-04-04T00:00:00" u="1"/>
        <d v="2024-04-05T00:00:00" u="1"/>
        <d v="2024-04-09T00:00:00" u="1"/>
        <d v="2024-04-10T00:00:00" u="1"/>
        <d v="2024-04-11T00:00:00" u="1"/>
        <d v="2024-04-12T00:00:00" u="1"/>
        <d v="2024-04-13T00:00:00" u="1"/>
        <d v="2024-04-15T00:00:00" u="1"/>
        <d v="2024-04-17T00:00:00" u="1"/>
        <d v="2024-04-18T00:00:00" u="1"/>
        <d v="2024-04-19T00:00:00" u="1"/>
        <d v="2024-04-20T00:00:00" u="1"/>
        <d v="2024-04-22T00:00:00" u="1"/>
        <d v="2024-04-23T00:00:00" u="1"/>
        <d v="2024-04-24T00:00:00" u="1"/>
        <d v="2024-04-25T00:00:00" u="1"/>
        <d v="2024-04-26T00:00:00" u="1"/>
        <d v="2024-04-29T00:00:00" u="1"/>
        <d v="2024-05-02T00:00:00" u="1"/>
        <d v="2024-05-03T00:00:00" u="1"/>
        <d v="2024-05-07T00:00:00" u="1"/>
        <d v="2024-05-09T00:00:00" u="1"/>
        <d v="2024-05-10T00:00:00" u="1"/>
        <d v="2024-05-11T00:00:00" u="1"/>
        <d v="2024-05-13T00:00:00" u="1"/>
        <d v="2024-05-14T00:00:00" u="1"/>
        <d v="2024-05-16T00:00:00" u="1"/>
        <d v="2024-05-17T00:00:00" u="1"/>
        <d v="2024-05-18T00:00:00" u="1"/>
        <d v="2024-05-20T00:00:00" u="1"/>
        <d v="2024-05-21T00:00:00" u="1"/>
        <d v="2024-05-22T00:00:00" u="1"/>
        <d v="2024-05-24T00:00:00" u="1"/>
        <d v="2024-05-25T00:00:00" u="1"/>
        <d v="2024-05-27T00:00:00" u="1"/>
        <d v="2024-05-28T00:00:00" u="1"/>
        <d v="2024-05-29T00:00:00" u="1"/>
        <d v="2024-05-30T00:00:00" u="1"/>
        <d v="2024-05-31T00:00:00" u="1"/>
        <d v="2024-06-01T00:00:00" u="1"/>
        <d v="2024-06-03T00:00:00" u="1"/>
        <d v="2024-06-05T00:00:00" u="1"/>
        <d v="2024-06-08T00:00:00" u="1"/>
        <d v="2024-06-10T00:00:00" u="1"/>
        <d v="2024-06-11T00:00:00" u="1"/>
        <d v="2024-06-12T00:00:00" u="1"/>
        <d v="2024-06-13T00:00:00" u="1"/>
        <d v="2024-06-14T00:00:00" u="1"/>
        <d v="2024-06-17T00:00:00" u="1"/>
        <d v="2024-06-18T00:00:00" u="1"/>
        <d v="2024-06-19T00:00:00" u="1"/>
        <d v="2024-06-20T00:00:00" u="1"/>
        <d v="2024-06-22T00:00:00" u="1"/>
        <d v="2024-06-24T00:00:00" u="1"/>
        <d v="2024-06-26T00:00:00" u="1"/>
        <d v="2024-06-27T00:00:00" u="1"/>
        <d v="2024-06-28T00:00:00" u="1"/>
        <d v="2024-06-29T00:00:00" u="1"/>
        <d v="2024-07-01T00:00:00" u="1"/>
        <d v="2024-07-02T00:00:00" u="1"/>
        <d v="2024-07-03T00:00:00" u="1"/>
        <d v="2024-07-06T00:00:00" u="1"/>
        <d v="2024-07-08T00:00:00" u="1"/>
        <d v="2024-07-10T00:00:00" u="1"/>
        <d v="2024-07-12T00:00:00" u="1"/>
        <d v="2024-07-13T00:00:00" u="1"/>
        <d v="2024-07-14T00:00:00" u="1"/>
        <d v="2024-07-15T00:00:00" u="1"/>
        <d v="2024-07-16T00:00:00" u="1"/>
        <d v="2024-07-17T00:00:00" u="1"/>
        <d v="2024-07-18T00:00:00" u="1"/>
        <d v="2024-07-19T00:00:00" u="1"/>
        <d v="2024-07-20T00:00:00" u="1"/>
        <d v="2024-07-22T00:00:00" u="1"/>
        <d v="2024-07-23T00:00:00" u="1"/>
        <d v="2024-07-24T00:00:00" u="1"/>
        <d v="2024-07-25T00:00:00" u="1"/>
        <d v="2024-07-26T00:00:00" u="1"/>
        <d v="2024-07-29T00:00:00" u="1"/>
        <d v="2024-07-30T00:00:00" u="1"/>
        <d v="2024-07-31T00:00:00" u="1"/>
        <d v="2024-08-01T00:00:00" u="1"/>
        <d v="2024-08-03T00:00:00" u="1"/>
        <d v="2024-08-05T00:00:00" u="1"/>
        <d v="2024-08-06T00:00:00" u="1"/>
        <d v="2024-08-07T00:00:00" u="1"/>
        <d v="2024-08-08T00:00:00" u="1"/>
        <d v="2024-08-09T00:00:00" u="1"/>
        <d v="2024-08-12T00:00:00" u="1"/>
        <d v="2024-08-14T00:00:00" u="1"/>
        <d v="2024-08-16T00:00:00" u="1"/>
        <d v="2024-08-20T00:00:00" u="1"/>
        <d v="2024-08-21T00:00:00" u="1"/>
        <d v="2024-08-22T00:00:00" u="1"/>
        <d v="2024-08-23T00:00:00" u="1"/>
        <d v="2024-08-24T00:00:00" u="1"/>
        <d v="2024-08-26T00:00:00" u="1"/>
        <d v="2024-08-27T00:00:00" u="1"/>
        <d v="2024-08-28T00:00:00" u="1"/>
        <d v="2024-08-29T00:00:00" u="1"/>
        <d v="2024-08-30T00:00:00" u="1"/>
        <d v="2024-09-02T00:00:00" u="1"/>
        <d v="2024-09-03T00:00:00" u="1"/>
        <d v="2024-09-04T00:00:00" u="1"/>
        <d v="2024-09-05T00:00:00" u="1"/>
        <d v="2024-09-06T00:00:00" u="1"/>
        <d v="2024-09-07T00:00:00" u="1"/>
        <d v="2024-09-09T00:00:00" u="1"/>
        <d v="2024-09-10T00:00:00" u="1"/>
        <d v="2024-09-12T00:00:00" u="1"/>
        <d v="2024-09-13T00:00:00" u="1"/>
        <d v="2024-09-14T00:00:00" u="1"/>
        <d v="2024-09-16T00:00:00" u="1"/>
        <d v="2024-09-17T00:00:00" u="1"/>
        <d v="2024-09-18T00:00:00" u="1"/>
        <d v="2024-09-20T00:00:00" u="1"/>
        <d v="2024-09-21T00:00:00" u="1"/>
        <d v="2024-09-24T00:00:00" u="1"/>
        <d v="2024-09-25T00:00:00" u="1"/>
        <d v="2024-09-26T00:00:00" u="1"/>
        <d v="2024-09-28T00:00:00" u="1"/>
        <d v="2024-09-30T00:00:00" u="1"/>
        <d v="2024-10-01T00:00:00" u="1"/>
        <d v="2024-10-03T00:00:00" u="1"/>
        <d v="2024-10-04T00:00:00" u="1"/>
        <d v="2024-10-05T00:00:00" u="1"/>
        <d v="2024-10-07T00:00:00" u="1"/>
        <d v="2024-10-09T00:00:00" u="1"/>
        <d v="2024-10-08T00:00:00" u="1"/>
        <d v="2024-10-10T00:00:00" u="1"/>
        <d v="2024-10-11T00:00:00" u="1"/>
        <d v="2024-10-14T00:00:00" u="1"/>
        <d v="2024-10-15T00:00:00" u="1"/>
        <d v="2024-10-16T00:00:00" u="1"/>
        <d v="2024-10-17T00:00:00" u="1"/>
        <d v="2024-10-18T00:00:00" u="1"/>
        <d v="2024-10-19T00:00:00" u="1"/>
        <d v="2024-10-21T00:00:00" u="1"/>
        <d v="2024-10-22T00:00:00" u="1"/>
        <d v="2024-10-23T00:00:00" u="1"/>
        <d v="2024-10-24T00:00:00" u="1"/>
        <d v="2024-10-25T00:00:00" u="1"/>
        <d v="2024-10-26T00:00:00" u="1"/>
        <d v="2024-10-28T00:00:00" u="1"/>
        <d v="2024-10-29T00:00:00" u="1"/>
        <d v="2024-10-30T00:00:00" u="1"/>
        <d v="2024-11-01T00:00:00" u="1"/>
        <d v="2024-11-04T00:00:00" u="1"/>
        <d v="2024-11-05T00:00:00" u="1"/>
        <d v="2024-11-06T00:00:00" u="1"/>
        <d v="2024-11-07T00:00:00" u="1"/>
        <d v="2024-11-08T00:00:00" u="1"/>
        <d v="2024-11-09T00:00:00" u="1"/>
        <d v="2024-11-10T00:00:00" u="1"/>
        <d v="2024-11-11T00:00:00" u="1"/>
        <d v="2024-11-12T00:00:00" u="1"/>
        <d v="2024-11-13T00:00:00" u="1"/>
        <d v="2024-11-14T00:00:00" u="1"/>
        <d v="2024-11-16T00:00:00" u="1"/>
        <d v="2024-11-18T00:00:00" u="1"/>
        <d v="2024-11-19T00:00:00" u="1"/>
        <d v="2024-11-20T00:00:00" u="1"/>
        <d v="2024-11-21T00:00:00" u="1"/>
        <d v="2024-11-22T00:00:00" u="1"/>
        <d v="2024-11-23T00:00:00" u="1"/>
        <d v="2024-11-25T00:00:00" u="1"/>
        <d v="2024-11-26T00:00:00" u="1"/>
        <d v="2024-11-27T00:00:00" u="1"/>
        <d v="2024-11-28T00:00:00" u="1"/>
        <d v="2024-11-29T00:00:00" u="1"/>
        <d v="2024-11-30T00:00:00" u="1"/>
        <d v="2024-12-02T00:00:00" u="1"/>
        <d v="2024-12-03T00:00:00" u="1"/>
        <d v="2024-12-04T00:00:00" u="1"/>
        <d v="2024-12-05T00:00:00" u="1"/>
        <d v="2024-12-06T00:00:00" u="1"/>
        <d v="2024-12-07T00:00:00" u="1"/>
        <d v="2024-12-09T00:00:00" u="1"/>
        <d v="2024-12-10T00:00:00" u="1"/>
        <d v="2024-12-11T00:00:00" u="1"/>
        <d v="2024-12-12T00:00:00" u="1"/>
        <d v="2024-12-14T00:00:00" u="1"/>
        <d v="2024-12-17T00:00:00" u="1"/>
        <d v="2024-12-18T00:00:00" u="1"/>
        <d v="2024-12-19T00:00:00" u="1"/>
        <d v="2024-12-20T00:00:00" u="1"/>
        <d v="2024-12-23T00:00:00" u="1"/>
        <d v="2024-12-21T00:00:00" u="1"/>
        <d v="2024-12-24T00:00:00" u="1"/>
        <d v="2024-12-26T00:00:00" u="1"/>
        <d v="2024-12-27T00:00:00" u="1"/>
        <d v="2024-12-28T00:00:00" u="1"/>
        <d v="2024-12-30T00:00:00" u="1"/>
        <d v="2025-01-02T00:00:00" u="1"/>
        <d v="2025-01-03T00:00:00" u="1"/>
        <d v="2025-01-04T00:00:00" u="1"/>
        <d v="2025-01-06T00:00:00" u="1"/>
        <d v="2025-01-07T00:00:00" u="1"/>
        <d v="2025-01-08T00:00:00" u="1"/>
        <d v="2025-01-10T00:00:00" u="1"/>
        <d v="2025-01-11T00:00:00" u="1"/>
        <d v="2025-01-13T00:00:00" u="1"/>
        <d v="2025-01-15T00:00:00" u="1"/>
        <d v="2025-01-16T00:00:00" u="1"/>
        <d v="2025-01-17T00:00:00" u="1"/>
        <d v="2025-01-18T00:00:00" u="1"/>
        <d v="2025-01-21T00:00:00" u="1"/>
        <d v="2025-01-23T00:00:00" u="1"/>
        <d v="2025-01-24T00:00:00" u="1"/>
        <d v="2025-01-25T00:00:00" u="1"/>
        <d v="2025-01-27T00:00:00" u="1"/>
        <d v="2025-01-28T00:00:00" u="1"/>
        <d v="2025-01-31T00:00:00" u="1"/>
        <d v="2025-02-01T00:00:00" u="1"/>
        <d v="2025-02-02T00:00:00" u="1"/>
        <d v="2025-02-03T00:00:00" u="1"/>
        <d v="2025-02-04T00:00:00" u="1"/>
      </sharedItems>
    </cacheField>
    <cacheField name="Query Day" numFmtId="0">
      <sharedItems/>
    </cacheField>
    <cacheField name="Query Month" numFmtId="0">
      <sharedItems count="13">
        <s v=""/>
        <s v="January" u="1"/>
        <s v="February" u="1"/>
        <s v="March" u="1"/>
        <s v="April" u="1"/>
        <s v="September" u="1"/>
        <s v="May" u="1"/>
        <s v="June" u="1"/>
        <s v="July" u="1"/>
        <s v="August" u="1"/>
        <s v="October" u="1"/>
        <s v="November" u="1"/>
        <s v="December" u="1"/>
      </sharedItems>
    </cacheField>
    <cacheField name="Query Market Source" numFmtId="0">
      <sharedItems containsNonDate="0" containsString="0" containsBlank="1"/>
    </cacheField>
    <cacheField name="Query Market / Region" numFmtId="0">
      <sharedItems containsNonDate="0" containsString="0" containsBlank="1"/>
    </cacheField>
    <cacheField name="Query Type" numFmtId="0">
      <sharedItems containsNonDate="0" containsString="0" containsBlank="1"/>
    </cacheField>
    <cacheField name="Query For" numFmtId="0">
      <sharedItems containsNonDate="0" containsString="0" containsBlank="1"/>
    </cacheField>
    <cacheField name="Query Base City" numFmtId="0">
      <sharedItems containsNonDate="0" containsString="0" containsBlank="1" count="1">
        <m/>
      </sharedItems>
    </cacheField>
    <cacheField name="Query Source Type" numFmtId="0">
      <sharedItems containsNonDate="0" containsString="0" containsBlank="1"/>
    </cacheField>
    <cacheField name="Query Source Name" numFmtId="0">
      <sharedItems containsNonDate="0" containsString="0" containsBlank="1"/>
    </cacheField>
    <cacheField name="Contact Person" numFmtId="0">
      <sharedItems containsNonDate="0" containsString="0" containsBlank="1"/>
    </cacheField>
    <cacheField name="Contact Number" numFmtId="0">
      <sharedItems containsNonDate="0" containsString="0" containsBlank="1"/>
    </cacheField>
    <cacheField name="Email Id" numFmtId="0">
      <sharedItems containsNonDate="0" containsString="0" containsBlank="1"/>
    </cacheField>
    <cacheField name="Tour Starting Date" numFmtId="167">
      <sharedItems containsNonDate="0" containsDate="1" containsString="0" containsBlank="1" minDate="2024-04-01T00:00:00" maxDate="2026-03-30T00:00:00" count="466">
        <m/>
        <d v="2025-04-05T00:00:00" u="1"/>
        <d v="2025-04-24T00:00:00" u="1"/>
        <d v="2025-04-06T00:00:00" u="1"/>
        <d v="2025-04-19T00:00:00" u="1"/>
        <d v="2025-04-15T00:00:00" u="1"/>
        <d v="2025-04-10T00:00:00" u="1"/>
        <d v="2025-04-20T00:00:00" u="1"/>
        <d v="2025-04-08T00:00:00" u="1"/>
        <d v="2025-04-09T00:00:00" u="1"/>
        <d v="2025-04-07T00:00:00" u="1"/>
        <d v="2025-04-18T00:00:00" u="1"/>
        <d v="2025-04-12T00:00:00" u="1"/>
        <d v="2025-04-03T00:00:00" u="1"/>
        <d v="2025-04-11T00:00:00" u="1"/>
        <d v="2025-04-25T00:00:00" u="1"/>
        <d v="2025-04-22T00:00:00" u="1"/>
        <d v="2025-06-02T00:00:00" u="1"/>
        <d v="2025-11-02T00:00:00" u="1"/>
        <d v="2025-05-19T00:00:00" u="1"/>
        <d v="2025-05-11T00:00:00" u="1"/>
        <d v="2025-06-04T00:00:00" u="1"/>
        <d v="2025-11-18T00:00:00" u="1"/>
        <d v="2025-05-10T00:00:00" u="1"/>
        <d v="2025-06-10T00:00:00" u="1"/>
        <d v="2025-06-01T00:00:00" u="1"/>
        <d v="2025-06-26T00:00:00" u="1"/>
        <d v="2025-07-10T00:00:00" u="1"/>
        <d v="2025-07-13T00:00:00" u="1"/>
        <d v="2025-11-10T00:00:00" u="1"/>
        <d v="2025-04-04T00:00:00" u="1"/>
        <d v="2025-05-22T00:00:00" u="1"/>
        <d v="2025-08-15T00:00:00" u="1"/>
        <d v="2025-04-28T00:00:00" u="1"/>
        <d v="2025-05-15T00:00:00" u="1"/>
        <d v="2025-05-14T00:00:00" u="1"/>
        <d v="2025-04-14T00:00:00" u="1"/>
        <d v="2025-05-06T00:00:00" u="1"/>
        <d v="2025-10-08T00:00:00" u="1"/>
        <d v="2025-05-25T00:00:00" u="1"/>
        <d v="2025-10-27T00:00:00" u="1"/>
        <d v="2025-11-16T00:00:00" u="1"/>
        <d v="2025-05-09T00:00:00" u="1"/>
        <d v="2026-02-28T00:00:00" u="1"/>
        <d v="2025-05-17T00:00:00" u="1"/>
        <d v="2025-05-05T00:00:00" u="1"/>
        <d v="2025-05-28T00:00:00" u="1"/>
        <d v="2025-06-25T00:00:00" u="1"/>
        <d v="2026-01-06T00:00:00" u="1"/>
        <d v="2025-06-09T00:00:00" u="1"/>
        <d v="2025-09-18T00:00:00" u="1"/>
        <d v="2025-07-11T00:00:00" u="1"/>
        <d v="2025-12-27T00:00:00" u="1"/>
        <d v="2025-05-27T00:00:00" u="1"/>
        <d v="2025-06-11T00:00:00" u="1"/>
        <d v="2025-06-12T00:00:00" u="1"/>
        <d v="2025-06-07T00:00:00" u="1"/>
        <d v="2025-05-29T00:00:00" u="1"/>
        <d v="2025-06-05T00:00:00" u="1"/>
        <d v="2025-07-09T00:00:00" u="1"/>
        <d v="2025-10-10T00:00:00" u="1"/>
        <d v="2025-05-30T00:00:00" u="1"/>
        <d v="2025-05-23T00:00:00" u="1"/>
        <d v="2025-06-17T00:00:00" u="1"/>
        <d v="2025-06-22T00:00:00" u="1"/>
        <d v="2025-06-18T00:00:00" u="1"/>
        <d v="2025-08-05T00:00:00" u="1"/>
        <d v="2025-06-06T00:00:00" u="1"/>
        <d v="2025-06-19T00:00:00" u="1"/>
        <d v="2025-08-01T00:00:00" u="1"/>
        <d v="2026-01-28T00:00:00" u="1"/>
        <d v="2025-06-23T00:00:00" u="1"/>
        <d v="2025-06-13T00:00:00" u="1"/>
        <d v="2025-11-13T00:00:00" u="1"/>
        <d v="2025-07-17T00:00:00" u="1"/>
        <d v="2025-07-22T00:00:00" u="1"/>
        <d v="2025-10-25T00:00:00" u="1"/>
        <d v="2025-11-30T00:00:00" u="1"/>
        <d v="2025-06-29T00:00:00" u="1"/>
        <d v="2025-06-30T00:00:00" u="1"/>
        <d v="2026-01-21T00:00:00" u="1"/>
        <d v="2025-09-24T00:00:00" u="1"/>
        <d v="2025-11-29T00:00:00" u="1"/>
        <d v="2025-12-21T00:00:00" u="1"/>
        <d v="2025-10-19T00:00:00" u="1"/>
        <d v="2025-10-16T00:00:00" u="1"/>
        <d v="2025-10-02T00:00:00" u="1"/>
        <d v="2025-07-14T00:00:00" u="1"/>
        <d v="2025-10-04T00:00:00" u="1"/>
        <d v="2026-02-08T00:00:00" u="1"/>
        <d v="2025-07-26T00:00:00" u="1"/>
        <d v="2025-07-20T00:00:00" u="1"/>
        <d v="2025-08-14T00:00:00" u="1"/>
        <d v="2025-10-26T00:00:00" u="1"/>
        <d v="2025-08-07T00:00:00" u="1"/>
        <d v="2025-09-22T00:00:00" u="1"/>
        <d v="2025-12-15T00:00:00" u="1"/>
        <d v="2025-07-23T00:00:00" u="1"/>
        <d v="2026-01-26T00:00:00" u="1"/>
        <d v="2025-09-02T00:00:00" u="1"/>
        <d v="2025-07-30T00:00:00" u="1"/>
        <d v="2025-08-12T00:00:00" u="1"/>
        <d v="2025-11-15T00:00:00" u="1"/>
        <d v="2025-08-13T00:00:00" u="1"/>
        <d v="2025-08-10T00:00:00" u="1"/>
        <d v="2025-10-28T00:00:00" u="1"/>
        <d v="2025-09-15T00:00:00" u="1"/>
        <d v="2025-08-11T00:00:00" u="1"/>
        <d v="2025-10-05T00:00:00" u="1"/>
        <d v="2025-08-17T00:00:00" u="1"/>
        <d v="2025-09-09T00:00:00" u="1"/>
        <d v="2025-09-12T00:00:00" u="1"/>
        <d v="2025-10-11T00:00:00" u="1"/>
        <d v="2025-09-23T00:00:00" u="1"/>
        <d v="2025-10-07T00:00:00" u="1"/>
        <d v="2025-09-10T00:00:00" u="1"/>
        <d v="2025-12-13T00:00:00" u="1"/>
        <d v="2025-11-03T00:00:00" u="1"/>
        <d v="2026-01-03T00:00:00" u="1"/>
        <d v="2025-09-17T00:00:00" u="1"/>
        <d v="2025-11-19T00:00:00" u="1"/>
        <d v="2025-10-23T00:00:00" u="1"/>
        <d v="2025-09-26T00:00:00" u="1"/>
        <d v="2025-12-06T00:00:00" u="1"/>
        <d v="2025-09-03T00:00:00" u="1"/>
        <d v="2025-09-19T00:00:00" u="1"/>
        <d v="2025-10-03T00:00:00" u="1"/>
        <d v="2025-11-09T00:00:00" u="1"/>
        <d v="2025-09-11T00:00:00" u="1"/>
        <d v="2025-11-04T00:00:00" u="1"/>
        <d v="2025-11-11T00:00:00" u="1"/>
        <d v="2025-09-14T00:00:00" u="1"/>
        <d v="2025-10-01T00:00:00" u="1"/>
        <d v="2025-11-08T00:00:00" u="1"/>
        <d v="2025-10-24T00:00:00" u="1"/>
        <d v="2026-03-08T00:00:00" u="1"/>
        <d v="2025-12-02T00:00:00" u="1"/>
        <d v="2026-03-07T00:00:00" u="1"/>
        <d v="2025-11-17T00:00:00" u="1"/>
        <d v="2026-01-14T00:00:00" u="1"/>
        <d v="2025-11-21T00:00:00" u="1"/>
        <d v="2025-10-18T00:00:00" u="1"/>
        <d v="2025-12-24T00:00:00" u="1"/>
        <d v="2025-11-23T00:00:00" u="1"/>
        <d v="2025-11-12T00:00:00" u="1"/>
        <d v="2025-10-20T00:00:00" u="1"/>
        <d v="2025-11-26T00:00:00" u="1"/>
        <d v="2026-02-14T00:00:00" u="1"/>
        <d v="2026-01-27T00:00:00" u="1"/>
        <d v="2026-02-18T00:00:00" u="1"/>
        <d v="2026-01-25T00:00:00" u="1"/>
        <d v="2025-12-26T00:00:00" u="1"/>
        <d v="2025-11-20T00:00:00" u="1"/>
        <d v="2025-10-22T00:00:00" u="1"/>
        <d v="2025-12-25T00:00:00" u="1"/>
        <d v="2026-02-17T00:00:00" u="1"/>
        <d v="2026-01-15T00:00:00" u="1"/>
        <d v="2026-01-05T00:00:00" u="1"/>
        <d v="2025-12-23T00:00:00" u="1"/>
        <d v="2025-11-05T00:00:00" u="1"/>
        <d v="2026-02-22T00:00:00" u="1"/>
        <d v="2026-01-30T00:00:00" u="1"/>
        <d v="2025-11-25T00:00:00" u="1"/>
        <d v="2025-12-28T00:00:00" u="1"/>
        <d v="2025-12-29T00:00:00" u="1"/>
        <d v="2025-12-17T00:00:00" u="1"/>
        <d v="2025-12-16T00:00:00" u="1"/>
        <d v="2026-01-04T00:00:00" u="1"/>
        <d v="2025-11-22T00:00:00" u="1"/>
        <d v="2026-01-16T00:00:00" u="1"/>
        <d v="2025-12-01T00:00:00" u="1"/>
        <d v="2026-01-22T00:00:00" u="1"/>
        <d v="2026-02-09T00:00:00" u="1"/>
        <d v="2025-12-04T00:00:00" u="1"/>
        <d v="2026-02-02T00:00:00" u="1"/>
        <d v="2025-12-12T00:00:00" u="1"/>
        <d v="2025-11-28T00:00:00" u="1"/>
        <d v="2026-03-20T00:00:00" u="1"/>
        <d v="2025-12-09T00:00:00" u="1"/>
        <d v="2026-01-11T00:00:00" u="1"/>
        <d v="2026-01-29T00:00:00" u="1"/>
        <d v="2025-12-05T00:00:00" u="1"/>
        <d v="2026-02-21T00:00:00" u="1"/>
        <d v="2025-12-14T00:00:00" u="1"/>
        <d v="2026-01-20T00:00:00" u="1"/>
        <d v="2025-12-20T00:00:00" u="1"/>
        <d v="2025-12-19T00:00:00" u="1"/>
        <d v="2026-02-13T00:00:00" u="1"/>
        <d v="2026-01-02T00:00:00" u="1"/>
        <d v="2026-02-05T00:00:00" u="1"/>
        <d v="2026-01-18T00:00:00" u="1"/>
        <d v="2026-02-16T00:00:00" u="1"/>
        <d v="2026-01-10T00:00:00" u="1"/>
        <d v="2026-01-13T00:00:00" u="1"/>
        <d v="2026-03-05T00:00:00" u="1"/>
        <d v="2026-03-21T00:00:00" u="1"/>
        <d v="2026-02-03T00:00:00" u="1"/>
        <d v="2026-03-04T00:00:00" u="1"/>
        <d v="2026-03-12T00:00:00" u="1"/>
        <d v="2026-03-29T00:00:00" u="1"/>
        <d v="2026-02-25T00:00:00" u="1"/>
        <d v="2026-03-09T00:00:00" u="1"/>
        <d v="2026-03-25T00:00:00" u="1"/>
        <d v="2026-03-15T00:00:00" u="1"/>
        <d v="2026-01-19T00:00:00" u="1"/>
        <d v="2026-01-24T00:00:00" u="1"/>
        <d v="2026-02-20T00:00:00" u="1"/>
        <d v="2026-02-04T00:00:00" u="1"/>
        <d v="2026-03-10T00:00:00" u="1"/>
        <d v="2026-02-23T00:00:00" u="1"/>
        <d v="2026-02-06T00:00:00" u="1"/>
        <d v="2024-04-15T00:00:00" u="1"/>
        <d v="2024-04-22T00:00:00" u="1"/>
        <d v="2024-05-12T00:00:00" u="1"/>
        <d v="2024-05-05T00:00:00" u="1"/>
        <d v="2024-05-11T00:00:00" u="1"/>
        <d v="2024-05-27T00:00:00" u="1"/>
        <d v="2024-04-07T00:00:00" u="1"/>
        <d v="2024-08-13T00:00:00" u="1"/>
        <d v="2024-04-26T00:00:00" u="1"/>
        <d v="2024-05-01T00:00:00" u="1"/>
        <d v="2024-04-18T00:00:00" u="1"/>
        <d v="2024-04-28T00:00:00" u="1"/>
        <d v="2024-08-01T00:00:00" u="1"/>
        <d v="2024-05-04T00:00:00" u="1"/>
        <d v="2024-06-04T00:00:00" u="1"/>
        <d v="2024-07-13T00:00:00" u="1"/>
        <d v="2024-04-29T00:00:00" u="1"/>
        <d v="2024-05-25T00:00:00" u="1"/>
        <d v="2024-04-25T00:00:00" u="1"/>
        <d v="2024-05-19T00:00:00" u="1"/>
        <d v="2024-04-10T00:00:00" u="1"/>
        <d v="2024-06-08T00:00:00" u="1"/>
        <d v="2024-04-12T00:00:00" u="1"/>
        <d v="2024-04-30T00:00:00" u="1"/>
        <d v="2024-05-16T00:00:00" u="1"/>
        <d v="2024-04-01T00:00:00" u="1"/>
        <d v="2024-05-06T00:00:00" u="1"/>
        <d v="2024-05-02T00:00:00" u="1"/>
        <d v="2024-04-05T00:00:00" u="1"/>
        <d v="2024-04-21T00:00:00" u="1"/>
        <d v="2024-04-11T00:00:00" u="1"/>
        <d v="2024-04-20T00:00:00" u="1"/>
        <d v="2024-04-02T00:00:00" u="1"/>
        <d v="2024-05-08T00:00:00" u="1"/>
        <d v="2024-05-14T00:00:00" u="1"/>
        <d v="2024-06-10T00:00:00" u="1"/>
        <d v="2024-09-28T00:00:00" u="1"/>
        <d v="2024-05-07T00:00:00" u="1"/>
        <d v="2024-08-25T00:00:00" u="1"/>
        <d v="2024-05-09T00:00:00" u="1"/>
        <d v="2024-04-06T00:00:00" u="1"/>
        <d v="2024-06-06T00:00:00" u="1"/>
        <d v="2024-06-25T00:00:00" u="1"/>
        <d v="2024-11-13T00:00:00" u="1"/>
        <d v="2024-05-20T00:00:00" u="1"/>
        <d v="2024-04-27T00:00:00" u="1"/>
        <d v="2024-05-28T00:00:00" u="1"/>
        <d v="2024-05-31T00:00:00" u="1"/>
        <d v="2024-05-17T00:00:00" u="1"/>
        <d v="2024-10-29T00:00:00" u="1"/>
        <d v="2024-08-11T00:00:00" u="1"/>
        <d v="2024-05-22T00:00:00" u="1"/>
        <d v="2024-07-12T00:00:00" u="1"/>
        <d v="2024-06-14T00:00:00" u="1"/>
        <d v="2024-06-13T00:00:00" u="1"/>
        <d v="2024-10-06T00:00:00" u="1"/>
        <d v="2024-09-08T00:00:00" u="1"/>
        <d v="2024-05-15T00:00:00" u="1"/>
        <d v="2024-05-30T00:00:00" u="1"/>
        <d v="2024-06-28T00:00:00" u="1"/>
        <d v="2024-06-07T00:00:00" u="1"/>
        <d v="2024-11-22T00:00:00" u="1"/>
        <d v="2024-05-18T00:00:00" u="1"/>
        <d v="2024-07-25T00:00:00" u="1"/>
        <d v="2024-08-15T00:00:00" u="1"/>
        <d v="2024-05-23T00:00:00" u="1"/>
        <d v="2024-06-26T00:00:00" u="1"/>
        <d v="2024-06-02T00:00:00" u="1"/>
        <d v="2024-08-02T00:00:00" u="1"/>
        <d v="2024-06-01T00:00:00" u="1"/>
        <d v="2024-07-30T00:00:00" u="1"/>
        <d v="2024-05-24T00:00:00" u="1"/>
        <d v="2024-06-12T00:00:00" u="1"/>
        <d v="2024-06-16T00:00:00" u="1"/>
        <d v="2024-08-14T00:00:00" u="1"/>
        <d v="2024-11-28T00:00:00" u="1"/>
        <d v="2024-10-14T00:00:00" u="1"/>
        <d v="2024-06-21T00:00:00" u="1"/>
        <d v="2024-11-11T00:00:00" u="1"/>
        <d v="2024-06-15T00:00:00" u="1"/>
        <d v="2024-06-11T00:00:00" u="1"/>
        <d v="2024-07-01T00:00:00" u="1"/>
        <d v="2024-07-27T00:00:00" u="1"/>
        <d v="2024-09-10T00:00:00" u="1"/>
        <d v="2024-07-07T00:00:00" u="1"/>
        <d v="2024-10-12T00:00:00" u="1"/>
        <d v="2024-06-03T00:00:00" u="1"/>
        <d v="2025-02-21T00:00:00" u="1"/>
        <d v="2024-08-16T00:00:00" u="1"/>
        <d v="2024-10-10T00:00:00" u="1"/>
        <d v="2024-06-29T00:00:00" u="1"/>
        <d v="2024-09-05T00:00:00" u="1"/>
        <d v="2024-07-15T00:00:00" u="1"/>
        <d v="2024-10-13T00:00:00" u="1"/>
        <d v="2024-06-27T00:00:00" u="1"/>
        <d v="2024-09-13T00:00:00" u="1"/>
        <d v="2024-07-03T00:00:00" u="1"/>
        <d v="2024-12-22T00:00:00" u="1"/>
        <d v="2024-07-09T00:00:00" u="1"/>
        <d v="2025-01-15T00:00:00" u="1"/>
        <d v="2024-07-14T00:00:00" u="1"/>
        <d v="2024-06-23T00:00:00" u="1"/>
        <d v="2024-07-19T00:00:00" u="1"/>
        <d v="2024-06-24T00:00:00" u="1"/>
        <d v="2024-07-17T00:00:00" u="1"/>
        <d v="2024-07-18T00:00:00" u="1"/>
        <d v="2024-10-04T00:00:00" u="1"/>
        <d v="2024-09-01T00:00:00" u="1"/>
        <d v="2024-08-09T00:00:00" u="1"/>
        <d v="2024-11-06T00:00:00" u="1"/>
        <d v="2024-10-17T00:00:00" u="1"/>
        <d v="2024-12-20T00:00:00" u="1"/>
        <d v="2024-10-01T00:00:00" u="1"/>
        <d v="2024-08-21T00:00:00" u="1"/>
        <d v="2024-08-30T00:00:00" u="1"/>
        <d v="2024-07-26T00:00:00" u="1"/>
        <d v="2024-11-01T00:00:00" u="1"/>
        <d v="2024-08-08T00:00:00" u="1"/>
        <d v="2024-10-28T00:00:00" u="1"/>
        <d v="2025-03-01T00:00:00" u="1"/>
        <d v="2024-11-07T00:00:00" u="1"/>
        <d v="2024-07-22T00:00:00" u="1"/>
        <d v="2024-07-24T00:00:00" u="1"/>
        <d v="2024-10-11T00:00:00" u="1"/>
        <d v="2024-10-18T00:00:00" u="1"/>
        <d v="2025-01-10T00:00:00" u="1"/>
        <d v="2024-12-08T00:00:00" u="1"/>
        <d v="2024-11-05T00:00:00" u="1"/>
        <d v="2024-11-10T00:00:00" u="1"/>
        <d v="2025-03-19T00:00:00" u="1"/>
        <d v="2025-01-25T00:00:00" u="1"/>
        <d v="2024-07-29T00:00:00" u="1"/>
        <d v="2024-08-17T00:00:00" u="1"/>
        <d v="2024-09-14T00:00:00" u="1"/>
        <d v="2024-08-22T00:00:00" u="1"/>
        <d v="2024-08-12T00:00:00" u="1"/>
        <d v="2024-11-29T00:00:00" u="1"/>
        <d v="2024-10-05T00:00:00" u="1"/>
        <d v="2024-12-01T00:00:00" u="1"/>
        <d v="2024-12-07T00:00:00" u="1"/>
        <d v="2024-12-28T00:00:00" u="1"/>
        <d v="2024-09-15T00:00:00" u="1"/>
        <d v="2025-01-26T00:00:00" u="1"/>
        <d v="2024-12-15T00:00:00" u="1"/>
        <d v="2024-11-30T00:00:00" u="1"/>
        <d v="2025-01-06T00:00:00" u="1"/>
        <d v="2024-10-26T00:00:00" u="1"/>
        <d v="2024-08-20T00:00:00" u="1"/>
        <d v="2024-10-16T00:00:00" u="1"/>
        <d v="2024-09-11T00:00:00" u="1"/>
        <d v="2024-11-03T00:00:00" u="1"/>
        <d v="2024-11-04T00:00:00" u="1"/>
        <d v="2024-09-17T00:00:00" u="1"/>
        <d v="2024-08-29T00:00:00" u="1"/>
        <d v="2024-08-18T00:00:00" u="1"/>
        <d v="2024-12-25T00:00:00" u="1"/>
        <d v="2024-12-02T00:00:00" u="1"/>
        <d v="2024-11-19T00:00:00" u="1"/>
        <d v="2024-08-28T00:00:00" u="1"/>
        <d v="2024-09-23T00:00:00" u="1"/>
        <d v="2024-09-02T00:00:00" u="1"/>
        <d v="2025-01-22T00:00:00" u="1"/>
        <d v="2025-01-07T00:00:00" u="1"/>
        <d v="2024-08-26T00:00:00" u="1"/>
        <d v="2024-10-20T00:00:00" u="1"/>
        <d v="2025-01-05T00:00:00" u="1"/>
        <d v="2024-10-09T00:00:00" u="1"/>
        <d v="2024-11-16T00:00:00" u="1"/>
        <d v="2024-12-04T00:00:00" u="1"/>
        <d v="2024-10-15T00:00:00" u="1"/>
        <d v="2024-09-20T00:00:00" u="1"/>
        <d v="2024-12-26T00:00:00" u="1"/>
        <d v="2024-11-12T00:00:00" u="1"/>
        <d v="2025-02-13T00:00:00" u="1"/>
        <d v="2024-12-06T00:00:00" u="1"/>
        <d v="2024-10-31T00:00:00" u="1"/>
        <d v="2024-11-09T00:00:00" u="1"/>
        <d v="2024-11-27T00:00:00" u="1"/>
        <d v="2025-01-16T00:00:00" u="1"/>
        <d v="2024-10-07T00:00:00" u="1"/>
        <d v="2024-09-25T00:00:00" u="1"/>
        <d v="2024-12-12T00:00:00" u="1"/>
        <d v="2024-11-02T00:00:00" u="1"/>
        <d v="2024-11-14T00:00:00" u="1"/>
        <d v="2024-11-24T00:00:00" u="1"/>
        <d v="2024-12-11T00:00:00" u="1"/>
        <d v="2024-11-15T00:00:00" u="1"/>
        <d v="2024-10-23T00:00:00" u="1"/>
        <d v="2024-10-22T00:00:00" u="1"/>
        <d v="2025-01-23T00:00:00" u="1"/>
        <d v="2024-11-26T00:00:00" u="1"/>
        <d v="2025-02-06T00:00:00" u="1"/>
        <d v="2024-10-21T00:00:00" u="1"/>
        <d v="2024-10-27T00:00:00" u="1"/>
        <d v="2024-12-21T00:00:00" u="1"/>
        <d v="2024-11-20T00:00:00" u="1"/>
        <d v="2024-11-08T00:00:00" u="1"/>
        <d v="2024-11-18T00:00:00" u="1"/>
        <d v="2025-01-17T00:00:00" u="1"/>
        <d v="2024-12-18T00:00:00" u="1"/>
        <d v="2024-12-23T00:00:00" u="1"/>
        <d v="2025-01-12T00:00:00" u="1"/>
        <d v="2024-11-21T00:00:00" u="1"/>
        <d v="2024-12-29T00:00:00" u="1"/>
        <d v="2024-12-27T00:00:00" u="1"/>
        <d v="2025-01-27T00:00:00" u="1"/>
        <d v="2025-02-14T00:00:00" u="1"/>
        <d v="2024-12-24T00:00:00" u="1"/>
        <d v="2024-12-13T00:00:00" u="1"/>
        <d v="2024-11-23T00:00:00" u="1"/>
        <d v="2025-02-07T00:00:00" u="1"/>
        <d v="2025-01-28T00:00:00" u="1"/>
        <d v="2024-11-25T00:00:00" u="1"/>
        <d v="2025-01-08T00:00:00" u="1"/>
        <d v="2024-12-05T00:00:00" u="1"/>
        <d v="2025-01-03T00:00:00" u="1"/>
        <d v="2025-03-03T00:00:00" u="1"/>
        <d v="2024-12-09T00:00:00" u="1"/>
        <d v="2024-12-16T00:00:00" u="1"/>
        <d v="2025-02-01T00:00:00" u="1"/>
        <d v="2024-12-31T00:00:00" u="1"/>
        <d v="2025-01-13T00:00:00" u="1"/>
        <d v="2025-02-08T00:00:00" u="1"/>
        <d v="2025-01-02T00:00:00" u="1"/>
        <d v="2025-02-24T00:00:00" u="1"/>
        <d v="2024-12-19T00:00:00" u="1"/>
        <d v="2025-01-18T00:00:00" u="1"/>
        <d v="2025-01-11T00:00:00" u="1"/>
        <d v="2025-01-24T00:00:00" u="1"/>
        <d v="2024-12-14T00:00:00" u="1"/>
        <d v="2025-02-04T00:00:00" u="1"/>
        <d v="2025-02-28T00:00:00" u="1"/>
        <d v="2025-03-16T00:00:00" u="1"/>
        <d v="2025-01-09T00:00:00" u="1"/>
        <d v="2025-01-31T00:00:00" u="1"/>
        <d v="2025-04-02T00:00:00" u="1"/>
        <d v="2025-02-22T00:00:00" u="1"/>
        <d v="2025-01-01T00:00:00" u="1"/>
        <d v="2025-05-04T00:00:00" u="1"/>
        <d v="2025-02-25T00:00:00" u="1"/>
        <d v="2025-02-09T00:00:00" u="1"/>
        <d v="2025-03-23T00:00:00" u="1"/>
        <d v="2025-03-06T00:00:00" u="1"/>
        <d v="2025-03-25T00:00:00" u="1"/>
        <d v="2025-02-15T00:00:00" u="1"/>
        <d v="2025-02-23T00:00:00" u="1"/>
        <d v="2025-03-04T00:00:00" u="1"/>
        <d v="2025-03-20T00:00:00" u="1"/>
        <d v="2025-02-05T00:00:00" u="1"/>
        <d v="2025-03-05T00:00:00" u="1"/>
        <d v="2025-02-26T00:00:00" u="1"/>
        <d v="2025-03-02T00:00:00" u="1"/>
        <d v="2025-03-13T00:00:00" u="1"/>
        <d v="2025-02-18T00:00:00" u="1"/>
        <d v="2025-02-10T00:00:00" u="1"/>
      </sharedItems>
    </cacheField>
    <cacheField name="Tour Starting Day" numFmtId="167">
      <sharedItems containsBlank="1"/>
    </cacheField>
    <cacheField name="Tour Ending Date" numFmtId="167">
      <sharedItems containsNonDate="0" containsString="0" containsBlank="1"/>
    </cacheField>
    <cacheField name="Tour Ending Day" numFmtId="0">
      <sharedItems containsBlank="1"/>
    </cacheField>
    <cacheField name="Tour Duration" numFmtId="0">
      <sharedItems containsDate="1" containsBlank="1" containsMixedTypes="1" minDate="2025-12-14T00:00:00" maxDate="2025-12-15T00:00:00"/>
    </cacheField>
    <cacheField name="Travel Month" numFmtId="0">
      <sharedItems count="14">
        <s v=""/>
        <s v="April" u="1"/>
        <s v="June" u="1"/>
        <s v="November" u="1"/>
        <s v="May" u="1"/>
        <s v="July" u="1"/>
        <s v="August" u="1"/>
        <s v="October" u="1"/>
        <s v="February" u="1"/>
        <s v="January" u="1"/>
        <s v="September" u="1"/>
        <s v="December" u="1"/>
        <s v="March" u="1"/>
        <s v="NA" u="1"/>
      </sharedItems>
    </cacheField>
    <cacheField name="Travel Period Marked As" numFmtId="0">
      <sharedItems/>
    </cacheField>
    <cacheField name="No. of Pax" numFmtId="0">
      <sharedItems containsNonDate="0" containsString="0" containsBlank="1"/>
    </cacheField>
    <cacheField name="Per Person Package Cost" numFmtId="166">
      <sharedItems containsNonDate="0" containsString="0" containsBlank="1"/>
    </cacheField>
    <cacheField name="Total Query Amount" numFmtId="166">
      <sharedItems containsMixedTypes="1" containsNumber="1" minValue="1200" maxValue="3330000" count="605">
        <s v=""/>
        <n v="4600" u="1"/>
        <n v="46000" u="1"/>
        <n v="31000" u="1"/>
        <n v="27600" u="1"/>
        <n v="702680" u="1"/>
        <n v="43000" u="1"/>
        <n v="16500" u="1"/>
        <n v="96000" u="1"/>
        <n v="28800" u="1"/>
        <n v="123000" u="1"/>
        <n v="83300" u="1"/>
        <n v="52800" u="1"/>
        <n v="33000" u="1"/>
        <n v="225000" u="1"/>
        <n v="9000" u="1"/>
        <n v="175000" u="1"/>
        <n v="60600" u="1"/>
        <n v="1364000" u="1"/>
        <n v="64000" u="1"/>
        <n v="242000" u="1"/>
        <n v="53100" u="1"/>
        <n v="102400" u="1"/>
        <n v="198000" u="1"/>
        <n v="210000" u="1"/>
        <n v="55000" u="1"/>
        <n v="103000" u="1"/>
        <n v="368000" u="1"/>
        <n v="132800" u="1"/>
        <n v="188400" u="1"/>
        <n v="484000" u="1"/>
        <n v="45900" u="1"/>
        <n v="29000" u="1"/>
        <n v="19800" u="1"/>
        <n v="207000" u="1"/>
        <n v="616000" u="1"/>
        <n v="169800" u="1"/>
        <n v="11550" u="1"/>
        <n v="107400" u="1"/>
        <n v="21000" u="1"/>
        <n v="35800" u="1"/>
        <n v="58500" u="1"/>
        <n v="75200" u="1"/>
        <n v="5250" u="1"/>
        <n v="72000" u="1"/>
        <n v="49500" u="1"/>
        <n v="45000" u="1"/>
        <n v="79200" u="1"/>
        <n v="603000" u="1"/>
        <n v="115400" u="1"/>
        <n v="25410" u="1"/>
        <n v="10552.92" u="1"/>
        <n v="76000" u="1"/>
        <n v="56800" u="1"/>
        <n v="18000" u="1"/>
        <n v="87600" u="1"/>
        <n v="150000" u="1"/>
        <n v="59600" u="1"/>
        <n v="33999.995999999999" u="1"/>
        <n v="102000" u="1"/>
        <n v="34200" u="1"/>
        <n v="37800" u="1"/>
        <n v="177000" u="1"/>
        <n v="261500" u="1"/>
        <n v="92000" u="1"/>
        <n v="82800" u="1"/>
        <n v="1001000" u="1"/>
        <n v="75600" u="1"/>
        <n v="24000" u="1"/>
        <n v="100000" u="1"/>
        <n v="54600" u="1"/>
        <n v="22000" u="1"/>
        <n v="276300" u="1"/>
        <n v="219000" u="1"/>
        <n v="11500" u="1"/>
        <n v="76800" u="1"/>
        <n v="306000" u="1"/>
        <n v="69800" u="1"/>
        <n v="434000" u="1"/>
        <n v="312500" u="1"/>
        <n v="95600" u="1"/>
        <n v="7900" u="1"/>
        <n v="10000" u="1"/>
        <n v="55200" u="1"/>
        <n v="204000" u="1"/>
        <n v="40600" u="1"/>
        <n v="22499.994999999999" u="1"/>
        <n v="17000" u="1"/>
        <n v="124500" u="1"/>
        <n v="73000" u="1"/>
        <n v="25500" u="1"/>
        <n v="8000" u="1"/>
        <n v="160000" u="1"/>
        <n v="26500" u="1"/>
        <n v="54000" u="1"/>
        <n v="23000.004000000001" u="1"/>
        <n v="76500" u="1"/>
        <n v="960000" u="1"/>
        <n v="1050000" u="1"/>
        <n v="25800" u="1"/>
        <n v="32000" u="1"/>
        <n v="145000" u="1"/>
        <n v="4000" u="1"/>
        <n v="510000" u="1"/>
        <n v="702000" u="1"/>
        <n v="138000" u="1"/>
        <n v="141600" u="1"/>
        <n v="113100" u="1"/>
        <n v="30800" u="1"/>
        <n v="90400" u="1"/>
        <n v="1425000" u="1"/>
        <n v="142500" u="1"/>
        <n v="74000" u="1"/>
        <n v="13125" u="1"/>
        <n v="37400" u="1"/>
        <n v="51000" u="1"/>
        <n v="30000" u="1"/>
        <n v="52000" u="1"/>
        <n v="15000" u="1"/>
        <n v="252500" u="1"/>
        <n v="17850" u="1"/>
        <n v="43800" u="1"/>
        <n v="46800" u="1"/>
        <n v="16000" u="1"/>
        <n v="28600" u="1"/>
        <n v="110400" u="1"/>
        <n v="98000" u="1"/>
        <n v="33502" u="1"/>
        <n v="137500" u="1"/>
        <n v="152000" u="1"/>
        <n v="19250" u="1"/>
        <n v="82000" u="1"/>
        <n v="678000" u="1"/>
        <n v="158000" u="1"/>
        <n v="7665" u="1"/>
        <n v="6000" u="1"/>
        <n v="170000" u="1"/>
        <n v="231600" u="1"/>
        <n v="42500" u="1"/>
        <n v="700000" u="1"/>
        <n v="498000" u="1"/>
        <n v="114400" u="1"/>
        <n v="195600" u="1"/>
        <n v="118000" u="1"/>
        <n v="200000" u="1"/>
        <n v="94500" u="1"/>
        <n v="23000" u="1"/>
        <n v="87200" u="1"/>
        <n v="93799.998000000007" u="1"/>
        <n v="252000" u="1"/>
        <n v="240000" u="1"/>
        <n v="12900" u="1"/>
        <n v="1200" u="1"/>
        <n v="184200" u="1"/>
        <n v="38000" u="1"/>
        <n v="9500" u="1"/>
        <n v="218900" u="1"/>
        <n v="5502" u="1"/>
        <n v="40500" u="1"/>
        <n v="15400" u="1"/>
        <n v="60000" u="1"/>
        <n v="47800" u="1"/>
        <n v="197750" u="1"/>
        <n v="34500" u="1"/>
        <n v="354000" u="1"/>
        <n v="57000" u="1"/>
        <n v="136000" u="1"/>
        <n v="90000" u="1"/>
        <n v="45800" u="1"/>
        <n v="304000" u="1"/>
        <n v="24800" u="1"/>
        <n v="50000" u="1"/>
        <n v="156000" u="1"/>
        <n v="20500" u="1"/>
        <n v="130000" u="1"/>
        <n v="400000" u="1"/>
        <n v="1020000" u="1"/>
        <n v="797500" u="1"/>
        <n v="24300" u="1"/>
        <n v="260400" u="1"/>
        <n v="286000" u="1"/>
        <n v="22400" u="1"/>
        <n v="120000" u="1"/>
        <n v="22500" u="1"/>
        <n v="448000" u="1"/>
        <n v="351000" u="1"/>
        <n v="23200" u="1"/>
        <n v="66500" u="1"/>
        <n v="113000" u="1"/>
        <n v="708000" u="1"/>
        <n v="115000" u="1"/>
        <n v="110000" u="1"/>
        <n v="169500" u="1"/>
        <n v="976000" u="1"/>
        <n v="468000" u="1"/>
        <n v="112500" u="1"/>
        <n v="675500" u="1"/>
        <n v="180800" u="1"/>
        <n v="24500" u="1"/>
        <n v="25000" u="1"/>
        <n v="32800" u="1"/>
        <n v="135000" u="1"/>
        <n v="445500" u="1"/>
        <n v="139200" u="1"/>
        <n v="33800" u="1"/>
        <n v="10500" u="1"/>
        <n v="13500" u="1"/>
        <n v="48000" u="1"/>
        <n v="35400" u="1"/>
        <n v="6500" u="1"/>
        <n v="8500" u="1"/>
        <n v="53000" u="1"/>
        <n v="78900" u="1"/>
        <n v="13300" u="1"/>
        <n v="7000" u="1"/>
        <n v="26200" u="1"/>
        <n v="79800" u="1"/>
        <n v="582000" u="1"/>
        <n v="975000" u="1"/>
        <n v="56600" u="1"/>
        <n v="15999.9999999994" u="1"/>
        <n v="206400" u="1"/>
        <n v="33600" u="1"/>
        <n v="59400" u="1"/>
        <n v="29600" u="1"/>
        <n v="62100" u="1"/>
        <n v="41500" u="1"/>
        <n v="288000" u="1"/>
        <n v="71500" u="1"/>
        <n v="40000" u="1"/>
        <n v="65000" u="1"/>
        <n v="52400" u="1"/>
        <n v="164000" u="1"/>
        <n v="31800" u="1"/>
        <n v="246000" u="1"/>
        <n v="451200" u="1"/>
        <n v="105000" u="1"/>
        <n v="8200" u="1"/>
        <n v="34000" u="1"/>
        <n v="71800" u="1"/>
        <n v="36000" u="1"/>
        <n v="186000" u="1"/>
        <n v="106800" u="1"/>
        <n v="94000" u="1"/>
        <n v="19000" u="1"/>
        <n v="28350" u="1"/>
        <n v="53200" u="1"/>
        <n v="20000" u="1"/>
        <n v="279000" u="1"/>
        <n v="212500" u="1"/>
        <n v="157300" u="1"/>
        <n v="20400" u="1"/>
        <n v="323200" u="1"/>
        <n v="193200" u="1"/>
        <n v="35200" u="1"/>
        <n v="248800" u="1"/>
        <n v="69600" u="1"/>
        <n v="560000" u="1"/>
        <n v="113400" u="1"/>
        <n v="39800" u="1"/>
        <n v="30400" u="1"/>
        <n v="56000" u="1"/>
        <n v="118800" u="1"/>
        <n v="38400" u="1"/>
        <n v="134000" u="1"/>
        <n v="97300" u="1"/>
        <n v="62000" u="1"/>
        <n v="49000" u="1"/>
        <n v="70000" u="1"/>
        <n v="355000" u="1"/>
        <n v="221400" u="1"/>
        <n v="876000" u="1"/>
        <n v="19600" u="1"/>
        <n v="240900" u="1"/>
        <n v="1740000" u="1"/>
        <n v="1248000" u="1"/>
        <n v="24750" u="1"/>
        <n v="253400" u="1"/>
        <n v="190200" u="1"/>
        <n v="390000" u="1"/>
        <n v="122500" u="1"/>
        <n v="275300" u="1"/>
        <n v="96500" u="1"/>
        <n v="57400" u="1"/>
        <n v="321600" u="1"/>
        <n v="295500" u="1"/>
        <n v="26250" u="1"/>
        <n v="85000" u="1"/>
        <n v="1560000" u="1"/>
        <n v="128000" u="1"/>
        <n v="587400" u="1"/>
        <n v="22575" u="1"/>
        <n v="17500" u="1"/>
        <n v="195000" u="1"/>
        <n v="7500" u="1"/>
        <n v="245700" u="1"/>
        <n v="42000" u="1"/>
        <n v="216000" u="1"/>
        <n v="78000" u="1"/>
        <n v="124000" u="1"/>
        <n v="93500" u="1"/>
        <n v="27500.04" u="1"/>
        <n v="144000" u="1"/>
        <n v="212800" u="1"/>
        <n v="42500.079999999994" u="1"/>
        <n v="47200" u="1"/>
        <n v="14000" u="1"/>
        <n v="36900" u="1"/>
        <n v="304800" u="1"/>
        <n v="115200" u="1"/>
        <n v="239400" u="1"/>
        <n v="123200" u="1"/>
        <n v="39600" u="1"/>
        <n v="31920" u="1"/>
        <n v="181200" u="1"/>
        <n v="61600" u="1"/>
        <n v="95400" u="1"/>
        <n v="266500" u="1"/>
        <n v="50100" u="1"/>
        <n v="63200" u="1"/>
        <n v="144200" u="1"/>
        <n v="61000" u="1"/>
        <n v="80100" u="1"/>
        <n v="29400" u="1"/>
        <n v="53400" u="1"/>
        <n v="63000" u="1"/>
        <n v="18600" u="1"/>
        <n v="132000" u="1"/>
        <n v="59200" u="1"/>
        <n v="262000" u="1"/>
        <n v="28000" u="1"/>
        <n v="122400" u="1"/>
        <n v="12600" u="1"/>
        <n v="67000" u="1"/>
        <n v="332500" u="1"/>
        <n v="192800" u="1"/>
        <n v="83200" u="1"/>
        <n v="47250" u="1"/>
        <n v="37500" u="1"/>
        <n v="550000" u="1"/>
        <n v="58000" u="1"/>
        <n v="15500" u="1"/>
        <n v="68000" u="1"/>
        <n v="47600" u="1"/>
        <n v="102500" u="1"/>
        <n v="103500" u="1"/>
        <n v="38325" u="1"/>
        <n v="514000" u="1"/>
        <n v="31600" u="1"/>
        <n v="821500" u="1"/>
        <n v="5500.0020000000004" u="1"/>
        <n v="65400" u="1"/>
        <n v="52500" u="1"/>
        <n v="168000" u="1"/>
        <n v="375000" u="1"/>
        <n v="346500" u="1"/>
        <n v="185000" u="1"/>
        <n v="95000" u="1"/>
        <n v="32500" u="1"/>
        <n v="31200" u="1"/>
        <n v="84000" u="1"/>
        <n v="80400" u="1"/>
        <n v="165000" u="1"/>
        <n v="129000" u="1"/>
        <n v="295000" u="1"/>
        <n v="9900" u="1"/>
        <n v="99600" u="1"/>
        <n v="18400" u="1"/>
        <n v="74400" u="1"/>
        <n v="64500" u="1"/>
        <n v="159000" u="1"/>
        <n v="38000.000999999997" u="1"/>
        <n v="414000" u="1"/>
        <n v="42400" u="1"/>
        <n v="26300" u="1"/>
        <n v="109200" u="1"/>
        <n v="42900" u="1"/>
        <n v="121000" u="1"/>
        <n v="91000" u="1"/>
        <n v="62800" u="1"/>
        <n v="19400" u="1"/>
        <n v="46600" u="1"/>
        <n v="124800" u="1"/>
        <n v="114501" u="1"/>
        <n v="274000" u="1"/>
        <n v="12000" u="1"/>
        <n v="72600" u="1"/>
        <n v="62400" u="1"/>
        <n v="97400" u="1"/>
        <n v="123600" u="1"/>
        <n v="1650000" u="1"/>
        <n v="232500" u="1"/>
        <n v="90900" u="1"/>
        <n v="101500" u="1"/>
        <n v="35700" u="1"/>
        <n v="507500" u="1"/>
        <n v="267000" u="1"/>
        <n v="282600" u="1"/>
        <n v="47000" u="1"/>
        <n v="162000" u="1"/>
        <n v="1120000" u="1"/>
        <n v="106000" u="1"/>
        <n v="436000" u="1"/>
        <n v="136500" u="1"/>
        <n v="93200" u="1"/>
        <n v="96300" u="1"/>
        <n v="60400" u="1"/>
        <n v="397500" u="1"/>
        <n v="141000" u="1"/>
        <n v="39000" u="1"/>
        <n v="56400" u="1"/>
        <n v="119500" u="1"/>
        <n v="45200" u="1"/>
        <n v="137000" u="1"/>
        <n v="133200" u="1"/>
        <n v="75500" u="1"/>
        <n v="39200" u="1"/>
        <n v="25499.999699999997" u="1"/>
        <n v="252900" u="1"/>
        <n v="18800" u="1"/>
        <n v="17800" u="1"/>
        <n v="26700" u="1"/>
        <n v="142100" u="1"/>
        <n v="50200" u="1"/>
        <n v="80500" u="1"/>
        <n v="11000" u="1"/>
        <n v="43500" u="1"/>
        <n v="3330000" u="1"/>
        <n v="120800" u="1"/>
        <n v="104400" u="1"/>
        <n v="1330000" u="1"/>
        <n v="26400" u="1"/>
        <n v="8400" u="1"/>
        <n v="268000" u="1"/>
        <n v="185400" u="1"/>
        <n v="97000" u="1"/>
        <n v="537300" u="1"/>
        <n v="62500" u="1"/>
        <n v="3000" u="1"/>
        <n v="19200" u="1"/>
        <n v="94800" u="1"/>
        <n v="80000" u="1"/>
        <n v="398000" u="1"/>
        <n v="209100" u="1"/>
        <n v="67600" u="1"/>
        <n v="67200" u="1"/>
        <n v="132500" u="1"/>
        <n v="19813" u="1"/>
        <n v="75800" u="1"/>
        <n v="34800" u="1"/>
        <n v="184500" u="1"/>
        <n v="847500" u="1"/>
        <n v="14400" u="1"/>
        <n v="2500" u="1"/>
        <n v="136650" u="1"/>
        <n v="154000" u="1"/>
        <n v="265500" u="1"/>
        <n v="59000" u="1"/>
        <n v="145800" u="1"/>
        <n v="196200" u="1"/>
        <n v="73500" u="1"/>
        <n v="127200" u="1"/>
        <n v="250000" u="1"/>
        <n v="111000" u="1"/>
        <n v="37000" u="1"/>
        <n v="180000" u="1"/>
        <n v="77200" u="1"/>
        <n v="49600" u="1"/>
        <n v="366000" u="1"/>
        <n v="273600" u="1"/>
        <n v="83400" u="1"/>
        <n v="15300" u="1"/>
        <n v="104010" u="1"/>
        <n v="169000" u="1"/>
        <n v="140000" u="1"/>
        <n v="234000" u="1"/>
        <n v="1169200" u="1"/>
        <n v="159400" u="1"/>
        <n v="106500" u="1"/>
        <n v="41400" u="1"/>
        <n v="270000" u="1"/>
        <n v="624000" u="1"/>
        <n v="169200" u="1"/>
        <n v="119700" u="1"/>
        <n v="66600" u="1"/>
        <n v="117000" u="1"/>
        <n v="83600" u="1"/>
        <n v="105600" u="1"/>
        <n v="82500" u="1"/>
        <n v="42600" u="1"/>
        <n v="108000" u="1"/>
        <n v="170400" u="1"/>
        <n v="154500" u="1"/>
        <n v="2200" u="1"/>
        <n v="1280000" u="1"/>
        <n v="51600" u="1"/>
        <n v="27000" u="1"/>
        <n v="142200" u="1"/>
        <n v="257400" u="1"/>
        <n v="26000" u="1"/>
        <n v="6700" u="1"/>
        <n v="5770" u="1"/>
        <n v="208800" u="1"/>
        <n v="66000" u="1"/>
        <n v="113600" u="1"/>
        <n v="54400" u="1"/>
        <n v="898800" u="1"/>
        <n v="142000" u="1"/>
        <n v="73800" u="1"/>
        <n v="98400" u="1"/>
        <n v="115800" u="1"/>
        <n v="43200" u="1"/>
        <n v="46400" u="1"/>
        <n v="327000" u="1"/>
        <n v="118400" u="1"/>
        <n v="101400" u="1"/>
        <n v="58800" u="1"/>
        <n v="10237" u="1"/>
        <n v="7350" u="1"/>
        <n v="485200" u="1"/>
        <n v="17700" u="1"/>
        <n v="59500" u="1"/>
        <n v="2400" u="1"/>
        <n v="116900" u="1"/>
        <n v="10800" u="1"/>
        <n v="96600" u="1"/>
        <n v="25200" u="1"/>
        <n v="14800" u="1"/>
        <n v="249000" u="1"/>
        <n v="178400" u="1"/>
        <n v="83800" u="1"/>
        <n v="126000" u="1"/>
        <n v="306500" u="1"/>
        <n v="25600" u="1"/>
        <n v="103600" u="1"/>
        <n v="171000" u="1"/>
        <n v="33400" u="1"/>
        <n v="109000" u="1"/>
        <n v="55500" u="1"/>
        <n v="7700" u="1"/>
        <n v="440000" u="1"/>
        <n v="272400" u="1"/>
        <n v="146400" u="1"/>
        <n v="148600" u="1"/>
        <n v="528000" u="1"/>
        <n v="462800" u="1"/>
        <n v="265050" u="1"/>
        <n v="116000" u="1"/>
        <n v="41000" u="1"/>
        <n v="361600" u="1"/>
        <n v="540000" u="1"/>
        <n v="85800" u="1"/>
        <n v="286800" u="1"/>
        <n v="205000" u="1"/>
        <n v="111200" u="1"/>
        <n v="89600" u="1"/>
        <n v="63999.998999999996" u="1"/>
        <n v="79500" u="1"/>
        <n v="8600" u="1"/>
        <n v="360000" u="1"/>
        <n v="358400" u="1"/>
        <n v="131300.00399999999" u="1"/>
        <n v="110800" u="1"/>
        <n v="17200" u="1"/>
        <n v="418500" u="1"/>
        <n v="65800" u="1"/>
        <n v="135100" u="1"/>
        <n v="12200.001" u="1"/>
        <n v="86800" u="1"/>
        <n v="44400" u="1"/>
        <n v="588000" u="1"/>
        <n v="650000" u="1"/>
        <n v="266000" u="1"/>
        <n v="44100" u="1"/>
        <n v="10023" u="1"/>
        <n v="13902" u="1"/>
        <n v="10605" u="1"/>
        <n v="16277" u="1"/>
        <n v="4160" u="1"/>
        <n v="2940" u="1"/>
        <n v="68400" u="1"/>
        <n v="247500" u="1"/>
        <n v="269500" u="1"/>
        <n v="187000" u="1"/>
        <n v="158400" u="1"/>
        <n v="10400" u="1"/>
        <n v="71200" u="1"/>
        <n v="23400" u="1"/>
        <n v="317500" u="1"/>
        <n v="36500" u="1"/>
        <n v="4400" u="1"/>
        <n v="24400" u="1"/>
        <n v="21400" u="1"/>
        <n v="119400" u="1"/>
        <n v="182500" u="1"/>
        <n v="81600" u="1"/>
        <n v="28500" u="1"/>
        <n v="213600" u="1"/>
        <n v="67500" u="1"/>
        <n v="6200" u="1"/>
        <n v="21200" u="1"/>
        <n v="61200" u="1"/>
        <n v="180600" u="1"/>
        <n v="177800" u="1"/>
        <n v="231500" u="1"/>
      </sharedItems>
    </cacheField>
    <cacheField name="Tour Starting City" numFmtId="0">
      <sharedItems containsNonDate="0" containsString="0" containsBlank="1"/>
    </cacheField>
    <cacheField name="Tour Ending City" numFmtId="0">
      <sharedItems containsNonDate="0" containsString="0" containsBlank="1"/>
    </cacheField>
    <cacheField name="Hotel Category" numFmtId="0">
      <sharedItems containsNonDate="0" containsString="0" containsBlank="1"/>
    </cacheField>
    <cacheField name="Interested Program Routing" numFmtId="0">
      <sharedItems containsNonDate="0" containsString="0" containsBlank="1"/>
    </cacheField>
    <cacheField name="Interested Program Code" numFmtId="0">
      <sharedItems/>
    </cacheField>
    <cacheField name="Interested Program Name" numFmtId="0">
      <sharedItems/>
    </cacheField>
    <cacheField name="Program Type" numFmtId="166">
      <sharedItems/>
    </cacheField>
    <cacheField name="Program Region" numFmtId="166">
      <sharedItems/>
    </cacheField>
    <cacheField name="Travel Advisor" numFmtId="0">
      <sharedItems containsNonDate="0" containsString="0" containsBlank="1"/>
    </cacheField>
    <cacheField name="Conversation Medium" numFmtId="0">
      <sharedItems containsNonDate="0" containsString="0" containsBlank="1"/>
    </cacheField>
    <cacheField name="New" numFmtId="0">
      <sharedItems containsNonDate="0" containsString="0" containsBlank="1"/>
    </cacheField>
    <cacheField name="Working" numFmtId="0">
      <sharedItems containsNonDate="0" containsString="0" containsBlank="1"/>
    </cacheField>
    <cacheField name="Nurturing" numFmtId="0">
      <sharedItems containsNonDate="0" containsString="0" containsBlank="1"/>
    </cacheField>
    <cacheField name="1st Fu" numFmtId="164">
      <sharedItems containsNonDate="0" containsString="0" containsBlank="1"/>
    </cacheField>
    <cacheField name="2nd Fu" numFmtId="0">
      <sharedItems containsNonDate="0" containsString="0" containsBlank="1"/>
    </cacheField>
    <cacheField name="3rd Fu" numFmtId="0">
      <sharedItems containsNonDate="0" containsString="0" containsBlank="1"/>
    </cacheField>
    <cacheField name="4th Fu" numFmtId="0">
      <sharedItems containsNonDate="0" containsString="0" containsBlank="1"/>
    </cacheField>
    <cacheField name="5th Fu" numFmtId="164">
      <sharedItems containsNonDate="0" containsString="0" containsBlank="1"/>
    </cacheField>
    <cacheField name="6th Fu" numFmtId="164">
      <sharedItems containsNonDate="0" containsString="0" containsBlank="1"/>
    </cacheField>
    <cacheField name="Final Lead Status" numFmtId="0">
      <sharedItems containsNonDate="0" containsBlank="1" count="4">
        <m/>
        <s v="LOST" u="1"/>
        <s v="WIN" u="1"/>
        <s v="NURTURING" u="1"/>
      </sharedItems>
    </cacheField>
    <cacheField name="Remarks / Reason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"/>
    <x v="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"/>
    <x v="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"/>
    <x v="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"/>
    <x v="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"/>
    <x v="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"/>
    <x v="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"/>
    <x v="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"/>
    <x v="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0"/>
    <x v="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1"/>
    <x v="1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2"/>
    <x v="1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3"/>
    <x v="1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4"/>
    <x v="1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5"/>
    <x v="1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6"/>
    <x v="1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7"/>
    <x v="1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8"/>
    <x v="1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9"/>
    <x v="1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0"/>
    <x v="1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1"/>
    <x v="2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2"/>
    <x v="2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3"/>
    <x v="2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4"/>
    <x v="2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5"/>
    <x v="2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6"/>
    <x v="2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7"/>
    <x v="2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8"/>
    <x v="2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9"/>
    <x v="2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0"/>
    <x v="2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1"/>
    <x v="3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2"/>
    <x v="3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3"/>
    <x v="3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4"/>
    <x v="3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5"/>
    <x v="3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6"/>
    <x v="3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7"/>
    <x v="3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8"/>
    <x v="3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9"/>
    <x v="3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0"/>
    <x v="3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1"/>
    <x v="4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2"/>
    <x v="4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3"/>
    <x v="4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4"/>
    <x v="4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5"/>
    <x v="4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6"/>
    <x v="4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7"/>
    <x v="4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8"/>
    <x v="4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9"/>
    <x v="4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0"/>
    <x v="4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1"/>
    <x v="5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2"/>
    <x v="5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3"/>
    <x v="5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4"/>
    <x v="5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5"/>
    <x v="5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6"/>
    <x v="5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7"/>
    <x v="5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8"/>
    <x v="5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9"/>
    <x v="5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0"/>
    <x v="5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1"/>
    <x v="6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2"/>
    <x v="6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3"/>
    <x v="6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4"/>
    <x v="6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5"/>
    <x v="6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6"/>
    <x v="6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7"/>
    <x v="6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8"/>
    <x v="6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9"/>
    <x v="6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0"/>
    <x v="6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1"/>
    <x v="7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2"/>
    <x v="7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3"/>
    <x v="7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4"/>
    <x v="7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5"/>
    <x v="7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6"/>
    <x v="7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7"/>
    <x v="7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8"/>
    <x v="7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9"/>
    <x v="7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0"/>
    <x v="7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1"/>
    <x v="8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2"/>
    <x v="8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3"/>
    <x v="8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4"/>
    <x v="8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5"/>
    <x v="8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6"/>
    <x v="8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7"/>
    <x v="8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8"/>
    <x v="8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9"/>
    <x v="8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0"/>
    <x v="8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1"/>
    <x v="9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2"/>
    <x v="9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3"/>
    <x v="9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4"/>
    <x v="9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5"/>
    <x v="9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6"/>
    <x v="9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7"/>
    <x v="9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8"/>
    <x v="9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9"/>
    <x v="9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00"/>
    <x v="9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01"/>
    <x v="10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02"/>
    <x v="10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03"/>
    <x v="10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04"/>
    <x v="10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05"/>
    <x v="10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06"/>
    <x v="10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07"/>
    <x v="10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08"/>
    <x v="10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09"/>
    <x v="10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10"/>
    <x v="10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11"/>
    <x v="11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12"/>
    <x v="11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13"/>
    <x v="11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14"/>
    <x v="11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15"/>
    <x v="11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16"/>
    <x v="11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17"/>
    <x v="11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18"/>
    <x v="11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19"/>
    <x v="11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20"/>
    <x v="11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21"/>
    <x v="12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22"/>
    <x v="12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23"/>
    <x v="12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24"/>
    <x v="12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25"/>
    <x v="12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26"/>
    <x v="12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27"/>
    <x v="12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28"/>
    <x v="12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29"/>
    <x v="12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30"/>
    <x v="129"/>
    <x v="0"/>
    <s v=""/>
    <x v="0"/>
    <m/>
    <m/>
    <m/>
    <m/>
    <x v="0"/>
    <m/>
    <m/>
    <m/>
    <m/>
    <m/>
    <x v="0"/>
    <s v=""/>
    <m/>
    <s v=""/>
    <d v="2025-12-14T00:00:00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31"/>
    <x v="13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32"/>
    <x v="13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33"/>
    <x v="13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34"/>
    <x v="13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35"/>
    <x v="13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36"/>
    <x v="13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37"/>
    <x v="13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38"/>
    <x v="13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39"/>
    <x v="13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40"/>
    <x v="13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41"/>
    <x v="14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42"/>
    <x v="14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43"/>
    <x v="14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44"/>
    <x v="14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45"/>
    <x v="14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46"/>
    <x v="14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47"/>
    <x v="14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48"/>
    <x v="14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49"/>
    <x v="14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50"/>
    <x v="14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51"/>
    <x v="15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52"/>
    <x v="15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53"/>
    <x v="15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54"/>
    <x v="15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55"/>
    <x v="15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56"/>
    <x v="15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57"/>
    <x v="15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58"/>
    <x v="15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59"/>
    <x v="15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60"/>
    <x v="15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61"/>
    <x v="16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62"/>
    <x v="16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63"/>
    <x v="16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64"/>
    <x v="16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65"/>
    <x v="16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66"/>
    <x v="16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67"/>
    <x v="16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68"/>
    <x v="16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69"/>
    <x v="16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70"/>
    <x v="16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71"/>
    <x v="17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72"/>
    <x v="17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73"/>
    <x v="17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74"/>
    <x v="17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75"/>
    <x v="17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76"/>
    <x v="17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77"/>
    <x v="17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78"/>
    <x v="17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79"/>
    <x v="17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80"/>
    <x v="17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81"/>
    <x v="18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82"/>
    <x v="18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83"/>
    <x v="18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84"/>
    <x v="18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85"/>
    <x v="18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86"/>
    <x v="18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87"/>
    <x v="18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88"/>
    <x v="18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89"/>
    <x v="18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90"/>
    <x v="18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91"/>
    <x v="19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92"/>
    <x v="19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93"/>
    <x v="19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94"/>
    <x v="19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95"/>
    <x v="19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96"/>
    <x v="19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97"/>
    <x v="19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98"/>
    <x v="19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99"/>
    <x v="19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00"/>
    <x v="19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01"/>
    <x v="20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02"/>
    <x v="20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03"/>
    <x v="20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04"/>
    <x v="20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05"/>
    <x v="20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06"/>
    <x v="20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07"/>
    <x v="20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08"/>
    <x v="20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09"/>
    <x v="20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10"/>
    <x v="20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11"/>
    <x v="21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12"/>
    <x v="21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13"/>
    <x v="21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14"/>
    <x v="21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15"/>
    <x v="21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16"/>
    <x v="21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17"/>
    <x v="21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18"/>
    <x v="21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19"/>
    <x v="21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20"/>
    <x v="21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21"/>
    <x v="22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22"/>
    <x v="22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23"/>
    <x v="22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24"/>
    <x v="22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25"/>
    <x v="22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26"/>
    <x v="22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27"/>
    <x v="22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28"/>
    <x v="22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29"/>
    <x v="22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30"/>
    <x v="22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31"/>
    <x v="23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32"/>
    <x v="23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33"/>
    <x v="23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34"/>
    <x v="23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35"/>
    <x v="23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36"/>
    <x v="23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37"/>
    <x v="23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38"/>
    <x v="23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39"/>
    <x v="23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40"/>
    <x v="23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41"/>
    <x v="24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42"/>
    <x v="24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43"/>
    <x v="24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44"/>
    <x v="24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45"/>
    <x v="24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46"/>
    <x v="24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47"/>
    <x v="24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48"/>
    <x v="24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49"/>
    <x v="24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50"/>
    <x v="24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51"/>
    <x v="25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52"/>
    <x v="25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53"/>
    <x v="25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54"/>
    <x v="25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55"/>
    <x v="25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56"/>
    <x v="25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57"/>
    <x v="25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58"/>
    <x v="25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59"/>
    <x v="25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60"/>
    <x v="25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61"/>
    <x v="26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62"/>
    <x v="26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63"/>
    <x v="262"/>
    <x v="0"/>
    <s v=""/>
    <x v="0"/>
    <m/>
    <m/>
    <m/>
    <m/>
    <x v="0"/>
    <m/>
    <m/>
    <m/>
    <m/>
    <m/>
    <x v="0"/>
    <s v="Saturaday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64"/>
    <x v="26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65"/>
    <x v="26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66"/>
    <x v="26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67"/>
    <x v="26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68"/>
    <x v="26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69"/>
    <x v="26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70"/>
    <x v="26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71"/>
    <x v="27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72"/>
    <x v="27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73"/>
    <x v="27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74"/>
    <x v="27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75"/>
    <x v="27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76"/>
    <x v="27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77"/>
    <x v="27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78"/>
    <x v="27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79"/>
    <x v="27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80"/>
    <x v="27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81"/>
    <x v="28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82"/>
    <x v="28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83"/>
    <x v="28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84"/>
    <x v="28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85"/>
    <x v="28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86"/>
    <x v="28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87"/>
    <x v="28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88"/>
    <x v="28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89"/>
    <x v="28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90"/>
    <x v="28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91"/>
    <x v="29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92"/>
    <x v="29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93"/>
    <x v="29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94"/>
    <x v="29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95"/>
    <x v="29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96"/>
    <x v="29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97"/>
    <x v="29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98"/>
    <x v="29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299"/>
    <x v="29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00"/>
    <x v="29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01"/>
    <x v="30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02"/>
    <x v="30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03"/>
    <x v="30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04"/>
    <x v="30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05"/>
    <x v="30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06"/>
    <x v="30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07"/>
    <x v="30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08"/>
    <x v="30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09"/>
    <x v="30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10"/>
    <x v="30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11"/>
    <x v="31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12"/>
    <x v="31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13"/>
    <x v="31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14"/>
    <x v="31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15"/>
    <x v="31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16"/>
    <x v="31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17"/>
    <x v="31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18"/>
    <x v="31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19"/>
    <x v="31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20"/>
    <x v="31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21"/>
    <x v="32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22"/>
    <x v="32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23"/>
    <x v="32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24"/>
    <x v="32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25"/>
    <x v="32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26"/>
    <x v="32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27"/>
    <x v="32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28"/>
    <x v="32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29"/>
    <x v="32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30"/>
    <x v="32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31"/>
    <x v="33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32"/>
    <x v="33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33"/>
    <x v="33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34"/>
    <x v="33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35"/>
    <x v="33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36"/>
    <x v="33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37"/>
    <x v="33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38"/>
    <x v="33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39"/>
    <x v="33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40"/>
    <x v="33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41"/>
    <x v="34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42"/>
    <x v="34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43"/>
    <x v="34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44"/>
    <x v="34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45"/>
    <x v="34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46"/>
    <x v="34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47"/>
    <x v="34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48"/>
    <x v="34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49"/>
    <x v="34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50"/>
    <x v="34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51"/>
    <x v="35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52"/>
    <x v="35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53"/>
    <x v="35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54"/>
    <x v="35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55"/>
    <x v="35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56"/>
    <x v="35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57"/>
    <x v="35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58"/>
    <x v="35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59"/>
    <x v="35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60"/>
    <x v="35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61"/>
    <x v="36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62"/>
    <x v="36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63"/>
    <x v="36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64"/>
    <x v="36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65"/>
    <x v="36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66"/>
    <x v="36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67"/>
    <x v="36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68"/>
    <x v="36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69"/>
    <x v="36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70"/>
    <x v="36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71"/>
    <x v="37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72"/>
    <x v="37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73"/>
    <x v="37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74"/>
    <x v="37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75"/>
    <x v="37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76"/>
    <x v="37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77"/>
    <x v="37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78"/>
    <x v="37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79"/>
    <x v="37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80"/>
    <x v="37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81"/>
    <x v="38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82"/>
    <x v="38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83"/>
    <x v="38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84"/>
    <x v="38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85"/>
    <x v="38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86"/>
    <x v="38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87"/>
    <x v="38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88"/>
    <x v="38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89"/>
    <x v="38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90"/>
    <x v="38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91"/>
    <x v="39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92"/>
    <x v="39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93"/>
    <x v="39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94"/>
    <x v="39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95"/>
    <x v="39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96"/>
    <x v="39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97"/>
    <x v="39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98"/>
    <x v="39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399"/>
    <x v="39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00"/>
    <x v="39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01"/>
    <x v="40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02"/>
    <x v="40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03"/>
    <x v="40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04"/>
    <x v="40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05"/>
    <x v="40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06"/>
    <x v="40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07"/>
    <x v="40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08"/>
    <x v="40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09"/>
    <x v="40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10"/>
    <x v="40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11"/>
    <x v="41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12"/>
    <x v="41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13"/>
    <x v="41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14"/>
    <x v="41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15"/>
    <x v="41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16"/>
    <x v="41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17"/>
    <x v="41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18"/>
    <x v="41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19"/>
    <x v="41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20"/>
    <x v="41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21"/>
    <x v="42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22"/>
    <x v="42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23"/>
    <x v="42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24"/>
    <x v="42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25"/>
    <x v="42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26"/>
    <x v="42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27"/>
    <x v="42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28"/>
    <x v="42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29"/>
    <x v="42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30"/>
    <x v="42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31"/>
    <x v="43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32"/>
    <x v="43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33"/>
    <x v="43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34"/>
    <x v="43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35"/>
    <x v="43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36"/>
    <x v="43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37"/>
    <x v="43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38"/>
    <x v="43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39"/>
    <x v="43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40"/>
    <x v="43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41"/>
    <x v="44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42"/>
    <x v="44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43"/>
    <x v="44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44"/>
    <x v="44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45"/>
    <x v="44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46"/>
    <x v="44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47"/>
    <x v="44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48"/>
    <x v="44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49"/>
    <x v="44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50"/>
    <x v="44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51"/>
    <x v="45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52"/>
    <x v="45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53"/>
    <x v="45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54"/>
    <x v="45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55"/>
    <x v="45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56"/>
    <x v="45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57"/>
    <x v="45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58"/>
    <x v="45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59"/>
    <x v="45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60"/>
    <x v="45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61"/>
    <x v="46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62"/>
    <x v="46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63"/>
    <x v="46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64"/>
    <x v="46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65"/>
    <x v="46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66"/>
    <x v="46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67"/>
    <x v="46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68"/>
    <x v="46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69"/>
    <x v="46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70"/>
    <x v="46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71"/>
    <x v="47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72"/>
    <x v="47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73"/>
    <x v="47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74"/>
    <x v="47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75"/>
    <x v="47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76"/>
    <x v="47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77"/>
    <x v="47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78"/>
    <x v="47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79"/>
    <x v="47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80"/>
    <x v="47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81"/>
    <x v="48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82"/>
    <x v="48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83"/>
    <x v="48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84"/>
    <x v="48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85"/>
    <x v="48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86"/>
    <x v="48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87"/>
    <x v="48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88"/>
    <x v="48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89"/>
    <x v="48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90"/>
    <x v="48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91"/>
    <x v="49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92"/>
    <x v="49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93"/>
    <x v="49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94"/>
    <x v="49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95"/>
    <x v="49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96"/>
    <x v="49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97"/>
    <x v="49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98"/>
    <x v="49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499"/>
    <x v="49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00"/>
    <x v="49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01"/>
    <x v="50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02"/>
    <x v="50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03"/>
    <x v="50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04"/>
    <x v="50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05"/>
    <x v="50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06"/>
    <x v="50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07"/>
    <x v="50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08"/>
    <x v="50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09"/>
    <x v="50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10"/>
    <x v="50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11"/>
    <x v="51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12"/>
    <x v="51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13"/>
    <x v="51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14"/>
    <x v="51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15"/>
    <x v="51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16"/>
    <x v="51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17"/>
    <x v="51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18"/>
    <x v="51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19"/>
    <x v="51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20"/>
    <x v="51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21"/>
    <x v="52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22"/>
    <x v="52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23"/>
    <x v="52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24"/>
    <x v="52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25"/>
    <x v="52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26"/>
    <x v="52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27"/>
    <x v="52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28"/>
    <x v="52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29"/>
    <x v="52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30"/>
    <x v="52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31"/>
    <x v="53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32"/>
    <x v="53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33"/>
    <x v="53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34"/>
    <x v="53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35"/>
    <x v="53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36"/>
    <x v="53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37"/>
    <x v="53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38"/>
    <x v="53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39"/>
    <x v="53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40"/>
    <x v="53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41"/>
    <x v="54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42"/>
    <x v="54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43"/>
    <x v="54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44"/>
    <x v="54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45"/>
    <x v="54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46"/>
    <x v="54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47"/>
    <x v="54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48"/>
    <x v="54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49"/>
    <x v="54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50"/>
    <x v="54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51"/>
    <x v="55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52"/>
    <x v="55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53"/>
    <x v="55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54"/>
    <x v="55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55"/>
    <x v="55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56"/>
    <x v="55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57"/>
    <x v="55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58"/>
    <x v="55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59"/>
    <x v="55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60"/>
    <x v="55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61"/>
    <x v="56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62"/>
    <x v="56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63"/>
    <x v="56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64"/>
    <x v="56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65"/>
    <x v="56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66"/>
    <x v="56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67"/>
    <x v="56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68"/>
    <x v="56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69"/>
    <x v="56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70"/>
    <x v="56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71"/>
    <x v="57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72"/>
    <x v="57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73"/>
    <x v="57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74"/>
    <x v="57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75"/>
    <x v="57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76"/>
    <x v="57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77"/>
    <x v="57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78"/>
    <x v="57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79"/>
    <x v="57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80"/>
    <x v="57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81"/>
    <x v="58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82"/>
    <x v="58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83"/>
    <x v="58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84"/>
    <x v="58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85"/>
    <x v="58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86"/>
    <x v="58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87"/>
    <x v="58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88"/>
    <x v="58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89"/>
    <x v="58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90"/>
    <x v="58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91"/>
    <x v="59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92"/>
    <x v="59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93"/>
    <x v="59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94"/>
    <x v="59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95"/>
    <x v="59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96"/>
    <x v="59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97"/>
    <x v="59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98"/>
    <x v="59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599"/>
    <x v="59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00"/>
    <x v="59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01"/>
    <x v="60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02"/>
    <x v="60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03"/>
    <x v="60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04"/>
    <x v="60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05"/>
    <x v="60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06"/>
    <x v="60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07"/>
    <x v="60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08"/>
    <x v="60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09"/>
    <x v="60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10"/>
    <x v="60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11"/>
    <x v="61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12"/>
    <x v="61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13"/>
    <x v="61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14"/>
    <x v="61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15"/>
    <x v="61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16"/>
    <x v="61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17"/>
    <x v="61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18"/>
    <x v="61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19"/>
    <x v="61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20"/>
    <x v="61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21"/>
    <x v="62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22"/>
    <x v="62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23"/>
    <x v="62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24"/>
    <x v="62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25"/>
    <x v="62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26"/>
    <x v="62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27"/>
    <x v="62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28"/>
    <x v="62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29"/>
    <x v="62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30"/>
    <x v="62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31"/>
    <x v="63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32"/>
    <x v="63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33"/>
    <x v="63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34"/>
    <x v="63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35"/>
    <x v="63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36"/>
    <x v="63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37"/>
    <x v="63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38"/>
    <x v="63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39"/>
    <x v="63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40"/>
    <x v="63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41"/>
    <x v="64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42"/>
    <x v="64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43"/>
    <x v="64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44"/>
    <x v="64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45"/>
    <x v="64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46"/>
    <x v="64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47"/>
    <x v="64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48"/>
    <x v="64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49"/>
    <x v="64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50"/>
    <x v="64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51"/>
    <x v="65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52"/>
    <x v="65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53"/>
    <x v="65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54"/>
    <x v="65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55"/>
    <x v="65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56"/>
    <x v="65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57"/>
    <x v="65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58"/>
    <x v="65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59"/>
    <x v="65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60"/>
    <x v="65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61"/>
    <x v="66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62"/>
    <x v="66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63"/>
    <x v="66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64"/>
    <x v="66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65"/>
    <x v="66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66"/>
    <x v="66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67"/>
    <x v="66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68"/>
    <x v="66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69"/>
    <x v="66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70"/>
    <x v="66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71"/>
    <x v="67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72"/>
    <x v="67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73"/>
    <x v="67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74"/>
    <x v="67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75"/>
    <x v="67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76"/>
    <x v="67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77"/>
    <x v="67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78"/>
    <x v="67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79"/>
    <x v="67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80"/>
    <x v="67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81"/>
    <x v="68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82"/>
    <x v="68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83"/>
    <x v="68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84"/>
    <x v="68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85"/>
    <x v="68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86"/>
    <x v="68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87"/>
    <x v="68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88"/>
    <x v="68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89"/>
    <x v="68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90"/>
    <x v="68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91"/>
    <x v="69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92"/>
    <x v="69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93"/>
    <x v="69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94"/>
    <x v="69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95"/>
    <x v="69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96"/>
    <x v="69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97"/>
    <x v="69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98"/>
    <x v="69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699"/>
    <x v="69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00"/>
    <x v="69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01"/>
    <x v="70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02"/>
    <x v="70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03"/>
    <x v="70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04"/>
    <x v="70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05"/>
    <x v="70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06"/>
    <x v="70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07"/>
    <x v="70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08"/>
    <x v="70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09"/>
    <x v="70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10"/>
    <x v="70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11"/>
    <x v="71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12"/>
    <x v="71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13"/>
    <x v="71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14"/>
    <x v="71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15"/>
    <x v="71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16"/>
    <x v="71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17"/>
    <x v="71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18"/>
    <x v="71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19"/>
    <x v="71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20"/>
    <x v="71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21"/>
    <x v="72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22"/>
    <x v="72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23"/>
    <x v="72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24"/>
    <x v="72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25"/>
    <x v="72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26"/>
    <x v="72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27"/>
    <x v="72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28"/>
    <x v="72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29"/>
    <x v="72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30"/>
    <x v="72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31"/>
    <x v="73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32"/>
    <x v="73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33"/>
    <x v="73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34"/>
    <x v="73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35"/>
    <x v="73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36"/>
    <x v="73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37"/>
    <x v="73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38"/>
    <x v="73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39"/>
    <x v="73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40"/>
    <x v="73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41"/>
    <x v="74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42"/>
    <x v="74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43"/>
    <x v="74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44"/>
    <x v="74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45"/>
    <x v="74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46"/>
    <x v="74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47"/>
    <x v="74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48"/>
    <x v="74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49"/>
    <x v="74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50"/>
    <x v="74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51"/>
    <x v="75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52"/>
    <x v="75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53"/>
    <x v="75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54"/>
    <x v="75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55"/>
    <x v="75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56"/>
    <x v="75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57"/>
    <x v="75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58"/>
    <x v="75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59"/>
    <x v="75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60"/>
    <x v="75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61"/>
    <x v="76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62"/>
    <x v="76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63"/>
    <x v="76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64"/>
    <x v="76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65"/>
    <x v="76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66"/>
    <x v="76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67"/>
    <x v="76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68"/>
    <x v="76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69"/>
    <x v="76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70"/>
    <x v="76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71"/>
    <x v="77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72"/>
    <x v="77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73"/>
    <x v="77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74"/>
    <x v="77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75"/>
    <x v="77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76"/>
    <x v="77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77"/>
    <x v="77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78"/>
    <x v="77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79"/>
    <x v="77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80"/>
    <x v="77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81"/>
    <x v="78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82"/>
    <x v="78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83"/>
    <x v="78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84"/>
    <x v="78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85"/>
    <x v="78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86"/>
    <x v="78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87"/>
    <x v="78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88"/>
    <x v="78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89"/>
    <x v="78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90"/>
    <x v="78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91"/>
    <x v="79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92"/>
    <x v="79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93"/>
    <x v="79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94"/>
    <x v="79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95"/>
    <x v="79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96"/>
    <x v="79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97"/>
    <x v="79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98"/>
    <x v="79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799"/>
    <x v="79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00"/>
    <x v="79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01"/>
    <x v="80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02"/>
    <x v="80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03"/>
    <x v="80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04"/>
    <x v="80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05"/>
    <x v="80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06"/>
    <x v="80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07"/>
    <x v="80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08"/>
    <x v="80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09"/>
    <x v="80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10"/>
    <x v="80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11"/>
    <x v="81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12"/>
    <x v="81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13"/>
    <x v="81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14"/>
    <x v="81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15"/>
    <x v="81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16"/>
    <x v="81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17"/>
    <x v="81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18"/>
    <x v="81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19"/>
    <x v="81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20"/>
    <x v="81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21"/>
    <x v="82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22"/>
    <x v="82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23"/>
    <x v="82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24"/>
    <x v="82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25"/>
    <x v="82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26"/>
    <x v="82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27"/>
    <x v="82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28"/>
    <x v="82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29"/>
    <x v="82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30"/>
    <x v="82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31"/>
    <x v="83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32"/>
    <x v="83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33"/>
    <x v="83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34"/>
    <x v="83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35"/>
    <x v="83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36"/>
    <x v="83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37"/>
    <x v="83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38"/>
    <x v="83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39"/>
    <x v="83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40"/>
    <x v="83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41"/>
    <x v="84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42"/>
    <x v="84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43"/>
    <x v="84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44"/>
    <x v="84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45"/>
    <x v="84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46"/>
    <x v="84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47"/>
    <x v="84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48"/>
    <x v="84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49"/>
    <x v="84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50"/>
    <x v="84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51"/>
    <x v="85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52"/>
    <x v="85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53"/>
    <x v="85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54"/>
    <x v="85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55"/>
    <x v="85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56"/>
    <x v="85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57"/>
    <x v="85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58"/>
    <x v="85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59"/>
    <x v="85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60"/>
    <x v="85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61"/>
    <x v="86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62"/>
    <x v="86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63"/>
    <x v="86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64"/>
    <x v="86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65"/>
    <x v="86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66"/>
    <x v="86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67"/>
    <x v="86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68"/>
    <x v="86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69"/>
    <x v="86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70"/>
    <x v="86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71"/>
    <x v="87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72"/>
    <x v="87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73"/>
    <x v="87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74"/>
    <x v="87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75"/>
    <x v="87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76"/>
    <x v="87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77"/>
    <x v="87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78"/>
    <x v="87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79"/>
    <x v="87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80"/>
    <x v="87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81"/>
    <x v="88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82"/>
    <x v="88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83"/>
    <x v="88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84"/>
    <x v="88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85"/>
    <x v="88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86"/>
    <x v="88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87"/>
    <x v="88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88"/>
    <x v="88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89"/>
    <x v="88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90"/>
    <x v="88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91"/>
    <x v="89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92"/>
    <x v="89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93"/>
    <x v="89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94"/>
    <x v="89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95"/>
    <x v="89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96"/>
    <x v="89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97"/>
    <x v="89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98"/>
    <x v="89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899"/>
    <x v="89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00"/>
    <x v="89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01"/>
    <x v="90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02"/>
    <x v="90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03"/>
    <x v="90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04"/>
    <x v="90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05"/>
    <x v="90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06"/>
    <x v="90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07"/>
    <x v="90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08"/>
    <x v="90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09"/>
    <x v="90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10"/>
    <x v="90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11"/>
    <x v="91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12"/>
    <x v="91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13"/>
    <x v="91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14"/>
    <x v="91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15"/>
    <x v="91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16"/>
    <x v="91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17"/>
    <x v="91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18"/>
    <x v="91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19"/>
    <x v="91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20"/>
    <x v="91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21"/>
    <x v="92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22"/>
    <x v="92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23"/>
    <x v="92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24"/>
    <x v="92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25"/>
    <x v="92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26"/>
    <x v="92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27"/>
    <x v="92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28"/>
    <x v="92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29"/>
    <x v="92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30"/>
    <x v="92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31"/>
    <x v="93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32"/>
    <x v="93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33"/>
    <x v="93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34"/>
    <x v="93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35"/>
    <x v="93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36"/>
    <x v="93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37"/>
    <x v="93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38"/>
    <x v="93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39"/>
    <x v="93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40"/>
    <x v="93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41"/>
    <x v="94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42"/>
    <x v="94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43"/>
    <x v="94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44"/>
    <x v="94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45"/>
    <x v="94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46"/>
    <x v="94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47"/>
    <x v="94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48"/>
    <x v="94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49"/>
    <x v="94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50"/>
    <x v="94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51"/>
    <x v="95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52"/>
    <x v="95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53"/>
    <x v="95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54"/>
    <x v="95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55"/>
    <x v="95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56"/>
    <x v="95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57"/>
    <x v="95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58"/>
    <x v="95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59"/>
    <x v="95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60"/>
    <x v="95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61"/>
    <x v="96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62"/>
    <x v="96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63"/>
    <x v="96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64"/>
    <x v="96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65"/>
    <x v="96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66"/>
    <x v="96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67"/>
    <x v="96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68"/>
    <x v="96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69"/>
    <x v="96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70"/>
    <x v="96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71"/>
    <x v="97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72"/>
    <x v="97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73"/>
    <x v="97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74"/>
    <x v="97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75"/>
    <x v="97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76"/>
    <x v="97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77"/>
    <x v="97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78"/>
    <x v="97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79"/>
    <x v="97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80"/>
    <x v="97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81"/>
    <x v="98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82"/>
    <x v="98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83"/>
    <x v="98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84"/>
    <x v="98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85"/>
    <x v="98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86"/>
    <x v="98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87"/>
    <x v="98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88"/>
    <x v="98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89"/>
    <x v="98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90"/>
    <x v="989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91"/>
    <x v="990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92"/>
    <x v="991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93"/>
    <x v="992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94"/>
    <x v="993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95"/>
    <x v="994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96"/>
    <x v="995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97"/>
    <x v="996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98"/>
    <x v="997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999"/>
    <x v="998"/>
    <x v="0"/>
    <s v=""/>
    <x v="0"/>
    <m/>
    <m/>
    <m/>
    <m/>
    <x v="0"/>
    <m/>
    <m/>
    <m/>
    <m/>
    <m/>
    <x v="0"/>
    <s v=""/>
    <m/>
    <s v=""/>
    <s v=""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  <r>
    <n v="1000"/>
    <x v="999"/>
    <x v="0"/>
    <s v=""/>
    <x v="0"/>
    <m/>
    <m/>
    <m/>
    <m/>
    <x v="0"/>
    <m/>
    <m/>
    <m/>
    <m/>
    <m/>
    <x v="0"/>
    <m/>
    <m/>
    <m/>
    <m/>
    <x v="0"/>
    <s v=""/>
    <m/>
    <m/>
    <x v="0"/>
    <m/>
    <m/>
    <m/>
    <m/>
    <s v=""/>
    <s v=""/>
    <s v=""/>
    <s v=""/>
    <m/>
    <m/>
    <m/>
    <m/>
    <m/>
    <m/>
    <m/>
    <m/>
    <m/>
    <m/>
    <m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D42766-DE82-4EE3-9BE8-D97C94EFD1AB}" name="PivotTable9" cacheId="8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T4:CV6" firstHeaderRow="0" firstDataRow="1" firstDataCol="1"/>
  <pivotFields count="46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"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Query No." fld="1" subtotal="count" baseField="0" baseItem="0"/>
    <dataField name="Sum of Total Query Amount" fld="2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562CF7-179F-49AB-929A-989A1FC22981}" name="PivotTable3" cacheId="8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J3:AM4" firstHeaderRow="0" firstDataRow="1" firstDataCol="2"/>
  <pivotFields count="46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">
        <item h="1" m="1" x="9"/>
        <item m="1" x="8"/>
        <item m="1" x="12"/>
        <item h="1" m="1" x="1"/>
        <item h="1" m="1" x="4"/>
        <item h="1" m="1" x="2"/>
        <item h="1" m="1" x="5"/>
        <item h="1" m="1" x="6"/>
        <item h="1" m="1" x="10"/>
        <item h="1" m="1" x="7"/>
        <item h="1" m="1" x="3"/>
        <item h="1" m="1" x="11"/>
        <item h="1" x="0"/>
        <item h="1" m="1" x="1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m="1" x="1"/>
        <item m="1" x="3"/>
        <item m="1" x="2"/>
        <item x="0"/>
        <item t="default"/>
      </items>
    </pivotField>
    <pivotField compact="0" outline="0" showAll="0"/>
  </pivotFields>
  <rowFields count="2">
    <field x="20"/>
    <field x="44"/>
  </rowFields>
  <rowItems count="1">
    <i t="grand">
      <x/>
    </i>
  </rowItems>
  <colFields count="1">
    <field x="-2"/>
  </colFields>
  <colItems count="2">
    <i>
      <x/>
    </i>
    <i i="1">
      <x v="1"/>
    </i>
  </colItems>
  <dataFields count="2">
    <dataField name="Count of Query No." fld="1" subtotal="count" baseField="0" baseItem="0"/>
    <dataField name="Sum of Total Query Amount" fld="2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918833-A4A2-44F3-AFDC-F2497C299A1D}" name="PivotTable2" cacheId="8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W3:Y4" firstHeaderRow="1" firstDataRow="1" firstDataCol="2"/>
  <pivotFields count="46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">
        <item m="1" x="9"/>
        <item m="1" x="8"/>
        <item m="1" x="12"/>
        <item m="1" x="1"/>
        <item m="1" x="4"/>
        <item m="1" x="2"/>
        <item m="1" x="5"/>
        <item m="1" x="6"/>
        <item m="1" x="10"/>
        <item m="1" x="7"/>
        <item m="1" x="3"/>
        <item m="1" x="11"/>
        <item h="1" x="0"/>
        <item h="1" m="1"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m="1" x="1"/>
        <item m="1" x="3"/>
        <item m="1" x="2"/>
        <item x="0"/>
        <item t="default"/>
      </items>
    </pivotField>
    <pivotField compact="0" outline="0" showAll="0"/>
  </pivotFields>
  <rowFields count="2">
    <field x="20"/>
    <field x="44"/>
  </rowFields>
  <rowItems count="1">
    <i t="grand">
      <x/>
    </i>
  </rowItems>
  <colItems count="1">
    <i/>
  </colItems>
  <dataFields count="1">
    <dataField name="Count of Query No." fld="1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6B3C2B-0E61-447E-99CC-F693FDEFB824}" name="PivotTable6" cacheId="8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R3:BU6" firstHeaderRow="0" firstDataRow="1" firstDataCol="2"/>
  <pivotFields count="46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">
        <item m="1" x="9"/>
        <item m="1" x="8"/>
        <item m="1" x="12"/>
        <item m="1" x="1"/>
        <item m="1" x="4"/>
        <item m="1" x="2"/>
        <item m="1" x="5"/>
        <item m="1" x="6"/>
        <item m="1" x="10"/>
        <item m="1" x="7"/>
        <item m="1" x="3"/>
        <item m="1" x="11"/>
        <item x="0"/>
        <item m="1" x="1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m="1" x="1"/>
        <item m="1" x="3"/>
        <item m="1" x="2"/>
        <item x="0"/>
        <item t="default"/>
      </items>
    </pivotField>
    <pivotField compact="0" outline="0" showAll="0"/>
  </pivotFields>
  <rowFields count="2">
    <field x="20"/>
    <field x="44"/>
  </rowFields>
  <rowItems count="3">
    <i>
      <x v="12"/>
      <x v="3"/>
    </i>
    <i t="default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Query No." fld="1" subtotal="count" baseField="0" baseItem="0"/>
    <dataField name="Sum of Total Query Amount" fld="2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227E31-6B35-4CC2-8396-1F4AAFC34C27}" name="PivotTable7" cacheId="8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X3:CC2006" firstHeaderRow="0" firstDataRow="1" firstDataCol="4"/>
  <pivotFields count="46">
    <pivotField compact="0" outline="0" showAll="0"/>
    <pivotField axis="axisRow" dataField="1" compact="0" outline="0" showAll="0">
      <items count="2703"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sd="0" m="1" x="2278"/>
        <item m="1" x="2279"/>
        <item m="1" x="2280"/>
        <item sd="0"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sd="0" m="1" x="2310"/>
        <item m="1" x="2311"/>
        <item m="1" x="2312"/>
        <item sd="0"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sd="0" m="1" x="2360"/>
        <item sd="0" m="1" x="2361"/>
        <item sd="0" m="1" x="2362"/>
        <item m="1" x="2363"/>
        <item sd="0" m="1" x="2364"/>
        <item sd="0" m="1" x="2365"/>
        <item sd="0" m="1" x="2366"/>
        <item sd="0" m="1" x="2367"/>
        <item m="1" x="2368"/>
        <item m="1" x="2369"/>
        <item m="1" x="2370"/>
        <item m="1" x="2371"/>
        <item sd="0" m="1" x="2372"/>
        <item m="1" x="2373"/>
        <item m="1" x="2374"/>
        <item m="1" x="2375"/>
        <item m="1" x="2376"/>
        <item m="1" x="2377"/>
        <item m="1" x="2378"/>
        <item m="1" x="2379"/>
        <item sd="0"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sd="0"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sd="0" m="1" x="2417"/>
        <item m="1" x="2418"/>
        <item m="1" x="2419"/>
        <item m="1" x="2420"/>
        <item m="1" x="2421"/>
        <item sd="0"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sd="0"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sd="0" m="1" x="2444"/>
        <item sd="0" m="1" x="2445"/>
        <item m="1" x="2446"/>
        <item m="1" x="2447"/>
        <item m="1" x="2448"/>
        <item m="1" x="2449"/>
        <item m="1" x="2450"/>
        <item m="1" x="2451"/>
        <item m="1" x="2452"/>
        <item sd="0"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sd="0" m="1" x="2481"/>
        <item sd="0"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sd="0" m="1" x="2493"/>
        <item sd="0"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">
        <item m="1" x="9"/>
        <item m="1" x="8"/>
        <item m="1" x="12"/>
        <item m="1" x="1"/>
        <item m="1" x="4"/>
        <item m="1" x="2"/>
        <item m="1" x="5"/>
        <item m="1" x="6"/>
        <item m="1" x="10"/>
        <item m="1" x="7"/>
        <item m="1" x="3"/>
        <item m="1" x="11"/>
        <item x="0"/>
        <item m="1" x="13"/>
        <item t="default"/>
      </items>
    </pivotField>
    <pivotField compact="0" outline="0" showAll="0"/>
    <pivotField compact="0" outline="0" showAll="0"/>
    <pivotField compact="0" outline="0" showAll="0"/>
    <pivotField axis="axisRow" dataField="1" compact="0" outline="0" showAll="0">
      <items count="606">
        <item m="1" x="493"/>
        <item m="1" x="522"/>
        <item m="1" x="453"/>
        <item m="1" x="438"/>
        <item m="1" x="102"/>
        <item m="1" x="350"/>
        <item m="1" x="501"/>
        <item m="1" x="500"/>
        <item m="1" x="214"/>
        <item m="1" x="518"/>
        <item m="1" x="294"/>
        <item m="1" x="539"/>
        <item m="1" x="432"/>
        <item m="1" x="558"/>
        <item m="1" x="15"/>
        <item m="1" x="155"/>
        <item m="1" x="365"/>
        <item m="1" x="517"/>
        <item m="1" x="524"/>
        <item m="1" x="425"/>
        <item m="1" x="385"/>
        <item m="1" x="332"/>
        <item m="1" x="206"/>
        <item m="1" x="306"/>
        <item m="1" x="452"/>
        <item m="1" x="527"/>
        <item m="1" x="118"/>
        <item m="1" x="471"/>
        <item m="1" x="341"/>
        <item m="1" x="123"/>
        <item m="1" x="7"/>
        <item m="1" x="87"/>
        <item m="1" x="292"/>
        <item m="1" x="520"/>
        <item m="1" x="420"/>
        <item m="1" x="367"/>
        <item m="1" x="326"/>
        <item m="1" x="419"/>
        <item m="1" x="439"/>
        <item m="1" x="380"/>
        <item m="1" x="447"/>
        <item m="1" x="247"/>
        <item m="1" x="251"/>
        <item m="1" x="173"/>
        <item m="1" x="39"/>
        <item m="1" x="71"/>
        <item m="1" x="181"/>
        <item m="1" x="183"/>
        <item m="1" x="291"/>
        <item m="1" x="68"/>
        <item m="1" x="276"/>
        <item m="1" x="199"/>
        <item m="1" x="526"/>
        <item m="1" x="417"/>
        <item m="1" x="533"/>
        <item m="1" x="499"/>
        <item m="1" x="286"/>
        <item m="1" x="374"/>
        <item m="1" x="431"/>
        <item m="1" x="421"/>
        <item m="1" x="496"/>
        <item m="1" x="301"/>
        <item m="1" x="330"/>
        <item m="1" x="124"/>
        <item m="1" x="32"/>
        <item m="1" x="323"/>
        <item m="1" x="224"/>
        <item m="1" x="116"/>
        <item m="1" x="359"/>
        <item m="1" x="348"/>
        <item m="1" x="313"/>
        <item m="1" x="100"/>
        <item m="1" x="358"/>
        <item m="1" x="13"/>
        <item m="1" x="536"/>
        <item m="1" x="222"/>
        <item m="1" x="238"/>
        <item m="1" x="163"/>
        <item m="1" x="449"/>
        <item m="1" x="394"/>
        <item m="1" x="240"/>
        <item m="1" x="307"/>
        <item m="1" x="464"/>
        <item m="1" x="338"/>
        <item m="1" x="154"/>
        <item m="1" x="371"/>
        <item m="1" x="346"/>
        <item m="1" x="409"/>
        <item m="1" x="416"/>
        <item m="1" x="312"/>
        <item m="1" x="259"/>
        <item m="1" x="229"/>
        <item m="1" x="548"/>
        <item m="1" x="479"/>
        <item m="1" x="296"/>
        <item m="1" x="373"/>
        <item m="1" x="138"/>
        <item m="1" x="304"/>
        <item m="1" x="489"/>
        <item m="1" x="376"/>
        <item m="1" x="6"/>
        <item m="1" x="511"/>
        <item m="1" x="426"/>
        <item m="1" x="121"/>
        <item m="1" x="46"/>
        <item m="1" x="412"/>
        <item m="1" x="512"/>
        <item m="1" x="381"/>
        <item m="1" x="122"/>
        <item m="1" x="398"/>
        <item m="1" x="305"/>
        <item m="1" x="337"/>
        <item m="1" x="343"/>
        <item m="1" x="207"/>
        <item m="1" x="267"/>
        <item m="1" x="467"/>
        <item m="1" x="171"/>
        <item m="1" x="318"/>
        <item m="1" x="423"/>
        <item m="1" x="115"/>
        <item m="1" x="495"/>
        <item m="1" x="117"/>
        <item m="1" x="352"/>
        <item m="1" x="12"/>
        <item m="1" x="211"/>
        <item m="1" x="324"/>
        <item m="1" x="94"/>
        <item m="1" x="505"/>
        <item m="1" x="70"/>
        <item m="1" x="25"/>
        <item m="1" x="538"/>
        <item m="1" x="410"/>
        <item m="1" x="283"/>
        <item m="1" x="340"/>
        <item m="1" x="41"/>
        <item m="1" x="516"/>
        <item m="1" x="457"/>
        <item m="1" x="328"/>
        <item m="1" x="521"/>
        <item m="1" x="160"/>
        <item m="1" x="406"/>
        <item m="1" x="321"/>
        <item m="1" x="315"/>
        <item m="1" x="266"/>
        <item m="1" x="387"/>
        <item m="1" x="437"/>
        <item m="1" x="379"/>
        <item m="1" x="325"/>
        <item m="1" x="319"/>
        <item m="1" x="369"/>
        <item m="1" x="351"/>
        <item m="1" x="503"/>
        <item m="1" x="484"/>
        <item m="1" x="333"/>
        <item m="1" x="445"/>
        <item m="1" x="444"/>
        <item m="1" x="342"/>
        <item m="1" x="268"/>
        <item m="1" x="44"/>
        <item m="1" x="386"/>
        <item m="1" x="460"/>
        <item m="1" x="508"/>
        <item m="1" x="112"/>
        <item m="1" x="368"/>
        <item m="1" x="415"/>
        <item m="1" x="448"/>
        <item m="1" x="52"/>
        <item m="1" x="75"/>
        <item m="1" x="466"/>
        <item m="1" x="298"/>
        <item m="1" x="47"/>
        <item m="1" x="557"/>
        <item m="1" x="216"/>
        <item m="1" x="441"/>
        <item m="1" x="322"/>
        <item m="1" x="361"/>
        <item m="1" x="424"/>
        <item m="1" x="131"/>
        <item m="1" x="488"/>
        <item m="1" x="65"/>
        <item m="1" x="336"/>
        <item m="1" x="470"/>
        <item m="1" x="486"/>
        <item m="1" x="530"/>
        <item m="1" x="360"/>
        <item m="1" x="287"/>
        <item m="1" x="551"/>
        <item m="1" x="55"/>
        <item m="1" x="555"/>
        <item m="1" x="167"/>
        <item m="1" x="392"/>
        <item m="1" x="378"/>
        <item m="1" x="404"/>
        <item m="1" x="300"/>
        <item m="1" x="243"/>
        <item m="1" x="145"/>
        <item m="1" x="440"/>
        <item m="1" x="357"/>
        <item m="1" x="316"/>
        <item m="1" x="405"/>
        <item m="1" x="282"/>
        <item m="1" x="525"/>
        <item m="1" x="435"/>
        <item m="1" x="388"/>
        <item m="1" x="126"/>
        <item m="1" x="509"/>
        <item m="1" x="366"/>
        <item m="1" x="515"/>
        <item m="1" x="393"/>
        <item m="1" x="344"/>
        <item m="1" x="345"/>
        <item m="1" x="534"/>
        <item m="1" x="472"/>
        <item m="1" x="429"/>
        <item m="1" x="236"/>
        <item m="1" x="487"/>
        <item m="1" x="401"/>
        <item m="1" x="478"/>
        <item m="1" x="490"/>
        <item m="1" x="537"/>
        <item m="1" x="375"/>
        <item m="1" x="191"/>
        <item m="1" x="562"/>
        <item m="1" x="463"/>
        <item m="1" x="258"/>
        <item m="1" x="504"/>
        <item m="1" x="383"/>
        <item m="1" x="309"/>
        <item m="1" x="510"/>
        <item m="1" x="547"/>
        <item m="1" x="523"/>
        <item m="1" x="485"/>
        <item m="1" x="514"/>
        <item m="1" x="411"/>
        <item m="1" x="483"/>
        <item m="1" x="182"/>
        <item m="1" x="428"/>
        <item m="1" x="377"/>
        <item m="1" x="331"/>
        <item m="1" x="280"/>
        <item m="1" x="311"/>
        <item m="1" x="389"/>
        <item m="1" x="299"/>
        <item m="1" x="88"/>
        <item m="1" x="382"/>
        <item m="1" x="531"/>
        <item m="1" x="461"/>
        <item m="1" x="289"/>
        <item m="1" x="363"/>
        <item m="1" x="561"/>
        <item m="1" x="327"/>
        <item m="1" x="446"/>
        <item m="1" x="414"/>
        <item m="1" x="166"/>
        <item m="1" x="403"/>
        <item m="1" x="454"/>
        <item m="1" x="413"/>
        <item m="1" x="128"/>
        <item m="1" x="474"/>
        <item m="1" x="408"/>
        <item m="1" x="106"/>
        <item m="1" x="507"/>
        <item m="1" x="422"/>
        <item m="1" x="497"/>
        <item m="1" x="302"/>
        <item m="1" x="320"/>
        <item m="1" x="458"/>
        <item m="1" x="542"/>
        <item m="1" x="543"/>
        <item m="1" x="455"/>
        <item m="1" x="492"/>
        <item m="1" x="172"/>
        <item m="1" x="370"/>
        <item m="1" x="477"/>
        <item m="1" x="92"/>
        <item m="1" x="399"/>
        <item m="1" x="232"/>
        <item m="1" x="362"/>
        <item m="1" x="353"/>
        <item m="1" x="473"/>
        <item m="1" x="482"/>
        <item m="1" x="491"/>
        <item m="1" x="535"/>
        <item m="1" x="16"/>
        <item m="1" x="529"/>
        <item m="1" x="465"/>
        <item m="1" x="602"/>
        <item m="1" x="314"/>
        <item m="1" x="450"/>
        <item m="1" x="356"/>
        <item m="1" x="434"/>
        <item m="1" x="241"/>
        <item m="1" x="278"/>
        <item m="1" x="335"/>
        <item m="1" x="293"/>
        <item m="1" x="459"/>
        <item m="1" x="144"/>
        <item m="1" x="553"/>
        <item m="1" x="502"/>
        <item m="1" x="443"/>
        <item m="1" x="303"/>
        <item m="1" x="297"/>
        <item m="1" x="604"/>
        <item m="1" x="391"/>
        <item m="1" x="475"/>
        <item m="1" x="310"/>
        <item m="1" x="295"/>
        <item m="1" x="528"/>
        <item m="1" x="462"/>
        <item m="1" x="149"/>
        <item m="1" x="418"/>
        <item m="1" x="277"/>
        <item m="1" x="498"/>
        <item m="1" x="329"/>
        <item m="1" x="546"/>
        <item m="1" x="456"/>
        <item m="1" x="317"/>
        <item m="1" x="396"/>
        <item m="1" x="433"/>
        <item m="1" x="480"/>
        <item m="1" x="541"/>
        <item m="1" x="469"/>
        <item m="1" x="384"/>
        <item m="1" x="281"/>
        <item m="1" x="397"/>
        <item m="1" x="552"/>
        <item m="1" x="227"/>
        <item m="1" x="364"/>
        <item m="1" x="285"/>
        <item m="1" x="308"/>
        <item m="1" x="532"/>
        <item m="1" x="284"/>
        <item m="1" x="513"/>
        <item m="1" x="334"/>
        <item m="1" x="355"/>
        <item m="1" x="560"/>
        <item m="1" x="559"/>
        <item m="1" x="549"/>
        <item m="1" x="468"/>
        <item m="1" x="27"/>
        <item m="1" x="354"/>
        <item m="1" x="279"/>
        <item m="1" x="407"/>
        <item m="1" x="442"/>
        <item m="1" x="372"/>
        <item m="1" x="402"/>
        <item m="1" x="540"/>
        <item m="1" x="235"/>
        <item m="1" x="545"/>
        <item m="1" x="519"/>
        <item m="1" x="395"/>
        <item m="1" x="347"/>
        <item m="1" x="544"/>
        <item m="1" x="436"/>
        <item m="1" x="550"/>
        <item m="1" x="339"/>
        <item m="1" x="290"/>
        <item m="1" x="481"/>
        <item m="1" x="349"/>
        <item m="1" x="451"/>
        <item m="1" x="506"/>
        <item m="1" x="400"/>
        <item m="1" x="476"/>
        <item m="1" x="275"/>
        <item m="1" x="494"/>
        <item m="1" x="430"/>
        <item m="1" x="288"/>
        <item m="1" x="390"/>
        <item m="1" x="427"/>
        <item x="0"/>
        <item m="1" x="563"/>
        <item m="1" x="601"/>
        <item m="1" x="603"/>
        <item m="1" x="564"/>
        <item m="1" x="556"/>
        <item m="1" x="565"/>
        <item m="1" x="566"/>
        <item m="1" x="567"/>
        <item m="1" x="33"/>
        <item m="1" x="19"/>
        <item m="1" x="554"/>
        <item m="1" x="568"/>
        <item m="1" x="569"/>
        <item m="1" x="195"/>
        <item m="1" x="570"/>
        <item m="1" x="571"/>
        <item m="1" x="233"/>
        <item m="1" x="572"/>
        <item m="1" x="573"/>
        <item m="1" x="574"/>
        <item m="1" x="575"/>
        <item m="1" x="576"/>
        <item m="1" x="577"/>
        <item m="1" x="578"/>
        <item m="1" x="579"/>
        <item m="1" x="262"/>
        <item m="1" x="83"/>
        <item m="1" x="89"/>
        <item m="1" x="580"/>
        <item m="1" x="225"/>
        <item m="1" x="581"/>
        <item m="1" x="582"/>
        <item m="1" x="583"/>
        <item m="1" x="584"/>
        <item m="1" x="585"/>
        <item m="1" x="586"/>
        <item m="1" x="587"/>
        <item m="1" x="1"/>
        <item m="1" x="588"/>
        <item m="1" x="589"/>
        <item m="1" x="69"/>
        <item m="1" x="590"/>
        <item m="1" x="591"/>
        <item m="1" x="592"/>
        <item m="1" x="593"/>
        <item m="1" x="594"/>
        <item m="1" x="242"/>
        <item m="1" x="595"/>
        <item m="1" x="596"/>
        <item m="1" x="186"/>
        <item m="1" x="3"/>
        <item m="1" x="597"/>
        <item m="1" x="598"/>
        <item m="1" x="599"/>
        <item m="1" x="600"/>
        <item m="1" x="2"/>
        <item m="1" x="4"/>
        <item m="1" x="5"/>
        <item m="1" x="8"/>
        <item m="1" x="9"/>
        <item m="1" x="10"/>
        <item m="1" x="11"/>
        <item m="1" x="14"/>
        <item m="1" x="17"/>
        <item m="1" x="18"/>
        <item m="1" x="20"/>
        <item m="1" x="21"/>
        <item m="1" x="22"/>
        <item m="1" x="23"/>
        <item m="1" x="24"/>
        <item m="1" x="26"/>
        <item m="1" x="28"/>
        <item m="1" x="29"/>
        <item m="1" x="30"/>
        <item m="1" x="31"/>
        <item m="1" x="34"/>
        <item m="1" x="35"/>
        <item m="1" x="36"/>
        <item m="1" x="37"/>
        <item m="1" x="38"/>
        <item m="1" x="40"/>
        <item m="1" x="42"/>
        <item m="1" x="43"/>
        <item m="1" x="45"/>
        <item m="1" x="48"/>
        <item m="1" x="49"/>
        <item m="1" x="50"/>
        <item m="1" x="51"/>
        <item m="1" x="53"/>
        <item m="1" x="54"/>
        <item m="1" x="56"/>
        <item m="1" x="57"/>
        <item m="1" x="58"/>
        <item m="1" x="59"/>
        <item m="1" x="60"/>
        <item m="1" x="61"/>
        <item m="1" x="62"/>
        <item m="1" x="273"/>
        <item m="1" x="64"/>
        <item m="1" x="274"/>
        <item m="1" x="67"/>
        <item m="1" x="63"/>
        <item m="1" x="66"/>
        <item m="1" x="72"/>
        <item m="1" x="73"/>
        <item m="1" x="74"/>
        <item m="1" x="76"/>
        <item m="1" x="77"/>
        <item m="1" x="78"/>
        <item m="1" x="79"/>
        <item m="1" x="80"/>
        <item m="1" x="81"/>
        <item m="1" x="82"/>
        <item m="1" x="84"/>
        <item m="1" x="85"/>
        <item m="1" x="86"/>
        <item m="1" x="90"/>
        <item m="1" x="91"/>
        <item m="1" x="93"/>
        <item m="1" x="95"/>
        <item m="1" x="96"/>
        <item m="1" x="97"/>
        <item m="1" x="98"/>
        <item m="1" x="99"/>
        <item m="1" x="101"/>
        <item m="1" x="103"/>
        <item m="1" x="104"/>
        <item m="1" x="105"/>
        <item m="1" x="107"/>
        <item m="1" x="108"/>
        <item m="1" x="109"/>
        <item m="1" x="110"/>
        <item m="1" x="111"/>
        <item m="1" x="113"/>
        <item m="1" x="114"/>
        <item m="1" x="119"/>
        <item m="1" x="120"/>
        <item m="1" x="125"/>
        <item m="1" x="127"/>
        <item m="1" x="129"/>
        <item m="1" x="130"/>
        <item m="1" x="132"/>
        <item m="1" x="133"/>
        <item m="1" x="134"/>
        <item m="1" x="135"/>
        <item m="1" x="136"/>
        <item m="1" x="137"/>
        <item m="1" x="139"/>
        <item m="1" x="140"/>
        <item m="1" x="141"/>
        <item m="1" x="142"/>
        <item m="1" x="143"/>
        <item m="1" x="146"/>
        <item m="1" x="147"/>
        <item m="1" x="148"/>
        <item m="1" x="150"/>
        <item m="1" x="151"/>
        <item m="1" x="152"/>
        <item m="1" x="153"/>
        <item m="1" x="156"/>
        <item m="1" x="157"/>
        <item m="1" x="158"/>
        <item m="1" x="159"/>
        <item m="1" x="161"/>
        <item m="1" x="162"/>
        <item m="1" x="164"/>
        <item m="1" x="165"/>
        <item m="1" x="168"/>
        <item m="1" x="169"/>
        <item m="1" x="170"/>
        <item m="1" x="174"/>
        <item m="1" x="175"/>
        <item m="1" x="176"/>
        <item m="1" x="177"/>
        <item m="1" x="178"/>
        <item m="1" x="179"/>
        <item m="1" x="180"/>
        <item m="1" x="184"/>
        <item m="1" x="185"/>
        <item m="1" x="187"/>
        <item m="1" x="188"/>
        <item m="1" x="189"/>
        <item m="1" x="190"/>
        <item m="1" x="192"/>
        <item m="1" x="193"/>
        <item m="1" x="194"/>
        <item m="1" x="196"/>
        <item m="1" x="197"/>
        <item m="1" x="198"/>
        <item m="1" x="200"/>
        <item m="1" x="201"/>
        <item m="1" x="202"/>
        <item m="1" x="203"/>
        <item m="1" x="204"/>
        <item m="1" x="205"/>
        <item m="1" x="208"/>
        <item m="1" x="209"/>
        <item m="1" x="210"/>
        <item m="1" x="212"/>
        <item m="1" x="213"/>
        <item m="1" x="215"/>
        <item m="1" x="217"/>
        <item m="1" x="218"/>
        <item m="1" x="219"/>
        <item m="1" x="220"/>
        <item m="1" x="221"/>
        <item m="1" x="223"/>
        <item m="1" x="226"/>
        <item m="1" x="228"/>
        <item m="1" x="230"/>
        <item m="1" x="231"/>
        <item m="1" x="234"/>
        <item m="1" x="237"/>
        <item m="1" x="239"/>
        <item m="1" x="244"/>
        <item m="1" x="245"/>
        <item m="1" x="246"/>
        <item m="1" x="248"/>
        <item m="1" x="249"/>
        <item m="1" x="250"/>
        <item m="1" x="252"/>
        <item m="1" x="253"/>
        <item m="1" x="254"/>
        <item m="1" x="255"/>
        <item m="1" x="256"/>
        <item m="1" x="257"/>
        <item m="1" x="260"/>
        <item m="1" x="261"/>
        <item m="1" x="263"/>
        <item m="1" x="264"/>
        <item m="1" x="265"/>
        <item m="1" x="269"/>
        <item m="1" x="270"/>
        <item m="1" x="271"/>
        <item m="1" x="27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m="1" x="1"/>
        <item m="1" x="3"/>
        <item m="1" x="2"/>
        <item x="0"/>
        <item t="default"/>
      </items>
    </pivotField>
    <pivotField compact="0" outline="0" showAll="0"/>
  </pivotFields>
  <rowFields count="4">
    <field x="20"/>
    <field x="44"/>
    <field x="1"/>
    <field x="24"/>
  </rowFields>
  <rowItems count="2003">
    <i>
      <x v="12"/>
      <x v="3"/>
      <x v="1702"/>
      <x v="369"/>
    </i>
    <i t="default" r="2">
      <x v="1702"/>
    </i>
    <i r="2">
      <x v="1703"/>
      <x v="369"/>
    </i>
    <i t="default" r="2">
      <x v="1703"/>
    </i>
    <i r="2">
      <x v="1704"/>
      <x v="369"/>
    </i>
    <i t="default" r="2">
      <x v="1704"/>
    </i>
    <i r="2">
      <x v="1705"/>
      <x v="369"/>
    </i>
    <i t="default" r="2">
      <x v="1705"/>
    </i>
    <i r="2">
      <x v="1706"/>
      <x v="369"/>
    </i>
    <i t="default" r="2">
      <x v="1706"/>
    </i>
    <i r="2">
      <x v="1707"/>
      <x v="369"/>
    </i>
    <i t="default" r="2">
      <x v="1707"/>
    </i>
    <i r="2">
      <x v="1708"/>
      <x v="369"/>
    </i>
    <i t="default" r="2">
      <x v="1708"/>
    </i>
    <i r="2">
      <x v="1709"/>
      <x v="369"/>
    </i>
    <i t="default" r="2">
      <x v="1709"/>
    </i>
    <i r="2">
      <x v="1710"/>
      <x v="369"/>
    </i>
    <i t="default" r="2">
      <x v="1710"/>
    </i>
    <i r="2">
      <x v="1711"/>
      <x v="369"/>
    </i>
    <i t="default" r="2">
      <x v="1711"/>
    </i>
    <i r="2">
      <x v="1712"/>
      <x v="369"/>
    </i>
    <i t="default" r="2">
      <x v="1712"/>
    </i>
    <i r="2">
      <x v="1713"/>
      <x v="369"/>
    </i>
    <i t="default" r="2">
      <x v="1713"/>
    </i>
    <i r="2">
      <x v="1714"/>
      <x v="369"/>
    </i>
    <i t="default" r="2">
      <x v="1714"/>
    </i>
    <i r="2">
      <x v="1715"/>
      <x v="369"/>
    </i>
    <i t="default" r="2">
      <x v="1715"/>
    </i>
    <i r="2">
      <x v="1716"/>
      <x v="369"/>
    </i>
    <i t="default" r="2">
      <x v="1716"/>
    </i>
    <i r="2">
      <x v="1717"/>
      <x v="369"/>
    </i>
    <i t="default" r="2">
      <x v="1717"/>
    </i>
    <i r="2">
      <x v="1718"/>
      <x v="369"/>
    </i>
    <i t="default" r="2">
      <x v="1718"/>
    </i>
    <i r="2">
      <x v="1719"/>
      <x v="369"/>
    </i>
    <i t="default" r="2">
      <x v="1719"/>
    </i>
    <i r="2">
      <x v="1720"/>
      <x v="369"/>
    </i>
    <i t="default" r="2">
      <x v="1720"/>
    </i>
    <i r="2">
      <x v="1721"/>
      <x v="369"/>
    </i>
    <i t="default" r="2">
      <x v="1721"/>
    </i>
    <i r="2">
      <x v="1722"/>
      <x v="369"/>
    </i>
    <i t="default" r="2">
      <x v="1722"/>
    </i>
    <i r="2">
      <x v="1723"/>
      <x v="369"/>
    </i>
    <i t="default" r="2">
      <x v="1723"/>
    </i>
    <i r="2">
      <x v="1724"/>
      <x v="369"/>
    </i>
    <i t="default" r="2">
      <x v="1724"/>
    </i>
    <i r="2">
      <x v="1725"/>
      <x v="369"/>
    </i>
    <i t="default" r="2">
      <x v="1725"/>
    </i>
    <i r="2">
      <x v="1726"/>
      <x v="369"/>
    </i>
    <i t="default" r="2">
      <x v="1726"/>
    </i>
    <i r="2">
      <x v="1727"/>
      <x v="369"/>
    </i>
    <i t="default" r="2">
      <x v="1727"/>
    </i>
    <i r="2">
      <x v="1728"/>
      <x v="369"/>
    </i>
    <i t="default" r="2">
      <x v="1728"/>
    </i>
    <i r="2">
      <x v="1729"/>
      <x v="369"/>
    </i>
    <i t="default" r="2">
      <x v="1729"/>
    </i>
    <i r="2">
      <x v="1730"/>
      <x v="369"/>
    </i>
    <i t="default" r="2">
      <x v="1730"/>
    </i>
    <i r="2">
      <x v="1731"/>
      <x v="369"/>
    </i>
    <i t="default" r="2">
      <x v="1731"/>
    </i>
    <i r="2">
      <x v="1732"/>
      <x v="369"/>
    </i>
    <i t="default" r="2">
      <x v="1732"/>
    </i>
    <i r="2">
      <x v="1733"/>
      <x v="369"/>
    </i>
    <i t="default" r="2">
      <x v="1733"/>
    </i>
    <i r="2">
      <x v="1734"/>
      <x v="369"/>
    </i>
    <i t="default" r="2">
      <x v="1734"/>
    </i>
    <i r="2">
      <x v="1735"/>
      <x v="369"/>
    </i>
    <i t="default" r="2">
      <x v="1735"/>
    </i>
    <i r="2">
      <x v="1736"/>
      <x v="369"/>
    </i>
    <i t="default" r="2">
      <x v="1736"/>
    </i>
    <i r="2">
      <x v="1737"/>
      <x v="369"/>
    </i>
    <i t="default" r="2">
      <x v="1737"/>
    </i>
    <i r="2">
      <x v="1738"/>
      <x v="369"/>
    </i>
    <i t="default" r="2">
      <x v="1738"/>
    </i>
    <i r="2">
      <x v="1739"/>
      <x v="369"/>
    </i>
    <i t="default" r="2">
      <x v="1739"/>
    </i>
    <i r="2">
      <x v="1740"/>
      <x v="369"/>
    </i>
    <i t="default" r="2">
      <x v="1740"/>
    </i>
    <i r="2">
      <x v="1741"/>
      <x v="369"/>
    </i>
    <i t="default" r="2">
      <x v="1741"/>
    </i>
    <i r="2">
      <x v="1742"/>
      <x v="369"/>
    </i>
    <i t="default" r="2">
      <x v="1742"/>
    </i>
    <i r="2">
      <x v="1743"/>
      <x v="369"/>
    </i>
    <i t="default" r="2">
      <x v="1743"/>
    </i>
    <i r="2">
      <x v="1744"/>
      <x v="369"/>
    </i>
    <i t="default" r="2">
      <x v="1744"/>
    </i>
    <i r="2">
      <x v="1745"/>
      <x v="369"/>
    </i>
    <i t="default" r="2">
      <x v="1745"/>
    </i>
    <i r="2">
      <x v="1746"/>
      <x v="369"/>
    </i>
    <i t="default" r="2">
      <x v="1746"/>
    </i>
    <i r="2">
      <x v="1747"/>
      <x v="369"/>
    </i>
    <i t="default" r="2">
      <x v="1747"/>
    </i>
    <i r="2">
      <x v="1748"/>
      <x v="369"/>
    </i>
    <i t="default" r="2">
      <x v="1748"/>
    </i>
    <i r="2">
      <x v="1749"/>
      <x v="369"/>
    </i>
    <i t="default" r="2">
      <x v="1749"/>
    </i>
    <i r="2">
      <x v="1750"/>
      <x v="369"/>
    </i>
    <i t="default" r="2">
      <x v="1750"/>
    </i>
    <i r="2">
      <x v="1751"/>
      <x v="369"/>
    </i>
    <i t="default" r="2">
      <x v="1751"/>
    </i>
    <i r="2">
      <x v="1752"/>
      <x v="369"/>
    </i>
    <i t="default" r="2">
      <x v="1752"/>
    </i>
    <i r="2">
      <x v="1753"/>
      <x v="369"/>
    </i>
    <i t="default" r="2">
      <x v="1753"/>
    </i>
    <i r="2">
      <x v="1754"/>
      <x v="369"/>
    </i>
    <i t="default" r="2">
      <x v="1754"/>
    </i>
    <i r="2">
      <x v="1755"/>
      <x v="369"/>
    </i>
    <i t="default" r="2">
      <x v="1755"/>
    </i>
    <i r="2">
      <x v="1756"/>
      <x v="369"/>
    </i>
    <i t="default" r="2">
      <x v="1756"/>
    </i>
    <i r="2">
      <x v="1757"/>
      <x v="369"/>
    </i>
    <i t="default" r="2">
      <x v="1757"/>
    </i>
    <i r="2">
      <x v="1758"/>
      <x v="369"/>
    </i>
    <i t="default" r="2">
      <x v="1758"/>
    </i>
    <i r="2">
      <x v="1759"/>
      <x v="369"/>
    </i>
    <i t="default" r="2">
      <x v="1759"/>
    </i>
    <i r="2">
      <x v="1760"/>
      <x v="369"/>
    </i>
    <i t="default" r="2">
      <x v="1760"/>
    </i>
    <i r="2">
      <x v="1761"/>
      <x v="369"/>
    </i>
    <i t="default" r="2">
      <x v="1761"/>
    </i>
    <i r="2">
      <x v="1762"/>
      <x v="369"/>
    </i>
    <i t="default" r="2">
      <x v="1762"/>
    </i>
    <i r="2">
      <x v="1763"/>
      <x v="369"/>
    </i>
    <i t="default" r="2">
      <x v="1763"/>
    </i>
    <i r="2">
      <x v="1764"/>
      <x v="369"/>
    </i>
    <i t="default" r="2">
      <x v="1764"/>
    </i>
    <i r="2">
      <x v="1765"/>
      <x v="369"/>
    </i>
    <i t="default" r="2">
      <x v="1765"/>
    </i>
    <i r="2">
      <x v="1766"/>
      <x v="369"/>
    </i>
    <i t="default" r="2">
      <x v="1766"/>
    </i>
    <i r="2">
      <x v="1767"/>
      <x v="369"/>
    </i>
    <i t="default" r="2">
      <x v="1767"/>
    </i>
    <i r="2">
      <x v="1768"/>
      <x v="369"/>
    </i>
    <i t="default" r="2">
      <x v="1768"/>
    </i>
    <i r="2">
      <x v="1769"/>
      <x v="369"/>
    </i>
    <i t="default" r="2">
      <x v="1769"/>
    </i>
    <i r="2">
      <x v="1770"/>
      <x v="369"/>
    </i>
    <i t="default" r="2">
      <x v="1770"/>
    </i>
    <i r="2">
      <x v="1771"/>
      <x v="369"/>
    </i>
    <i t="default" r="2">
      <x v="1771"/>
    </i>
    <i r="2">
      <x v="1772"/>
      <x v="369"/>
    </i>
    <i t="default" r="2">
      <x v="1772"/>
    </i>
    <i r="2">
      <x v="1773"/>
      <x v="369"/>
    </i>
    <i t="default" r="2">
      <x v="1773"/>
    </i>
    <i r="2">
      <x v="1774"/>
      <x v="369"/>
    </i>
    <i t="default" r="2">
      <x v="1774"/>
    </i>
    <i r="2">
      <x v="1775"/>
      <x v="369"/>
    </i>
    <i t="default" r="2">
      <x v="1775"/>
    </i>
    <i r="2">
      <x v="1776"/>
      <x v="369"/>
    </i>
    <i t="default" r="2">
      <x v="1776"/>
    </i>
    <i r="2">
      <x v="1777"/>
      <x v="369"/>
    </i>
    <i t="default" r="2">
      <x v="1777"/>
    </i>
    <i r="2">
      <x v="1778"/>
      <x v="369"/>
    </i>
    <i t="default" r="2">
      <x v="1778"/>
    </i>
    <i r="2">
      <x v="1779"/>
      <x v="369"/>
    </i>
    <i t="default" r="2">
      <x v="1779"/>
    </i>
    <i r="2">
      <x v="1780"/>
      <x v="369"/>
    </i>
    <i t="default" r="2">
      <x v="1780"/>
    </i>
    <i r="2">
      <x v="1781"/>
      <x v="369"/>
    </i>
    <i t="default" r="2">
      <x v="1781"/>
    </i>
    <i r="2">
      <x v="1782"/>
      <x v="369"/>
    </i>
    <i t="default" r="2">
      <x v="1782"/>
    </i>
    <i r="2">
      <x v="1783"/>
      <x v="369"/>
    </i>
    <i t="default" r="2">
      <x v="1783"/>
    </i>
    <i r="2">
      <x v="1784"/>
      <x v="369"/>
    </i>
    <i t="default" r="2">
      <x v="1784"/>
    </i>
    <i r="2">
      <x v="1785"/>
      <x v="369"/>
    </i>
    <i t="default" r="2">
      <x v="1785"/>
    </i>
    <i r="2">
      <x v="1786"/>
      <x v="369"/>
    </i>
    <i t="default" r="2">
      <x v="1786"/>
    </i>
    <i r="2">
      <x v="1787"/>
      <x v="369"/>
    </i>
    <i t="default" r="2">
      <x v="1787"/>
    </i>
    <i r="2">
      <x v="1788"/>
      <x v="369"/>
    </i>
    <i t="default" r="2">
      <x v="1788"/>
    </i>
    <i r="2">
      <x v="1789"/>
      <x v="369"/>
    </i>
    <i t="default" r="2">
      <x v="1789"/>
    </i>
    <i r="2">
      <x v="1790"/>
      <x v="369"/>
    </i>
    <i t="default" r="2">
      <x v="1790"/>
    </i>
    <i r="2">
      <x v="1791"/>
      <x v="369"/>
    </i>
    <i t="default" r="2">
      <x v="1791"/>
    </i>
    <i r="2">
      <x v="1792"/>
      <x v="369"/>
    </i>
    <i t="default" r="2">
      <x v="1792"/>
    </i>
    <i r="2">
      <x v="1793"/>
      <x v="369"/>
    </i>
    <i t="default" r="2">
      <x v="1793"/>
    </i>
    <i r="2">
      <x v="1794"/>
      <x v="369"/>
    </i>
    <i t="default" r="2">
      <x v="1794"/>
    </i>
    <i r="2">
      <x v="1795"/>
      <x v="369"/>
    </i>
    <i t="default" r="2">
      <x v="1795"/>
    </i>
    <i r="2">
      <x v="1796"/>
      <x v="369"/>
    </i>
    <i t="default" r="2">
      <x v="1796"/>
    </i>
    <i r="2">
      <x v="1797"/>
      <x v="369"/>
    </i>
    <i t="default" r="2">
      <x v="1797"/>
    </i>
    <i r="2">
      <x v="1798"/>
      <x v="369"/>
    </i>
    <i t="default" r="2">
      <x v="1798"/>
    </i>
    <i r="2">
      <x v="1799"/>
      <x v="369"/>
    </i>
    <i t="default" r="2">
      <x v="1799"/>
    </i>
    <i r="2">
      <x v="1800"/>
      <x v="369"/>
    </i>
    <i t="default" r="2">
      <x v="1800"/>
    </i>
    <i r="2">
      <x v="1801"/>
      <x v="369"/>
    </i>
    <i t="default" r="2">
      <x v="1801"/>
    </i>
    <i r="2">
      <x v="1802"/>
      <x v="369"/>
    </i>
    <i t="default" r="2">
      <x v="1802"/>
    </i>
    <i r="2">
      <x v="1803"/>
      <x v="369"/>
    </i>
    <i t="default" r="2">
      <x v="1803"/>
    </i>
    <i r="2">
      <x v="1804"/>
      <x v="369"/>
    </i>
    <i t="default" r="2">
      <x v="1804"/>
    </i>
    <i r="2">
      <x v="1805"/>
      <x v="369"/>
    </i>
    <i t="default" r="2">
      <x v="1805"/>
    </i>
    <i r="2">
      <x v="1806"/>
      <x v="369"/>
    </i>
    <i t="default" r="2">
      <x v="1806"/>
    </i>
    <i r="2">
      <x v="1807"/>
      <x v="369"/>
    </i>
    <i t="default" r="2">
      <x v="1807"/>
    </i>
    <i r="2">
      <x v="1808"/>
      <x v="369"/>
    </i>
    <i t="default" r="2">
      <x v="1808"/>
    </i>
    <i r="2">
      <x v="1809"/>
      <x v="369"/>
    </i>
    <i t="default" r="2">
      <x v="1809"/>
    </i>
    <i r="2">
      <x v="1810"/>
      <x v="369"/>
    </i>
    <i t="default" r="2">
      <x v="1810"/>
    </i>
    <i r="2">
      <x v="1811"/>
      <x v="369"/>
    </i>
    <i t="default" r="2">
      <x v="1811"/>
    </i>
    <i r="2">
      <x v="1812"/>
      <x v="369"/>
    </i>
    <i t="default" r="2">
      <x v="1812"/>
    </i>
    <i r="2">
      <x v="1813"/>
      <x v="369"/>
    </i>
    <i t="default" r="2">
      <x v="1813"/>
    </i>
    <i r="2">
      <x v="1814"/>
      <x v="369"/>
    </i>
    <i t="default" r="2">
      <x v="1814"/>
    </i>
    <i r="2">
      <x v="1815"/>
      <x v="369"/>
    </i>
    <i t="default" r="2">
      <x v="1815"/>
    </i>
    <i r="2">
      <x v="1816"/>
      <x v="369"/>
    </i>
    <i t="default" r="2">
      <x v="1816"/>
    </i>
    <i r="2">
      <x v="1817"/>
      <x v="369"/>
    </i>
    <i t="default" r="2">
      <x v="1817"/>
    </i>
    <i r="2">
      <x v="1818"/>
      <x v="369"/>
    </i>
    <i t="default" r="2">
      <x v="1818"/>
    </i>
    <i r="2">
      <x v="1819"/>
      <x v="369"/>
    </i>
    <i t="default" r="2">
      <x v="1819"/>
    </i>
    <i r="2">
      <x v="1820"/>
      <x v="369"/>
    </i>
    <i t="default" r="2">
      <x v="1820"/>
    </i>
    <i r="2">
      <x v="1821"/>
      <x v="369"/>
    </i>
    <i t="default" r="2">
      <x v="1821"/>
    </i>
    <i r="2">
      <x v="1822"/>
      <x v="369"/>
    </i>
    <i t="default" r="2">
      <x v="1822"/>
    </i>
    <i r="2">
      <x v="1823"/>
      <x v="369"/>
    </i>
    <i t="default" r="2">
      <x v="1823"/>
    </i>
    <i r="2">
      <x v="1824"/>
      <x v="369"/>
    </i>
    <i t="default" r="2">
      <x v="1824"/>
    </i>
    <i r="2">
      <x v="1825"/>
      <x v="369"/>
    </i>
    <i t="default" r="2">
      <x v="1825"/>
    </i>
    <i r="2">
      <x v="1826"/>
      <x v="369"/>
    </i>
    <i t="default" r="2">
      <x v="1826"/>
    </i>
    <i r="2">
      <x v="1827"/>
      <x v="369"/>
    </i>
    <i t="default" r="2">
      <x v="1827"/>
    </i>
    <i r="2">
      <x v="1828"/>
      <x v="369"/>
    </i>
    <i t="default" r="2">
      <x v="1828"/>
    </i>
    <i r="2">
      <x v="1829"/>
      <x v="369"/>
    </i>
    <i t="default" r="2">
      <x v="1829"/>
    </i>
    <i r="2">
      <x v="1830"/>
      <x v="369"/>
    </i>
    <i t="default" r="2">
      <x v="1830"/>
    </i>
    <i r="2">
      <x v="1831"/>
      <x v="369"/>
    </i>
    <i t="default" r="2">
      <x v="1831"/>
    </i>
    <i r="2">
      <x v="1832"/>
      <x v="369"/>
    </i>
    <i t="default" r="2">
      <x v="1832"/>
    </i>
    <i r="2">
      <x v="1833"/>
      <x v="369"/>
    </i>
    <i t="default" r="2">
      <x v="1833"/>
    </i>
    <i r="2">
      <x v="1834"/>
      <x v="369"/>
    </i>
    <i t="default" r="2">
      <x v="1834"/>
    </i>
    <i r="2">
      <x v="1835"/>
      <x v="369"/>
    </i>
    <i t="default" r="2">
      <x v="1835"/>
    </i>
    <i r="2">
      <x v="1836"/>
      <x v="369"/>
    </i>
    <i t="default" r="2">
      <x v="1836"/>
    </i>
    <i r="2">
      <x v="1837"/>
      <x v="369"/>
    </i>
    <i t="default" r="2">
      <x v="1837"/>
    </i>
    <i r="2">
      <x v="1838"/>
      <x v="369"/>
    </i>
    <i t="default" r="2">
      <x v="1838"/>
    </i>
    <i r="2">
      <x v="1839"/>
      <x v="369"/>
    </i>
    <i t="default" r="2">
      <x v="1839"/>
    </i>
    <i r="2">
      <x v="1840"/>
      <x v="369"/>
    </i>
    <i t="default" r="2">
      <x v="1840"/>
    </i>
    <i r="2">
      <x v="1841"/>
      <x v="369"/>
    </i>
    <i t="default" r="2">
      <x v="1841"/>
    </i>
    <i r="2">
      <x v="1842"/>
      <x v="369"/>
    </i>
    <i t="default" r="2">
      <x v="1842"/>
    </i>
    <i r="2">
      <x v="1843"/>
      <x v="369"/>
    </i>
    <i t="default" r="2">
      <x v="1843"/>
    </i>
    <i r="2">
      <x v="1844"/>
      <x v="369"/>
    </i>
    <i t="default" r="2">
      <x v="1844"/>
    </i>
    <i r="2">
      <x v="1845"/>
      <x v="369"/>
    </i>
    <i t="default" r="2">
      <x v="1845"/>
    </i>
    <i r="2">
      <x v="1846"/>
      <x v="369"/>
    </i>
    <i t="default" r="2">
      <x v="1846"/>
    </i>
    <i r="2">
      <x v="1847"/>
      <x v="369"/>
    </i>
    <i t="default" r="2">
      <x v="1847"/>
    </i>
    <i r="2">
      <x v="1848"/>
      <x v="369"/>
    </i>
    <i t="default" r="2">
      <x v="1848"/>
    </i>
    <i r="2">
      <x v="1849"/>
      <x v="369"/>
    </i>
    <i t="default" r="2">
      <x v="1849"/>
    </i>
    <i r="2">
      <x v="1850"/>
      <x v="369"/>
    </i>
    <i t="default" r="2">
      <x v="1850"/>
    </i>
    <i r="2">
      <x v="1851"/>
      <x v="369"/>
    </i>
    <i t="default" r="2">
      <x v="1851"/>
    </i>
    <i r="2">
      <x v="1852"/>
      <x v="369"/>
    </i>
    <i t="default" r="2">
      <x v="1852"/>
    </i>
    <i r="2">
      <x v="1853"/>
      <x v="369"/>
    </i>
    <i t="default" r="2">
      <x v="1853"/>
    </i>
    <i r="2">
      <x v="1854"/>
      <x v="369"/>
    </i>
    <i t="default" r="2">
      <x v="1854"/>
    </i>
    <i r="2">
      <x v="1855"/>
      <x v="369"/>
    </i>
    <i t="default" r="2">
      <x v="1855"/>
    </i>
    <i r="2">
      <x v="1856"/>
      <x v="369"/>
    </i>
    <i t="default" r="2">
      <x v="1856"/>
    </i>
    <i r="2">
      <x v="1857"/>
      <x v="369"/>
    </i>
    <i t="default" r="2">
      <x v="1857"/>
    </i>
    <i r="2">
      <x v="1858"/>
      <x v="369"/>
    </i>
    <i t="default" r="2">
      <x v="1858"/>
    </i>
    <i r="2">
      <x v="1859"/>
      <x v="369"/>
    </i>
    <i t="default" r="2">
      <x v="1859"/>
    </i>
    <i r="2">
      <x v="1860"/>
      <x v="369"/>
    </i>
    <i t="default" r="2">
      <x v="1860"/>
    </i>
    <i r="2">
      <x v="1861"/>
      <x v="369"/>
    </i>
    <i t="default" r="2">
      <x v="1861"/>
    </i>
    <i r="2">
      <x v="1862"/>
      <x v="369"/>
    </i>
    <i t="default" r="2">
      <x v="1862"/>
    </i>
    <i r="2">
      <x v="1863"/>
      <x v="369"/>
    </i>
    <i t="default" r="2">
      <x v="1863"/>
    </i>
    <i r="2">
      <x v="1864"/>
      <x v="369"/>
    </i>
    <i t="default" r="2">
      <x v="1864"/>
    </i>
    <i r="2">
      <x v="1865"/>
      <x v="369"/>
    </i>
    <i t="default" r="2">
      <x v="1865"/>
    </i>
    <i r="2">
      <x v="1866"/>
      <x v="369"/>
    </i>
    <i t="default" r="2">
      <x v="1866"/>
    </i>
    <i r="2">
      <x v="1867"/>
      <x v="369"/>
    </i>
    <i t="default" r="2">
      <x v="1867"/>
    </i>
    <i r="2">
      <x v="1868"/>
      <x v="369"/>
    </i>
    <i t="default" r="2">
      <x v="1868"/>
    </i>
    <i r="2">
      <x v="1869"/>
      <x v="369"/>
    </i>
    <i t="default" r="2">
      <x v="1869"/>
    </i>
    <i r="2">
      <x v="1870"/>
      <x v="369"/>
    </i>
    <i t="default" r="2">
      <x v="1870"/>
    </i>
    <i r="2">
      <x v="1871"/>
      <x v="369"/>
    </i>
    <i t="default" r="2">
      <x v="1871"/>
    </i>
    <i r="2">
      <x v="1872"/>
      <x v="369"/>
    </i>
    <i t="default" r="2">
      <x v="1872"/>
    </i>
    <i r="2">
      <x v="1873"/>
      <x v="369"/>
    </i>
    <i t="default" r="2">
      <x v="1873"/>
    </i>
    <i r="2">
      <x v="1874"/>
      <x v="369"/>
    </i>
    <i t="default" r="2">
      <x v="1874"/>
    </i>
    <i r="2">
      <x v="1875"/>
      <x v="369"/>
    </i>
    <i t="default" r="2">
      <x v="1875"/>
    </i>
    <i r="2">
      <x v="1876"/>
      <x v="369"/>
    </i>
    <i t="default" r="2">
      <x v="1876"/>
    </i>
    <i r="2">
      <x v="1877"/>
      <x v="369"/>
    </i>
    <i t="default" r="2">
      <x v="1877"/>
    </i>
    <i r="2">
      <x v="1878"/>
      <x v="369"/>
    </i>
    <i t="default" r="2">
      <x v="1878"/>
    </i>
    <i r="2">
      <x v="1879"/>
      <x v="369"/>
    </i>
    <i t="default" r="2">
      <x v="1879"/>
    </i>
    <i r="2">
      <x v="1880"/>
      <x v="369"/>
    </i>
    <i t="default" r="2">
      <x v="1880"/>
    </i>
    <i r="2">
      <x v="1881"/>
      <x v="369"/>
    </i>
    <i t="default" r="2">
      <x v="1881"/>
    </i>
    <i r="2">
      <x v="1882"/>
      <x v="369"/>
    </i>
    <i t="default" r="2">
      <x v="1882"/>
    </i>
    <i r="2">
      <x v="1883"/>
      <x v="369"/>
    </i>
    <i t="default" r="2">
      <x v="1883"/>
    </i>
    <i r="2">
      <x v="1884"/>
      <x v="369"/>
    </i>
    <i t="default" r="2">
      <x v="1884"/>
    </i>
    <i r="2">
      <x v="1885"/>
      <x v="369"/>
    </i>
    <i t="default" r="2">
      <x v="1885"/>
    </i>
    <i r="2">
      <x v="1886"/>
      <x v="369"/>
    </i>
    <i t="default" r="2">
      <x v="1886"/>
    </i>
    <i r="2">
      <x v="1887"/>
      <x v="369"/>
    </i>
    <i t="default" r="2">
      <x v="1887"/>
    </i>
    <i r="2">
      <x v="1888"/>
      <x v="369"/>
    </i>
    <i t="default" r="2">
      <x v="1888"/>
    </i>
    <i r="2">
      <x v="1889"/>
      <x v="369"/>
    </i>
    <i t="default" r="2">
      <x v="1889"/>
    </i>
    <i r="2">
      <x v="1890"/>
      <x v="369"/>
    </i>
    <i t="default" r="2">
      <x v="1890"/>
    </i>
    <i r="2">
      <x v="1891"/>
      <x v="369"/>
    </i>
    <i t="default" r="2">
      <x v="1891"/>
    </i>
    <i r="2">
      <x v="1892"/>
      <x v="369"/>
    </i>
    <i t="default" r="2">
      <x v="1892"/>
    </i>
    <i r="2">
      <x v="1893"/>
      <x v="369"/>
    </i>
    <i t="default" r="2">
      <x v="1893"/>
    </i>
    <i r="2">
      <x v="1894"/>
      <x v="369"/>
    </i>
    <i t="default" r="2">
      <x v="1894"/>
    </i>
    <i r="2">
      <x v="1895"/>
      <x v="369"/>
    </i>
    <i t="default" r="2">
      <x v="1895"/>
    </i>
    <i r="2">
      <x v="1896"/>
      <x v="369"/>
    </i>
    <i t="default" r="2">
      <x v="1896"/>
    </i>
    <i r="2">
      <x v="1897"/>
      <x v="369"/>
    </i>
    <i t="default" r="2">
      <x v="1897"/>
    </i>
    <i r="2">
      <x v="1898"/>
      <x v="369"/>
    </i>
    <i t="default" r="2">
      <x v="1898"/>
    </i>
    <i r="2">
      <x v="1899"/>
      <x v="369"/>
    </i>
    <i t="default" r="2">
      <x v="1899"/>
    </i>
    <i r="2">
      <x v="1900"/>
      <x v="369"/>
    </i>
    <i t="default" r="2">
      <x v="1900"/>
    </i>
    <i r="2">
      <x v="1901"/>
      <x v="369"/>
    </i>
    <i t="default" r="2">
      <x v="1901"/>
    </i>
    <i r="2">
      <x v="1902"/>
      <x v="369"/>
    </i>
    <i t="default" r="2">
      <x v="1902"/>
    </i>
    <i r="2">
      <x v="1903"/>
      <x v="369"/>
    </i>
    <i t="default" r="2">
      <x v="1903"/>
    </i>
    <i r="2">
      <x v="1904"/>
      <x v="369"/>
    </i>
    <i t="default" r="2">
      <x v="1904"/>
    </i>
    <i r="2">
      <x v="1905"/>
      <x v="369"/>
    </i>
    <i t="default" r="2">
      <x v="1905"/>
    </i>
    <i r="2">
      <x v="1906"/>
      <x v="369"/>
    </i>
    <i t="default" r="2">
      <x v="1906"/>
    </i>
    <i r="2">
      <x v="1907"/>
      <x v="369"/>
    </i>
    <i t="default" r="2">
      <x v="1907"/>
    </i>
    <i r="2">
      <x v="1908"/>
      <x v="369"/>
    </i>
    <i t="default" r="2">
      <x v="1908"/>
    </i>
    <i r="2">
      <x v="1909"/>
      <x v="369"/>
    </i>
    <i t="default" r="2">
      <x v="1909"/>
    </i>
    <i r="2">
      <x v="1910"/>
      <x v="369"/>
    </i>
    <i t="default" r="2">
      <x v="1910"/>
    </i>
    <i r="2">
      <x v="1911"/>
      <x v="369"/>
    </i>
    <i t="default" r="2">
      <x v="1911"/>
    </i>
    <i r="2">
      <x v="1912"/>
      <x v="369"/>
    </i>
    <i t="default" r="2">
      <x v="1912"/>
    </i>
    <i r="2">
      <x v="1913"/>
      <x v="369"/>
    </i>
    <i t="default" r="2">
      <x v="1913"/>
    </i>
    <i r="2">
      <x v="1914"/>
      <x v="369"/>
    </i>
    <i t="default" r="2">
      <x v="1914"/>
    </i>
    <i r="2">
      <x v="1915"/>
      <x v="369"/>
    </i>
    <i t="default" r="2">
      <x v="1915"/>
    </i>
    <i r="2">
      <x v="1916"/>
      <x v="369"/>
    </i>
    <i t="default" r="2">
      <x v="1916"/>
    </i>
    <i r="2">
      <x v="1917"/>
      <x v="369"/>
    </i>
    <i t="default" r="2">
      <x v="1917"/>
    </i>
    <i r="2">
      <x v="1918"/>
      <x v="369"/>
    </i>
    <i t="default" r="2">
      <x v="1918"/>
    </i>
    <i r="2">
      <x v="1919"/>
      <x v="369"/>
    </i>
    <i t="default" r="2">
      <x v="1919"/>
    </i>
    <i r="2">
      <x v="1920"/>
      <x v="369"/>
    </i>
    <i t="default" r="2">
      <x v="1920"/>
    </i>
    <i r="2">
      <x v="1921"/>
      <x v="369"/>
    </i>
    <i t="default" r="2">
      <x v="1921"/>
    </i>
    <i r="2">
      <x v="1922"/>
      <x v="369"/>
    </i>
    <i t="default" r="2">
      <x v="1922"/>
    </i>
    <i r="2">
      <x v="1923"/>
      <x v="369"/>
    </i>
    <i t="default" r="2">
      <x v="1923"/>
    </i>
    <i r="2">
      <x v="1924"/>
      <x v="369"/>
    </i>
    <i t="default" r="2">
      <x v="1924"/>
    </i>
    <i r="2">
      <x v="1925"/>
      <x v="369"/>
    </i>
    <i t="default" r="2">
      <x v="1925"/>
    </i>
    <i r="2">
      <x v="1926"/>
      <x v="369"/>
    </i>
    <i t="default" r="2">
      <x v="1926"/>
    </i>
    <i r="2">
      <x v="1927"/>
      <x v="369"/>
    </i>
    <i t="default" r="2">
      <x v="1927"/>
    </i>
    <i r="2">
      <x v="1928"/>
      <x v="369"/>
    </i>
    <i t="default" r="2">
      <x v="1928"/>
    </i>
    <i r="2">
      <x v="1929"/>
      <x v="369"/>
    </i>
    <i t="default" r="2">
      <x v="1929"/>
    </i>
    <i r="2">
      <x v="1930"/>
      <x v="369"/>
    </i>
    <i t="default" r="2">
      <x v="1930"/>
    </i>
    <i r="2">
      <x v="1931"/>
      <x v="369"/>
    </i>
    <i t="default" r="2">
      <x v="1931"/>
    </i>
    <i r="2">
      <x v="1932"/>
      <x v="369"/>
    </i>
    <i t="default" r="2">
      <x v="1932"/>
    </i>
    <i r="2">
      <x v="1933"/>
      <x v="369"/>
    </i>
    <i t="default" r="2">
      <x v="1933"/>
    </i>
    <i r="2">
      <x v="1934"/>
      <x v="369"/>
    </i>
    <i t="default" r="2">
      <x v="1934"/>
    </i>
    <i r="2">
      <x v="1935"/>
      <x v="369"/>
    </i>
    <i t="default" r="2">
      <x v="1935"/>
    </i>
    <i r="2">
      <x v="1936"/>
      <x v="369"/>
    </i>
    <i t="default" r="2">
      <x v="1936"/>
    </i>
    <i r="2">
      <x v="1937"/>
      <x v="369"/>
    </i>
    <i t="default" r="2">
      <x v="1937"/>
    </i>
    <i r="2">
      <x v="1938"/>
      <x v="369"/>
    </i>
    <i t="default" r="2">
      <x v="1938"/>
    </i>
    <i r="2">
      <x v="1939"/>
      <x v="369"/>
    </i>
    <i t="default" r="2">
      <x v="1939"/>
    </i>
    <i r="2">
      <x v="1940"/>
      <x v="369"/>
    </i>
    <i t="default" r="2">
      <x v="1940"/>
    </i>
    <i r="2">
      <x v="1941"/>
      <x v="369"/>
    </i>
    <i t="default" r="2">
      <x v="1941"/>
    </i>
    <i r="2">
      <x v="1942"/>
      <x v="369"/>
    </i>
    <i t="default" r="2">
      <x v="1942"/>
    </i>
    <i r="2">
      <x v="1943"/>
      <x v="369"/>
    </i>
    <i t="default" r="2">
      <x v="1943"/>
    </i>
    <i r="2">
      <x v="1944"/>
      <x v="369"/>
    </i>
    <i t="default" r="2">
      <x v="1944"/>
    </i>
    <i r="2">
      <x v="1945"/>
      <x v="369"/>
    </i>
    <i t="default" r="2">
      <x v="1945"/>
    </i>
    <i r="2">
      <x v="1946"/>
      <x v="369"/>
    </i>
    <i t="default" r="2">
      <x v="1946"/>
    </i>
    <i r="2">
      <x v="1947"/>
      <x v="369"/>
    </i>
    <i t="default" r="2">
      <x v="1947"/>
    </i>
    <i r="2">
      <x v="1948"/>
      <x v="369"/>
    </i>
    <i t="default" r="2">
      <x v="1948"/>
    </i>
    <i r="2">
      <x v="1949"/>
      <x v="369"/>
    </i>
    <i t="default" r="2">
      <x v="1949"/>
    </i>
    <i r="2">
      <x v="1950"/>
      <x v="369"/>
    </i>
    <i t="default" r="2">
      <x v="1950"/>
    </i>
    <i r="2">
      <x v="1951"/>
      <x v="369"/>
    </i>
    <i t="default" r="2">
      <x v="1951"/>
    </i>
    <i r="2">
      <x v="1952"/>
      <x v="369"/>
    </i>
    <i t="default" r="2">
      <x v="1952"/>
    </i>
    <i r="2">
      <x v="1953"/>
      <x v="369"/>
    </i>
    <i t="default" r="2">
      <x v="1953"/>
    </i>
    <i r="2">
      <x v="1954"/>
      <x v="369"/>
    </i>
    <i t="default" r="2">
      <x v="1954"/>
    </i>
    <i r="2">
      <x v="1955"/>
      <x v="369"/>
    </i>
    <i t="default" r="2">
      <x v="1955"/>
    </i>
    <i r="2">
      <x v="1956"/>
      <x v="369"/>
    </i>
    <i t="default" r="2">
      <x v="1956"/>
    </i>
    <i r="2">
      <x v="1957"/>
      <x v="369"/>
    </i>
    <i t="default" r="2">
      <x v="1957"/>
    </i>
    <i r="2">
      <x v="1958"/>
      <x v="369"/>
    </i>
    <i t="default" r="2">
      <x v="1958"/>
    </i>
    <i r="2">
      <x v="1959"/>
      <x v="369"/>
    </i>
    <i t="default" r="2">
      <x v="1959"/>
    </i>
    <i r="2">
      <x v="1960"/>
      <x v="369"/>
    </i>
    <i t="default" r="2">
      <x v="1960"/>
    </i>
    <i r="2">
      <x v="1961"/>
      <x v="369"/>
    </i>
    <i t="default" r="2">
      <x v="1961"/>
    </i>
    <i r="2">
      <x v="1962"/>
      <x v="369"/>
    </i>
    <i t="default" r="2">
      <x v="1962"/>
    </i>
    <i r="2">
      <x v="1963"/>
      <x v="369"/>
    </i>
    <i t="default" r="2">
      <x v="1963"/>
    </i>
    <i r="2">
      <x v="1964"/>
      <x v="369"/>
    </i>
    <i t="default" r="2">
      <x v="1964"/>
    </i>
    <i r="2">
      <x v="1965"/>
      <x v="369"/>
    </i>
    <i t="default" r="2">
      <x v="1965"/>
    </i>
    <i r="2">
      <x v="1966"/>
      <x v="369"/>
    </i>
    <i t="default" r="2">
      <x v="1966"/>
    </i>
    <i r="2">
      <x v="1967"/>
      <x v="369"/>
    </i>
    <i t="default" r="2">
      <x v="1967"/>
    </i>
    <i r="2">
      <x v="1968"/>
      <x v="369"/>
    </i>
    <i t="default" r="2">
      <x v="1968"/>
    </i>
    <i r="2">
      <x v="1969"/>
      <x v="369"/>
    </i>
    <i t="default" r="2">
      <x v="1969"/>
    </i>
    <i r="2">
      <x v="1970"/>
      <x v="369"/>
    </i>
    <i t="default" r="2">
      <x v="1970"/>
    </i>
    <i r="2">
      <x v="1971"/>
      <x v="369"/>
    </i>
    <i t="default" r="2">
      <x v="1971"/>
    </i>
    <i r="2">
      <x v="1972"/>
      <x v="369"/>
    </i>
    <i t="default" r="2">
      <x v="1972"/>
    </i>
    <i r="2">
      <x v="1973"/>
      <x v="369"/>
    </i>
    <i t="default" r="2">
      <x v="1973"/>
    </i>
    <i r="2">
      <x v="1974"/>
      <x v="369"/>
    </i>
    <i t="default" r="2">
      <x v="1974"/>
    </i>
    <i r="2">
      <x v="1975"/>
      <x v="369"/>
    </i>
    <i t="default" r="2">
      <x v="1975"/>
    </i>
    <i r="2">
      <x v="1976"/>
      <x v="369"/>
    </i>
    <i t="default" r="2">
      <x v="1976"/>
    </i>
    <i r="2">
      <x v="1977"/>
      <x v="369"/>
    </i>
    <i t="default" r="2">
      <x v="1977"/>
    </i>
    <i r="2">
      <x v="1978"/>
      <x v="369"/>
    </i>
    <i t="default" r="2">
      <x v="1978"/>
    </i>
    <i r="2">
      <x v="1979"/>
      <x v="369"/>
    </i>
    <i t="default" r="2">
      <x v="1979"/>
    </i>
    <i r="2">
      <x v="1980"/>
      <x v="369"/>
    </i>
    <i t="default" r="2">
      <x v="1980"/>
    </i>
    <i r="2">
      <x v="1981"/>
      <x v="369"/>
    </i>
    <i t="default" r="2">
      <x v="1981"/>
    </i>
    <i r="2">
      <x v="1982"/>
      <x v="369"/>
    </i>
    <i t="default" r="2">
      <x v="1982"/>
    </i>
    <i r="2">
      <x v="1983"/>
      <x v="369"/>
    </i>
    <i t="default" r="2">
      <x v="1983"/>
    </i>
    <i r="2">
      <x v="1984"/>
      <x v="369"/>
    </i>
    <i t="default" r="2">
      <x v="1984"/>
    </i>
    <i r="2">
      <x v="1985"/>
      <x v="369"/>
    </i>
    <i t="default" r="2">
      <x v="1985"/>
    </i>
    <i r="2">
      <x v="1986"/>
      <x v="369"/>
    </i>
    <i t="default" r="2">
      <x v="1986"/>
    </i>
    <i r="2">
      <x v="1987"/>
      <x v="369"/>
    </i>
    <i t="default" r="2">
      <x v="1987"/>
    </i>
    <i r="2">
      <x v="1988"/>
      <x v="369"/>
    </i>
    <i t="default" r="2">
      <x v="1988"/>
    </i>
    <i r="2">
      <x v="1989"/>
      <x v="369"/>
    </i>
    <i t="default" r="2">
      <x v="1989"/>
    </i>
    <i r="2">
      <x v="1990"/>
      <x v="369"/>
    </i>
    <i t="default" r="2">
      <x v="1990"/>
    </i>
    <i r="2">
      <x v="1991"/>
      <x v="369"/>
    </i>
    <i t="default" r="2">
      <x v="1991"/>
    </i>
    <i r="2">
      <x v="1992"/>
      <x v="369"/>
    </i>
    <i t="default" r="2">
      <x v="1992"/>
    </i>
    <i r="2">
      <x v="1993"/>
      <x v="369"/>
    </i>
    <i t="default" r="2">
      <x v="1993"/>
    </i>
    <i r="2">
      <x v="1994"/>
      <x v="369"/>
    </i>
    <i t="default" r="2">
      <x v="1994"/>
    </i>
    <i r="2">
      <x v="1995"/>
      <x v="369"/>
    </i>
    <i t="default" r="2">
      <x v="1995"/>
    </i>
    <i r="2">
      <x v="1996"/>
      <x v="369"/>
    </i>
    <i t="default" r="2">
      <x v="1996"/>
    </i>
    <i r="2">
      <x v="1997"/>
      <x v="369"/>
    </i>
    <i t="default" r="2">
      <x v="1997"/>
    </i>
    <i r="2">
      <x v="1998"/>
      <x v="369"/>
    </i>
    <i t="default" r="2">
      <x v="1998"/>
    </i>
    <i r="2">
      <x v="1999"/>
      <x v="369"/>
    </i>
    <i t="default" r="2">
      <x v="1999"/>
    </i>
    <i r="2">
      <x v="2000"/>
      <x v="369"/>
    </i>
    <i t="default" r="2">
      <x v="2000"/>
    </i>
    <i r="2">
      <x v="2001"/>
      <x v="369"/>
    </i>
    <i t="default" r="2">
      <x v="2001"/>
    </i>
    <i r="2">
      <x v="2002"/>
      <x v="369"/>
    </i>
    <i t="default" r="2">
      <x v="2002"/>
    </i>
    <i r="2">
      <x v="2003"/>
      <x v="369"/>
    </i>
    <i t="default" r="2">
      <x v="2003"/>
    </i>
    <i r="2">
      <x v="2004"/>
      <x v="369"/>
    </i>
    <i t="default" r="2">
      <x v="2004"/>
    </i>
    <i r="2">
      <x v="2005"/>
      <x v="369"/>
    </i>
    <i t="default" r="2">
      <x v="2005"/>
    </i>
    <i r="2">
      <x v="2006"/>
      <x v="369"/>
    </i>
    <i t="default" r="2">
      <x v="2006"/>
    </i>
    <i r="2">
      <x v="2007"/>
      <x v="369"/>
    </i>
    <i t="default" r="2">
      <x v="2007"/>
    </i>
    <i r="2">
      <x v="2008"/>
      <x v="369"/>
    </i>
    <i t="default" r="2">
      <x v="2008"/>
    </i>
    <i r="2">
      <x v="2009"/>
      <x v="369"/>
    </i>
    <i t="default" r="2">
      <x v="2009"/>
    </i>
    <i r="2">
      <x v="2010"/>
      <x v="369"/>
    </i>
    <i t="default" r="2">
      <x v="2010"/>
    </i>
    <i r="2">
      <x v="2011"/>
      <x v="369"/>
    </i>
    <i t="default" r="2">
      <x v="2011"/>
    </i>
    <i r="2">
      <x v="2012"/>
      <x v="369"/>
    </i>
    <i t="default" r="2">
      <x v="2012"/>
    </i>
    <i r="2">
      <x v="2013"/>
      <x v="369"/>
    </i>
    <i t="default" r="2">
      <x v="2013"/>
    </i>
    <i r="2">
      <x v="2014"/>
      <x v="369"/>
    </i>
    <i t="default" r="2">
      <x v="2014"/>
    </i>
    <i r="2">
      <x v="2015"/>
      <x v="369"/>
    </i>
    <i t="default" r="2">
      <x v="2015"/>
    </i>
    <i r="2">
      <x v="2016"/>
      <x v="369"/>
    </i>
    <i t="default" r="2">
      <x v="2016"/>
    </i>
    <i r="2">
      <x v="2017"/>
      <x v="369"/>
    </i>
    <i t="default" r="2">
      <x v="2017"/>
    </i>
    <i r="2">
      <x v="2018"/>
      <x v="369"/>
    </i>
    <i t="default" r="2">
      <x v="2018"/>
    </i>
    <i r="2">
      <x v="2019"/>
      <x v="369"/>
    </i>
    <i t="default" r="2">
      <x v="2019"/>
    </i>
    <i r="2">
      <x v="2020"/>
      <x v="369"/>
    </i>
    <i t="default" r="2">
      <x v="2020"/>
    </i>
    <i r="2">
      <x v="2021"/>
      <x v="369"/>
    </i>
    <i t="default" r="2">
      <x v="2021"/>
    </i>
    <i r="2">
      <x v="2022"/>
      <x v="369"/>
    </i>
    <i t="default" r="2">
      <x v="2022"/>
    </i>
    <i r="2">
      <x v="2023"/>
      <x v="369"/>
    </i>
    <i t="default" r="2">
      <x v="2023"/>
    </i>
    <i r="2">
      <x v="2024"/>
      <x v="369"/>
    </i>
    <i t="default" r="2">
      <x v="2024"/>
    </i>
    <i r="2">
      <x v="2025"/>
      <x v="369"/>
    </i>
    <i t="default" r="2">
      <x v="2025"/>
    </i>
    <i r="2">
      <x v="2026"/>
      <x v="369"/>
    </i>
    <i t="default" r="2">
      <x v="2026"/>
    </i>
    <i r="2">
      <x v="2027"/>
      <x v="369"/>
    </i>
    <i t="default" r="2">
      <x v="2027"/>
    </i>
    <i r="2">
      <x v="2028"/>
      <x v="369"/>
    </i>
    <i t="default" r="2">
      <x v="2028"/>
    </i>
    <i r="2">
      <x v="2029"/>
      <x v="369"/>
    </i>
    <i t="default" r="2">
      <x v="2029"/>
    </i>
    <i r="2">
      <x v="2030"/>
      <x v="369"/>
    </i>
    <i t="default" r="2">
      <x v="2030"/>
    </i>
    <i r="2">
      <x v="2031"/>
      <x v="369"/>
    </i>
    <i t="default" r="2">
      <x v="2031"/>
    </i>
    <i r="2">
      <x v="2032"/>
      <x v="369"/>
    </i>
    <i t="default" r="2">
      <x v="2032"/>
    </i>
    <i r="2">
      <x v="2033"/>
      <x v="369"/>
    </i>
    <i t="default" r="2">
      <x v="2033"/>
    </i>
    <i r="2">
      <x v="2034"/>
      <x v="369"/>
    </i>
    <i t="default" r="2">
      <x v="2034"/>
    </i>
    <i r="2">
      <x v="2035"/>
      <x v="369"/>
    </i>
    <i t="default" r="2">
      <x v="2035"/>
    </i>
    <i r="2">
      <x v="2036"/>
      <x v="369"/>
    </i>
    <i t="default" r="2">
      <x v="2036"/>
    </i>
    <i r="2">
      <x v="2037"/>
      <x v="369"/>
    </i>
    <i t="default" r="2">
      <x v="2037"/>
    </i>
    <i r="2">
      <x v="2038"/>
      <x v="369"/>
    </i>
    <i t="default" r="2">
      <x v="2038"/>
    </i>
    <i r="2">
      <x v="2039"/>
      <x v="369"/>
    </i>
    <i t="default" r="2">
      <x v="2039"/>
    </i>
    <i r="2">
      <x v="2040"/>
      <x v="369"/>
    </i>
    <i t="default" r="2">
      <x v="2040"/>
    </i>
    <i r="2">
      <x v="2041"/>
      <x v="369"/>
    </i>
    <i t="default" r="2">
      <x v="2041"/>
    </i>
    <i r="2">
      <x v="2042"/>
      <x v="369"/>
    </i>
    <i t="default" r="2">
      <x v="2042"/>
    </i>
    <i r="2">
      <x v="2043"/>
      <x v="369"/>
    </i>
    <i t="default" r="2">
      <x v="2043"/>
    </i>
    <i r="2">
      <x v="2044"/>
      <x v="369"/>
    </i>
    <i t="default" r="2">
      <x v="2044"/>
    </i>
    <i r="2">
      <x v="2045"/>
      <x v="369"/>
    </i>
    <i t="default" r="2">
      <x v="2045"/>
    </i>
    <i r="2">
      <x v="2046"/>
      <x v="369"/>
    </i>
    <i t="default" r="2">
      <x v="2046"/>
    </i>
    <i r="2">
      <x v="2047"/>
      <x v="369"/>
    </i>
    <i t="default" r="2">
      <x v="2047"/>
    </i>
    <i r="2">
      <x v="2048"/>
      <x v="369"/>
    </i>
    <i t="default" r="2">
      <x v="2048"/>
    </i>
    <i r="2">
      <x v="2049"/>
      <x v="369"/>
    </i>
    <i t="default" r="2">
      <x v="2049"/>
    </i>
    <i r="2">
      <x v="2050"/>
      <x v="369"/>
    </i>
    <i t="default" r="2">
      <x v="2050"/>
    </i>
    <i r="2">
      <x v="2051"/>
      <x v="369"/>
    </i>
    <i t="default" r="2">
      <x v="2051"/>
    </i>
    <i r="2">
      <x v="2052"/>
      <x v="369"/>
    </i>
    <i t="default" r="2">
      <x v="2052"/>
    </i>
    <i r="2">
      <x v="2053"/>
      <x v="369"/>
    </i>
    <i t="default" r="2">
      <x v="2053"/>
    </i>
    <i r="2">
      <x v="2054"/>
      <x v="369"/>
    </i>
    <i t="default" r="2">
      <x v="2054"/>
    </i>
    <i r="2">
      <x v="2055"/>
      <x v="369"/>
    </i>
    <i t="default" r="2">
      <x v="2055"/>
    </i>
    <i r="2">
      <x v="2056"/>
      <x v="369"/>
    </i>
    <i t="default" r="2">
      <x v="2056"/>
    </i>
    <i r="2">
      <x v="2057"/>
      <x v="369"/>
    </i>
    <i t="default" r="2">
      <x v="2057"/>
    </i>
    <i r="2">
      <x v="2058"/>
      <x v="369"/>
    </i>
    <i t="default" r="2">
      <x v="2058"/>
    </i>
    <i r="2">
      <x v="2059"/>
      <x v="369"/>
    </i>
    <i t="default" r="2">
      <x v="2059"/>
    </i>
    <i r="2">
      <x v="2060"/>
      <x v="369"/>
    </i>
    <i t="default" r="2">
      <x v="2060"/>
    </i>
    <i r="2">
      <x v="2061"/>
      <x v="369"/>
    </i>
    <i t="default" r="2">
      <x v="2061"/>
    </i>
    <i r="2">
      <x v="2062"/>
      <x v="369"/>
    </i>
    <i t="default" r="2">
      <x v="2062"/>
    </i>
    <i r="2">
      <x v="2063"/>
      <x v="369"/>
    </i>
    <i t="default" r="2">
      <x v="2063"/>
    </i>
    <i r="2">
      <x v="2064"/>
      <x v="369"/>
    </i>
    <i t="default" r="2">
      <x v="2064"/>
    </i>
    <i r="2">
      <x v="2065"/>
      <x v="369"/>
    </i>
    <i t="default" r="2">
      <x v="2065"/>
    </i>
    <i r="2">
      <x v="2066"/>
      <x v="369"/>
    </i>
    <i t="default" r="2">
      <x v="2066"/>
    </i>
    <i r="2">
      <x v="2067"/>
      <x v="369"/>
    </i>
    <i t="default" r="2">
      <x v="2067"/>
    </i>
    <i r="2">
      <x v="2068"/>
      <x v="369"/>
    </i>
    <i t="default" r="2">
      <x v="2068"/>
    </i>
    <i r="2">
      <x v="2069"/>
      <x v="369"/>
    </i>
    <i t="default" r="2">
      <x v="2069"/>
    </i>
    <i r="2">
      <x v="2070"/>
      <x v="369"/>
    </i>
    <i t="default" r="2">
      <x v="2070"/>
    </i>
    <i r="2">
      <x v="2071"/>
      <x v="369"/>
    </i>
    <i t="default" r="2">
      <x v="2071"/>
    </i>
    <i r="2">
      <x v="2072"/>
      <x v="369"/>
    </i>
    <i t="default" r="2">
      <x v="2072"/>
    </i>
    <i r="2">
      <x v="2073"/>
      <x v="369"/>
    </i>
    <i t="default" r="2">
      <x v="2073"/>
    </i>
    <i r="2">
      <x v="2074"/>
      <x v="369"/>
    </i>
    <i t="default" r="2">
      <x v="2074"/>
    </i>
    <i r="2">
      <x v="2075"/>
      <x v="369"/>
    </i>
    <i t="default" r="2">
      <x v="2075"/>
    </i>
    <i r="2">
      <x v="2076"/>
      <x v="369"/>
    </i>
    <i t="default" r="2">
      <x v="2076"/>
    </i>
    <i r="2">
      <x v="2077"/>
      <x v="369"/>
    </i>
    <i t="default" r="2">
      <x v="2077"/>
    </i>
    <i r="2">
      <x v="2078"/>
      <x v="369"/>
    </i>
    <i t="default" r="2">
      <x v="2078"/>
    </i>
    <i r="2">
      <x v="2079"/>
      <x v="369"/>
    </i>
    <i t="default" r="2">
      <x v="2079"/>
    </i>
    <i r="2">
      <x v="2080"/>
      <x v="369"/>
    </i>
    <i t="default" r="2">
      <x v="2080"/>
    </i>
    <i r="2">
      <x v="2081"/>
      <x v="369"/>
    </i>
    <i t="default" r="2">
      <x v="2081"/>
    </i>
    <i r="2">
      <x v="2082"/>
      <x v="369"/>
    </i>
    <i t="default" r="2">
      <x v="2082"/>
    </i>
    <i r="2">
      <x v="2083"/>
      <x v="369"/>
    </i>
    <i t="default" r="2">
      <x v="2083"/>
    </i>
    <i r="2">
      <x v="2084"/>
      <x v="369"/>
    </i>
    <i t="default" r="2">
      <x v="2084"/>
    </i>
    <i r="2">
      <x v="2085"/>
      <x v="369"/>
    </i>
    <i t="default" r="2">
      <x v="2085"/>
    </i>
    <i r="2">
      <x v="2086"/>
      <x v="369"/>
    </i>
    <i t="default" r="2">
      <x v="2086"/>
    </i>
    <i r="2">
      <x v="2087"/>
      <x v="369"/>
    </i>
    <i t="default" r="2">
      <x v="2087"/>
    </i>
    <i r="2">
      <x v="2088"/>
      <x v="369"/>
    </i>
    <i t="default" r="2">
      <x v="2088"/>
    </i>
    <i r="2">
      <x v="2089"/>
      <x v="369"/>
    </i>
    <i t="default" r="2">
      <x v="2089"/>
    </i>
    <i r="2">
      <x v="2090"/>
      <x v="369"/>
    </i>
    <i t="default" r="2">
      <x v="2090"/>
    </i>
    <i r="2">
      <x v="2091"/>
      <x v="369"/>
    </i>
    <i t="default" r="2">
      <x v="2091"/>
    </i>
    <i r="2">
      <x v="2092"/>
      <x v="369"/>
    </i>
    <i t="default" r="2">
      <x v="2092"/>
    </i>
    <i r="2">
      <x v="2093"/>
      <x v="369"/>
    </i>
    <i t="default" r="2">
      <x v="2093"/>
    </i>
    <i r="2">
      <x v="2094"/>
      <x v="369"/>
    </i>
    <i t="default" r="2">
      <x v="2094"/>
    </i>
    <i r="2">
      <x v="2095"/>
      <x v="369"/>
    </i>
    <i t="default" r="2">
      <x v="2095"/>
    </i>
    <i r="2">
      <x v="2096"/>
      <x v="369"/>
    </i>
    <i t="default" r="2">
      <x v="2096"/>
    </i>
    <i r="2">
      <x v="2097"/>
      <x v="369"/>
    </i>
    <i t="default" r="2">
      <x v="2097"/>
    </i>
    <i r="2">
      <x v="2098"/>
      <x v="369"/>
    </i>
    <i t="default" r="2">
      <x v="2098"/>
    </i>
    <i r="2">
      <x v="2099"/>
      <x v="369"/>
    </i>
    <i t="default" r="2">
      <x v="2099"/>
    </i>
    <i r="2">
      <x v="2100"/>
      <x v="369"/>
    </i>
    <i t="default" r="2">
      <x v="2100"/>
    </i>
    <i r="2">
      <x v="2101"/>
      <x v="369"/>
    </i>
    <i t="default" r="2">
      <x v="2101"/>
    </i>
    <i r="2">
      <x v="2102"/>
      <x v="369"/>
    </i>
    <i t="default" r="2">
      <x v="2102"/>
    </i>
    <i r="2">
      <x v="2103"/>
      <x v="369"/>
    </i>
    <i t="default" r="2">
      <x v="2103"/>
    </i>
    <i r="2">
      <x v="2104"/>
      <x v="369"/>
    </i>
    <i t="default" r="2">
      <x v="2104"/>
    </i>
    <i r="2">
      <x v="2105"/>
      <x v="369"/>
    </i>
    <i t="default" r="2">
      <x v="2105"/>
    </i>
    <i r="2">
      <x v="2106"/>
      <x v="369"/>
    </i>
    <i t="default" r="2">
      <x v="2106"/>
    </i>
    <i r="2">
      <x v="2107"/>
      <x v="369"/>
    </i>
    <i t="default" r="2">
      <x v="2107"/>
    </i>
    <i r="2">
      <x v="2108"/>
      <x v="369"/>
    </i>
    <i t="default" r="2">
      <x v="2108"/>
    </i>
    <i r="2">
      <x v="2109"/>
      <x v="369"/>
    </i>
    <i t="default" r="2">
      <x v="2109"/>
    </i>
    <i r="2">
      <x v="2110"/>
      <x v="369"/>
    </i>
    <i t="default" r="2">
      <x v="2110"/>
    </i>
    <i r="2">
      <x v="2111"/>
      <x v="369"/>
    </i>
    <i t="default" r="2">
      <x v="2111"/>
    </i>
    <i r="2">
      <x v="2112"/>
      <x v="369"/>
    </i>
    <i t="default" r="2">
      <x v="2112"/>
    </i>
    <i r="2">
      <x v="2113"/>
      <x v="369"/>
    </i>
    <i t="default" r="2">
      <x v="2113"/>
    </i>
    <i r="2">
      <x v="2114"/>
      <x v="369"/>
    </i>
    <i t="default" r="2">
      <x v="2114"/>
    </i>
    <i r="2">
      <x v="2115"/>
      <x v="369"/>
    </i>
    <i t="default" r="2">
      <x v="2115"/>
    </i>
    <i r="2">
      <x v="2116"/>
      <x v="369"/>
    </i>
    <i t="default" r="2">
      <x v="2116"/>
    </i>
    <i r="2">
      <x v="2117"/>
      <x v="369"/>
    </i>
    <i t="default" r="2">
      <x v="2117"/>
    </i>
    <i r="2">
      <x v="2118"/>
      <x v="369"/>
    </i>
    <i t="default" r="2">
      <x v="2118"/>
    </i>
    <i r="2">
      <x v="2119"/>
      <x v="369"/>
    </i>
    <i t="default" r="2">
      <x v="2119"/>
    </i>
    <i r="2">
      <x v="2120"/>
      <x v="369"/>
    </i>
    <i t="default" r="2">
      <x v="2120"/>
    </i>
    <i r="2">
      <x v="2121"/>
      <x v="369"/>
    </i>
    <i t="default" r="2">
      <x v="2121"/>
    </i>
    <i r="2">
      <x v="2122"/>
      <x v="369"/>
    </i>
    <i t="default" r="2">
      <x v="2122"/>
    </i>
    <i r="2">
      <x v="2123"/>
      <x v="369"/>
    </i>
    <i t="default" r="2">
      <x v="2123"/>
    </i>
    <i r="2">
      <x v="2124"/>
      <x v="369"/>
    </i>
    <i t="default" r="2">
      <x v="2124"/>
    </i>
    <i r="2">
      <x v="2125"/>
      <x v="369"/>
    </i>
    <i t="default" r="2">
      <x v="2125"/>
    </i>
    <i r="2">
      <x v="2126"/>
      <x v="369"/>
    </i>
    <i t="default" r="2">
      <x v="2126"/>
    </i>
    <i r="2">
      <x v="2127"/>
      <x v="369"/>
    </i>
    <i t="default" r="2">
      <x v="2127"/>
    </i>
    <i r="2">
      <x v="2128"/>
      <x v="369"/>
    </i>
    <i t="default" r="2">
      <x v="2128"/>
    </i>
    <i r="2">
      <x v="2129"/>
      <x v="369"/>
    </i>
    <i t="default" r="2">
      <x v="2129"/>
    </i>
    <i r="2">
      <x v="2130"/>
      <x v="369"/>
    </i>
    <i t="default" r="2">
      <x v="2130"/>
    </i>
    <i r="2">
      <x v="2131"/>
      <x v="369"/>
    </i>
    <i t="default" r="2">
      <x v="2131"/>
    </i>
    <i r="2">
      <x v="2132"/>
      <x v="369"/>
    </i>
    <i t="default" r="2">
      <x v="2132"/>
    </i>
    <i r="2">
      <x v="2133"/>
      <x v="369"/>
    </i>
    <i t="default" r="2">
      <x v="2133"/>
    </i>
    <i r="2">
      <x v="2134"/>
      <x v="369"/>
    </i>
    <i t="default" r="2">
      <x v="2134"/>
    </i>
    <i r="2">
      <x v="2135"/>
      <x v="369"/>
    </i>
    <i t="default" r="2">
      <x v="2135"/>
    </i>
    <i r="2">
      <x v="2136"/>
      <x v="369"/>
    </i>
    <i t="default" r="2">
      <x v="2136"/>
    </i>
    <i r="2">
      <x v="2137"/>
      <x v="369"/>
    </i>
    <i t="default" r="2">
      <x v="2137"/>
    </i>
    <i r="2">
      <x v="2138"/>
      <x v="369"/>
    </i>
    <i t="default" r="2">
      <x v="2138"/>
    </i>
    <i r="2">
      <x v="2139"/>
      <x v="369"/>
    </i>
    <i t="default" r="2">
      <x v="2139"/>
    </i>
    <i r="2">
      <x v="2140"/>
      <x v="369"/>
    </i>
    <i t="default" r="2">
      <x v="2140"/>
    </i>
    <i r="2">
      <x v="2141"/>
      <x v="369"/>
    </i>
    <i t="default" r="2">
      <x v="2141"/>
    </i>
    <i r="2">
      <x v="2142"/>
      <x v="369"/>
    </i>
    <i t="default" r="2">
      <x v="2142"/>
    </i>
    <i r="2">
      <x v="2143"/>
      <x v="369"/>
    </i>
    <i t="default" r="2">
      <x v="2143"/>
    </i>
    <i r="2">
      <x v="2144"/>
      <x v="369"/>
    </i>
    <i t="default" r="2">
      <x v="2144"/>
    </i>
    <i r="2">
      <x v="2145"/>
      <x v="369"/>
    </i>
    <i t="default" r="2">
      <x v="2145"/>
    </i>
    <i r="2">
      <x v="2146"/>
      <x v="369"/>
    </i>
    <i t="default" r="2">
      <x v="2146"/>
    </i>
    <i r="2">
      <x v="2147"/>
      <x v="369"/>
    </i>
    <i t="default" r="2">
      <x v="2147"/>
    </i>
    <i r="2">
      <x v="2148"/>
      <x v="369"/>
    </i>
    <i t="default" r="2">
      <x v="2148"/>
    </i>
    <i r="2">
      <x v="2149"/>
      <x v="369"/>
    </i>
    <i t="default" r="2">
      <x v="2149"/>
    </i>
    <i r="2">
      <x v="2150"/>
      <x v="369"/>
    </i>
    <i t="default" r="2">
      <x v="2150"/>
    </i>
    <i r="2">
      <x v="2151"/>
      <x v="369"/>
    </i>
    <i t="default" r="2">
      <x v="2151"/>
    </i>
    <i r="2">
      <x v="2152"/>
      <x v="369"/>
    </i>
    <i t="default" r="2">
      <x v="2152"/>
    </i>
    <i r="2">
      <x v="2153"/>
      <x v="369"/>
    </i>
    <i t="default" r="2">
      <x v="2153"/>
    </i>
    <i r="2">
      <x v="2154"/>
      <x v="369"/>
    </i>
    <i t="default" r="2">
      <x v="2154"/>
    </i>
    <i r="2">
      <x v="2155"/>
      <x v="369"/>
    </i>
    <i t="default" r="2">
      <x v="2155"/>
    </i>
    <i r="2">
      <x v="2156"/>
      <x v="369"/>
    </i>
    <i t="default" r="2">
      <x v="2156"/>
    </i>
    <i r="2">
      <x v="2157"/>
      <x v="369"/>
    </i>
    <i t="default" r="2">
      <x v="2157"/>
    </i>
    <i r="2">
      <x v="2158"/>
      <x v="369"/>
    </i>
    <i t="default" r="2">
      <x v="2158"/>
    </i>
    <i r="2">
      <x v="2159"/>
      <x v="369"/>
    </i>
    <i t="default" r="2">
      <x v="2159"/>
    </i>
    <i r="2">
      <x v="2160"/>
      <x v="369"/>
    </i>
    <i t="default" r="2">
      <x v="2160"/>
    </i>
    <i r="2">
      <x v="2161"/>
      <x v="369"/>
    </i>
    <i t="default" r="2">
      <x v="2161"/>
    </i>
    <i r="2">
      <x v="2162"/>
      <x v="369"/>
    </i>
    <i t="default" r="2">
      <x v="2162"/>
    </i>
    <i r="2">
      <x v="2163"/>
      <x v="369"/>
    </i>
    <i t="default" r="2">
      <x v="2163"/>
    </i>
    <i r="2">
      <x v="2164"/>
      <x v="369"/>
    </i>
    <i t="default" r="2">
      <x v="2164"/>
    </i>
    <i r="2">
      <x v="2165"/>
      <x v="369"/>
    </i>
    <i t="default" r="2">
      <x v="2165"/>
    </i>
    <i r="2">
      <x v="2166"/>
      <x v="369"/>
    </i>
    <i t="default" r="2">
      <x v="2166"/>
    </i>
    <i r="2">
      <x v="2167"/>
      <x v="369"/>
    </i>
    <i t="default" r="2">
      <x v="2167"/>
    </i>
    <i r="2">
      <x v="2168"/>
      <x v="369"/>
    </i>
    <i t="default" r="2">
      <x v="2168"/>
    </i>
    <i r="2">
      <x v="2169"/>
      <x v="369"/>
    </i>
    <i t="default" r="2">
      <x v="2169"/>
    </i>
    <i r="2">
      <x v="2170"/>
      <x v="369"/>
    </i>
    <i t="default" r="2">
      <x v="2170"/>
    </i>
    <i r="2">
      <x v="2171"/>
      <x v="369"/>
    </i>
    <i t="default" r="2">
      <x v="2171"/>
    </i>
    <i r="2">
      <x v="2172"/>
      <x v="369"/>
    </i>
    <i t="default" r="2">
      <x v="2172"/>
    </i>
    <i r="2">
      <x v="2173"/>
      <x v="369"/>
    </i>
    <i t="default" r="2">
      <x v="2173"/>
    </i>
    <i r="2">
      <x v="2174"/>
      <x v="369"/>
    </i>
    <i t="default" r="2">
      <x v="2174"/>
    </i>
    <i r="2">
      <x v="2175"/>
      <x v="369"/>
    </i>
    <i t="default" r="2">
      <x v="2175"/>
    </i>
    <i r="2">
      <x v="2176"/>
      <x v="369"/>
    </i>
    <i t="default" r="2">
      <x v="2176"/>
    </i>
    <i r="2">
      <x v="2177"/>
      <x v="369"/>
    </i>
    <i t="default" r="2">
      <x v="2177"/>
    </i>
    <i r="2">
      <x v="2178"/>
      <x v="369"/>
    </i>
    <i t="default" r="2">
      <x v="2178"/>
    </i>
    <i r="2">
      <x v="2179"/>
      <x v="369"/>
    </i>
    <i t="default" r="2">
      <x v="2179"/>
    </i>
    <i r="2">
      <x v="2180"/>
      <x v="369"/>
    </i>
    <i t="default" r="2">
      <x v="2180"/>
    </i>
    <i r="2">
      <x v="2181"/>
      <x v="369"/>
    </i>
    <i t="default" r="2">
      <x v="2181"/>
    </i>
    <i r="2">
      <x v="2182"/>
      <x v="369"/>
    </i>
    <i t="default" r="2">
      <x v="2182"/>
    </i>
    <i r="2">
      <x v="2183"/>
      <x v="369"/>
    </i>
    <i t="default" r="2">
      <x v="2183"/>
    </i>
    <i r="2">
      <x v="2184"/>
      <x v="369"/>
    </i>
    <i t="default" r="2">
      <x v="2184"/>
    </i>
    <i r="2">
      <x v="2185"/>
      <x v="369"/>
    </i>
    <i t="default" r="2">
      <x v="2185"/>
    </i>
    <i r="2">
      <x v="2186"/>
      <x v="369"/>
    </i>
    <i t="default" r="2">
      <x v="2186"/>
    </i>
    <i r="2">
      <x v="2187"/>
      <x v="369"/>
    </i>
    <i t="default" r="2">
      <x v="2187"/>
    </i>
    <i r="2">
      <x v="2188"/>
      <x v="369"/>
    </i>
    <i t="default" r="2">
      <x v="2188"/>
    </i>
    <i r="2">
      <x v="2189"/>
      <x v="369"/>
    </i>
    <i t="default" r="2">
      <x v="2189"/>
    </i>
    <i r="2">
      <x v="2190"/>
      <x v="369"/>
    </i>
    <i t="default" r="2">
      <x v="2190"/>
    </i>
    <i r="2">
      <x v="2191"/>
      <x v="369"/>
    </i>
    <i t="default" r="2">
      <x v="2191"/>
    </i>
    <i r="2">
      <x v="2192"/>
      <x v="369"/>
    </i>
    <i t="default" r="2">
      <x v="2192"/>
    </i>
    <i r="2">
      <x v="2193"/>
      <x v="369"/>
    </i>
    <i t="default" r="2">
      <x v="2193"/>
    </i>
    <i r="2">
      <x v="2194"/>
      <x v="369"/>
    </i>
    <i t="default" r="2">
      <x v="2194"/>
    </i>
    <i r="2">
      <x v="2195"/>
      <x v="369"/>
    </i>
    <i t="default" r="2">
      <x v="2195"/>
    </i>
    <i r="2">
      <x v="2196"/>
      <x v="369"/>
    </i>
    <i t="default" r="2">
      <x v="2196"/>
    </i>
    <i r="2">
      <x v="2197"/>
      <x v="369"/>
    </i>
    <i t="default" r="2">
      <x v="2197"/>
    </i>
    <i r="2">
      <x v="2198"/>
      <x v="369"/>
    </i>
    <i t="default" r="2">
      <x v="2198"/>
    </i>
    <i r="2">
      <x v="2199"/>
      <x v="369"/>
    </i>
    <i t="default" r="2">
      <x v="2199"/>
    </i>
    <i r="2">
      <x v="2200"/>
      <x v="369"/>
    </i>
    <i t="default" r="2">
      <x v="2200"/>
    </i>
    <i r="2">
      <x v="2201"/>
      <x v="369"/>
    </i>
    <i t="default" r="2">
      <x v="2201"/>
    </i>
    <i r="2">
      <x v="2202"/>
      <x v="369"/>
    </i>
    <i t="default" r="2">
      <x v="2202"/>
    </i>
    <i r="2">
      <x v="2203"/>
      <x v="369"/>
    </i>
    <i t="default" r="2">
      <x v="2203"/>
    </i>
    <i r="2">
      <x v="2204"/>
      <x v="369"/>
    </i>
    <i t="default" r="2">
      <x v="2204"/>
    </i>
    <i r="2">
      <x v="2205"/>
      <x v="369"/>
    </i>
    <i t="default" r="2">
      <x v="2205"/>
    </i>
    <i r="2">
      <x v="2206"/>
      <x v="369"/>
    </i>
    <i t="default" r="2">
      <x v="2206"/>
    </i>
    <i r="2">
      <x v="2207"/>
      <x v="369"/>
    </i>
    <i t="default" r="2">
      <x v="2207"/>
    </i>
    <i r="2">
      <x v="2208"/>
      <x v="369"/>
    </i>
    <i t="default" r="2">
      <x v="2208"/>
    </i>
    <i r="2">
      <x v="2209"/>
      <x v="369"/>
    </i>
    <i t="default" r="2">
      <x v="2209"/>
    </i>
    <i r="2">
      <x v="2210"/>
      <x v="369"/>
    </i>
    <i t="default" r="2">
      <x v="2210"/>
    </i>
    <i r="2">
      <x v="2211"/>
      <x v="369"/>
    </i>
    <i t="default" r="2">
      <x v="2211"/>
    </i>
    <i r="2">
      <x v="2212"/>
      <x v="369"/>
    </i>
    <i t="default" r="2">
      <x v="2212"/>
    </i>
    <i r="2">
      <x v="2213"/>
      <x v="369"/>
    </i>
    <i t="default" r="2">
      <x v="2213"/>
    </i>
    <i r="2">
      <x v="2214"/>
      <x v="369"/>
    </i>
    <i t="default" r="2">
      <x v="2214"/>
    </i>
    <i r="2">
      <x v="2215"/>
      <x v="369"/>
    </i>
    <i t="default" r="2">
      <x v="2215"/>
    </i>
    <i r="2">
      <x v="2216"/>
      <x v="369"/>
    </i>
    <i t="default" r="2">
      <x v="2216"/>
    </i>
    <i r="2">
      <x v="2217"/>
      <x v="369"/>
    </i>
    <i t="default" r="2">
      <x v="2217"/>
    </i>
    <i r="2">
      <x v="2218"/>
      <x v="369"/>
    </i>
    <i t="default" r="2">
      <x v="2218"/>
    </i>
    <i r="2">
      <x v="2219"/>
      <x v="369"/>
    </i>
    <i t="default" r="2">
      <x v="2219"/>
    </i>
    <i r="2">
      <x v="2220"/>
      <x v="369"/>
    </i>
    <i t="default" r="2">
      <x v="2220"/>
    </i>
    <i r="2">
      <x v="2221"/>
      <x v="369"/>
    </i>
    <i t="default" r="2">
      <x v="2221"/>
    </i>
    <i r="2">
      <x v="2222"/>
      <x v="369"/>
    </i>
    <i t="default" r="2">
      <x v="2222"/>
    </i>
    <i r="2">
      <x v="2223"/>
      <x v="369"/>
    </i>
    <i t="default" r="2">
      <x v="2223"/>
    </i>
    <i r="2">
      <x v="2224"/>
      <x v="369"/>
    </i>
    <i t="default" r="2">
      <x v="2224"/>
    </i>
    <i r="2">
      <x v="2225"/>
      <x v="369"/>
    </i>
    <i t="default" r="2">
      <x v="2225"/>
    </i>
    <i r="2">
      <x v="2226"/>
      <x v="369"/>
    </i>
    <i t="default" r="2">
      <x v="2226"/>
    </i>
    <i r="2">
      <x v="2227"/>
      <x v="369"/>
    </i>
    <i t="default" r="2">
      <x v="2227"/>
    </i>
    <i r="2">
      <x v="2228"/>
      <x v="369"/>
    </i>
    <i t="default" r="2">
      <x v="2228"/>
    </i>
    <i r="2">
      <x v="2229"/>
      <x v="369"/>
    </i>
    <i t="default" r="2">
      <x v="2229"/>
    </i>
    <i r="2">
      <x v="2230"/>
      <x v="369"/>
    </i>
    <i t="default" r="2">
      <x v="2230"/>
    </i>
    <i r="2">
      <x v="2231"/>
      <x v="369"/>
    </i>
    <i t="default" r="2">
      <x v="2231"/>
    </i>
    <i r="2">
      <x v="2232"/>
      <x v="369"/>
    </i>
    <i t="default" r="2">
      <x v="2232"/>
    </i>
    <i r="2">
      <x v="2233"/>
      <x v="369"/>
    </i>
    <i t="default" r="2">
      <x v="2233"/>
    </i>
    <i r="2">
      <x v="2234"/>
      <x v="369"/>
    </i>
    <i t="default" r="2">
      <x v="2234"/>
    </i>
    <i r="2">
      <x v="2235"/>
      <x v="369"/>
    </i>
    <i t="default" r="2">
      <x v="2235"/>
    </i>
    <i r="2">
      <x v="2236"/>
      <x v="369"/>
    </i>
    <i t="default" r="2">
      <x v="2236"/>
    </i>
    <i r="2">
      <x v="2237"/>
      <x v="369"/>
    </i>
    <i t="default" r="2">
      <x v="2237"/>
    </i>
    <i r="2">
      <x v="2238"/>
      <x v="369"/>
    </i>
    <i t="default" r="2">
      <x v="2238"/>
    </i>
    <i r="2">
      <x v="2239"/>
      <x v="369"/>
    </i>
    <i t="default" r="2">
      <x v="2239"/>
    </i>
    <i r="2">
      <x v="2240"/>
      <x v="369"/>
    </i>
    <i t="default" r="2">
      <x v="2240"/>
    </i>
    <i r="2">
      <x v="2241"/>
      <x v="369"/>
    </i>
    <i t="default" r="2">
      <x v="2241"/>
    </i>
    <i r="2">
      <x v="2242"/>
      <x v="369"/>
    </i>
    <i t="default" r="2">
      <x v="2242"/>
    </i>
    <i r="2">
      <x v="2243"/>
      <x v="369"/>
    </i>
    <i t="default" r="2">
      <x v="2243"/>
    </i>
    <i r="2">
      <x v="2244"/>
      <x v="369"/>
    </i>
    <i t="default" r="2">
      <x v="2244"/>
    </i>
    <i r="2">
      <x v="2245"/>
      <x v="369"/>
    </i>
    <i t="default" r="2">
      <x v="2245"/>
    </i>
    <i r="2">
      <x v="2246"/>
      <x v="369"/>
    </i>
    <i t="default" r="2">
      <x v="2246"/>
    </i>
    <i r="2">
      <x v="2247"/>
      <x v="369"/>
    </i>
    <i t="default" r="2">
      <x v="2247"/>
    </i>
    <i r="2">
      <x v="2248"/>
      <x v="369"/>
    </i>
    <i t="default" r="2">
      <x v="2248"/>
    </i>
    <i r="2">
      <x v="2249"/>
      <x v="369"/>
    </i>
    <i t="default" r="2">
      <x v="2249"/>
    </i>
    <i r="2">
      <x v="2250"/>
      <x v="369"/>
    </i>
    <i t="default" r="2">
      <x v="2250"/>
    </i>
    <i r="2">
      <x v="2251"/>
      <x v="369"/>
    </i>
    <i t="default" r="2">
      <x v="2251"/>
    </i>
    <i r="2">
      <x v="2252"/>
      <x v="369"/>
    </i>
    <i t="default" r="2">
      <x v="2252"/>
    </i>
    <i r="2">
      <x v="2253"/>
      <x v="369"/>
    </i>
    <i t="default" r="2">
      <x v="2253"/>
    </i>
    <i r="2">
      <x v="2254"/>
      <x v="369"/>
    </i>
    <i t="default" r="2">
      <x v="2254"/>
    </i>
    <i r="2">
      <x v="2255"/>
      <x v="369"/>
    </i>
    <i t="default" r="2">
      <x v="2255"/>
    </i>
    <i r="2">
      <x v="2256"/>
      <x v="369"/>
    </i>
    <i t="default" r="2">
      <x v="2256"/>
    </i>
    <i r="2">
      <x v="2257"/>
      <x v="369"/>
    </i>
    <i t="default" r="2">
      <x v="2257"/>
    </i>
    <i r="2">
      <x v="2258"/>
      <x v="369"/>
    </i>
    <i t="default" r="2">
      <x v="2258"/>
    </i>
    <i r="2">
      <x v="2259"/>
      <x v="369"/>
    </i>
    <i t="default" r="2">
      <x v="2259"/>
    </i>
    <i r="2">
      <x v="2260"/>
      <x v="369"/>
    </i>
    <i t="default" r="2">
      <x v="2260"/>
    </i>
    <i r="2">
      <x v="2261"/>
      <x v="369"/>
    </i>
    <i t="default" r="2">
      <x v="2261"/>
    </i>
    <i r="2">
      <x v="2262"/>
      <x v="369"/>
    </i>
    <i t="default" r="2">
      <x v="2262"/>
    </i>
    <i r="2">
      <x v="2263"/>
      <x v="369"/>
    </i>
    <i t="default" r="2">
      <x v="2263"/>
    </i>
    <i r="2">
      <x v="2264"/>
      <x v="369"/>
    </i>
    <i t="default" r="2">
      <x v="2264"/>
    </i>
    <i r="2">
      <x v="2265"/>
      <x v="369"/>
    </i>
    <i t="default" r="2">
      <x v="2265"/>
    </i>
    <i r="2">
      <x v="2266"/>
      <x v="369"/>
    </i>
    <i t="default" r="2">
      <x v="2266"/>
    </i>
    <i r="2">
      <x v="2267"/>
      <x v="369"/>
    </i>
    <i t="default" r="2">
      <x v="2267"/>
    </i>
    <i r="2">
      <x v="2268"/>
      <x v="369"/>
    </i>
    <i t="default" r="2">
      <x v="2268"/>
    </i>
    <i r="2">
      <x v="2269"/>
      <x v="369"/>
    </i>
    <i t="default" r="2">
      <x v="2269"/>
    </i>
    <i r="2">
      <x v="2270"/>
      <x v="369"/>
    </i>
    <i t="default" r="2">
      <x v="2270"/>
    </i>
    <i r="2">
      <x v="2271"/>
      <x v="369"/>
    </i>
    <i t="default" r="2">
      <x v="2271"/>
    </i>
    <i r="2">
      <x v="2272"/>
      <x v="369"/>
    </i>
    <i t="default" r="2">
      <x v="2272"/>
    </i>
    <i r="2">
      <x v="2273"/>
      <x v="369"/>
    </i>
    <i t="default" r="2">
      <x v="2273"/>
    </i>
    <i r="2">
      <x v="2274"/>
      <x v="369"/>
    </i>
    <i t="default" r="2">
      <x v="2274"/>
    </i>
    <i r="2">
      <x v="2275"/>
      <x v="369"/>
    </i>
    <i t="default" r="2">
      <x v="2275"/>
    </i>
    <i r="2">
      <x v="2276"/>
      <x v="369"/>
    </i>
    <i t="default" r="2">
      <x v="2276"/>
    </i>
    <i r="2">
      <x v="2277"/>
      <x v="369"/>
    </i>
    <i t="default" r="2">
      <x v="2277"/>
    </i>
    <i r="2">
      <x v="2278"/>
      <x v="369"/>
    </i>
    <i t="default" r="2">
      <x v="2278"/>
    </i>
    <i r="2">
      <x v="2279"/>
      <x v="369"/>
    </i>
    <i t="default" r="2">
      <x v="2279"/>
    </i>
    <i r="2">
      <x v="2280"/>
      <x v="369"/>
    </i>
    <i t="default" r="2">
      <x v="2280"/>
    </i>
    <i r="2">
      <x v="2281"/>
      <x v="369"/>
    </i>
    <i t="default" r="2">
      <x v="2281"/>
    </i>
    <i r="2">
      <x v="2282"/>
      <x v="369"/>
    </i>
    <i t="default" r="2">
      <x v="2282"/>
    </i>
    <i r="2">
      <x v="2283"/>
      <x v="369"/>
    </i>
    <i t="default" r="2">
      <x v="2283"/>
    </i>
    <i r="2">
      <x v="2284"/>
      <x v="369"/>
    </i>
    <i t="default" r="2">
      <x v="2284"/>
    </i>
    <i r="2">
      <x v="2285"/>
      <x v="369"/>
    </i>
    <i t="default" r="2">
      <x v="2285"/>
    </i>
    <i r="2">
      <x v="2286"/>
      <x v="369"/>
    </i>
    <i t="default" r="2">
      <x v="2286"/>
    </i>
    <i r="2">
      <x v="2287"/>
      <x v="369"/>
    </i>
    <i t="default" r="2">
      <x v="2287"/>
    </i>
    <i r="2">
      <x v="2288"/>
      <x v="369"/>
    </i>
    <i t="default" r="2">
      <x v="2288"/>
    </i>
    <i r="2">
      <x v="2289"/>
      <x v="369"/>
    </i>
    <i t="default" r="2">
      <x v="2289"/>
    </i>
    <i r="2">
      <x v="2290"/>
      <x v="369"/>
    </i>
    <i t="default" r="2">
      <x v="2290"/>
    </i>
    <i r="2">
      <x v="2291"/>
      <x v="369"/>
    </i>
    <i t="default" r="2">
      <x v="2291"/>
    </i>
    <i r="2">
      <x v="2292"/>
      <x v="369"/>
    </i>
    <i t="default" r="2">
      <x v="2292"/>
    </i>
    <i r="2">
      <x v="2293"/>
      <x v="369"/>
    </i>
    <i t="default" r="2">
      <x v="2293"/>
    </i>
    <i r="2">
      <x v="2294"/>
      <x v="369"/>
    </i>
    <i t="default" r="2">
      <x v="2294"/>
    </i>
    <i r="2">
      <x v="2295"/>
      <x v="369"/>
    </i>
    <i t="default" r="2">
      <x v="2295"/>
    </i>
    <i r="2">
      <x v="2296"/>
      <x v="369"/>
    </i>
    <i t="default" r="2">
      <x v="2296"/>
    </i>
    <i r="2">
      <x v="2297"/>
      <x v="369"/>
    </i>
    <i t="default" r="2">
      <x v="2297"/>
    </i>
    <i r="2">
      <x v="2298"/>
      <x v="369"/>
    </i>
    <i t="default" r="2">
      <x v="2298"/>
    </i>
    <i r="2">
      <x v="2299"/>
      <x v="369"/>
    </i>
    <i t="default" r="2">
      <x v="2299"/>
    </i>
    <i r="2">
      <x v="2300"/>
      <x v="369"/>
    </i>
    <i t="default" r="2">
      <x v="2300"/>
    </i>
    <i r="2">
      <x v="2301"/>
      <x v="369"/>
    </i>
    <i t="default" r="2">
      <x v="2301"/>
    </i>
    <i r="2">
      <x v="2302"/>
      <x v="369"/>
    </i>
    <i t="default" r="2">
      <x v="2302"/>
    </i>
    <i r="2">
      <x v="2303"/>
      <x v="369"/>
    </i>
    <i t="default" r="2">
      <x v="2303"/>
    </i>
    <i r="2">
      <x v="2304"/>
      <x v="369"/>
    </i>
    <i t="default" r="2">
      <x v="2304"/>
    </i>
    <i r="2">
      <x v="2305"/>
      <x v="369"/>
    </i>
    <i t="default" r="2">
      <x v="2305"/>
    </i>
    <i r="2">
      <x v="2306"/>
      <x v="369"/>
    </i>
    <i t="default" r="2">
      <x v="2306"/>
    </i>
    <i r="2">
      <x v="2307"/>
      <x v="369"/>
    </i>
    <i t="default" r="2">
      <x v="2307"/>
    </i>
    <i r="2">
      <x v="2308"/>
      <x v="369"/>
    </i>
    <i t="default" r="2">
      <x v="2308"/>
    </i>
    <i r="2">
      <x v="2309"/>
      <x v="369"/>
    </i>
    <i t="default" r="2">
      <x v="2309"/>
    </i>
    <i r="2">
      <x v="2310"/>
      <x v="369"/>
    </i>
    <i t="default" r="2">
      <x v="2310"/>
    </i>
    <i r="2">
      <x v="2311"/>
      <x v="369"/>
    </i>
    <i t="default" r="2">
      <x v="2311"/>
    </i>
    <i r="2">
      <x v="2312"/>
      <x v="369"/>
    </i>
    <i t="default" r="2">
      <x v="2312"/>
    </i>
    <i r="2">
      <x v="2313"/>
      <x v="369"/>
    </i>
    <i t="default" r="2">
      <x v="2313"/>
    </i>
    <i r="2">
      <x v="2314"/>
      <x v="369"/>
    </i>
    <i t="default" r="2">
      <x v="2314"/>
    </i>
    <i r="2">
      <x v="2315"/>
      <x v="369"/>
    </i>
    <i t="default" r="2">
      <x v="2315"/>
    </i>
    <i r="2">
      <x v="2316"/>
      <x v="369"/>
    </i>
    <i t="default" r="2">
      <x v="2316"/>
    </i>
    <i r="2">
      <x v="2317"/>
      <x v="369"/>
    </i>
    <i t="default" r="2">
      <x v="2317"/>
    </i>
    <i r="2">
      <x v="2318"/>
      <x v="369"/>
    </i>
    <i t="default" r="2">
      <x v="2318"/>
    </i>
    <i r="2">
      <x v="2319"/>
      <x v="369"/>
    </i>
    <i t="default" r="2">
      <x v="2319"/>
    </i>
    <i r="2">
      <x v="2320"/>
      <x v="369"/>
    </i>
    <i t="default" r="2">
      <x v="2320"/>
    </i>
    <i r="2">
      <x v="2321"/>
      <x v="369"/>
    </i>
    <i t="default" r="2">
      <x v="2321"/>
    </i>
    <i r="2">
      <x v="2322"/>
      <x v="369"/>
    </i>
    <i t="default" r="2">
      <x v="2322"/>
    </i>
    <i r="2">
      <x v="2323"/>
      <x v="369"/>
    </i>
    <i t="default" r="2">
      <x v="2323"/>
    </i>
    <i r="2">
      <x v="2324"/>
      <x v="369"/>
    </i>
    <i t="default" r="2">
      <x v="2324"/>
    </i>
    <i r="2">
      <x v="2325"/>
      <x v="369"/>
    </i>
    <i t="default" r="2">
      <x v="2325"/>
    </i>
    <i r="2">
      <x v="2326"/>
      <x v="369"/>
    </i>
    <i t="default" r="2">
      <x v="2326"/>
    </i>
    <i r="2">
      <x v="2327"/>
      <x v="369"/>
    </i>
    <i t="default" r="2">
      <x v="2327"/>
    </i>
    <i r="2">
      <x v="2328"/>
      <x v="369"/>
    </i>
    <i t="default" r="2">
      <x v="2328"/>
    </i>
    <i r="2">
      <x v="2329"/>
      <x v="369"/>
    </i>
    <i t="default" r="2">
      <x v="2329"/>
    </i>
    <i r="2">
      <x v="2330"/>
      <x v="369"/>
    </i>
    <i t="default" r="2">
      <x v="2330"/>
    </i>
    <i r="2">
      <x v="2331"/>
      <x v="369"/>
    </i>
    <i t="default" r="2">
      <x v="2331"/>
    </i>
    <i r="2">
      <x v="2332"/>
      <x v="369"/>
    </i>
    <i t="default" r="2">
      <x v="2332"/>
    </i>
    <i r="2">
      <x v="2333"/>
      <x v="369"/>
    </i>
    <i t="default" r="2">
      <x v="2333"/>
    </i>
    <i r="2">
      <x v="2334"/>
      <x v="369"/>
    </i>
    <i t="default" r="2">
      <x v="2334"/>
    </i>
    <i r="2">
      <x v="2335"/>
      <x v="369"/>
    </i>
    <i t="default" r="2">
      <x v="2335"/>
    </i>
    <i r="2">
      <x v="2336"/>
      <x v="369"/>
    </i>
    <i t="default" r="2">
      <x v="2336"/>
    </i>
    <i r="2">
      <x v="2337"/>
      <x v="369"/>
    </i>
    <i t="default" r="2">
      <x v="2337"/>
    </i>
    <i r="2">
      <x v="2338"/>
      <x v="369"/>
    </i>
    <i t="default" r="2">
      <x v="2338"/>
    </i>
    <i r="2">
      <x v="2339"/>
      <x v="369"/>
    </i>
    <i t="default" r="2">
      <x v="2339"/>
    </i>
    <i r="2">
      <x v="2340"/>
      <x v="369"/>
    </i>
    <i t="default" r="2">
      <x v="2340"/>
    </i>
    <i r="2">
      <x v="2341"/>
      <x v="369"/>
    </i>
    <i t="default" r="2">
      <x v="2341"/>
    </i>
    <i r="2">
      <x v="2342"/>
      <x v="369"/>
    </i>
    <i t="default" r="2">
      <x v="2342"/>
    </i>
    <i r="2">
      <x v="2343"/>
      <x v="369"/>
    </i>
    <i t="default" r="2">
      <x v="2343"/>
    </i>
    <i r="2">
      <x v="2344"/>
      <x v="369"/>
    </i>
    <i t="default" r="2">
      <x v="2344"/>
    </i>
    <i r="2">
      <x v="2345"/>
      <x v="369"/>
    </i>
    <i t="default" r="2">
      <x v="2345"/>
    </i>
    <i r="2">
      <x v="2346"/>
      <x v="369"/>
    </i>
    <i t="default" r="2">
      <x v="2346"/>
    </i>
    <i r="2">
      <x v="2347"/>
      <x v="369"/>
    </i>
    <i t="default" r="2">
      <x v="2347"/>
    </i>
    <i r="2">
      <x v="2348"/>
      <x v="369"/>
    </i>
    <i t="default" r="2">
      <x v="2348"/>
    </i>
    <i r="2">
      <x v="2349"/>
      <x v="369"/>
    </i>
    <i t="default" r="2">
      <x v="2349"/>
    </i>
    <i r="2">
      <x v="2350"/>
      <x v="369"/>
    </i>
    <i t="default" r="2">
      <x v="2350"/>
    </i>
    <i r="2">
      <x v="2351"/>
      <x v="369"/>
    </i>
    <i t="default" r="2">
      <x v="2351"/>
    </i>
    <i r="2">
      <x v="2352"/>
      <x v="369"/>
    </i>
    <i t="default" r="2">
      <x v="2352"/>
    </i>
    <i r="2">
      <x v="2353"/>
      <x v="369"/>
    </i>
    <i t="default" r="2">
      <x v="2353"/>
    </i>
    <i r="2">
      <x v="2354"/>
      <x v="369"/>
    </i>
    <i t="default" r="2">
      <x v="2354"/>
    </i>
    <i r="2">
      <x v="2355"/>
      <x v="369"/>
    </i>
    <i t="default" r="2">
      <x v="2355"/>
    </i>
    <i r="2">
      <x v="2356"/>
      <x v="369"/>
    </i>
    <i t="default" r="2">
      <x v="2356"/>
    </i>
    <i r="2">
      <x v="2357"/>
      <x v="369"/>
    </i>
    <i t="default" r="2">
      <x v="2357"/>
    </i>
    <i r="2">
      <x v="2358"/>
      <x v="369"/>
    </i>
    <i t="default" r="2">
      <x v="2358"/>
    </i>
    <i r="2">
      <x v="2359"/>
      <x v="369"/>
    </i>
    <i t="default" r="2">
      <x v="2359"/>
    </i>
    <i r="2">
      <x v="2360"/>
      <x v="369"/>
    </i>
    <i t="default" r="2">
      <x v="2360"/>
    </i>
    <i r="2">
      <x v="2361"/>
      <x v="369"/>
    </i>
    <i t="default" r="2">
      <x v="2361"/>
    </i>
    <i r="2">
      <x v="2362"/>
      <x v="369"/>
    </i>
    <i t="default" r="2">
      <x v="2362"/>
    </i>
    <i r="2">
      <x v="2363"/>
      <x v="369"/>
    </i>
    <i t="default" r="2">
      <x v="2363"/>
    </i>
    <i r="2">
      <x v="2364"/>
      <x v="369"/>
    </i>
    <i t="default" r="2">
      <x v="2364"/>
    </i>
    <i r="2">
      <x v="2365"/>
      <x v="369"/>
    </i>
    <i t="default" r="2">
      <x v="2365"/>
    </i>
    <i r="2">
      <x v="2366"/>
      <x v="369"/>
    </i>
    <i t="default" r="2">
      <x v="2366"/>
    </i>
    <i r="2">
      <x v="2367"/>
      <x v="369"/>
    </i>
    <i t="default" r="2">
      <x v="2367"/>
    </i>
    <i r="2">
      <x v="2368"/>
      <x v="369"/>
    </i>
    <i t="default" r="2">
      <x v="2368"/>
    </i>
    <i r="2">
      <x v="2369"/>
      <x v="369"/>
    </i>
    <i t="default" r="2">
      <x v="2369"/>
    </i>
    <i r="2">
      <x v="2370"/>
      <x v="369"/>
    </i>
    <i t="default" r="2">
      <x v="2370"/>
    </i>
    <i r="2">
      <x v="2371"/>
      <x v="369"/>
    </i>
    <i t="default" r="2">
      <x v="2371"/>
    </i>
    <i r="2">
      <x v="2372"/>
      <x v="369"/>
    </i>
    <i t="default" r="2">
      <x v="2372"/>
    </i>
    <i r="2">
      <x v="2373"/>
      <x v="369"/>
    </i>
    <i t="default" r="2">
      <x v="2373"/>
    </i>
    <i r="2">
      <x v="2374"/>
      <x v="369"/>
    </i>
    <i t="default" r="2">
      <x v="2374"/>
    </i>
    <i r="2">
      <x v="2375"/>
      <x v="369"/>
    </i>
    <i t="default" r="2">
      <x v="2375"/>
    </i>
    <i r="2">
      <x v="2376"/>
      <x v="369"/>
    </i>
    <i t="default" r="2">
      <x v="2376"/>
    </i>
    <i r="2">
      <x v="2377"/>
      <x v="369"/>
    </i>
    <i t="default" r="2">
      <x v="2377"/>
    </i>
    <i r="2">
      <x v="2378"/>
      <x v="369"/>
    </i>
    <i t="default" r="2">
      <x v="2378"/>
    </i>
    <i r="2">
      <x v="2379"/>
      <x v="369"/>
    </i>
    <i t="default" r="2">
      <x v="2379"/>
    </i>
    <i r="2">
      <x v="2380"/>
      <x v="369"/>
    </i>
    <i t="default" r="2">
      <x v="2380"/>
    </i>
    <i r="2">
      <x v="2381"/>
      <x v="369"/>
    </i>
    <i t="default" r="2">
      <x v="2381"/>
    </i>
    <i r="2">
      <x v="2382"/>
      <x v="369"/>
    </i>
    <i t="default" r="2">
      <x v="2382"/>
    </i>
    <i r="2">
      <x v="2383"/>
      <x v="369"/>
    </i>
    <i t="default" r="2">
      <x v="2383"/>
    </i>
    <i r="2">
      <x v="2384"/>
      <x v="369"/>
    </i>
    <i t="default" r="2">
      <x v="2384"/>
    </i>
    <i r="2">
      <x v="2385"/>
      <x v="369"/>
    </i>
    <i t="default" r="2">
      <x v="2385"/>
    </i>
    <i r="2">
      <x v="2386"/>
      <x v="369"/>
    </i>
    <i t="default" r="2">
      <x v="2386"/>
    </i>
    <i r="2">
      <x v="2387"/>
      <x v="369"/>
    </i>
    <i t="default" r="2">
      <x v="2387"/>
    </i>
    <i r="2">
      <x v="2388"/>
      <x v="369"/>
    </i>
    <i t="default" r="2">
      <x v="2388"/>
    </i>
    <i r="2">
      <x v="2389"/>
      <x v="369"/>
    </i>
    <i t="default" r="2">
      <x v="2389"/>
    </i>
    <i r="2">
      <x v="2390"/>
      <x v="369"/>
    </i>
    <i t="default" r="2">
      <x v="2390"/>
    </i>
    <i r="2">
      <x v="2391"/>
      <x v="369"/>
    </i>
    <i t="default" r="2">
      <x v="2391"/>
    </i>
    <i r="2">
      <x v="2392"/>
      <x v="369"/>
    </i>
    <i t="default" r="2">
      <x v="2392"/>
    </i>
    <i r="2">
      <x v="2393"/>
      <x v="369"/>
    </i>
    <i t="default" r="2">
      <x v="2393"/>
    </i>
    <i r="2">
      <x v="2394"/>
      <x v="369"/>
    </i>
    <i t="default" r="2">
      <x v="2394"/>
    </i>
    <i r="2">
      <x v="2395"/>
      <x v="369"/>
    </i>
    <i t="default" r="2">
      <x v="2395"/>
    </i>
    <i r="2">
      <x v="2396"/>
      <x v="369"/>
    </i>
    <i t="default" r="2">
      <x v="2396"/>
    </i>
    <i r="2">
      <x v="2397"/>
      <x v="369"/>
    </i>
    <i t="default" r="2">
      <x v="2397"/>
    </i>
    <i r="2">
      <x v="2398"/>
      <x v="369"/>
    </i>
    <i t="default" r="2">
      <x v="2398"/>
    </i>
    <i r="2">
      <x v="2399"/>
      <x v="369"/>
    </i>
    <i t="default" r="2">
      <x v="2399"/>
    </i>
    <i r="2">
      <x v="2400"/>
      <x v="369"/>
    </i>
    <i t="default" r="2">
      <x v="2400"/>
    </i>
    <i r="2">
      <x v="2401"/>
      <x v="369"/>
    </i>
    <i t="default" r="2">
      <x v="2401"/>
    </i>
    <i r="2">
      <x v="2402"/>
      <x v="369"/>
    </i>
    <i t="default" r="2">
      <x v="2402"/>
    </i>
    <i r="2">
      <x v="2403"/>
      <x v="369"/>
    </i>
    <i t="default" r="2">
      <x v="2403"/>
    </i>
    <i r="2">
      <x v="2404"/>
      <x v="369"/>
    </i>
    <i t="default" r="2">
      <x v="2404"/>
    </i>
    <i r="2">
      <x v="2405"/>
      <x v="369"/>
    </i>
    <i t="default" r="2">
      <x v="2405"/>
    </i>
    <i r="2">
      <x v="2406"/>
      <x v="369"/>
    </i>
    <i t="default" r="2">
      <x v="2406"/>
    </i>
    <i r="2">
      <x v="2407"/>
      <x v="369"/>
    </i>
    <i t="default" r="2">
      <x v="2407"/>
    </i>
    <i r="2">
      <x v="2408"/>
      <x v="369"/>
    </i>
    <i t="default" r="2">
      <x v="2408"/>
    </i>
    <i r="2">
      <x v="2409"/>
      <x v="369"/>
    </i>
    <i t="default" r="2">
      <x v="2409"/>
    </i>
    <i r="2">
      <x v="2410"/>
      <x v="369"/>
    </i>
    <i t="default" r="2">
      <x v="2410"/>
    </i>
    <i r="2">
      <x v="2411"/>
      <x v="369"/>
    </i>
    <i t="default" r="2">
      <x v="2411"/>
    </i>
    <i r="2">
      <x v="2412"/>
      <x v="369"/>
    </i>
    <i t="default" r="2">
      <x v="2412"/>
    </i>
    <i r="2">
      <x v="2413"/>
      <x v="369"/>
    </i>
    <i t="default" r="2">
      <x v="2413"/>
    </i>
    <i r="2">
      <x v="2414"/>
      <x v="369"/>
    </i>
    <i t="default" r="2">
      <x v="2414"/>
    </i>
    <i r="2">
      <x v="2415"/>
      <x v="369"/>
    </i>
    <i t="default" r="2">
      <x v="2415"/>
    </i>
    <i r="2">
      <x v="2416"/>
      <x v="369"/>
    </i>
    <i t="default" r="2">
      <x v="2416"/>
    </i>
    <i r="2">
      <x v="2417"/>
      <x v="369"/>
    </i>
    <i t="default" r="2">
      <x v="2417"/>
    </i>
    <i r="2">
      <x v="2418"/>
      <x v="369"/>
    </i>
    <i t="default" r="2">
      <x v="2418"/>
    </i>
    <i r="2">
      <x v="2419"/>
      <x v="369"/>
    </i>
    <i t="default" r="2">
      <x v="2419"/>
    </i>
    <i r="2">
      <x v="2420"/>
      <x v="369"/>
    </i>
    <i t="default" r="2">
      <x v="2420"/>
    </i>
    <i r="2">
      <x v="2421"/>
      <x v="369"/>
    </i>
    <i t="default" r="2">
      <x v="2421"/>
    </i>
    <i r="2">
      <x v="2422"/>
      <x v="369"/>
    </i>
    <i t="default" r="2">
      <x v="2422"/>
    </i>
    <i r="2">
      <x v="2423"/>
      <x v="369"/>
    </i>
    <i t="default" r="2">
      <x v="2423"/>
    </i>
    <i r="2">
      <x v="2424"/>
      <x v="369"/>
    </i>
    <i t="default" r="2">
      <x v="2424"/>
    </i>
    <i r="2">
      <x v="2425"/>
      <x v="369"/>
    </i>
    <i t="default" r="2">
      <x v="2425"/>
    </i>
    <i r="2">
      <x v="2426"/>
      <x v="369"/>
    </i>
    <i t="default" r="2">
      <x v="2426"/>
    </i>
    <i r="2">
      <x v="2427"/>
      <x v="369"/>
    </i>
    <i t="default" r="2">
      <x v="2427"/>
    </i>
    <i r="2">
      <x v="2428"/>
      <x v="369"/>
    </i>
    <i t="default" r="2">
      <x v="2428"/>
    </i>
    <i r="2">
      <x v="2429"/>
      <x v="369"/>
    </i>
    <i t="default" r="2">
      <x v="2429"/>
    </i>
    <i r="2">
      <x v="2430"/>
      <x v="369"/>
    </i>
    <i t="default" r="2">
      <x v="2430"/>
    </i>
    <i r="2">
      <x v="2431"/>
      <x v="369"/>
    </i>
    <i t="default" r="2">
      <x v="2431"/>
    </i>
    <i r="2">
      <x v="2432"/>
      <x v="369"/>
    </i>
    <i t="default" r="2">
      <x v="2432"/>
    </i>
    <i r="2">
      <x v="2433"/>
      <x v="369"/>
    </i>
    <i t="default" r="2">
      <x v="2433"/>
    </i>
    <i r="2">
      <x v="2434"/>
      <x v="369"/>
    </i>
    <i t="default" r="2">
      <x v="2434"/>
    </i>
    <i r="2">
      <x v="2435"/>
      <x v="369"/>
    </i>
    <i t="default" r="2">
      <x v="2435"/>
    </i>
    <i r="2">
      <x v="2436"/>
      <x v="369"/>
    </i>
    <i t="default" r="2">
      <x v="2436"/>
    </i>
    <i r="2">
      <x v="2437"/>
      <x v="369"/>
    </i>
    <i t="default" r="2">
      <x v="2437"/>
    </i>
    <i r="2">
      <x v="2438"/>
      <x v="369"/>
    </i>
    <i t="default" r="2">
      <x v="2438"/>
    </i>
    <i r="2">
      <x v="2439"/>
      <x v="369"/>
    </i>
    <i t="default" r="2">
      <x v="2439"/>
    </i>
    <i r="2">
      <x v="2440"/>
      <x v="369"/>
    </i>
    <i t="default" r="2">
      <x v="2440"/>
    </i>
    <i r="2">
      <x v="2441"/>
      <x v="369"/>
    </i>
    <i t="default" r="2">
      <x v="2441"/>
    </i>
    <i r="2">
      <x v="2442"/>
      <x v="369"/>
    </i>
    <i t="default" r="2">
      <x v="2442"/>
    </i>
    <i r="2">
      <x v="2443"/>
      <x v="369"/>
    </i>
    <i t="default" r="2">
      <x v="2443"/>
    </i>
    <i r="2">
      <x v="2444"/>
      <x v="369"/>
    </i>
    <i t="default" r="2">
      <x v="2444"/>
    </i>
    <i r="2">
      <x v="2445"/>
      <x v="369"/>
    </i>
    <i t="default" r="2">
      <x v="2445"/>
    </i>
    <i r="2">
      <x v="2446"/>
      <x v="369"/>
    </i>
    <i t="default" r="2">
      <x v="2446"/>
    </i>
    <i r="2">
      <x v="2447"/>
      <x v="369"/>
    </i>
    <i t="default" r="2">
      <x v="2447"/>
    </i>
    <i r="2">
      <x v="2448"/>
      <x v="369"/>
    </i>
    <i t="default" r="2">
      <x v="2448"/>
    </i>
    <i r="2">
      <x v="2449"/>
      <x v="369"/>
    </i>
    <i t="default" r="2">
      <x v="2449"/>
    </i>
    <i r="2">
      <x v="2450"/>
      <x v="369"/>
    </i>
    <i t="default" r="2">
      <x v="2450"/>
    </i>
    <i r="2">
      <x v="2451"/>
      <x v="369"/>
    </i>
    <i t="default" r="2">
      <x v="2451"/>
    </i>
    <i r="2">
      <x v="2452"/>
      <x v="369"/>
    </i>
    <i t="default" r="2">
      <x v="2452"/>
    </i>
    <i r="2">
      <x v="2453"/>
      <x v="369"/>
    </i>
    <i t="default" r="2">
      <x v="2453"/>
    </i>
    <i r="2">
      <x v="2454"/>
      <x v="369"/>
    </i>
    <i t="default" r="2">
      <x v="2454"/>
    </i>
    <i r="2">
      <x v="2455"/>
      <x v="369"/>
    </i>
    <i t="default" r="2">
      <x v="2455"/>
    </i>
    <i r="2">
      <x v="2456"/>
      <x v="369"/>
    </i>
    <i t="default" r="2">
      <x v="2456"/>
    </i>
    <i r="2">
      <x v="2457"/>
      <x v="369"/>
    </i>
    <i t="default" r="2">
      <x v="2457"/>
    </i>
    <i r="2">
      <x v="2458"/>
      <x v="369"/>
    </i>
    <i t="default" r="2">
      <x v="2458"/>
    </i>
    <i r="2">
      <x v="2459"/>
      <x v="369"/>
    </i>
    <i t="default" r="2">
      <x v="2459"/>
    </i>
    <i r="2">
      <x v="2460"/>
      <x v="369"/>
    </i>
    <i t="default" r="2">
      <x v="2460"/>
    </i>
    <i r="2">
      <x v="2461"/>
      <x v="369"/>
    </i>
    <i t="default" r="2">
      <x v="2461"/>
    </i>
    <i r="2">
      <x v="2462"/>
      <x v="369"/>
    </i>
    <i t="default" r="2">
      <x v="2462"/>
    </i>
    <i r="2">
      <x v="2463"/>
      <x v="369"/>
    </i>
    <i t="default" r="2">
      <x v="2463"/>
    </i>
    <i r="2">
      <x v="2464"/>
      <x v="369"/>
    </i>
    <i t="default" r="2">
      <x v="2464"/>
    </i>
    <i r="2">
      <x v="2465"/>
      <x v="369"/>
    </i>
    <i t="default" r="2">
      <x v="2465"/>
    </i>
    <i r="2">
      <x v="2466"/>
      <x v="369"/>
    </i>
    <i t="default" r="2">
      <x v="2466"/>
    </i>
    <i r="2">
      <x v="2467"/>
      <x v="369"/>
    </i>
    <i t="default" r="2">
      <x v="2467"/>
    </i>
    <i r="2">
      <x v="2468"/>
      <x v="369"/>
    </i>
    <i t="default" r="2">
      <x v="2468"/>
    </i>
    <i r="2">
      <x v="2469"/>
      <x v="369"/>
    </i>
    <i t="default" r="2">
      <x v="2469"/>
    </i>
    <i r="2">
      <x v="2470"/>
      <x v="369"/>
    </i>
    <i t="default" r="2">
      <x v="2470"/>
    </i>
    <i r="2">
      <x v="2471"/>
      <x v="369"/>
    </i>
    <i t="default" r="2">
      <x v="2471"/>
    </i>
    <i r="2">
      <x v="2472"/>
      <x v="369"/>
    </i>
    <i t="default" r="2">
      <x v="2472"/>
    </i>
    <i r="2">
      <x v="2473"/>
      <x v="369"/>
    </i>
    <i t="default" r="2">
      <x v="2473"/>
    </i>
    <i r="2">
      <x v="2474"/>
      <x v="369"/>
    </i>
    <i t="default" r="2">
      <x v="2474"/>
    </i>
    <i r="2">
      <x v="2475"/>
      <x v="369"/>
    </i>
    <i t="default" r="2">
      <x v="2475"/>
    </i>
    <i r="2">
      <x v="2476"/>
      <x v="369"/>
    </i>
    <i t="default" r="2">
      <x v="2476"/>
    </i>
    <i r="2">
      <x v="2477"/>
      <x v="369"/>
    </i>
    <i t="default" r="2">
      <x v="2477"/>
    </i>
    <i r="2">
      <x v="2478"/>
      <x v="369"/>
    </i>
    <i t="default" r="2">
      <x v="2478"/>
    </i>
    <i r="2">
      <x v="2479"/>
      <x v="369"/>
    </i>
    <i t="default" r="2">
      <x v="2479"/>
    </i>
    <i r="2">
      <x v="2480"/>
      <x v="369"/>
    </i>
    <i t="default" r="2">
      <x v="2480"/>
    </i>
    <i r="2">
      <x v="2481"/>
      <x v="369"/>
    </i>
    <i t="default" r="2">
      <x v="2481"/>
    </i>
    <i r="2">
      <x v="2482"/>
      <x v="369"/>
    </i>
    <i t="default" r="2">
      <x v="2482"/>
    </i>
    <i r="2">
      <x v="2483"/>
      <x v="369"/>
    </i>
    <i t="default" r="2">
      <x v="2483"/>
    </i>
    <i r="2">
      <x v="2484"/>
      <x v="369"/>
    </i>
    <i t="default" r="2">
      <x v="2484"/>
    </i>
    <i r="2">
      <x v="2485"/>
      <x v="369"/>
    </i>
    <i t="default" r="2">
      <x v="2485"/>
    </i>
    <i r="2">
      <x v="2486"/>
      <x v="369"/>
    </i>
    <i t="default" r="2">
      <x v="2486"/>
    </i>
    <i r="2">
      <x v="2487"/>
      <x v="369"/>
    </i>
    <i t="default" r="2">
      <x v="2487"/>
    </i>
    <i r="2">
      <x v="2488"/>
      <x v="369"/>
    </i>
    <i t="default" r="2">
      <x v="2488"/>
    </i>
    <i r="2">
      <x v="2489"/>
      <x v="369"/>
    </i>
    <i t="default" r="2">
      <x v="2489"/>
    </i>
    <i r="2">
      <x v="2490"/>
      <x v="369"/>
    </i>
    <i t="default" r="2">
      <x v="2490"/>
    </i>
    <i r="2">
      <x v="2491"/>
      <x v="369"/>
    </i>
    <i t="default" r="2">
      <x v="2491"/>
    </i>
    <i r="2">
      <x v="2492"/>
      <x v="369"/>
    </i>
    <i t="default" r="2">
      <x v="2492"/>
    </i>
    <i r="2">
      <x v="2493"/>
      <x v="369"/>
    </i>
    <i t="default" r="2">
      <x v="2493"/>
    </i>
    <i r="2">
      <x v="2494"/>
      <x v="369"/>
    </i>
    <i t="default" r="2">
      <x v="2494"/>
    </i>
    <i r="2">
      <x v="2495"/>
      <x v="369"/>
    </i>
    <i t="default" r="2">
      <x v="2495"/>
    </i>
    <i r="2">
      <x v="2496"/>
      <x v="369"/>
    </i>
    <i t="default" r="2">
      <x v="2496"/>
    </i>
    <i r="2">
      <x v="2497"/>
      <x v="369"/>
    </i>
    <i t="default" r="2">
      <x v="2497"/>
    </i>
    <i r="2">
      <x v="2498"/>
      <x v="369"/>
    </i>
    <i t="default" r="2">
      <x v="2498"/>
    </i>
    <i r="2">
      <x v="2499"/>
      <x v="369"/>
    </i>
    <i t="default" r="2">
      <x v="2499"/>
    </i>
    <i r="2">
      <x v="2500"/>
      <x v="369"/>
    </i>
    <i t="default" r="2">
      <x v="2500"/>
    </i>
    <i r="2">
      <x v="2501"/>
      <x v="369"/>
    </i>
    <i t="default" r="2">
      <x v="2501"/>
    </i>
    <i r="2">
      <x v="2502"/>
      <x v="369"/>
    </i>
    <i t="default" r="2">
      <x v="2502"/>
    </i>
    <i r="2">
      <x v="2503"/>
      <x v="369"/>
    </i>
    <i t="default" r="2">
      <x v="2503"/>
    </i>
    <i r="2">
      <x v="2504"/>
      <x v="369"/>
    </i>
    <i t="default" r="2">
      <x v="2504"/>
    </i>
    <i r="2">
      <x v="2505"/>
      <x v="369"/>
    </i>
    <i t="default" r="2">
      <x v="2505"/>
    </i>
    <i r="2">
      <x v="2506"/>
      <x v="369"/>
    </i>
    <i t="default" r="2">
      <x v="2506"/>
    </i>
    <i r="2">
      <x v="2507"/>
      <x v="369"/>
    </i>
    <i t="default" r="2">
      <x v="2507"/>
    </i>
    <i r="2">
      <x v="2508"/>
      <x v="369"/>
    </i>
    <i t="default" r="2">
      <x v="2508"/>
    </i>
    <i r="2">
      <x v="2509"/>
      <x v="369"/>
    </i>
    <i t="default" r="2">
      <x v="2509"/>
    </i>
    <i r="2">
      <x v="2510"/>
      <x v="369"/>
    </i>
    <i t="default" r="2">
      <x v="2510"/>
    </i>
    <i r="2">
      <x v="2511"/>
      <x v="369"/>
    </i>
    <i t="default" r="2">
      <x v="2511"/>
    </i>
    <i r="2">
      <x v="2512"/>
      <x v="369"/>
    </i>
    <i t="default" r="2">
      <x v="2512"/>
    </i>
    <i r="2">
      <x v="2513"/>
      <x v="369"/>
    </i>
    <i t="default" r="2">
      <x v="2513"/>
    </i>
    <i r="2">
      <x v="2514"/>
      <x v="369"/>
    </i>
    <i t="default" r="2">
      <x v="2514"/>
    </i>
    <i r="2">
      <x v="2515"/>
      <x v="369"/>
    </i>
    <i t="default" r="2">
      <x v="2515"/>
    </i>
    <i r="2">
      <x v="2516"/>
      <x v="369"/>
    </i>
    <i t="default" r="2">
      <x v="2516"/>
    </i>
    <i r="2">
      <x v="2517"/>
      <x v="369"/>
    </i>
    <i t="default" r="2">
      <x v="2517"/>
    </i>
    <i r="2">
      <x v="2518"/>
      <x v="369"/>
    </i>
    <i t="default" r="2">
      <x v="2518"/>
    </i>
    <i r="2">
      <x v="2519"/>
      <x v="369"/>
    </i>
    <i t="default" r="2">
      <x v="2519"/>
    </i>
    <i r="2">
      <x v="2520"/>
      <x v="369"/>
    </i>
    <i t="default" r="2">
      <x v="2520"/>
    </i>
    <i r="2">
      <x v="2521"/>
      <x v="369"/>
    </i>
    <i t="default" r="2">
      <x v="2521"/>
    </i>
    <i r="2">
      <x v="2522"/>
      <x v="369"/>
    </i>
    <i t="default" r="2">
      <x v="2522"/>
    </i>
    <i r="2">
      <x v="2523"/>
      <x v="369"/>
    </i>
    <i t="default" r="2">
      <x v="2523"/>
    </i>
    <i r="2">
      <x v="2524"/>
      <x v="369"/>
    </i>
    <i t="default" r="2">
      <x v="2524"/>
    </i>
    <i r="2">
      <x v="2525"/>
      <x v="369"/>
    </i>
    <i t="default" r="2">
      <x v="2525"/>
    </i>
    <i r="2">
      <x v="2526"/>
      <x v="369"/>
    </i>
    <i t="default" r="2">
      <x v="2526"/>
    </i>
    <i r="2">
      <x v="2527"/>
      <x v="369"/>
    </i>
    <i t="default" r="2">
      <x v="2527"/>
    </i>
    <i r="2">
      <x v="2528"/>
      <x v="369"/>
    </i>
    <i t="default" r="2">
      <x v="2528"/>
    </i>
    <i r="2">
      <x v="2529"/>
      <x v="369"/>
    </i>
    <i t="default" r="2">
      <x v="2529"/>
    </i>
    <i r="2">
      <x v="2530"/>
      <x v="369"/>
    </i>
    <i t="default" r="2">
      <x v="2530"/>
    </i>
    <i r="2">
      <x v="2531"/>
      <x v="369"/>
    </i>
    <i t="default" r="2">
      <x v="2531"/>
    </i>
    <i r="2">
      <x v="2532"/>
      <x v="369"/>
    </i>
    <i t="default" r="2">
      <x v="2532"/>
    </i>
    <i r="2">
      <x v="2533"/>
      <x v="369"/>
    </i>
    <i t="default" r="2">
      <x v="2533"/>
    </i>
    <i r="2">
      <x v="2534"/>
      <x v="369"/>
    </i>
    <i t="default" r="2">
      <x v="2534"/>
    </i>
    <i r="2">
      <x v="2535"/>
      <x v="369"/>
    </i>
    <i t="default" r="2">
      <x v="2535"/>
    </i>
    <i r="2">
      <x v="2536"/>
      <x v="369"/>
    </i>
    <i t="default" r="2">
      <x v="2536"/>
    </i>
    <i r="2">
      <x v="2537"/>
      <x v="369"/>
    </i>
    <i t="default" r="2">
      <x v="2537"/>
    </i>
    <i r="2">
      <x v="2538"/>
      <x v="369"/>
    </i>
    <i t="default" r="2">
      <x v="2538"/>
    </i>
    <i r="2">
      <x v="2539"/>
      <x v="369"/>
    </i>
    <i t="default" r="2">
      <x v="2539"/>
    </i>
    <i r="2">
      <x v="2540"/>
      <x v="369"/>
    </i>
    <i t="default" r="2">
      <x v="2540"/>
    </i>
    <i r="2">
      <x v="2541"/>
      <x v="369"/>
    </i>
    <i t="default" r="2">
      <x v="2541"/>
    </i>
    <i r="2">
      <x v="2542"/>
      <x v="369"/>
    </i>
    <i t="default" r="2">
      <x v="2542"/>
    </i>
    <i r="2">
      <x v="2543"/>
      <x v="369"/>
    </i>
    <i t="default" r="2">
      <x v="2543"/>
    </i>
    <i r="2">
      <x v="2544"/>
      <x v="369"/>
    </i>
    <i t="default" r="2">
      <x v="2544"/>
    </i>
    <i r="2">
      <x v="2545"/>
      <x v="369"/>
    </i>
    <i t="default" r="2">
      <x v="2545"/>
    </i>
    <i r="2">
      <x v="2546"/>
      <x v="369"/>
    </i>
    <i t="default" r="2">
      <x v="2546"/>
    </i>
    <i r="2">
      <x v="2547"/>
      <x v="369"/>
    </i>
    <i t="default" r="2">
      <x v="2547"/>
    </i>
    <i r="2">
      <x v="2548"/>
      <x v="369"/>
    </i>
    <i t="default" r="2">
      <x v="2548"/>
    </i>
    <i r="2">
      <x v="2549"/>
      <x v="369"/>
    </i>
    <i t="default" r="2">
      <x v="2549"/>
    </i>
    <i r="2">
      <x v="2550"/>
      <x v="369"/>
    </i>
    <i t="default" r="2">
      <x v="2550"/>
    </i>
    <i r="2">
      <x v="2551"/>
      <x v="369"/>
    </i>
    <i t="default" r="2">
      <x v="2551"/>
    </i>
    <i r="2">
      <x v="2552"/>
      <x v="369"/>
    </i>
    <i t="default" r="2">
      <x v="2552"/>
    </i>
    <i r="2">
      <x v="2553"/>
      <x v="369"/>
    </i>
    <i t="default" r="2">
      <x v="2553"/>
    </i>
    <i r="2">
      <x v="2554"/>
      <x v="369"/>
    </i>
    <i t="default" r="2">
      <x v="2554"/>
    </i>
    <i r="2">
      <x v="2555"/>
      <x v="369"/>
    </i>
    <i t="default" r="2">
      <x v="2555"/>
    </i>
    <i r="2">
      <x v="2556"/>
      <x v="369"/>
    </i>
    <i t="default" r="2">
      <x v="2556"/>
    </i>
    <i r="2">
      <x v="2557"/>
      <x v="369"/>
    </i>
    <i t="default" r="2">
      <x v="2557"/>
    </i>
    <i r="2">
      <x v="2558"/>
      <x v="369"/>
    </i>
    <i t="default" r="2">
      <x v="2558"/>
    </i>
    <i r="2">
      <x v="2559"/>
      <x v="369"/>
    </i>
    <i t="default" r="2">
      <x v="2559"/>
    </i>
    <i r="2">
      <x v="2560"/>
      <x v="369"/>
    </i>
    <i t="default" r="2">
      <x v="2560"/>
    </i>
    <i r="2">
      <x v="2561"/>
      <x v="369"/>
    </i>
    <i t="default" r="2">
      <x v="2561"/>
    </i>
    <i r="2">
      <x v="2562"/>
      <x v="369"/>
    </i>
    <i t="default" r="2">
      <x v="2562"/>
    </i>
    <i r="2">
      <x v="2563"/>
      <x v="369"/>
    </i>
    <i t="default" r="2">
      <x v="2563"/>
    </i>
    <i r="2">
      <x v="2564"/>
      <x v="369"/>
    </i>
    <i t="default" r="2">
      <x v="2564"/>
    </i>
    <i r="2">
      <x v="2565"/>
      <x v="369"/>
    </i>
    <i t="default" r="2">
      <x v="2565"/>
    </i>
    <i r="2">
      <x v="2566"/>
      <x v="369"/>
    </i>
    <i t="default" r="2">
      <x v="2566"/>
    </i>
    <i r="2">
      <x v="2567"/>
      <x v="369"/>
    </i>
    <i t="default" r="2">
      <x v="2567"/>
    </i>
    <i r="2">
      <x v="2568"/>
      <x v="369"/>
    </i>
    <i t="default" r="2">
      <x v="2568"/>
    </i>
    <i r="2">
      <x v="2569"/>
      <x v="369"/>
    </i>
    <i t="default" r="2">
      <x v="2569"/>
    </i>
    <i r="2">
      <x v="2570"/>
      <x v="369"/>
    </i>
    <i t="default" r="2">
      <x v="2570"/>
    </i>
    <i r="2">
      <x v="2571"/>
      <x v="369"/>
    </i>
    <i t="default" r="2">
      <x v="2571"/>
    </i>
    <i r="2">
      <x v="2572"/>
      <x v="369"/>
    </i>
    <i t="default" r="2">
      <x v="2572"/>
    </i>
    <i r="2">
      <x v="2573"/>
      <x v="369"/>
    </i>
    <i t="default" r="2">
      <x v="2573"/>
    </i>
    <i r="2">
      <x v="2574"/>
      <x v="369"/>
    </i>
    <i t="default" r="2">
      <x v="2574"/>
    </i>
    <i r="2">
      <x v="2575"/>
      <x v="369"/>
    </i>
    <i t="default" r="2">
      <x v="2575"/>
    </i>
    <i r="2">
      <x v="2576"/>
      <x v="369"/>
    </i>
    <i t="default" r="2">
      <x v="2576"/>
    </i>
    <i r="2">
      <x v="2577"/>
      <x v="369"/>
    </i>
    <i t="default" r="2">
      <x v="2577"/>
    </i>
    <i r="2">
      <x v="2578"/>
      <x v="369"/>
    </i>
    <i t="default" r="2">
      <x v="2578"/>
    </i>
    <i r="2">
      <x v="2579"/>
      <x v="369"/>
    </i>
    <i t="default" r="2">
      <x v="2579"/>
    </i>
    <i r="2">
      <x v="2580"/>
      <x v="369"/>
    </i>
    <i t="default" r="2">
      <x v="2580"/>
    </i>
    <i r="2">
      <x v="2581"/>
      <x v="369"/>
    </i>
    <i t="default" r="2">
      <x v="2581"/>
    </i>
    <i r="2">
      <x v="2582"/>
      <x v="369"/>
    </i>
    <i t="default" r="2">
      <x v="2582"/>
    </i>
    <i r="2">
      <x v="2583"/>
      <x v="369"/>
    </i>
    <i t="default" r="2">
      <x v="2583"/>
    </i>
    <i r="2">
      <x v="2584"/>
      <x v="369"/>
    </i>
    <i t="default" r="2">
      <x v="2584"/>
    </i>
    <i r="2">
      <x v="2585"/>
      <x v="369"/>
    </i>
    <i t="default" r="2">
      <x v="2585"/>
    </i>
    <i r="2">
      <x v="2586"/>
      <x v="369"/>
    </i>
    <i t="default" r="2">
      <x v="2586"/>
    </i>
    <i r="2">
      <x v="2587"/>
      <x v="369"/>
    </i>
    <i t="default" r="2">
      <x v="2587"/>
    </i>
    <i r="2">
      <x v="2588"/>
      <x v="369"/>
    </i>
    <i t="default" r="2">
      <x v="2588"/>
    </i>
    <i r="2">
      <x v="2589"/>
      <x v="369"/>
    </i>
    <i t="default" r="2">
      <x v="2589"/>
    </i>
    <i r="2">
      <x v="2590"/>
      <x v="369"/>
    </i>
    <i t="default" r="2">
      <x v="2590"/>
    </i>
    <i r="2">
      <x v="2591"/>
      <x v="369"/>
    </i>
    <i t="default" r="2">
      <x v="2591"/>
    </i>
    <i r="2">
      <x v="2592"/>
      <x v="369"/>
    </i>
    <i t="default" r="2">
      <x v="2592"/>
    </i>
    <i r="2">
      <x v="2593"/>
      <x v="369"/>
    </i>
    <i t="default" r="2">
      <x v="2593"/>
    </i>
    <i r="2">
      <x v="2594"/>
      <x v="369"/>
    </i>
    <i t="default" r="2">
      <x v="2594"/>
    </i>
    <i r="2">
      <x v="2595"/>
      <x v="369"/>
    </i>
    <i t="default" r="2">
      <x v="2595"/>
    </i>
    <i r="2">
      <x v="2596"/>
      <x v="369"/>
    </i>
    <i t="default" r="2">
      <x v="2596"/>
    </i>
    <i r="2">
      <x v="2597"/>
      <x v="369"/>
    </i>
    <i t="default" r="2">
      <x v="2597"/>
    </i>
    <i r="2">
      <x v="2598"/>
      <x v="369"/>
    </i>
    <i t="default" r="2">
      <x v="2598"/>
    </i>
    <i r="2">
      <x v="2599"/>
      <x v="369"/>
    </i>
    <i t="default" r="2">
      <x v="2599"/>
    </i>
    <i r="2">
      <x v="2600"/>
      <x v="369"/>
    </i>
    <i t="default" r="2">
      <x v="2600"/>
    </i>
    <i r="2">
      <x v="2601"/>
      <x v="369"/>
    </i>
    <i t="default" r="2">
      <x v="2601"/>
    </i>
    <i r="2">
      <x v="2602"/>
      <x v="369"/>
    </i>
    <i t="default" r="2">
      <x v="2602"/>
    </i>
    <i r="2">
      <x v="2603"/>
      <x v="369"/>
    </i>
    <i t="default" r="2">
      <x v="2603"/>
    </i>
    <i r="2">
      <x v="2604"/>
      <x v="369"/>
    </i>
    <i t="default" r="2">
      <x v="2604"/>
    </i>
    <i r="2">
      <x v="2605"/>
      <x v="369"/>
    </i>
    <i t="default" r="2">
      <x v="2605"/>
    </i>
    <i r="2">
      <x v="2606"/>
      <x v="369"/>
    </i>
    <i t="default" r="2">
      <x v="2606"/>
    </i>
    <i r="2">
      <x v="2607"/>
      <x v="369"/>
    </i>
    <i t="default" r="2">
      <x v="2607"/>
    </i>
    <i r="2">
      <x v="2608"/>
      <x v="369"/>
    </i>
    <i t="default" r="2">
      <x v="2608"/>
    </i>
    <i r="2">
      <x v="2609"/>
      <x v="369"/>
    </i>
    <i t="default" r="2">
      <x v="2609"/>
    </i>
    <i r="2">
      <x v="2610"/>
      <x v="369"/>
    </i>
    <i t="default" r="2">
      <x v="2610"/>
    </i>
    <i r="2">
      <x v="2611"/>
      <x v="369"/>
    </i>
    <i t="default" r="2">
      <x v="2611"/>
    </i>
    <i r="2">
      <x v="2612"/>
      <x v="369"/>
    </i>
    <i t="default" r="2">
      <x v="2612"/>
    </i>
    <i r="2">
      <x v="2613"/>
      <x v="369"/>
    </i>
    <i t="default" r="2">
      <x v="2613"/>
    </i>
    <i r="2">
      <x v="2614"/>
      <x v="369"/>
    </i>
    <i t="default" r="2">
      <x v="2614"/>
    </i>
    <i r="2">
      <x v="2615"/>
      <x v="369"/>
    </i>
    <i t="default" r="2">
      <x v="2615"/>
    </i>
    <i r="2">
      <x v="2616"/>
      <x v="369"/>
    </i>
    <i t="default" r="2">
      <x v="2616"/>
    </i>
    <i r="2">
      <x v="2617"/>
      <x v="369"/>
    </i>
    <i t="default" r="2">
      <x v="2617"/>
    </i>
    <i r="2">
      <x v="2618"/>
      <x v="369"/>
    </i>
    <i t="default" r="2">
      <x v="2618"/>
    </i>
    <i r="2">
      <x v="2619"/>
      <x v="369"/>
    </i>
    <i t="default" r="2">
      <x v="2619"/>
    </i>
    <i r="2">
      <x v="2620"/>
      <x v="369"/>
    </i>
    <i t="default" r="2">
      <x v="2620"/>
    </i>
    <i r="2">
      <x v="2621"/>
      <x v="369"/>
    </i>
    <i t="default" r="2">
      <x v="2621"/>
    </i>
    <i r="2">
      <x v="2622"/>
      <x v="369"/>
    </i>
    <i t="default" r="2">
      <x v="2622"/>
    </i>
    <i r="2">
      <x v="2623"/>
      <x v="369"/>
    </i>
    <i t="default" r="2">
      <x v="2623"/>
    </i>
    <i r="2">
      <x v="2624"/>
      <x v="369"/>
    </i>
    <i t="default" r="2">
      <x v="2624"/>
    </i>
    <i r="2">
      <x v="2625"/>
      <x v="369"/>
    </i>
    <i t="default" r="2">
      <x v="2625"/>
    </i>
    <i r="2">
      <x v="2626"/>
      <x v="369"/>
    </i>
    <i t="default" r="2">
      <x v="2626"/>
    </i>
    <i r="2">
      <x v="2627"/>
      <x v="369"/>
    </i>
    <i t="default" r="2">
      <x v="2627"/>
    </i>
    <i r="2">
      <x v="2628"/>
      <x v="369"/>
    </i>
    <i t="default" r="2">
      <x v="2628"/>
    </i>
    <i r="2">
      <x v="2629"/>
      <x v="369"/>
    </i>
    <i t="default" r="2">
      <x v="2629"/>
    </i>
    <i r="2">
      <x v="2630"/>
      <x v="369"/>
    </i>
    <i t="default" r="2">
      <x v="2630"/>
    </i>
    <i r="2">
      <x v="2631"/>
      <x v="369"/>
    </i>
    <i t="default" r="2">
      <x v="2631"/>
    </i>
    <i r="2">
      <x v="2632"/>
      <x v="369"/>
    </i>
    <i t="default" r="2">
      <x v="2632"/>
    </i>
    <i r="2">
      <x v="2633"/>
      <x v="369"/>
    </i>
    <i t="default" r="2">
      <x v="2633"/>
    </i>
    <i r="2">
      <x v="2634"/>
      <x v="369"/>
    </i>
    <i t="default" r="2">
      <x v="2634"/>
    </i>
    <i r="2">
      <x v="2635"/>
      <x v="369"/>
    </i>
    <i t="default" r="2">
      <x v="2635"/>
    </i>
    <i r="2">
      <x v="2636"/>
      <x v="369"/>
    </i>
    <i t="default" r="2">
      <x v="2636"/>
    </i>
    <i r="2">
      <x v="2637"/>
      <x v="369"/>
    </i>
    <i t="default" r="2">
      <x v="2637"/>
    </i>
    <i r="2">
      <x v="2638"/>
      <x v="369"/>
    </i>
    <i t="default" r="2">
      <x v="2638"/>
    </i>
    <i r="2">
      <x v="2639"/>
      <x v="369"/>
    </i>
    <i t="default" r="2">
      <x v="2639"/>
    </i>
    <i r="2">
      <x v="2640"/>
      <x v="369"/>
    </i>
    <i t="default" r="2">
      <x v="2640"/>
    </i>
    <i r="2">
      <x v="2641"/>
      <x v="369"/>
    </i>
    <i t="default" r="2">
      <x v="2641"/>
    </i>
    <i r="2">
      <x v="2642"/>
      <x v="369"/>
    </i>
    <i t="default" r="2">
      <x v="2642"/>
    </i>
    <i r="2">
      <x v="2643"/>
      <x v="369"/>
    </i>
    <i t="default" r="2">
      <x v="2643"/>
    </i>
    <i r="2">
      <x v="2644"/>
      <x v="369"/>
    </i>
    <i t="default" r="2">
      <x v="2644"/>
    </i>
    <i r="2">
      <x v="2645"/>
      <x v="369"/>
    </i>
    <i t="default" r="2">
      <x v="2645"/>
    </i>
    <i r="2">
      <x v="2646"/>
      <x v="369"/>
    </i>
    <i t="default" r="2">
      <x v="2646"/>
    </i>
    <i r="2">
      <x v="2647"/>
      <x v="369"/>
    </i>
    <i t="default" r="2">
      <x v="2647"/>
    </i>
    <i r="2">
      <x v="2648"/>
      <x v="369"/>
    </i>
    <i t="default" r="2">
      <x v="2648"/>
    </i>
    <i r="2">
      <x v="2649"/>
      <x v="369"/>
    </i>
    <i t="default" r="2">
      <x v="2649"/>
    </i>
    <i r="2">
      <x v="2650"/>
      <x v="369"/>
    </i>
    <i t="default" r="2">
      <x v="2650"/>
    </i>
    <i r="2">
      <x v="2651"/>
      <x v="369"/>
    </i>
    <i t="default" r="2">
      <x v="2651"/>
    </i>
    <i r="2">
      <x v="2652"/>
      <x v="369"/>
    </i>
    <i t="default" r="2">
      <x v="2652"/>
    </i>
    <i r="2">
      <x v="2653"/>
      <x v="369"/>
    </i>
    <i t="default" r="2">
      <x v="2653"/>
    </i>
    <i r="2">
      <x v="2654"/>
      <x v="369"/>
    </i>
    <i t="default" r="2">
      <x v="2654"/>
    </i>
    <i r="2">
      <x v="2655"/>
      <x v="369"/>
    </i>
    <i t="default" r="2">
      <x v="2655"/>
    </i>
    <i r="2">
      <x v="2656"/>
      <x v="369"/>
    </i>
    <i t="default" r="2">
      <x v="2656"/>
    </i>
    <i r="2">
      <x v="2657"/>
      <x v="369"/>
    </i>
    <i t="default" r="2">
      <x v="2657"/>
    </i>
    <i r="2">
      <x v="2658"/>
      <x v="369"/>
    </i>
    <i t="default" r="2">
      <x v="2658"/>
    </i>
    <i r="2">
      <x v="2659"/>
      <x v="369"/>
    </i>
    <i t="default" r="2">
      <x v="2659"/>
    </i>
    <i r="2">
      <x v="2660"/>
      <x v="369"/>
    </i>
    <i t="default" r="2">
      <x v="2660"/>
    </i>
    <i r="2">
      <x v="2661"/>
      <x v="369"/>
    </i>
    <i t="default" r="2">
      <x v="2661"/>
    </i>
    <i r="2">
      <x v="2662"/>
      <x v="369"/>
    </i>
    <i t="default" r="2">
      <x v="2662"/>
    </i>
    <i r="2">
      <x v="2663"/>
      <x v="369"/>
    </i>
    <i t="default" r="2">
      <x v="2663"/>
    </i>
    <i r="2">
      <x v="2664"/>
      <x v="369"/>
    </i>
    <i t="default" r="2">
      <x v="2664"/>
    </i>
    <i r="2">
      <x v="2665"/>
      <x v="369"/>
    </i>
    <i t="default" r="2">
      <x v="2665"/>
    </i>
    <i r="2">
      <x v="2666"/>
      <x v="369"/>
    </i>
    <i t="default" r="2">
      <x v="2666"/>
    </i>
    <i r="2">
      <x v="2667"/>
      <x v="369"/>
    </i>
    <i t="default" r="2">
      <x v="2667"/>
    </i>
    <i r="2">
      <x v="2668"/>
      <x v="369"/>
    </i>
    <i t="default" r="2">
      <x v="2668"/>
    </i>
    <i r="2">
      <x v="2669"/>
      <x v="369"/>
    </i>
    <i t="default" r="2">
      <x v="2669"/>
    </i>
    <i r="2">
      <x v="2670"/>
      <x v="369"/>
    </i>
    <i t="default" r="2">
      <x v="2670"/>
    </i>
    <i r="2">
      <x v="2671"/>
      <x v="369"/>
    </i>
    <i t="default" r="2">
      <x v="2671"/>
    </i>
    <i r="2">
      <x v="2672"/>
      <x v="369"/>
    </i>
    <i t="default" r="2">
      <x v="2672"/>
    </i>
    <i r="2">
      <x v="2673"/>
      <x v="369"/>
    </i>
    <i t="default" r="2">
      <x v="2673"/>
    </i>
    <i r="2">
      <x v="2674"/>
      <x v="369"/>
    </i>
    <i t="default" r="2">
      <x v="2674"/>
    </i>
    <i r="2">
      <x v="2675"/>
      <x v="369"/>
    </i>
    <i t="default" r="2">
      <x v="2675"/>
    </i>
    <i r="2">
      <x v="2676"/>
      <x v="369"/>
    </i>
    <i t="default" r="2">
      <x v="2676"/>
    </i>
    <i r="2">
      <x v="2677"/>
      <x v="369"/>
    </i>
    <i t="default" r="2">
      <x v="2677"/>
    </i>
    <i r="2">
      <x v="2678"/>
      <x v="369"/>
    </i>
    <i t="default" r="2">
      <x v="2678"/>
    </i>
    <i r="2">
      <x v="2679"/>
      <x v="369"/>
    </i>
    <i t="default" r="2">
      <x v="2679"/>
    </i>
    <i r="2">
      <x v="2680"/>
      <x v="369"/>
    </i>
    <i t="default" r="2">
      <x v="2680"/>
    </i>
    <i r="2">
      <x v="2681"/>
      <x v="369"/>
    </i>
    <i t="default" r="2">
      <x v="2681"/>
    </i>
    <i r="2">
      <x v="2682"/>
      <x v="369"/>
    </i>
    <i t="default" r="2">
      <x v="2682"/>
    </i>
    <i r="2">
      <x v="2683"/>
      <x v="369"/>
    </i>
    <i t="default" r="2">
      <x v="2683"/>
    </i>
    <i r="2">
      <x v="2684"/>
      <x v="369"/>
    </i>
    <i t="default" r="2">
      <x v="2684"/>
    </i>
    <i r="2">
      <x v="2685"/>
      <x v="369"/>
    </i>
    <i t="default" r="2">
      <x v="2685"/>
    </i>
    <i r="2">
      <x v="2686"/>
      <x v="369"/>
    </i>
    <i t="default" r="2">
      <x v="2686"/>
    </i>
    <i r="2">
      <x v="2687"/>
      <x v="369"/>
    </i>
    <i t="default" r="2">
      <x v="2687"/>
    </i>
    <i r="2">
      <x v="2688"/>
      <x v="369"/>
    </i>
    <i t="default" r="2">
      <x v="2688"/>
    </i>
    <i r="2">
      <x v="2689"/>
      <x v="369"/>
    </i>
    <i t="default" r="2">
      <x v="2689"/>
    </i>
    <i r="2">
      <x v="2690"/>
      <x v="369"/>
    </i>
    <i t="default" r="2">
      <x v="2690"/>
    </i>
    <i r="2">
      <x v="2691"/>
      <x v="369"/>
    </i>
    <i t="default" r="2">
      <x v="2691"/>
    </i>
    <i r="2">
      <x v="2692"/>
      <x v="369"/>
    </i>
    <i t="default" r="2">
      <x v="2692"/>
    </i>
    <i r="2">
      <x v="2693"/>
      <x v="369"/>
    </i>
    <i t="default" r="2">
      <x v="2693"/>
    </i>
    <i r="2">
      <x v="2694"/>
      <x v="369"/>
    </i>
    <i t="default" r="2">
      <x v="2694"/>
    </i>
    <i r="2">
      <x v="2695"/>
      <x v="369"/>
    </i>
    <i t="default" r="2">
      <x v="2695"/>
    </i>
    <i r="2">
      <x v="2696"/>
      <x v="369"/>
    </i>
    <i t="default" r="2">
      <x v="2696"/>
    </i>
    <i r="2">
      <x v="2697"/>
      <x v="369"/>
    </i>
    <i t="default" r="2">
      <x v="2697"/>
    </i>
    <i r="2">
      <x v="2698"/>
      <x v="369"/>
    </i>
    <i t="default" r="2">
      <x v="2698"/>
    </i>
    <i r="2">
      <x v="2699"/>
      <x v="369"/>
    </i>
    <i t="default" r="2">
      <x v="2699"/>
    </i>
    <i r="2">
      <x v="2700"/>
      <x v="369"/>
    </i>
    <i t="default" r="2">
      <x v="2700"/>
    </i>
    <i r="2">
      <x v="2701"/>
      <x v="369"/>
    </i>
    <i t="default" r="2">
      <x v="2701"/>
    </i>
    <i t="default" r="1">
      <x v="3"/>
    </i>
    <i t="default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Query No." fld="1" subtotal="count" baseField="0" baseItem="0"/>
    <dataField name="Sum of Total Query Amount" fld="2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D6CB03-C33E-4D49-8ACD-1EFEBE6D1FAE}" name="PivotTable4" cacheId="8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A3:BC4" firstHeaderRow="0" firstDataRow="1" firstDataCol="1"/>
  <pivotFields count="46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">
        <item h="1" m="1" x="9"/>
        <item m="1" x="8"/>
        <item m="1" x="12"/>
        <item h="1" m="1" x="1"/>
        <item h="1" m="1" x="4"/>
        <item h="1" m="1" x="2"/>
        <item h="1" m="1" x="5"/>
        <item h="1" m="1" x="6"/>
        <item h="1" m="1" x="10"/>
        <item h="1" m="1" x="7"/>
        <item h="1" m="1" x="3"/>
        <item h="1" m="1" x="11"/>
        <item h="1" x="0"/>
        <item h="1" m="1" x="1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0"/>
  </rowFields>
  <rowItems count="1">
    <i t="grand">
      <x/>
    </i>
  </rowItems>
  <colFields count="1">
    <field x="-2"/>
  </colFields>
  <colItems count="2">
    <i>
      <x/>
    </i>
    <i i="1">
      <x v="1"/>
    </i>
  </colItems>
  <dataFields count="2">
    <dataField name="Count of Query No." fld="1" subtotal="count" baseField="0" baseItem="0"/>
    <dataField name="Sum of Total Query Amount" fld="2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014296-E5C3-4F34-A655-AB2679EFEE9C}" name="PivotTable8" cacheId="8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G4:CL9" firstHeaderRow="0" firstDataRow="1" firstDataCol="4"/>
  <pivotFields count="46">
    <pivotField compact="0" outline="0" showAll="0"/>
    <pivotField dataField="1" compact="0" outline="0" showAll="0"/>
    <pivotField axis="axisRow" compact="0" outline="0" showAll="0">
      <items count="453"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22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3"/>
        <item m="1" x="362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x="0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1"/>
        <item m="1" x="434"/>
        <item m="1" x="435"/>
        <item m="1" x="436"/>
        <item m="1" x="437"/>
        <item m="1" x="438"/>
        <item m="1" x="439"/>
        <item m="1" x="440"/>
        <item m="1" x="23"/>
        <item m="1" x="441"/>
        <item m="1" x="25"/>
        <item m="1" x="442"/>
        <item m="1" x="443"/>
        <item m="1" x="444"/>
        <item m="1" x="445"/>
        <item m="1" x="446"/>
        <item m="1" x="3"/>
        <item m="1" x="447"/>
        <item m="1" x="448"/>
        <item m="1" x="449"/>
        <item m="1" x="450"/>
        <item m="1" x="451"/>
        <item m="1" x="45"/>
        <item m="1" x="2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4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t="default"/>
      </items>
    </pivotField>
    <pivotField compact="0" outline="0" showAll="0"/>
    <pivotField axis="axisRow" compact="0" outline="0" showAll="0">
      <items count="14">
        <item m="1" x="1"/>
        <item m="1" x="2"/>
        <item m="1" x="3"/>
        <item m="1" x="4"/>
        <item m="1" x="6"/>
        <item m="1" x="7"/>
        <item m="1" x="8"/>
        <item m="1" x="9"/>
        <item m="1" x="5"/>
        <item m="1" x="10"/>
        <item m="1" x="11"/>
        <item m="1" x="1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67">
        <item m="1" x="236"/>
        <item m="1" x="243"/>
        <item m="1" x="239"/>
        <item m="1" x="251"/>
        <item m="1" x="217"/>
        <item m="1" x="231"/>
        <item m="1" x="241"/>
        <item m="1" x="233"/>
        <item m="1" x="211"/>
        <item m="1" x="221"/>
        <item m="1" x="242"/>
        <item m="1" x="240"/>
        <item m="1" x="212"/>
        <item m="1" x="229"/>
        <item m="1" x="219"/>
        <item m="1" x="256"/>
        <item m="1" x="222"/>
        <item m="1" x="227"/>
        <item m="1" x="234"/>
        <item m="1" x="220"/>
        <item m="1" x="238"/>
        <item m="1" x="224"/>
        <item m="1" x="214"/>
        <item m="1" x="237"/>
        <item m="1" x="248"/>
        <item m="1" x="244"/>
        <item m="1" x="250"/>
        <item m="1" x="215"/>
        <item m="1" x="213"/>
        <item m="1" x="245"/>
        <item m="1" x="268"/>
        <item m="1" x="235"/>
        <item m="1" x="259"/>
        <item m="1" x="273"/>
        <item m="1" x="230"/>
        <item m="1" x="255"/>
        <item m="1" x="262"/>
        <item m="1" x="276"/>
        <item m="1" x="282"/>
        <item m="1" x="228"/>
        <item m="1" x="216"/>
        <item m="1" x="257"/>
        <item m="1" x="269"/>
        <item m="1" x="258"/>
        <item m="1" x="280"/>
        <item m="1" x="278"/>
        <item m="1" x="297"/>
        <item m="1" x="225"/>
        <item m="1" x="252"/>
        <item m="1" x="271"/>
        <item m="1" x="232"/>
        <item m="1" x="246"/>
        <item m="1" x="291"/>
        <item m="1" x="283"/>
        <item m="1" x="265"/>
        <item m="1" x="264"/>
        <item m="1" x="290"/>
        <item m="1" x="284"/>
        <item m="1" x="288"/>
        <item m="1" x="312"/>
        <item m="1" x="314"/>
        <item m="1" x="253"/>
        <item m="1" x="277"/>
        <item m="1" x="305"/>
        <item m="1" x="270"/>
        <item m="1" x="301"/>
        <item m="1" x="292"/>
        <item m="1" x="307"/>
        <item m="1" x="295"/>
        <item m="1" x="309"/>
        <item m="1" x="263"/>
        <item m="1" x="226"/>
        <item m="1" x="311"/>
        <item m="1" x="303"/>
        <item m="1" x="315"/>
        <item m="1" x="316"/>
        <item m="1" x="313"/>
        <item m="1" x="332"/>
        <item m="1" x="333"/>
        <item m="1" x="274"/>
        <item m="1" x="326"/>
        <item m="1" x="293"/>
        <item m="1" x="342"/>
        <item m="1" x="281"/>
        <item m="1" x="223"/>
        <item m="1" x="279"/>
        <item m="1" x="328"/>
        <item m="1" x="319"/>
        <item m="1" x="261"/>
        <item m="1" x="346"/>
        <item m="1" x="218"/>
        <item m="1" x="285"/>
        <item m="1" x="275"/>
        <item m="1" x="299"/>
        <item m="1" x="343"/>
        <item m="1" x="365"/>
        <item m="1" x="358"/>
        <item m="1" x="324"/>
        <item m="1" x="345"/>
        <item m="1" x="249"/>
        <item m="1" x="374"/>
        <item m="1" x="369"/>
        <item m="1" x="364"/>
        <item m="1" x="325"/>
        <item m="1" x="318"/>
        <item m="1" x="371"/>
        <item m="1" x="302"/>
        <item m="1" x="267"/>
        <item m="1" x="294"/>
        <item m="1" x="360"/>
        <item m="1" x="306"/>
        <item m="1" x="344"/>
        <item m="1" x="352"/>
        <item m="1" x="363"/>
        <item m="1" x="381"/>
        <item m="1" x="370"/>
        <item m="1" x="391"/>
        <item m="1" x="247"/>
        <item m="1" x="323"/>
        <item m="1" x="317"/>
        <item m="1" x="348"/>
        <item m="1" x="266"/>
        <item m="1" x="390"/>
        <item m="1" x="377"/>
        <item m="1" x="300"/>
        <item m="1" x="334"/>
        <item m="1" x="296"/>
        <item m="1" x="304"/>
        <item m="1" x="287"/>
        <item m="1" x="380"/>
        <item m="1" x="359"/>
        <item m="1" x="321"/>
        <item m="1" x="335"/>
        <item m="1" x="375"/>
        <item m="1" x="403"/>
        <item m="1" x="399"/>
        <item m="1" x="398"/>
        <item m="1" x="357"/>
        <item m="1" x="404"/>
        <item m="1" x="329"/>
        <item m="1" x="260"/>
        <item m="1" x="386"/>
        <item m="1" x="327"/>
        <item m="1" x="393"/>
        <item m="1" x="361"/>
        <item m="1" x="362"/>
        <item m="1" x="338"/>
        <item m="1" x="320"/>
        <item m="1" x="331"/>
        <item m="1" x="407"/>
        <item m="1" x="387"/>
        <item m="1" x="339"/>
        <item m="1" x="289"/>
        <item m="1" x="383"/>
        <item m="1" x="254"/>
        <item m="1" x="394"/>
        <item m="1" x="397"/>
        <item m="1" x="378"/>
        <item m="1" x="408"/>
        <item m="1" x="368"/>
        <item m="1" x="406"/>
        <item m="1" x="413"/>
        <item m="1" x="272"/>
        <item m="1" x="420"/>
        <item m="1" x="395"/>
        <item m="1" x="423"/>
        <item m="1" x="401"/>
        <item m="1" x="388"/>
        <item m="1" x="286"/>
        <item m="1" x="347"/>
        <item m="1" x="355"/>
        <item m="1" x="349"/>
        <item m="1" x="367"/>
        <item m="1" x="379"/>
        <item m="1" x="425"/>
        <item m="1" x="385"/>
        <item m="1" x="350"/>
        <item m="1" x="337"/>
        <item m="1" x="428"/>
        <item m="1" x="396"/>
        <item m="1" x="392"/>
        <item m="1" x="419"/>
        <item m="1" x="440"/>
        <item m="1" x="354"/>
        <item m="1" x="429"/>
        <item m="1" x="410"/>
        <item m="1" x="436"/>
        <item m="1" x="322"/>
        <item m="1" x="405"/>
        <item m="1" x="308"/>
        <item m="1" x="411"/>
        <item m="1" x="418"/>
        <item m="1" x="366"/>
        <item m="1" x="382"/>
        <item m="1" x="415"/>
        <item m="1" x="351"/>
        <item m="1" x="414"/>
        <item m="1" x="431"/>
        <item m="1" x="434"/>
        <item m="1" x="426"/>
        <item m="1" x="376"/>
        <item m="1" x="356"/>
        <item m="1" x="424"/>
        <item m="1" x="336"/>
        <item m="1" x="438"/>
        <item m="1" x="412"/>
        <item m="1" x="432"/>
        <item m="1" x="310"/>
        <item m="1" x="389"/>
        <item m="1" x="409"/>
        <item m="1" x="437"/>
        <item m="1" x="372"/>
        <item m="1" x="400"/>
        <item m="1" x="341"/>
        <item m="1" x="353"/>
        <item m="1" x="416"/>
        <item m="1" x="422"/>
        <item m="1" x="430"/>
        <item m="1" x="402"/>
        <item m="1" x="421"/>
        <item m="1" x="433"/>
        <item m="1" x="384"/>
        <item m="1" x="417"/>
        <item m="1" x="298"/>
        <item m="1" x="435"/>
        <item m="1" x="330"/>
        <item m="1" x="427"/>
        <item m="1" x="340"/>
        <item m="1" x="9"/>
        <item m="1" x="15"/>
        <item m="1" x="25"/>
        <item x="0"/>
        <item m="1" x="373"/>
        <item m="1" x="439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1"/>
        <item m="1" x="34"/>
        <item m="1" x="453"/>
        <item m="1" x="454"/>
        <item m="1" x="455"/>
        <item m="1" x="456"/>
        <item m="1" x="457"/>
        <item m="1" x="458"/>
        <item m="1" x="459"/>
        <item m="1" x="460"/>
        <item m="1" x="26"/>
        <item m="1" x="461"/>
        <item m="1" x="31"/>
        <item m="1" x="36"/>
        <item m="1" x="462"/>
        <item m="1" x="463"/>
        <item m="1" x="3"/>
        <item m="1" x="464"/>
        <item m="1" x="465"/>
        <item m="1" x="104"/>
        <item m="1" x="2"/>
        <item m="1" x="4"/>
        <item m="1" x="5"/>
        <item m="1" x="6"/>
        <item m="1" x="7"/>
        <item m="1" x="8"/>
        <item m="1" x="10"/>
        <item m="1" x="11"/>
        <item m="1" x="12"/>
        <item m="1" x="13"/>
        <item m="1" x="14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7"/>
        <item m="1" x="28"/>
        <item m="1" x="29"/>
        <item m="1" x="30"/>
        <item m="1" x="32"/>
        <item m="1" x="33"/>
        <item m="1" x="35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210"/>
        <item m="1" x="49"/>
        <item m="1" x="50"/>
        <item m="1" x="51"/>
        <item m="1" x="52"/>
        <item m="1" x="53"/>
        <item m="1" x="48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">
        <item m="1" x="9"/>
        <item m="1" x="8"/>
        <item m="1" x="12"/>
        <item m="1" x="1"/>
        <item m="1" x="4"/>
        <item m="1" x="2"/>
        <item m="1" x="5"/>
        <item m="1" x="6"/>
        <item m="1" x="10"/>
        <item m="1" x="7"/>
        <item m="1" x="3"/>
        <item m="1" x="11"/>
        <item x="0"/>
        <item m="1" x="1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4">
    <field x="4"/>
    <field x="2"/>
    <field x="20"/>
    <field x="15"/>
  </rowFields>
  <rowItems count="5">
    <i>
      <x v="12"/>
      <x v="225"/>
      <x v="12"/>
      <x v="231"/>
    </i>
    <i t="default" r="2">
      <x v="12"/>
    </i>
    <i t="default" r="1">
      <x v="225"/>
    </i>
    <i t="default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Query No." fld="1" subtotal="count" baseField="0" baseItem="0"/>
    <dataField name="Sum of Total Query Amount" fld="2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0BE98D-D152-4DF6-8E10-C57F8DA95CDA}" name="PivotTable1" cacheId="8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4" firstHeaderRow="0" firstDataRow="1" firstDataCol="2"/>
  <pivotFields count="46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">
        <item m="1" x="9"/>
        <item m="1" x="8"/>
        <item m="1" x="12"/>
        <item h="1" m="1" x="1"/>
        <item h="1" m="1" x="4"/>
        <item h="1" m="1" x="2"/>
        <item h="1" m="1" x="5"/>
        <item h="1" m="1" x="6"/>
        <item h="1" m="1" x="10"/>
        <item h="1" m="1" x="7"/>
        <item h="1" m="1" x="3"/>
        <item h="1" m="1" x="11"/>
        <item h="1" x="0"/>
        <item h="1" m="1" x="1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m="1" x="1"/>
        <item m="1" x="3"/>
        <item m="1" x="2"/>
        <item x="0"/>
        <item t="default"/>
      </items>
    </pivotField>
    <pivotField compact="0" outline="0" showAll="0"/>
  </pivotFields>
  <rowFields count="2">
    <field x="20"/>
    <field x="44"/>
  </rowFields>
  <rowItems count="1">
    <i t="grand">
      <x/>
    </i>
  </rowItems>
  <colFields count="1">
    <field x="-2"/>
  </colFields>
  <colItems count="2">
    <i>
      <x/>
    </i>
    <i i="1">
      <x v="1"/>
    </i>
  </colItems>
  <dataFields count="2">
    <dataField name="Count of Query No." fld="1" subtotal="count" baseField="0" baseItem="0"/>
    <dataField name="Sum of Total Query Amount" fld="2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301AE4-612B-4911-B7DC-1EF898A922D5}" name="PivotTable5" cacheId="8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I3:BL6" firstHeaderRow="0" firstDataRow="1" firstDataCol="2"/>
  <pivotFields count="46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">
        <item m="1" x="9"/>
        <item m="1" x="8"/>
        <item m="1" x="12"/>
        <item m="1" x="1"/>
        <item m="1" x="4"/>
        <item m="1" x="2"/>
        <item m="1" x="5"/>
        <item m="1" x="6"/>
        <item m="1" x="10"/>
        <item m="1" x="7"/>
        <item m="1" x="3"/>
        <item m="1" x="11"/>
        <item x="0"/>
        <item m="1" x="1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m="1" x="1"/>
        <item m="1" x="3"/>
        <item m="1" x="2"/>
        <item x="0"/>
        <item t="default"/>
      </items>
    </pivotField>
    <pivotField compact="0" outline="0" showAll="0"/>
  </pivotFields>
  <rowFields count="2">
    <field x="20"/>
    <field x="44"/>
  </rowFields>
  <rowItems count="3">
    <i>
      <x v="12"/>
      <x v="3"/>
    </i>
    <i t="default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Query No." fld="1" subtotal="count" baseField="0" baseItem="0"/>
    <dataField name="Sum of Total Query Amount" fld="2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5" displayName="Table5" ref="B4:AU1004" totalsRowShown="0" headerRowDxfId="48" dataDxfId="47" headerRowBorderDxfId="46">
  <autoFilter ref="B4:AU1004" xr:uid="{00000000-0009-0000-0100-000005000000}"/>
  <tableColumns count="46">
    <tableColumn id="1" xr3:uid="{00000000-0010-0000-0000-000001000000}" name="S. No" dataDxfId="45"/>
    <tableColumn id="25" xr3:uid="{00000000-0010-0000-0000-000019000000}" name="Query No." dataDxfId="44"/>
    <tableColumn id="2" xr3:uid="{00000000-0010-0000-0000-000002000000}" name="Query Date" dataDxfId="43"/>
    <tableColumn id="3" xr3:uid="{00000000-0010-0000-0000-000003000000}" name="Query Day" dataDxfId="42">
      <calculatedColumnFormula>IF(Table5[[#This Row],[Query Date]]&lt;&gt;"", TEXT(Table5[[#This Row],[Query Date]], "dddd"), "")</calculatedColumnFormula>
    </tableColumn>
    <tableColumn id="32" xr3:uid="{20CF242E-0879-47E8-A327-31E61B6FDC36}" name="Query Month" dataDxfId="41">
      <calculatedColumnFormula>IF(Table5[[#This Row],[Query Date]]&lt;&gt;"", TEXT(Table5[[#This Row],[Query Date]], "mmmm"), "")</calculatedColumnFormula>
    </tableColumn>
    <tableColumn id="5" xr3:uid="{42F4B14F-A405-4F42-84FA-1EC02F7FBCF3}" name="Query Market Source" dataDxfId="40"/>
    <tableColumn id="40" xr3:uid="{0AB2ED9F-8EC9-4732-B79A-3CECDE8C2D07}" name="Query Market / Region" dataDxfId="39"/>
    <tableColumn id="38" xr3:uid="{15DE5017-04D0-4BA8-A01A-6E25BCEB8350}" name="Query Type" dataDxfId="38"/>
    <tableColumn id="39" xr3:uid="{053A171C-7FD0-4D17-A1DA-51811E60B286}" name="Query For" dataDxfId="37"/>
    <tableColumn id="41" xr3:uid="{06E08A17-74D6-45F2-B1E3-3377E04C036B}" name="Query Base City" dataDxfId="36"/>
    <tableColumn id="4" xr3:uid="{00000000-0010-0000-0000-000004000000}" name="Query Source Type" dataDxfId="35"/>
    <tableColumn id="29" xr3:uid="{00000000-0010-0000-0000-00001D000000}" name="Query Source Name" dataDxfId="34"/>
    <tableColumn id="6" xr3:uid="{00000000-0010-0000-0000-000006000000}" name="Contact Person" dataDxfId="33"/>
    <tableColumn id="7" xr3:uid="{00000000-0010-0000-0000-000007000000}" name="Contact Number" dataDxfId="32"/>
    <tableColumn id="8" xr3:uid="{00000000-0010-0000-0000-000008000000}" name="Email Id" dataDxfId="31"/>
    <tableColumn id="33" xr3:uid="{995FF1F5-99DD-49FE-A4FF-F5C46293F4A3}" name="Tour Starting Date" dataDxfId="30"/>
    <tableColumn id="34" xr3:uid="{F37A6877-93B7-4CAE-A2D5-22C980D29E33}" name="Tour Starting Day" dataDxfId="29">
      <calculatedColumnFormula>IF(Table5[[#This Row],[Tour Starting Date]]&lt;&gt;"", TEXT(Table5[[#This Row],[Tour Starting Date]], "dddd"), "")</calculatedColumnFormula>
    </tableColumn>
    <tableColumn id="35" xr3:uid="{3C0AECD2-19F3-4855-80EA-7985558B0324}" name="Tour Ending Date" dataDxfId="28"/>
    <tableColumn id="9" xr3:uid="{00000000-0010-0000-0000-000009000000}" name="Tour Ending Day" dataDxfId="27">
      <calculatedColumnFormula>IF(Table5[[#This Row],[Tour Ending Date]]&lt;&gt;"", TEXT(Table5[[#This Row],[Tour Ending Date]], "dddd"), "")</calculatedColumnFormula>
    </tableColumn>
    <tableColumn id="37" xr3:uid="{8A486A0D-42AF-4431-B02D-8569466F74D1}" name="Tour Duration" dataDxfId="26">
      <calculatedColumnFormula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calculatedColumnFormula>
    </tableColumn>
    <tableColumn id="10" xr3:uid="{00000000-0010-0000-0000-00000A000000}" name="Travel Month" dataDxfId="25">
      <calculatedColumnFormula>IF(Table5[[#This Row],[Tour Starting Date]]&lt;&gt;"", TEXT(Table5[[#This Row],[Tour Starting Date]], "mmmm"), "")</calculatedColumnFormula>
    </tableColumn>
    <tableColumn id="36" xr3:uid="{5382D0CB-2208-47CE-AC5D-54138E01DE29}" name="Travel Period Marked As" dataDxfId="24">
      <calculatedColumnFormula array="1">IF(Q5&lt;&gt;"", INDEX(CI:CI, MATCH(1, (Q5&gt;=CG:CG)*(Q5&lt;=CH:CH), 0)), "")</calculatedColumnFormula>
    </tableColumn>
    <tableColumn id="11" xr3:uid="{00000000-0010-0000-0000-00000B000000}" name="No. of Pax" dataDxfId="23"/>
    <tableColumn id="28" xr3:uid="{E67ED0B0-FFF1-406B-8022-0E5F286DF4FF}" name="Per Person Package Cost" dataDxfId="22"/>
    <tableColumn id="31" xr3:uid="{AC018225-B4C1-4409-97F5-B0CB4CD2DD30}" name="Total Query Amount" dataDxfId="21">
      <calculatedColumnFormula>IF(OR(Table5[[#This Row],[Per Person Package Cost]]="", Table5[[#This Row],[No. of Pax]]=""), "", Table5[[#This Row],[Per Person Package Cost]] * Table5[[#This Row],[No. of Pax]])</calculatedColumnFormula>
    </tableColumn>
    <tableColumn id="26" xr3:uid="{6A667519-8AE1-48C8-8B02-AF919C598538}" name="Tour Starting City" dataDxfId="20"/>
    <tableColumn id="30" xr3:uid="{F08B7849-A8A9-4D7C-B8D5-CCD29DABDB64}" name="Tour Ending City" dataDxfId="19"/>
    <tableColumn id="45" xr3:uid="{2D5E24B9-EBBC-43FA-A23F-2C64FB25C210}" name="Hotel Category" dataDxfId="18"/>
    <tableColumn id="46" xr3:uid="{EFFDCFB5-EC3F-4645-B5DE-F86D1EA6F319}" name="Interested Program Routing" dataDxfId="17"/>
    <tableColumn id="42" xr3:uid="{18922E8B-962F-4AF4-AD2A-FB9CAEA387EC}" name="Interested Program Code" dataDxfId="16">
      <calculatedColumnFormula>IF(AD5&lt;&gt;"", INDEX(CW:CW, MATCH(AD5, CZ:CZ, 0)), "")</calculatedColumnFormula>
    </tableColumn>
    <tableColumn id="43" xr3:uid="{3EA3FBB4-507A-45CB-8728-7E99770B6637}" name="Interested Program Name" dataDxfId="15">
      <calculatedColumnFormula>IF(AD5&lt;&gt;"", INDEX(CX:CX, MATCH(AD5, CZ:CZ, 0)), "")</calculatedColumnFormula>
    </tableColumn>
    <tableColumn id="44" xr3:uid="{4BB5D908-E561-4132-AAA3-01CC55703A20}" name="Program Type" dataDxfId="14">
      <calculatedColumnFormula>IF(AE5&lt;&gt;"", INDEX(CU:CU, MATCH(AE5, CW:CW, 0)), "")</calculatedColumnFormula>
    </tableColumn>
    <tableColumn id="16" xr3:uid="{C5C65B63-0F34-4256-BEA3-70806B21C447}" name="Program Region" dataDxfId="13">
      <calculatedColumnFormula>IF(AD5&lt;&gt;"", INDEX(CV:CV, MATCH(AD5, CZ:CZ, 0)), "")</calculatedColumnFormula>
    </tableColumn>
    <tableColumn id="12" xr3:uid="{00000000-0010-0000-0000-00000C000000}" name="Travel Advisor" dataDxfId="12"/>
    <tableColumn id="27" xr3:uid="{00000000-0010-0000-0000-00001B000000}" name="Conversation Medium" dataDxfId="11"/>
    <tableColumn id="13" xr3:uid="{00000000-0010-0000-0000-00000D000000}" name="New" dataDxfId="10"/>
    <tableColumn id="14" xr3:uid="{00000000-0010-0000-0000-00000E000000}" name="Working" dataDxfId="9"/>
    <tableColumn id="15" xr3:uid="{00000000-0010-0000-0000-00000F000000}" name="Nurturing" dataDxfId="8"/>
    <tableColumn id="17" xr3:uid="{00000000-0010-0000-0000-000011000000}" name="1st Fu" dataDxfId="7"/>
    <tableColumn id="18" xr3:uid="{00000000-0010-0000-0000-000012000000}" name="2nd Fu" dataDxfId="6"/>
    <tableColumn id="19" xr3:uid="{00000000-0010-0000-0000-000013000000}" name="3rd Fu" dataDxfId="5"/>
    <tableColumn id="20" xr3:uid="{00000000-0010-0000-0000-000014000000}" name="4th Fu" dataDxfId="4"/>
    <tableColumn id="21" xr3:uid="{00000000-0010-0000-0000-000015000000}" name="5th Fu" dataDxfId="3"/>
    <tableColumn id="22" xr3:uid="{00000000-0010-0000-0000-000016000000}" name="6th Fu" dataDxfId="2"/>
    <tableColumn id="23" xr3:uid="{00000000-0010-0000-0000-000017000000}" name="Final Lead Status" dataDxfId="1"/>
    <tableColumn id="24" xr3:uid="{00000000-0010-0000-0000-000018000000}" name="Remarks / Reason" dataDxfId="0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O5" dT="2026-02-13T06:14:58.15" personId="{A87A03F1-D194-4224-B6ED-B822BAF16891}" id="{445C61C0-13FD-494E-BABA-F7A31021ED8F}">
    <text>Deeksha: Sent Follow-up mail</text>
  </threadedComment>
  <threadedComment ref="AP5" dT="2026-02-24T05:33:43.18" personId="{A87A03F1-D194-4224-B6ED-B822BAF16891}" id="{F6A1330A-E0BD-46AC-9A77-5CF816F7F03D}">
    <text>Chhaya: - Send Followup Email</text>
  </threadedComment>
  <threadedComment ref="AQ5" dT="2026-03-10T12:13:53.38" personId="{A87A03F1-D194-4224-B6ED-B822BAF16891}" id="{633A152E-97A7-45B1-B9AB-673996780327}">
    <text>Deeksha: The agent informed that the query is currently in progress. My colleague is in discussion with the client and will update me by tomorrow</text>
  </threadedComment>
  <threadedComment ref="AN6" dT="2026-02-13T06:42:51.41" personId="{A87A03F1-D194-4224-B6ED-B822BAF16891}" id="{24C257B7-7077-4887-B5CD-0C87C5B2EE23}">
    <text>Chhaya :- Send revised quotation on 15 Pax</text>
  </threadedComment>
  <threadedComment ref="AN7" dT="2026-02-24T05:49:17.73" personId="{A87A03F1-D194-4224-B6ED-B822BAF16891}" id="{3EE2767C-B4EF-4864-8F78-7A98CA7BB95F}">
    <text>Chhaya:- Send Follow up email</text>
  </threadedComment>
  <threadedComment ref="AO7" dT="2026-03-10T12:15:22.81" personId="{A87A03F1-D194-4224-B6ED-B822BAF16891}" id="{A7E838C5-BB5D-411F-940B-BFDDBE46A548}">
    <text>Deeksha: Sent Follow-up mail</text>
  </threadedComment>
  <threadedComment ref="AN8" dT="2026-02-13T06:57:04.73" personId="{A87A03F1-D194-4224-B6ED-B822BAF16891}" id="{0E1FFC22-FDC9-4B2B-B5D2-01DFE0FD8D60}">
    <text>Chhaya :- Send Followup email</text>
  </threadedComment>
  <threadedComment ref="AO9" dT="2026-03-09T11:40:33.15" personId="{A87A03F1-D194-4224-B6ED-B822BAF16891}" id="{F2CD939A-A366-42CF-B022-FA190528ADCE}">
    <text>Deeksha: Sent Follow-up Mail</text>
  </threadedComment>
  <threadedComment ref="AP9" dT="2026-03-24T11:22:17.97" personId="{A87A03F1-D194-4224-B6ED-B822BAF16891}" id="{98137FA9-65E7-4720-AD29-30671AA931C1}">
    <text>Deeksha: Sent Follow-up mail</text>
  </threadedComment>
  <threadedComment ref="AN10" dT="2026-02-13T07:23:35.94" personId="{A87A03F1-D194-4224-B6ED-B822BAF16891}" id="{8978405D-AF78-4353-B1B3-DE1255231552}">
    <text>Chhaya:- Send revised quote budget</text>
  </threadedComment>
  <threadedComment ref="AN13" dT="2026-08-14T05:09:16.41" personId="{A87A03F1-D194-4224-B6ED-B822BAF16891}" id="{D0DA46B3-6EB0-438A-98AF-1B0567E16772}">
    <text>Chhaya :- Sent followup email</text>
  </threadedComment>
  <threadedComment ref="AN14" dT="2026-03-10T12:01:11.78" personId="{A87A03F1-D194-4224-B6ED-B822BAF16891}" id="{6570C1BD-39A4-49CA-9FB3-F39CB2928477}">
    <text>Deeksha: Sent Follow-up mail</text>
  </threadedComment>
  <threadedComment ref="AO14" dT="2026-03-26T11:53:09.29" personId="{A87A03F1-D194-4224-B6ED-B822BAF16891}" id="{400D2763-687F-4DE9-BBE9-BB7B76A038EB}">
    <text>Deeksha: Sent Follow-up Mail</text>
  </threadedComment>
  <threadedComment ref="AN15" dT="2026-03-10T11:49:42.43" personId="{A87A03F1-D194-4224-B6ED-B822BAF16891}" id="{704FC011-69FA-4215-B584-BEFD9EC522D4}">
    <text>Deeksha: Sent Follow-up maiol</text>
  </threadedComment>
  <threadedComment ref="AO15" dT="2026-03-26T11:55:20.20" personId="{A87A03F1-D194-4224-B6ED-B822BAF16891}" id="{FE22F96E-727C-4D18-93B7-1866953569A4}">
    <text xml:space="preserve">Deeksha: Continue conversation with Ashish Sir on over the call </text>
  </threadedComment>
  <threadedComment ref="AP15" dT="2026-05-16T06:12:12.99" personId="{A87A03F1-D194-4224-B6ED-B822BAF16891}" id="{F9523801-DA7C-4B0A-815D-C4DC9AE19F0F}">
    <text>Deeksha: Sent Follow-up mail</text>
  </threadedComment>
  <threadedComment ref="AN16" dT="2026-03-09T11:45:13.15" personId="{A87A03F1-D194-4224-B6ED-B822BAF16891}" id="{2786866C-2DD5-4333-A24E-CFF0A83AC4F9}">
    <text>Deeksha: Sent Follow-up Mail</text>
  </threadedComment>
  <threadedComment ref="AO16" dT="2026-03-26T11:54:32.70" personId="{A87A03F1-D194-4224-B6ED-B822BAF16891}" id="{C165CBBD-5539-4C35-8C85-696CA05FCD2D}">
    <text>Deeksha: Sent Follow-up Mail</text>
  </threadedComment>
  <threadedComment ref="AP16" dT="2026-07-28T11:14:26.96" personId="{A87A03F1-D194-4224-B6ED-B822BAF16891}" id="{DF1BC803-5831-45B4-9298-CE95EAFD46E5}">
    <text>Deeskha: No Update from Agent sent follow-up mail</text>
  </threadedComment>
  <threadedComment ref="AN17" dT="2026-03-10T11:43:46.11" personId="{A87A03F1-D194-4224-B6ED-B822BAF16891}" id="{671FB720-2D27-4B0E-B551-C8E0911794C8}">
    <text>Deeksha: Continue Conversation with chhaya</text>
  </threadedComment>
  <threadedComment ref="AO17" dT="2026-03-26T11:58:11.52" personId="{A87A03F1-D194-4224-B6ED-B822BAF16891}" id="{570246B7-CCBE-451A-9D92-C9ECA4E6A7D3}">
    <text>Deeksha: Sent Follow-up Mail</text>
  </threadedComment>
  <threadedComment ref="AN18" dT="2026-03-10T11:46:10.96" personId="{A87A03F1-D194-4224-B6ED-B822BAF16891}" id="{5E8F7D6B-DCD6-42A0-88E4-5708BFED3914}">
    <text>Deeksha: Sent Follow-up Mail</text>
  </threadedComment>
  <threadedComment ref="AO18" dT="2026-03-26T12:03:44.01" personId="{A87A03F1-D194-4224-B6ED-B822BAF16891}" id="{E30AEE6A-DD0C-4E8D-BE20-221095DBCBB2}">
    <text>Deeksha: Sent Follow-up mail</text>
  </threadedComment>
  <threadedComment ref="AN19" dT="2026-03-10T11:53:36.30" personId="{A87A03F1-D194-4224-B6ED-B822BAF16891}" id="{44291E2E-6A82-4340-9349-243BBC4C26F5}">
    <text>Deeksha: Sent Follow-up mail</text>
  </threadedComment>
  <threadedComment ref="AO19" dT="2026-03-26T12:04:05.21" personId="{A87A03F1-D194-4224-B6ED-B822BAF16891}" id="{9DD33958-EE31-4CF3-B413-FB0E5A199698}">
    <text>Deeksha: Sent Follow-up mail</text>
  </threadedComment>
  <threadedComment ref="AN20" dT="2026-03-10T11:55:29.20" personId="{A87A03F1-D194-4224-B6ED-B822BAF16891}" id="{47075A91-56D5-4CC3-9806-0E510A319289}">
    <text>Deeksha: Sent Follow-up Mail</text>
  </threadedComment>
  <threadedComment ref="AO20" dT="2026-03-21T07:05:14.78" personId="{A87A03F1-D194-4224-B6ED-B822BAF16891}" id="{2B70C0EA-8D7C-40E1-ABBB-D148A52D90C3}">
    <text xml:space="preserve">chhaya:-Send followup email
</text>
  </threadedComment>
  <threadedComment ref="AN21" dT="2026-03-10T11:57:59.83" personId="{A87A03F1-D194-4224-B6ED-B822BAF16891}" id="{DBE210C8-EA86-466E-B1F1-F4E41CDBCF43}">
    <text>Deeksha: Sent Follow-up mail</text>
  </threadedComment>
  <threadedComment ref="AO21" dT="2026-03-28T05:04:48.66" personId="{A87A03F1-D194-4224-B6ED-B822BAF16891}" id="{034A4295-D09C-4639-8D13-50BB27F1C394}">
    <text>Chhaya:- Send followup Email</text>
  </threadedComment>
  <threadedComment ref="AO21" dT="2026-03-28T05:11:26.37" personId="{A87A03F1-D194-4224-B6ED-B822BAF16891}" id="{8A9E0D01-A55C-43C8-B7B3-F2CED62F4F8F}" parentId="{034A4295-D09C-4639-8D13-50BB27F1C394}">
    <text>Chhaya:- Agent Reply We are awaiting revert from agent kindly allow us some time </text>
  </threadedComment>
  <threadedComment ref="AP21" dT="2026-04-20T05:05:41.03" personId="{A87A03F1-D194-4224-B6ED-B822BAF16891}" id="{3049DC2B-C018-4E91-9356-8372DA416B22}">
    <text>Chhaya:- Sent Followup Email</text>
  </threadedComment>
  <threadedComment ref="AQ21" dT="2026-04-22T04:55:43.84" personId="{A87A03F1-D194-4224-B6ED-B822BAF16891}" id="{47F3C429-0C49-48D5-A385-B7AAFE0D3420}">
    <text>Deeksha; Sent Follow-up Mail</text>
  </threadedComment>
  <threadedComment ref="AN22" dT="2026-03-10T11:59:07.06" personId="{A87A03F1-D194-4224-B6ED-B822BAF16891}" id="{21B0BAA1-739C-4742-A94D-E52390A4BE1E}">
    <text>Chhaya: Sent revised quote on 09 Mar'26</text>
  </threadedComment>
  <threadedComment ref="AO22" dT="2026-03-20T05:40:47.00" personId="{A87A03F1-D194-4224-B6ED-B822BAF16891}" id="{C43F2C3A-4DAD-4F0C-A0BD-565852157E36}">
    <text>Chhaya :- I will talk to the client and revert you.</text>
  </threadedComment>
  <threadedComment ref="AP22" dT="2026-03-28T05:06:31.60" personId="{A87A03F1-D194-4224-B6ED-B822BAF16891}" id="{51506D2C-8DC7-4EE2-B75E-131D7D7B8539}">
    <text>Chhaya :- Call Not Received</text>
  </threadedComment>
  <threadedComment ref="AN23" dT="2026-03-30T10:30:14.87" personId="{A87A03F1-D194-4224-B6ED-B822BAF16891}" id="{8E602FDC-C171-406C-80E6-00111D4CE8D5}">
    <text>Chhaya :- Send Followup Email</text>
  </threadedComment>
  <threadedComment ref="AO23" dT="2026-04-20T05:11:50.25" personId="{A87A03F1-D194-4224-B6ED-B822BAF16891}" id="{CA773645-EBF0-4902-92C4-AC7572D52207}">
    <text>Chhaya :- Send Followup Email</text>
  </threadedComment>
  <threadedComment ref="AP24" dT="2026-04-22T05:26:44.66" personId="{A87A03F1-D194-4224-B6ED-B822BAF16891}" id="{89418DDA-A033-4E8D-821A-E98A4EF2BCE5}">
    <text>Deeksha: Client Drop the Plan</text>
  </threadedComment>
  <threadedComment ref="AO26" dT="2026-03-28T05:30:01.08" personId="{A87A03F1-D194-4224-B6ED-B822BAF16891}" id="{3C6DA445-C1D2-476E-90E9-3568ED2B7CA7}">
    <text>Chhaya :- Agent spoke to client Client placed package on hold for June</text>
  </threadedComment>
  <threadedComment ref="AN27" dT="2026-03-21T04:50:09.12" personId="{A87A03F1-D194-4224-B6ED-B822BAF16891}" id="{B35AAE0E-6729-4B72-AE40-45EA02823D24}">
    <text>Chhaya:- Send followup Email</text>
  </threadedComment>
  <threadedComment ref="AO27" dT="2026-03-28T05:51:10.93" personId="{A87A03F1-D194-4224-B6ED-B822BAF16891}" id="{A4EDBA4D-DB7C-4242-B85D-8B285CCC5079}">
    <text>Chhaya:- Send followup email</text>
  </threadedComment>
  <threadedComment ref="AN28" dT="2026-03-21T05:10:47.53" personId="{A87A03F1-D194-4224-B6ED-B822BAF16891}" id="{443A8DD4-A37C-45E7-A9D7-29E504FFF458}">
    <text>Chhaya:- I'll revert you after talking to the client.</text>
  </threadedComment>
  <threadedComment ref="AN29" dT="2026-03-21T05:12:38.78" personId="{A87A03F1-D194-4224-B6ED-B822BAF16891}" id="{968FFF16-3F9A-44CA-8AEF-A29574721489}">
    <text>Chhaya :- The flight fare is very high, so talk to the client and I will inform you.</text>
  </threadedComment>
  <threadedComment ref="AO30" dT="2026-03-26T12:10:04.69" personId="{A87A03F1-D194-4224-B6ED-B822BAF16891}" id="{36F25601-0F79-413C-907F-E8D4857F2EB2}">
    <text>Deeksha: The agent has not received any response from the client</text>
  </threadedComment>
  <threadedComment ref="AN32" dT="2026-04-03T11:51:35.76" personId="{A87A03F1-D194-4224-B6ED-B822BAF16891}" id="{EF8BDF9C-D3C9-4B8C-B9B2-9F2E74FDEC68}">
    <text>chhaya :- Send Followps email</text>
  </threadedComment>
  <threadedComment ref="AO34" dT="2026-04-07T08:44:22.77" personId="{A87A03F1-D194-4224-B6ED-B822BAF16891}" id="{36C20D35-4994-42CA-8E7C-68F7B6F9B8B3}">
    <text>Deeksha: Sent Follow-up Mail</text>
  </threadedComment>
  <threadedComment ref="AO35" dT="2026-08-03T09:14:55.15" personId="{A87A03F1-D194-4224-B6ED-B822BAF16891}" id="{9B1564BC-2B45-44E6-BF9E-B41702D8F85F}">
    <text>Chhaya:- Send followup email</text>
  </threadedComment>
  <threadedComment ref="AO36" dT="2026-04-07T08:32:29.19" personId="{A87A03F1-D194-4224-B6ED-B822BAF16891}" id="{6C40A8AC-11CB-47E1-AB8F-022B4B79474D}">
    <text>Deeksha: Sent Follow-up</text>
  </threadedComment>
  <threadedComment ref="AO37" dT="2026-04-07T08:36:51.50" personId="{A87A03F1-D194-4224-B6ED-B822BAF16891}" id="{391F6E36-93E1-495D-A201-5A6E01F6DD26}">
    <text>Deeksha: Sent Follow-up</text>
  </threadedComment>
  <threadedComment ref="AP37" dT="2026-04-20T05:29:14.40" personId="{A87A03F1-D194-4224-B6ED-B822BAF16891}" id="{27CA09F1-3EDC-48A9-8964-827922DA895F}">
    <text>Chhaya:- On Call Followup Informed us that no update has been received from the client yet.</text>
  </threadedComment>
  <threadedComment ref="AO38" dT="2026-04-16T12:22:47.04" personId="{A87A03F1-D194-4224-B6ED-B822BAF16891}" id="{47454432-9B43-4AF7-A5B8-A68D5F63CD31}">
    <text>Deeksha: The agent has informed us that no update has been received from the client yet.</text>
  </threadedComment>
  <threadedComment ref="AO39" dT="2026-04-16T12:42:06.22" personId="{A87A03F1-D194-4224-B6ED-B822BAF16891}" id="{B20F4279-8B1B-4C24-B1D8-049A4255CC21}">
    <text>Deeksha: The agent has informed that no response has been received from the client yet.”</text>
  </threadedComment>
  <threadedComment ref="AP39" dT="2026-05-08T07:51:56.84" personId="{A87A03F1-D194-4224-B6ED-B822BAF16891}" id="{05FAF4E9-03C4-4D1D-8458-79CE936CBB64}">
    <text xml:space="preserve">Chhaya :- The agent hasn't received a response from the client yet </text>
  </threadedComment>
  <threadedComment ref="AQ39" dT="2026-05-16T05:02:25.71" personId="{A87A03F1-D194-4224-B6ED-B822BAF16891}" id="{2D53A576-C6DE-4B22-ABFB-9BA08E85DA15}">
    <text>Deeksha: Agent Not received my call Sent Follow-up mail</text>
  </threadedComment>
  <threadedComment ref="AO40" dT="2026-04-16T12:41:19.45" personId="{A87A03F1-D194-4224-B6ED-B822BAF16891}" id="{F6872CD7-AA74-44FF-9E8D-698997C988E4}">
    <text>Deeksha: Agent not Received my call Sent Follow-up mail</text>
  </threadedComment>
  <threadedComment ref="AP40" dT="2026-04-20T06:24:15.44" personId="{A87A03F1-D194-4224-B6ED-B822BAF16891}" id="{F189895F-2FF6-41E2-8A30-9A8C0D6781A6}">
    <text xml:space="preserve">Chhaya:- Call Not Received Sent Followup email </text>
  </threadedComment>
  <threadedComment ref="AQ40" dT="2026-05-08T08:06:50.15" personId="{A87A03F1-D194-4224-B6ED-B822BAF16891}" id="{14A9B9FD-8E98-441B-9A3F-7A6C04155AC7}">
    <text xml:space="preserve">Chhaya :- Call not attend Send followup </text>
  </threadedComment>
  <threadedComment ref="AN43" dT="2026-05-13T09:25:16.56" personId="{A87A03F1-D194-4224-B6ED-B822BAF16891}" id="{C5562AA0-6FC6-47C0-9C68-51260EB231EA}">
    <text>revised</text>
  </threadedComment>
  <threadedComment ref="AN43" dT="2026-05-13T09:25:42.59" personId="{A87A03F1-D194-4224-B6ED-B822BAF16891}" id="{054C6C5B-2719-4FD9-8007-E424A85C71E3}" parentId="{C5562AA0-6FC6-47C0-9C68-51260EB231EA}">
    <text>16 May 2026</text>
  </threadedComment>
  <threadedComment ref="AO43" dT="2026-05-16T06:16:19.68" personId="{A87A03F1-D194-4224-B6ED-B822BAF16891}" id="{4708A07D-C8D9-4B1C-A85A-5AF26920A7FC}">
    <text xml:space="preserve">Deeksha: Agent have no update from the client </text>
  </threadedComment>
  <threadedComment ref="AP43" dT="2026-06-04T12:41:15.67" personId="{A87A03F1-D194-4224-B6ED-B822BAF16891}" id="{7C24657C-C0DC-4135-B687-252C5FEE48E1}">
    <text>Chhaya :- Sent Followup Email</text>
  </threadedComment>
  <threadedComment ref="AQ43" dT="2026-07-28T11:24:48.34" personId="{A87A03F1-D194-4224-B6ED-B822BAF16891}" id="{5E5F94EF-4961-49DC-8C99-C5D7FBFF289C}">
    <text>Chhaya: I spoke to the agent and was informed that the client has selected a other destination.</text>
  </threadedComment>
  <threadedComment ref="AO44" dT="2026-07-28T11:30:24.72" personId="{A87A03F1-D194-4224-B6ED-B822BAF16891}" id="{3F6AED3C-9932-4FEF-8721-98BFF7961A89}">
    <text>Deeksha: The agent has not received any reply from the client yet.</text>
  </threadedComment>
  <threadedComment ref="AP44" dT="2026-08-14T05:29:45.93" personId="{A87A03F1-D194-4224-B6ED-B822BAF16891}" id="{CEB131AE-176C-4C85-8A84-59E1CE6D5284}">
    <text>Chhaya:- Send followup email</text>
  </threadedComment>
  <threadedComment ref="AO46" dT="2026-05-09T05:11:59.38" personId="{A87A03F1-D194-4224-B6ED-B822BAF16891}" id="{ECE9813E-5AE7-4441-9529-FF1E3F172A74}">
    <text>Chhaya :-Agent reply: I spoke to the client and followed up, but not convert. </text>
  </threadedComment>
  <threadedComment ref="AP46" dT="2026-05-16T05:08:59.60" personId="{A87A03F1-D194-4224-B6ED-B822BAF16891}" id="{82F2BB1C-2F17-4DAD-A9D3-9CB269F9EF1D}">
    <text>Deeksha: Agent Not Received my Call sent Follow-up mail</text>
  </threadedComment>
  <threadedComment ref="AN59" dT="2026-06-04T10:02:40.40" personId="{A87A03F1-D194-4224-B6ED-B822BAF16891}" id="{9C220A01-596C-4A8B-A80C-1A8F6B038F4D}">
    <text>Chhaya :- Send followup Email</text>
  </threadedComment>
  <threadedComment ref="AO59" dT="2026-08-14T05:40:22.30" personId="{A87A03F1-D194-4224-B6ED-B822BAF16891}" id="{6F8B4F02-9921-4E57-8620-4F7BD42C949B}">
    <text>Chhaya :- Send followup email</text>
  </threadedComment>
  <threadedComment ref="AP59" dT="2026-08-20T06:38:47.44" personId="{A87A03F1-D194-4224-B6ED-B822BAF16891}" id="{C181626D-A8CB-466B-BF0D-AEF70A6662B7}">
    <text>Chhaya :- Send followup email</text>
  </threadedComment>
  <threadedComment ref="AN61" dT="2026-04-20T05:44:49.87" personId="{A87A03F1-D194-4224-B6ED-B822BAF16891}" id="{0A9F7246-FF6F-4D76-876D-D7F463992402}">
    <text>Chhaya :- Send Follow up Email</text>
  </threadedComment>
  <threadedComment ref="AO61" dT="2026-05-08T07:53:44.75" personId="{A87A03F1-D194-4224-B6ED-B822BAF16891}" id="{BA9515A7-56E3-4005-921E-1794975DF2CE}">
    <text>Chhaya :-No response from the client</text>
  </threadedComment>
  <threadedComment ref="AN62" dT="2026-04-29T12:43:32.02" personId="{A87A03F1-D194-4224-B6ED-B822BAF16891}" id="{50F34617-A59F-4F41-BF5E-1D655BEB5590}">
    <text>Chhaya:- Send followup email</text>
  </threadedComment>
  <threadedComment ref="AN63" dT="2026-04-29T12:36:33.69" personId="{A87A03F1-D194-4224-B6ED-B822BAF16891}" id="{F7451A9F-CAD2-4665-BDE1-E6009C2C2003}">
    <text>Chhaya :- 
I will speak to the customer and let you know.</text>
  </threadedComment>
  <threadedComment ref="AN64" dT="2026-04-29T12:43:45.33" personId="{A87A03F1-D194-4224-B6ED-B822BAF16891}" id="{DA8F7E9E-E94A-4D72-AB91-46060E3BB95B}">
    <text>Chhaya :- Send followup email</text>
  </threadedComment>
  <threadedComment ref="AO65" dT="2026-05-09T04:57:45.90" personId="{A87A03F1-D194-4224-B6ED-B822BAF16891}" id="{10BC91FC-0F34-48CB-BD9B-564510B30335}">
    <text>chhaya :- Client to not any reply</text>
  </threadedComment>
  <threadedComment ref="AP65" dT="2026-05-16T05:21:38.58" personId="{A87A03F1-D194-4224-B6ED-B822BAF16891}" id="{86F7ACCE-3775-44BD-80DF-3B6AAE1DA0C8}">
    <text>Deeksha: Agent Not Received my Call Sent Follow-up Mail</text>
  </threadedComment>
  <threadedComment ref="AN67" dT="2026-04-30T07:58:39.84" personId="{A87A03F1-D194-4224-B6ED-B822BAF16891}" id="{D0E90ACE-BF28-455E-89D4-0C11DDB09640}">
    <text>Send Revised quote</text>
  </threadedComment>
  <threadedComment ref="AN71" dT="2026-05-05T12:30:57.10" personId="{A87A03F1-D194-4224-B6ED-B822BAF16891}" id="{D45765D0-8F3C-43AC-B547-5983D4B8F1E5}">
    <text xml:space="preserve">Chhaya :- Send Revised Quote </text>
  </threadedComment>
  <threadedComment ref="AO71" dT="2026-05-08T07:38:36.24" personId="{A87A03F1-D194-4224-B6ED-B822BAF16891}" id="{4D57B764-9C9B-4F83-AA7D-6C4131B7F290}">
    <text>Chhaya :- Send followup email</text>
  </threadedComment>
  <threadedComment ref="AP71" dT="2026-05-16T05:38:32.85" personId="{A87A03F1-D194-4224-B6ED-B822BAF16891}" id="{C09DDE61-0097-4CB2-99E9-8F8A0FFA014F}">
    <text>Deeksha: We have not received any update from the client, and after discussing with the agent, it seems they are also not very interested.</text>
  </threadedComment>
  <threadedComment ref="AN72" dT="2026-05-05T12:31:32.80" personId="{A87A03F1-D194-4224-B6ED-B822BAF16891}" id="{59FCB966-CB3A-42B6-95D2-70E449EC003E}">
    <text xml:space="preserve">Chhaya :- Send Revised Quote </text>
  </threadedComment>
  <threadedComment ref="AN73" dT="2026-05-16T05:41:20.15" personId="{A87A03F1-D194-4224-B6ED-B822BAF16891}" id="{E0995971-A5F5-4C6D-ADF2-D299E292C76B}">
    <text>Deeksha: Agent not received my call sent Follow-up mail</text>
  </threadedComment>
  <threadedComment ref="AO73" dT="2026-06-17T05:46:41.93" personId="{A87A03F1-D194-4224-B6ED-B822BAF16891}" id="{60825331-D553-4206-8F7D-9D0B73579681}">
    <text xml:space="preserve">Chhaya :- Send followup emal
</text>
  </threadedComment>
  <threadedComment ref="AO75" dT="2026-05-16T05:44:39.69" personId="{A87A03F1-D194-4224-B6ED-B822BAF16891}" id="{F529D5CB-F60D-4540-8A17-DC6579CC0CE8}">
    <text>Deeksha: Agent Not received my call sent follow-up mail</text>
  </threadedComment>
  <threadedComment ref="AO77" dT="2026-05-16T05:51:21.02" personId="{A87A03F1-D194-4224-B6ED-B822BAF16891}" id="{47E4F6F5-3A3B-4FB6-86DF-DB1560691197}">
    <text>Deeksha: Agent have no update from Client</text>
  </threadedComment>
  <threadedComment ref="AN78" dT="2026-05-11T07:06:11.58" personId="{A87A03F1-D194-4224-B6ED-B822BAF16891}" id="{E3F49265-CE2B-43A0-9023-07093BAB11FD}">
    <text>Chhaya :- Send followup email</text>
  </threadedComment>
  <threadedComment ref="AO78" dT="2026-05-16T05:58:13.94" personId="{A87A03F1-D194-4224-B6ED-B822BAF16891}" id="{0A256619-84E7-43CA-8EB0-A7353F89E691}">
    <text>Deeksha: Varshada Ma'am is not available in the office, so we have sent her an email.</text>
  </threadedComment>
  <threadedComment ref="AP78" dT="2026-05-23T07:39:30.95" personId="{A87A03F1-D194-4224-B6ED-B822BAF16891}" id="{81EDAEA5-D9A8-49BA-B7F4-4A0C76CBCF77}">
    <text>Chhaya:- Agent (On call) I haven't spoken to the client yet, I'll talk to them and give you an update.</text>
  </threadedComment>
  <threadedComment ref="AN79" dT="2026-05-25T06:45:21.33" personId="{A87A03F1-D194-4224-B6ED-B822BAF16891}" id="{0C514007-6686-40B1-B9D4-0186CBB3AC42}">
    <text>Chhaya:- I have spoken to the client and it has been confirmed, I just need to make a few minor changes.</text>
  </threadedComment>
  <threadedComment ref="AO79" dT="2026-06-05T06:42:29.55" personId="{A87A03F1-D194-4224-B6ED-B822BAF16891}" id="{1A689274-2A03-4595-8FB6-D623391FFCE1}">
    <text>Chhaya:- Send followup email</text>
  </threadedComment>
  <threadedComment ref="AN81" dT="2026-05-19T06:00:54.85" personId="{A87A03F1-D194-4224-B6ED-B822BAF16891}" id="{6566C461-82E7-4190-9AC9-E96D8D9A5B2C}">
    <text>Chhaya:- I haven't spoken to the agent, Clint said he'll talk to you and get back to you.</text>
  </threadedComment>
  <threadedComment ref="AO81" dT="2026-07-28T11:53:47.77" personId="{A87A03F1-D194-4224-B6ED-B822BAF16891}" id="{F0C05A8E-2A7D-412F-B223-6A566A0C97F7}">
    <text>Deeksha: The agent has not received any reply from the client yet.</text>
  </threadedComment>
  <threadedComment ref="AN82" dT="2026-05-19T05:39:48.38" personId="{A87A03F1-D194-4224-B6ED-B822BAF16891}" id="{DABB5107-3C7E-4001-92B1-207AD4B9C577}">
    <text xml:space="preserve">Chhaya: Agent I will call back after some time. </text>
  </threadedComment>
  <threadedComment ref="AO82" dT="2026-05-23T07:50:49.54" personId="{A87A03F1-D194-4224-B6ED-B822BAF16891}" id="{CEAFF163-A7CE-4F17-B103-53DBD6A3F374}">
    <text>Chhaya:- The agent asked me to call on Monday.</text>
  </threadedComment>
  <threadedComment ref="AN83" dT="2026-05-19T05:50:19.49" personId="{A87A03F1-D194-4224-B6ED-B822BAF16891}" id="{B93CDE93-A8DE-4A1F-827D-A2DBF3100D7B}">
    <text>Chhaya:- I will get back to you as soon as that customer responds.</text>
  </threadedComment>
  <threadedComment ref="AO83" dT="2026-06-05T06:45:19.10" personId="{A87A03F1-D194-4224-B6ED-B822BAF16891}" id="{390CFFE7-F86A-457F-BAF7-5E7B1AAACC52}">
    <text>Chhaya:- Send followup email</text>
  </threadedComment>
  <threadedComment ref="AP83" dT="2026-06-17T05:42:15.61" personId="{A87A03F1-D194-4224-B6ED-B822BAF16891}" id="{94AF1A6D-993D-40D3-ABAF-4578A6678D7B}">
    <text>Chhaya:- Send Followup emal</text>
  </threadedComment>
  <threadedComment ref="AN84" dT="2026-05-25T07:16:51.85" personId="{A87A03F1-D194-4224-B6ED-B822BAF16891}" id="{D8082041-88A6-45FE-9CA9-CA952AFB6C87}">
    <text>Chhaya :- Send Followups Email</text>
  </threadedComment>
  <threadedComment ref="AO85" dT="2026-06-05T06:51:24.72" personId="{A87A03F1-D194-4224-B6ED-B822BAF16891}" id="{C180D19E-3F9A-40AF-85B2-B41AD23F8F36}">
    <text>Chhaya :- Send followup Email</text>
  </threadedComment>
  <threadedComment ref="AN86" dT="2026-05-25T07:14:38.58" personId="{A87A03F1-D194-4224-B6ED-B822BAF16891}" id="{9DFC2858-E426-4E2C-B7A1-19BCE0916873}">
    <text>Chhaya :- Send Followups Email</text>
  </threadedComment>
  <threadedComment ref="AO88" dT="2026-05-30T07:00:04.87" personId="{A87A03F1-D194-4224-B6ED-B822BAF16891}" id="{AE8F7275-80A7-4BDC-9693-BE1232A4DD85}">
    <text>Chhaya :- On call agent, I will speak to the client and update you.</text>
  </threadedComment>
  <threadedComment ref="AN89" dT="2026-05-29T06:01:06.75" personId="{A87A03F1-D194-4224-B6ED-B822BAF16891}" id="{952AA9BF-FC42-4EF7-8ECC-ED4A251A9481}">
    <text>Chhaya:- Send followup email</text>
  </threadedComment>
  <threadedComment ref="AN90" dT="2026-05-29T13:13:44.82" personId="{A87A03F1-D194-4224-B6ED-B822BAF16891}" id="{2D97EE38-F6A9-4E0A-9B55-0F86E7363CFB}">
    <text>Chhaya :- Guest has postponed his trip due to his relative flight has changed.</text>
  </threadedComment>
  <threadedComment ref="AN91" dT="2026-05-29T05:41:12.36" personId="{A87A03F1-D194-4224-B6ED-B822BAF16891}" id="{B5F2F37C-4B85-4DFD-A31E-BABB84CFA868}">
    <text xml:space="preserve">Chhaya:- Send followup emails
</text>
  </threadedComment>
  <threadedComment ref="AN92" dT="2026-05-30T07:04:15.47" personId="{A87A03F1-D194-4224-B6ED-B822BAF16891}" id="{6F42CEF0-020B-4A51-8566-4221503E540B}">
    <text>Chhaya:- On call agent, the dates for this event have changed and I will let you know</text>
  </threadedComment>
  <threadedComment ref="AO92" dT="2026-06-05T06:37:51.50" personId="{A87A03F1-D194-4224-B6ED-B822BAF16891}" id="{8669C65D-6B0F-45A2-A070-7DC85DC1A870}">
    <text>Chhaya:- Agent Reply Customer still not confirmed yet after the confirmation, I'll update you.</text>
  </threadedComment>
  <threadedComment ref="AP92" dT="2026-06-25T06:57:43.82" personId="{A87A03F1-D194-4224-B6ED-B822BAF16891}" id="{D81B9574-784F-43E7-9EFE-6DA50E14467C}">
    <text>Chhaya :- Send Followup email</text>
  </threadedComment>
  <threadedComment ref="AN93" dT="2026-06-05T06:59:19.47" personId="{A87A03F1-D194-4224-B6ED-B822BAF16891}" id="{53A1D90E-8122-49B0-9F65-374B0E82B074}">
    <text>Chhaya :- Send followps email</text>
  </threadedComment>
  <threadedComment ref="AO93" dT="2026-06-10T05:26:28.55" personId="{A87A03F1-D194-4224-B6ED-B822BAF16891}" id="{140E6152-1E39-4874-8B4A-86A271DB5F49}">
    <text>Deeksha: Agent have no update from the client</text>
  </threadedComment>
  <threadedComment ref="AN94" dT="2026-06-04T12:45:35.49" personId="{A87A03F1-D194-4224-B6ED-B822BAF16891}" id="{09F18FAA-E5BB-4946-95D2-27DC968840E1}">
    <text>Chhaya:- Sent Followup Email</text>
  </threadedComment>
  <threadedComment ref="AO94" dT="2026-06-10T05:29:45.48" personId="{A87A03F1-D194-4224-B6ED-B822BAF16891}" id="{2B177BE2-10B3-4D4E-B028-DB28280AD29A}">
    <text>Deeksha: Agent cancel The Tour</text>
  </threadedComment>
  <threadedComment ref="AN96" dT="2026-06-04T05:25:10.14" personId="{A87A03F1-D194-4224-B6ED-B822BAF16891}" id="{FFA58D25-5B9B-41FD-A8C1-270E68AFC5A9}">
    <text>Chhaya :- Agent reply I am in talks with the client and will update soon..</text>
  </threadedComment>
  <threadedComment ref="AO97" dT="2026-06-10T05:37:53.95" personId="{A87A03F1-D194-4224-B6ED-B822BAF16891}" id="{8EF1A6F5-82DA-44D0-9F2A-8B7BD2E7E0D2}">
    <text xml:space="preserve">Deeksha: Agent have no update from the client </text>
  </threadedComment>
  <threadedComment ref="AP97" dT="2026-08-14T05:50:09.98" personId="{A87A03F1-D194-4224-B6ED-B822BAF16891}" id="{FD5C14C0-AD24-45E5-A987-1E8738E5E0B3}">
    <text>chhaya :- Send followup email</text>
  </threadedComment>
  <threadedComment ref="AO98" dT="2026-06-10T05:52:23.39" personId="{A87A03F1-D194-4224-B6ED-B822BAF16891}" id="{B6F08A00-918D-4822-A4D5-050D2D1642A0}">
    <text>Deeksha: Sent Follow-up mail</text>
  </threadedComment>
  <threadedComment ref="AP98" dT="2026-08-14T05:52:10.66" personId="{A87A03F1-D194-4224-B6ED-B822BAF16891}" id="{C4CF45AA-CE6E-4545-8B44-E5A01F4F6B72}">
    <text>chhaya:- send followup email</text>
  </threadedComment>
  <threadedComment ref="AP98" dT="2026-08-14T07:32:13.98" personId="{A87A03F1-D194-4224-B6ED-B822BAF16891}" id="{0FF804D1-339C-4890-A36D-3AD4FBCB9157}" parentId="{C4CF45AA-CE6E-4545-8B44-E5A01F4F6B72}">
    <text>Agent replay :- guests are deciding/managing their leaves that’s why taking time and will update final soon.</text>
  </threadedComment>
  <threadedComment ref="AO100" dT="2026-06-22T11:57:22.41" personId="{A87A03F1-D194-4224-B6ED-B822BAF16891}" id="{8E985564-E735-4F64-B424-533EE30D280B}">
    <text>Chhaya :- Send Followup email</text>
  </threadedComment>
  <threadedComment ref="AO101" dT="2026-06-27T06:40:10.03" personId="{A87A03F1-D194-4224-B6ED-B822BAF16891}" id="{A7BA17CA-ED96-4C5C-9788-651E1618FC9F}">
    <text>Deeksha: Sent Follow-up email</text>
  </threadedComment>
  <threadedComment ref="AP101" dT="2026-08-31T11:45:12.17" personId="{A87A03F1-D194-4224-B6ED-B822BAF16891}" id="{797E978F-CF78-4554-874F-31459503F222}">
    <text xml:space="preserve"> chhaya :- Send followup email</text>
  </threadedComment>
  <threadedComment ref="AO103" dT="2026-06-27T06:44:50.31" personId="{A87A03F1-D194-4224-B6ED-B822BAF16891}" id="{CD8CF76B-7A90-49BB-B481-BD669D6A52E1}">
    <text>Deeksha: Agent not received my call sent follow-up mail</text>
  </threadedComment>
  <threadedComment ref="AO106" dT="2026-06-27T07:00:41.44" personId="{A87A03F1-D194-4224-B6ED-B822BAF16891}" id="{651751F4-CB5E-484D-8C09-20E4EE73A140}">
    <text>Deeksha: Agent Update on Email</text>
  </threadedComment>
  <threadedComment ref="AP106" dT="2026-07-03T07:18:26.70" personId="{A87A03F1-D194-4224-B6ED-B822BAF16891}" id="{ABFE7F4D-9E6C-46DC-865D-BC78303DCDBE}">
    <text xml:space="preserve">Chhaya :- Send followp emal </text>
  </threadedComment>
  <threadedComment ref="AO107" dT="2026-08-03T09:25:30.72" personId="{A87A03F1-D194-4224-B6ED-B822BAF16891}" id="{60C7370A-A145-4AF0-B205-8AC716FB2E46}">
    <text>Chhaya :- Send followp Email</text>
  </threadedComment>
  <threadedComment ref="AN108" dT="2026-07-03T07:19:01.92" personId="{A87A03F1-D194-4224-B6ED-B822BAF16891}" id="{5CDF5CBD-8618-4E88-AB9C-5868E113EC11}">
    <text>chhaya :- Send followup emal</text>
  </threadedComment>
  <threadedComment ref="AN109" dT="2026-06-20T07:47:17.88" personId="{A87A03F1-D194-4224-B6ED-B822BAF16891}" id="{F66F52EB-5B2E-44F6-B642-1A17676FC7F4}">
    <text>Bhumika: Send revised to qurot</text>
  </threadedComment>
  <threadedComment ref="AP109" dT="2026-07-28T10:50:36.30" personId="{A87A03F1-D194-4224-B6ED-B822BAF16891}" id="{CED6909D-1AC2-4E45-8C8D-CBE1DC265D7B}">
    <text>Deeksha: Sent Follow-up Mail</text>
  </threadedComment>
  <threadedComment ref="AQ109" dT="2026-08-03T09:20:27.11" personId="{A87A03F1-D194-4224-B6ED-B822BAF16891}" id="{F6F65DD4-1051-454D-95A1-AE96838F50EF}">
    <text>Chhaya:- Send followup Email</text>
  </threadedComment>
  <threadedComment ref="AN110" dT="2026-06-25T06:34:19.01" personId="{A87A03F1-D194-4224-B6ED-B822BAF16891}" id="{C5EF4FA4-30F5-45CE-9525-70EEDB27A285}">
    <text>Chhaya :- Send followup email</text>
  </threadedComment>
  <threadedComment ref="AO110" dT="2026-07-03T07:27:32.30" personId="{A87A03F1-D194-4224-B6ED-B822BAF16891}" id="{5BE2F8D7-B234-4B6C-88DF-932D14E6408E}">
    <text>chhaya:- The agent says that confirmation has not been received from the client; they have planned for the month of October.</text>
  </threadedComment>
  <threadedComment ref="AN112" dT="2026-08-31T11:46:15.57" personId="{A87A03F1-D194-4224-B6ED-B822BAF16891}" id="{9876F40F-ABBD-428D-9747-AD4A83FFD8D1}">
    <text xml:space="preserve">chhaya :- Send followup email
</text>
  </threadedComment>
  <threadedComment ref="AN113" dT="2026-06-25T06:25:47.03" personId="{A87A03F1-D194-4224-B6ED-B822BAF16891}" id="{E58F6B99-BFED-4E5B-A9AF-D54E67414785}">
    <text>Chhaya :- follow-up agent stated on the call that this query has been closed.</text>
  </threadedComment>
  <threadedComment ref="AO113" dT="2026-06-27T07:21:07.31" personId="{A87A03F1-D194-4224-B6ED-B822BAF16891}" id="{20C51E4E-7529-4F92-AA5B-B2F61C4F5F5A}">
    <text>Deeksha: The agent stated that the client has closed the inquiry because VIP entry tickets have been unavailable since the Sawan.</text>
  </threadedComment>
  <threadedComment ref="AO114" dT="2026-07-03T07:44:49.33" personId="{A87A03F1-D194-4224-B6ED-B822BAF16891}" id="{0B1BF845-0394-4ECA-9F62-CC776097B60F}">
    <text>Chhaya :- Send follow up emal</text>
  </threadedComment>
  <threadedComment ref="AP114" dT="2026-07-07T05:10:25.94" personId="{A87A03F1-D194-4224-B6ED-B822BAF16891}" id="{6326C98F-DDC3-4618-89E8-90134C21C8EA}">
    <text>Chhaya :- Call not response send followup email</text>
  </threadedComment>
  <threadedComment ref="AN117" dT="2026-07-18T12:29:39.67" personId="{A87A03F1-D194-4224-B6ED-B822BAF16891}" id="{ACC40667-759E-4732-A1EB-F79016A8CAB4}">
    <text>Chhaya :- Send Followup Email</text>
  </threadedComment>
  <threadedComment ref="AO117" dT="2026-06-30T06:34:46.86" personId="{A87A03F1-D194-4224-B6ED-B822BAF16891}" id="{14A52D65-BB3B-4571-A9C3-5CE2BDD02671}">
    <text>Chhaya: The query is still under process. We have not yet received any confirmation from the client.</text>
  </threadedComment>
  <threadedComment ref="AO118" dT="2026-07-28T11:01:50.01" personId="{A87A03F1-D194-4224-B6ED-B822BAF16891}" id="{B54010E4-E788-424E-AD4B-247F87150731}">
    <text>Deeksha: Agent Not received my call Sent Follow-up Mail</text>
  </threadedComment>
  <threadedComment ref="AP118" dT="2026-08-14T06:55:45.96" personId="{A87A03F1-D194-4224-B6ED-B822BAF16891}" id="{8964C99E-DACF-42CA-A5CE-20ACC74C7BA5}">
    <text xml:space="preserve">Chhaya :- Send followup call not attend </text>
  </threadedComment>
  <threadedComment ref="AP118" dT="2026-08-20T06:20:31.69" personId="{A87A03F1-D194-4224-B6ED-B822BAF16891}" id="{E5076921-0E5A-4E94-A638-AFA6D15B3D28}" parentId="{8964C99E-DACF-42CA-A5CE-20ACC74C7BA5}">
    <text>Agent :- There hasn't been any response from the clinet yet; I will let you know if there is a positive response.</text>
  </threadedComment>
  <threadedComment ref="AN120" dT="2026-06-25T06:09:42.00" personId="{A87A03F1-D194-4224-B6ED-B822BAF16891}" id="{116FF1BE-E973-4657-BCD6-B8192B15EC89}">
    <text>Chhaya :- Send Followup Email</text>
  </threadedComment>
  <threadedComment ref="AO120" dT="2026-07-21T05:00:55.36" personId="{A87A03F1-D194-4224-B6ED-B822BAF16891}" id="{B4744464-2D3F-48D6-96A6-0BD826533FA3}">
    <text>chhaya :- Send Followup email</text>
  </threadedComment>
  <threadedComment ref="AP120" dT="2026-07-28T11:08:08.67" personId="{A87A03F1-D194-4224-B6ED-B822BAF16891}" id="{A712DB8B-D127-495B-A52A-1508811185DF}">
    <text>Deeksha: Client budget very low</text>
  </threadedComment>
  <threadedComment ref="AN122" dT="2026-06-25T06:03:14.78" personId="{A87A03F1-D194-4224-B6ED-B822BAF16891}" id="{DE67E539-BC24-4ECB-923B-AF0C1ED7970B}">
    <text>Chhaya :- Send Followup email</text>
  </threadedComment>
  <threadedComment ref="AN123" dT="2026-07-07T05:42:49.09" personId="{A87A03F1-D194-4224-B6ED-B822BAF16891}" id="{84804702-960C-4D74-A8B4-33B8F7ABEBAC}">
    <text>chhaya : Send Followup email</text>
  </threadedComment>
  <threadedComment ref="AN124" dT="2026-07-17T13:18:08.36" personId="{A87A03F1-D194-4224-B6ED-B822BAF16891}" id="{0E1A7E36-31F2-46B7-B464-53C9FC4DB860}">
    <text>Chhaya :- Send revised quote</text>
  </threadedComment>
  <threadedComment ref="AN125" dT="2026-06-25T05:50:47.67" personId="{A87A03F1-D194-4224-B6ED-B822BAF16891}" id="{28E9CF1F-8E38-4682-9C60-BC0A7CD468CF}">
    <text>Chhaya :- Send follow up email  (There is no contact number.)</text>
  </threadedComment>
  <threadedComment ref="AO128" dT="2026-07-28T11:10:55.67" personId="{A87A03F1-D194-4224-B6ED-B822BAF16891}" id="{852E55C6-2AEA-4A62-88BD-6D9DE95BF950}">
    <text>Sent Follow-up Mail</text>
  </threadedComment>
  <threadedComment ref="AP128" dT="2026-08-06T11:03:59.74" personId="{A87A03F1-D194-4224-B6ED-B822BAF16891}" id="{F2F3243D-C4A3-4EF9-88BE-EB0FCB760C3D}">
    <text xml:space="preserve">Deeksha: Agent not received my call i Sent Follow-up </text>
  </threadedComment>
  <threadedComment ref="AN130" dT="2026-08-14T07:08:04.26" personId="{A87A03F1-D194-4224-B6ED-B822BAF16891}" id="{FF29EA57-560E-4165-AF92-D8143A0543D1}">
    <text>Chhaya :- Send followup email</text>
  </threadedComment>
  <threadedComment ref="AN131" dT="2026-06-25T05:42:08.60" personId="{A87A03F1-D194-4224-B6ED-B822BAF16891}" id="{FAE4F78F-C4A7-4D56-9733-60D7D91CCE94}">
    <text xml:space="preserve">Chhaya :-On Call agent
I will get an update from the client and inform you. </text>
  </threadedComment>
  <threadedComment ref="AN132" dT="2026-08-14T07:10:52.99" personId="{A87A03F1-D194-4224-B6ED-B822BAF16891}" id="{D33697DE-FA21-4D1E-B40C-52B5F1F02499}">
    <text>chhaya :- Send followp email</text>
  </threadedComment>
  <threadedComment ref="AO132" dT="2026-08-20T06:56:12.62" personId="{A87A03F1-D194-4224-B6ED-B822BAF16891}" id="{5F3CC54F-2FD0-4D37-A4B5-9AEA00924B1D}">
    <text>Chhaya :- Send Followp Email</text>
  </threadedComment>
  <threadedComment ref="AP132" dT="2026-09-01T06:30:19.69" personId="{A87A03F1-D194-4224-B6ED-B822BAF16891}" id="{BFEACD08-4A55-4775-B965-1B550A6855D7}">
    <text>Chhaya :- Send followup email</text>
  </threadedComment>
  <threadedComment ref="AN133" dT="2026-06-25T05:40:50.27" personId="{A87A03F1-D194-4224-B6ED-B822BAF16891}" id="{3B41B6D6-096A-4EF2-A5EB-953053A28AD8}">
    <text>Chhaya :- On Call agent
I will get an update from the client and inform you.</text>
  </threadedComment>
  <threadedComment ref="AO133" dT="2026-06-27T06:50:16.22" personId="{A87A03F1-D194-4224-B6ED-B822BAF16891}" id="{C0A5EC30-5397-4206-97C0-5FD31C390F8E}">
    <text>Deeksha: Agent dont have any update from the client</text>
  </threadedComment>
  <threadedComment ref="AN134" dT="2026-07-07T06:00:32.10" personId="{A87A03F1-D194-4224-B6ED-B822BAF16891}" id="{6D4B555F-7593-40C0-8459-AAB413D93528}">
    <text>Chhaya :- send folowup email</text>
  </threadedComment>
  <threadedComment ref="AO134" dT="2026-07-10T05:39:45.04" personId="{A87A03F1-D194-4224-B6ED-B822BAF16891}" id="{652DFA61-5513-4CC4-A02F-7DCFCA6A9C9B}">
    <text>Chhaya :- send folowup email</text>
  </threadedComment>
  <threadedComment ref="AO135" dT="2026-08-06T11:08:47.77" personId="{A87A03F1-D194-4224-B6ED-B822BAF16891}" id="{63F8DB9B-98F9-4A7D-8397-65600803DFB5}">
    <text>Deeksha: Sent Follow-up Mail</text>
  </threadedComment>
  <threadedComment ref="AO136" dT="2026-08-20T10:31:28.37" personId="{A87A03F1-D194-4224-B6ED-B822BAF16891}" id="{E331AD50-E4B6-461A-A897-A166BC8B8352}">
    <text>Deeksha: Sent follow-up mail</text>
  </threadedComment>
  <threadedComment ref="AO139" dT="2026-08-06T11:12:34.99" personId="{A87A03F1-D194-4224-B6ED-B822BAF16891}" id="{28A87F16-77AF-443F-B8D4-259E40FDBC15}">
    <text>Deeksha: Sent Follow-up</text>
  </threadedComment>
  <threadedComment ref="AN145" dT="2026-07-10T06:05:58.10" personId="{A87A03F1-D194-4224-B6ED-B822BAF16891}" id="{CE2DDB17-9257-4306-BC67-7337F38A7785}">
    <text>Chhaya :- Send followup email</text>
  </threadedComment>
  <threadedComment ref="AO150" dT="2026-07-21T05:12:31.94" personId="{A87A03F1-D194-4224-B6ED-B822BAF16891}" id="{812922B7-AD15-49BE-A99C-0FC405B951F8}">
    <text>Chhaya:- Send Followup Email</text>
  </threadedComment>
  <threadedComment ref="AP150" dT="2026-08-03T09:25:30.72" personId="{A87A03F1-D194-4224-B6ED-B822BAF16891}" id="{FF1BA84C-93C4-4667-B2D6-3DD811AB6FCB}">
    <text>Chhaya :- Send followp Email</text>
  </threadedComment>
  <threadedComment ref="AN157" dT="2026-07-10T05:45:53.80" personId="{A87A03F1-D194-4224-B6ED-B822BAF16891}" id="{264EB1A1-33FC-4ABC-8688-971985EBDAE8}">
    <text>Chhaya :- The agent has informed me that the client hasn't responded yet; I will let you know after speaking with them.</text>
  </threadedComment>
  <threadedComment ref="AO157" dT="2026-07-21T05:16:33.51" personId="{A87A03F1-D194-4224-B6ED-B822BAF16891}" id="{7E5BE654-2F9D-44DA-9E31-4699D9398D7A}">
    <text>Chhaya :- Send followup Email</text>
  </threadedComment>
  <threadedComment ref="AO158" dT="2026-08-20T10:42:18.52" personId="{A87A03F1-D194-4224-B6ED-B822BAF16891}" id="{BBDDC576-FC9B-4719-9DB6-F5826AC337F0}">
    <text>Deeksha: Sent Follow-up Mail</text>
  </threadedComment>
  <threadedComment ref="AO159" dT="2026-07-21T05:21:23.79" personId="{A87A03F1-D194-4224-B6ED-B822BAF16891}" id="{01C0463D-D5E3-4DF1-B136-B6DA089D3F4B}">
    <text>Chhaya :- Send followup email</text>
  </threadedComment>
  <threadedComment ref="AN176" dT="2026-07-10T05:48:54.79" personId="{A87A03F1-D194-4224-B6ED-B822BAF16891}" id="{1E0E1C94-62D9-4A03-85D6-F080940B1BAF}">
    <text>Chhaya :- Send followup email</text>
  </threadedComment>
  <threadedComment ref="AO180" dT="2026-07-28T12:00:09.31" personId="{A87A03F1-D194-4224-B6ED-B822BAF16891}" id="{4716FE21-F2C9-43C8-9140-9363CAC41709}">
    <text>Deeksha: The agent has not received any reply from the client yet.</text>
  </threadedComment>
  <threadedComment ref="AP180" dT="2026-08-03T09:42:11.11" personId="{A87A03F1-D194-4224-B6ED-B822BAF16891}" id="{70F7AC39-3542-4E87-88CC-D6BD7B00C745}">
    <text>Chhaya :- Agent Response They postponed their plan</text>
  </threadedComment>
  <threadedComment ref="AO184" dT="2026-08-03T09:40:52.26" personId="{A87A03F1-D194-4224-B6ED-B822BAF16891}" id="{F0924FF0-2C37-4841-A637-D2147B55650F}">
    <text>Chhaya :- Send followup email</text>
  </threadedComment>
  <threadedComment ref="AP184" dT="2026-08-20T10:44:05.90" personId="{A87A03F1-D194-4224-B6ED-B822BAF16891}" id="{D3D07F42-E959-421C-BDB4-1A067ED249AF}">
    <text>Deeksha: Sent Follow-up mail</text>
  </threadedComment>
  <threadedComment ref="AQ184" dT="2026-08-31T09:26:28.14" personId="{A87A03F1-D194-4224-B6ED-B822BAF16891}" id="{6E2B8F5E-908E-4AD2-B767-79011862A76B}">
    <text>Chhaya :- The agent said to send a WhatsApp message; he'll check the quotation and let me know.</text>
  </threadedComment>
  <threadedComment ref="AO198" dT="2026-07-28T12:05:37.72" personId="{A87A03F1-D194-4224-B6ED-B822BAF16891}" id="{49E2B0B4-FEE4-4A86-83B7-1E5330ADA723}">
    <text>Deeksha: Sent follow-up mail</text>
  </threadedComment>
  <threadedComment ref="AP198" dT="2026-08-20T06:11:26.63" personId="{A87A03F1-D194-4224-B6ED-B822BAF16891}" id="{C0EEF08D-1EB8-473B-88CF-4CB3368D8248}">
    <text>Chhaya :- I have spoken to the agent, but there is no response from the client yet. I will speak to the client and then let you know.</text>
  </threadedComment>
  <threadedComment ref="AN203" dT="2026-07-15T05:56:38.65" personId="{A87A03F1-D194-4224-B6ED-B822BAF16891}" id="{9E0F1506-3DB3-42D2-B97F-FF71AC7DF5C1}">
    <text>Chhaya: We spoke on the call; she said she would call me back after speaking to the client.</text>
  </threadedComment>
  <threadedComment ref="AO204" dT="2026-08-03T09:30:32.52" personId="{A87A03F1-D194-4224-B6ED-B822BAF16891}" id="{34B47DB6-D255-46D8-AD80-12E1568DCEEB}">
    <text>Chhaya :- Send followup email</text>
  </threadedComment>
  <threadedComment ref="AN206" dT="2026-07-20T07:59:02.28" personId="{A87A03F1-D194-4224-B6ED-B822BAF16891}" id="{E66124FE-F318-42BA-A5EF-EC31957AE1A8}">
    <text>Chhaya :- Send reveised quote</text>
  </threadedComment>
  <threadedComment ref="AN209" dT="2026-08-19T05:18:02.86" personId="{A87A03F1-D194-4224-B6ED-B822BAF16891}" id="{19D82B55-8885-40F0-9F4C-6CB34C463491}">
    <text>Chhaya :- client is still pending about confirming</text>
  </threadedComment>
  <threadedComment ref="AN209" dT="2026-08-20T07:02:54.86" personId="{A87A03F1-D194-4224-B6ED-B822BAF16891}" id="{6E70E5D0-D05D-4252-B0DC-7936255A24EA}" parentId="{19D82B55-8885-40F0-9F4C-6CB34C463491}">
    <text>Chhaya :- Send revised quote</text>
  </threadedComment>
  <threadedComment ref="AO209" dT="2026-09-01T06:37:48.00" personId="{A87A03F1-D194-4224-B6ED-B822BAF16891}" id="{17B631E2-23C6-47FD-8759-4E8E7FA9DA1F}">
    <text>Chhaya :- Send followup email</text>
  </threadedComment>
  <threadedComment ref="AN217" dT="2026-08-14T07:44:50.23" personId="{A87A03F1-D194-4224-B6ED-B822BAF16891}" id="{EFB47913-2E7C-4571-907D-FD387E78200A}">
    <text xml:space="preserve">Chhaya :- Send followup email </text>
  </threadedComment>
  <threadedComment ref="AN218" dT="2026-08-14T08:01:11.96" personId="{A87A03F1-D194-4224-B6ED-B822BAF16891}" id="{CD7D5EBB-6863-4CA7-A6E9-CFF23BC37819}">
    <text>Chhaya :- Send followup Email</text>
  </threadedComment>
  <threadedComment ref="AO219" dT="2026-08-03T09:47:55.38" personId="{A87A03F1-D194-4224-B6ED-B822BAF16891}" id="{36B93CEA-0634-471D-9B7A-3502625E8080}">
    <text>Chhaya :- There has been no update from the client.</text>
  </threadedComment>
  <threadedComment ref="AP219" dT="2026-08-03T09:47:55.38" personId="{A87A03F1-D194-4224-B6ED-B822BAF16891}" id="{982FB3E5-AE38-45FA-A4BB-D5E0B7A169BB}">
    <text>Chhaya :- There has been no update from the client.</text>
  </threadedComment>
  <threadedComment ref="AQ219" dT="2026-08-20T10:52:37.44" personId="{A87A03F1-D194-4224-B6ED-B822BAF16891}" id="{B0B42C71-7028-4912-AB81-AC9C686C48A4}">
    <text>Deeksha: Sent Follow-up</text>
  </threadedComment>
  <threadedComment ref="AQ219" dT="2026-08-31T09:33:45.14" personId="{A87A03F1-D194-4224-B6ED-B822BAF16891}" id="{DFEAEFE3-9EF4-402D-AFDE-140597E81077}" parentId="{B0B42C71-7028-4912-AB81-AC9C686C48A4}">
    <text>Chhaya :- I spoke to the agent; Clint is not answering the agent's calls.</text>
  </threadedComment>
  <threadedComment ref="AN220" dT="2026-07-23T04:45:32.43" personId="{A87A03F1-D194-4224-B6ED-B822BAF16891}" id="{E5F12F80-CC2E-48A7-84C3-C6C5FF6F19F6}">
    <text>Chhaya :- Send followup email</text>
  </threadedComment>
  <threadedComment ref="AO220" dT="2026-08-03T09:50:47.53" personId="{A87A03F1-D194-4224-B6ED-B822BAF16891}" id="{D267FBB6-BC61-48FE-B38C-13B68ADF6A74}">
    <text>Chhaya :- Cancel Trip Plan Madical Issue</text>
  </threadedComment>
  <threadedComment ref="AO221" dT="2026-08-03T09:56:22.09" personId="{A87A03F1-D194-4224-B6ED-B822BAF16891}" id="{082D1C2F-2863-4DEC-8A8E-014D9FAF108C}">
    <text>Chhaya :- Send followup email</text>
  </threadedComment>
  <threadedComment ref="AO222" dT="2026-08-03T09:58:15.72" personId="{A87A03F1-D194-4224-B6ED-B822BAF16891}" id="{DBE831D1-B0F4-4F90-A0F6-290AA5868B15}">
    <text xml:space="preserve">Chhaya :- Send Followup email </text>
  </threadedComment>
  <threadedComment ref="AO224" dT="2026-08-20T10:37:05.69" personId="{A87A03F1-D194-4224-B6ED-B822BAF16891}" id="{1B11F19C-CE86-4B3D-B1C7-58DCDD77FFFC}">
    <text>Deeksha: Sent Follow-up mail</text>
  </threadedComment>
  <threadedComment ref="AP224" dT="2026-09-03T10:47:38.95" personId="{A87A03F1-D194-4224-B6ED-B822BAF16891}" id="{307A8119-4134-4238-87F1-BC7556CC69C9}">
    <text>Deeksha: Sent Follow-up mail</text>
  </threadedComment>
  <threadedComment ref="AQ224" dT="2026-09-08T12:30:41.34" personId="{A87A03F1-D194-4224-B6ED-B822BAF16891}" id="{6AB9ECA0-C84A-4649-B4F8-7D7B95F83619}">
    <text>Deeksha: The agent informed us that there is no update from the client yet.</text>
  </threadedComment>
  <threadedComment ref="AN233" dT="2026-07-27T10:52:51.57" personId="{A87A03F1-D194-4224-B6ED-B822BAF16891}" id="{E02D1BA8-E4AE-4AC5-9C10-CAA8E6A46FF6}">
    <text>Chhaya:- Send Followup Email</text>
  </threadedComment>
  <threadedComment ref="AN243" dT="2026-07-27T11:04:58.83" personId="{A87A03F1-D194-4224-B6ED-B822BAF16891}" id="{9F71DA8C-E893-49F9-A794-9F6F131CBD03}">
    <text>Chhaya :- Send Followup email</text>
  </threadedComment>
  <threadedComment ref="AO243" dT="2026-08-03T10:03:11.99" personId="{A87A03F1-D194-4224-B6ED-B822BAF16891}" id="{A05B7058-BC9E-4F18-83B2-53C43DF146C1}">
    <text>Chhaya: On call There hasn't been any update from Clint yet; I'll let you know as soon as there is one.</text>
  </threadedComment>
  <threadedComment ref="AP243" dT="2026-08-10T06:53:28.68" personId="{A87A03F1-D194-4224-B6ED-B822BAF16891}" id="{344384E5-0518-48C0-900F-7D5A0EFD84AD}">
    <text>Chhaya :- Send Followup Email</text>
  </threadedComment>
  <threadedComment ref="AN244" dT="2026-07-27T11:05:42.94" personId="{A87A03F1-D194-4224-B6ED-B822BAF16891}" id="{DD542E40-B1BD-4B8E-8DD5-EAF64D550A46}">
    <text>Chhaya:- Call Not Attend the Send followup Email</text>
  </threadedComment>
  <threadedComment ref="AO244" dT="2026-08-03T10:08:29.07" personId="{A87A03F1-D194-4224-B6ED-B822BAF16891}" id="{761C2BAD-03BD-4E5F-9C80-2A1083FCBBE3}">
    <text>Chhaya: There has been no update from the client yet. I will call you as soon as I hear back.</text>
  </threadedComment>
  <threadedComment ref="AQ244" dT="2026-08-20T10:59:25.53" personId="{A87A03F1-D194-4224-B6ED-B822BAF16891}" id="{0F22299A-91EC-4425-9041-E208517B18FF}">
    <text>Chhaya: The agent has asked for some time; he will speak to the client soon and then let us know.</text>
  </threadedComment>
  <threadedComment ref="AO245" dT="2026-08-14T08:30:26.86" personId="{A87A03F1-D194-4224-B6ED-B822BAF16891}" id="{FAED2A36-E06E-4599-93C0-BD4E5BAE43EF}">
    <text xml:space="preserve">Chhaya :- Send followup email
</text>
  </threadedComment>
  <threadedComment ref="AP245" dT="2026-08-20T11:01:40.00" personId="{A87A03F1-D194-4224-B6ED-B822BAF16891}" id="{D96E3A0D-6889-4BFC-87ED-B0DE9BB94BFF}">
    <text>Deeksha: Sent Follow-up  mail</text>
  </threadedComment>
  <threadedComment ref="AQ245" dT="2026-09-03T10:37:20.56" personId="{A87A03F1-D194-4224-B6ED-B822BAF16891}" id="{9617CC77-1C50-4354-8779-C4D7D4FEDBD2}">
    <text>Deeksha: Sent Follow-up mail</text>
  </threadedComment>
  <threadedComment ref="AO256" dT="2026-08-20T11:04:15.91" personId="{A87A03F1-D194-4224-B6ED-B822BAF16891}" id="{9970859E-5409-4829-AB85-564D2A988612}">
    <text>Deeksha: Sent Follow-up mail</text>
  </threadedComment>
  <threadedComment ref="AP256" dT="2026-09-03T10:27:48.60" personId="{A87A03F1-D194-4224-B6ED-B822BAF16891}" id="{6CC07117-AD6B-45E2-9414-6776B69F04DA}">
    <text>Deeksha: sent Follow-up mail</text>
  </threadedComment>
  <threadedComment ref="AQ256" dT="2026-09-08T12:32:24.21" personId="{A87A03F1-D194-4224-B6ED-B822BAF16891}" id="{90F563F0-4F19-479F-BAE3-8A426BBEF504}">
    <text>Deeksha: Have No Number Sent Follow-up mail</text>
  </threadedComment>
  <threadedComment ref="AO257" dT="2026-08-20T07:12:28.20" personId="{A87A03F1-D194-4224-B6ED-B822BAF16891}" id="{3721CABF-4D27-4B2D-8A5E-C9364ECB9E1B}">
    <text>chhaya :- There has been no response from the client so far.</text>
  </threadedComment>
  <threadedComment ref="AP257" dT="2026-09-08T12:34:19.98" personId="{A87A03F1-D194-4224-B6ED-B822BAF16891}" id="{6CC7C574-B200-4E6A-80B2-52E05861C542}">
    <text>Deeksha: The agent said that there has been no response from the client yet.</text>
  </threadedComment>
  <threadedComment ref="AO262" dT="2026-08-14T08:45:29.62" personId="{A87A03F1-D194-4224-B6ED-B822BAF16891}" id="{477E6E4B-FDB5-4E88-A0F5-F3A815194A89}">
    <text>Chhaya:- Send followup email</text>
  </threadedComment>
  <threadedComment ref="AN263" dT="2026-08-20T05:54:52.80" personId="{A87A03F1-D194-4224-B6ED-B822BAF16891}" id="{578A02F3-1203-4372-8FC8-6F24B76C9397}">
    <text>Chhaya :- Send Followup Email</text>
  </threadedComment>
  <threadedComment ref="AO263" dT="2026-09-03T10:27:04.55" personId="{A87A03F1-D194-4224-B6ED-B822BAF16891}" id="{BC937AB2-33CB-465B-8B63-4F9BF71DB006}">
    <text>Deeksha: Sent Follow-up mail</text>
  </threadedComment>
  <threadedComment ref="AN264" dT="2026-08-10T06:57:21.96" personId="{A87A03F1-D194-4224-B6ED-B822BAF16891}" id="{5069819E-A266-4154-8B6A-3216CD28E9C9}">
    <text>Chhaya :- Send followup Email</text>
  </threadedComment>
  <threadedComment ref="AO264" dT="2026-08-20T11:05:43.77" personId="{A87A03F1-D194-4224-B6ED-B822BAF16891}" id="{3702864C-3123-4A0D-AFF9-78821BBAAF8D}">
    <text>Deeksha: Sent Follow-up mail</text>
  </threadedComment>
  <threadedComment ref="AP264" dT="2026-08-31T09:39:29.67" personId="{A87A03F1-D194-4224-B6ED-B822BAF16891}" id="{A56A3F36-A23C-4019-85E9-B8F0D64807E0}">
    <text>Chhaya :-The agent has asked for some time; he will speak to the client soon and then let us know.</text>
  </threadedComment>
  <threadedComment ref="AN272" dT="2026-09-01T06:39:20.71" personId="{A87A03F1-D194-4224-B6ED-B822BAF16891}" id="{7AD2AA11-AC3B-408E-A0CE-7F7DAB2AA1DF}">
    <text>chhaya :- Send followup email</text>
  </threadedComment>
  <threadedComment ref="AO272" dT="2026-09-01T06:46:17.82" personId="{A87A03F1-D194-4224-B6ED-B822BAF16891}" id="{C111D375-450C-4E7F-BB4B-7A1C2E7C97FC}">
    <text>chhaya :- call not resopnd Send followup email</text>
  </threadedComment>
  <threadedComment ref="AP272" dT="2026-09-08T12:37:26.19" personId="{A87A03F1-D194-4224-B6ED-B822BAF16891}" id="{7B55DF66-1B3A-418B-95AA-729622099EF9}">
    <text>Deeksha: Agent not received my call sent follow-up mail</text>
  </threadedComment>
  <threadedComment ref="AN273" dT="2026-08-20T07:32:50.33" personId="{A87A03F1-D194-4224-B6ED-B822BAF16891}" id="{CF6424D4-6CBD-4E8C-B719-D331CCCC84D5}">
    <text>Chhaya:- Agent call not received Send followup Email</text>
  </threadedComment>
  <threadedComment ref="AO273" dT="2026-09-01T06:53:00.44" personId="{A87A03F1-D194-4224-B6ED-B822BAF16891}" id="{62A664D6-A2B0-4648-936C-EE6CEA509987}">
    <text>chhaya :-There was no response from the client.</text>
  </threadedComment>
  <threadedComment ref="AO274" dT="2026-08-10T07:09:50.11" personId="{A87A03F1-D194-4224-B6ED-B822BAF16891}" id="{27DB13A0-0D52-4031-9A7D-6CEC7AD022B9}">
    <text>Chhaya:- Send followup Email</text>
  </threadedComment>
  <threadedComment ref="AP274" dT="2026-08-20T11:08:13.20" personId="{A87A03F1-D194-4224-B6ED-B822BAF16891}" id="{F5D0D2C8-A453-481E-A388-1F36846CB407}">
    <text>Deeksha: Sent Follow-up Mail</text>
  </threadedComment>
  <threadedComment ref="AQ274" dT="2026-09-08T12:41:31.65" personId="{A87A03F1-D194-4224-B6ED-B822BAF16891}" id="{09D2726A-0E73-475C-A4CA-ED3F5E245751}">
    <text>Deeksha: Sent follow-up Mail</text>
  </threadedComment>
  <threadedComment ref="AN277" dT="2026-08-20T09:23:04.02" personId="{A87A03F1-D194-4224-B6ED-B822BAF16891}" id="{26EEB238-18EC-480C-8D3F-566ABBD92BB5}">
    <text>Chhaya :- Send Followup Email</text>
  </threadedComment>
  <threadedComment ref="AN277" dT="2026-08-27T08:36:50.38" personId="{A87A03F1-D194-4224-B6ED-B822BAF16891}" id="{B540EF84-E936-4B30-A1A2-A9718DD988B8}" parentId="{26EEB238-18EC-480C-8D3F-566ABBD92BB5}">
    <text xml:space="preserve">27 Aug'26 Revised Query </text>
  </threadedComment>
  <threadedComment ref="AO277" dT="2026-09-01T06:59:33.55" personId="{A87A03F1-D194-4224-B6ED-B822BAF16891}" id="{CACC4975-49DA-47BB-8A7D-409F34D49021}">
    <text>Chhaya :- The agent said that we will send the confirmation soon.</text>
  </threadedComment>
  <threadedComment ref="AO281" dT="2026-08-20T11:12:02.39" personId="{A87A03F1-D194-4224-B6ED-B822BAF16891}" id="{FA15ACBE-6344-46FC-8F6E-2CE74C5E59F2}">
    <text>Deeksha: Sent Follow-up mail</text>
  </threadedComment>
  <threadedComment ref="AO286" dT="2026-08-11T08:06:22.62" personId="{A87A03F1-D194-4224-B6ED-B822BAF16891}" id="{4193FE1F-A3AB-4B7F-8635-12D1231F4B0A}">
    <text>Chhaya :- I spoke to my direct client on the call and informed them that the date has changed; I am currently discussing this matter with my friends.</text>
  </threadedComment>
  <threadedComment ref="AP286" dT="2026-08-20T11:16:23.99" personId="{A87A03F1-D194-4224-B6ED-B822BAF16891}" id="{8919675B-C4E9-4952-BEEB-09757E6B0171}">
    <text>Deeksha: Sent Follow-up mail</text>
  </threadedComment>
  <threadedComment ref="AO288" dT="2026-08-20T11:18:02.43" personId="{A87A03F1-D194-4224-B6ED-B822BAF16891}" id="{AFAA3EC4-88B7-4B9A-A7D4-D4920E0DBC5E}">
    <text>Deeksha: revised date and sent revised quote</text>
  </threadedComment>
  <threadedComment ref="AP288" dT="2026-08-31T09:59:03.47" personId="{A87A03F1-D194-4224-B6ED-B822BAF16891}" id="{ED8E5865-C980-4AE6-AEAE-C25FC7EB5095}">
    <text>Chhaya :- Call not answerd send followup email.</text>
  </threadedComment>
  <threadedComment ref="AO289" dT="2026-08-31T10:04:09.33" personId="{A87A03F1-D194-4224-B6ED-B822BAF16891}" id="{3E3453CE-A435-47B8-8D73-999578AF0BF9}">
    <text>Chhaya :-I spoke to the agent; she will send an email with the confirmation tomorrow.</text>
  </threadedComment>
  <threadedComment ref="AP289" dT="2026-09-09T12:50:31.36" personId="{A87A03F1-D194-4224-B6ED-B822BAF16891}" id="{FE31711C-1B2A-4883-81E4-A6F43F37DF12}">
    <text>Chhaya :- Send followup email</text>
  </threadedComment>
  <threadedComment ref="AN292" dT="2026-08-20T05:50:33.44" personId="{A87A03F1-D194-4224-B6ED-B822BAF16891}" id="{4C790BC3-3825-4AB5-B1C9-349E8565E015}">
    <text xml:space="preserve">Chhaya Send Followup Email
</text>
  </threadedComment>
  <threadedComment ref="AO292" dT="2026-09-03T10:14:13.68" personId="{A87A03F1-D194-4224-B6ED-B822BAF16891}" id="{11B48124-5742-4737-A44A-27B264DB9D70}">
    <text>Chhaya :- Not reponse call</text>
  </threadedComment>
  <threadedComment ref="AN293" dT="2026-08-20T09:30:52.14" personId="{A87A03F1-D194-4224-B6ED-B822BAF16891}" id="{A49E9C3D-65A7-4D99-BDF1-A043D101708D}">
    <text>Chhaya :- Send Followup Email</text>
  </threadedComment>
  <threadedComment ref="AO293" dT="2026-09-01T07:01:18.88" personId="{A87A03F1-D194-4224-B6ED-B822BAF16891}" id="{ADE77C21-63ED-4FE0-BF5E-6E71713FC68B}">
    <text>chhaya :- The client has not yet responded.</text>
  </threadedComment>
  <threadedComment ref="AN295" dT="2026-09-01T07:06:38.38" personId="{A87A03F1-D194-4224-B6ED-B822BAF16891}" id="{3A269E93-813D-46F7-A7B4-6DB98725102C}">
    <text>Chhaya: The agent isn't answering my calls; send a follow-up email.</text>
  </threadedComment>
  <threadedComment ref="AN296" dT="2026-08-21T05:38:30.21" personId="{A87A03F1-D194-4224-B6ED-B822BAF16891}" id="{EB3432CC-B702-4E5E-87E0-CBF70D6884E5}">
    <text>Chhaya :- Send followup Email</text>
  </threadedComment>
  <threadedComment ref="AO296" dT="2026-08-31T10:11:01.01" personId="{A87A03F1-D194-4224-B6ED-B822BAF16891}" id="{A2AADFA8-C3E9-4EB7-A8BE-97EBD485CB79}">
    <text>Chhaya :- Send followp email</text>
  </threadedComment>
  <threadedComment ref="AN297" dT="2026-08-31T11:32:21.58" personId="{A87A03F1-D194-4224-B6ED-B822BAF16891}" id="{AF4BD006-D17F-4B5F-8D6A-A4A8FE62750E}">
    <text xml:space="preserve">chhaya:- send followup email
</text>
  </threadedComment>
  <threadedComment ref="AN299" dT="2026-08-20T05:50:14.17" personId="{A87A03F1-D194-4224-B6ED-B822BAF16891}" id="{05CA2A98-270C-4300-834D-2E024D32E52E}">
    <text>Chhaya :- Send followup email</text>
  </threadedComment>
  <threadedComment ref="AO299" dT="2026-09-03T10:11:02.38" personId="{A87A03F1-D194-4224-B6ED-B822BAF16891}" id="{EC0342A5-4285-400A-AA1D-D833C99020E8}">
    <text xml:space="preserve">Deeksha: The agent informed us that he will speak with the client tomorrow and update us accordingly.
</text>
  </threadedComment>
  <threadedComment ref="AO301" dT="2026-09-03T10:23:32.91" personId="{A87A03F1-D194-4224-B6ED-B822BAF16891}" id="{563DD66D-DC25-45FA-9E8F-CAA6A8D7EFB9}">
    <text>Deeksha: Agent not received my call Sent Follow-up mail</text>
  </threadedComment>
  <threadedComment ref="AN302" dT="2026-08-26T12:48:30.73" personId="{A87A03F1-D194-4224-B6ED-B822BAF16891}" id="{AC187FC3-8371-4C0C-BCEA-0EE2BB55D4E4}">
    <text>Chhaya :- Send revised quote
Agent Replay :- I have spoken to the agent; the customer will book the ticket and then confirm the booking.</text>
  </threadedComment>
  <threadedComment ref="AN303" dT="2026-08-31T10:27:19.82" personId="{A87A03F1-D194-4224-B6ED-B822BAF16891}" id="{7DE2AE41-FA28-4142-9E23-1EBF1DBC1F26}">
    <text>Chhaya :- Not respose &amp; revert</text>
  </threadedComment>
  <threadedComment ref="AO304" dT="2026-09-02T11:40:24.18" personId="{A87A03F1-D194-4224-B6ED-B822BAF16891}" id="{FEA81C08-C5C5-4617-99CD-DC3EB51FC42B}">
    <text>Chhaya :- Send revised quotation for 02n/03d</text>
  </threadedComment>
  <threadedComment ref="AN305" dT="2026-08-31T10:51:32.33" personId="{A87A03F1-D194-4224-B6ED-B822BAF16891}" id="{4C4E72D0-0716-4C45-837C-F5EA409D9865}">
    <text>Chhaya:- send followup email</text>
  </threadedComment>
  <threadedComment ref="AO306" dT="2026-09-02T11:35:49.52" personId="{A87A03F1-D194-4224-B6ED-B822BAF16891}" id="{25935738-185B-41BE-BE5E-702090ABD999}">
    <text>Deeksha: Spoke with the agent. The client has dropped the tour plan due to their children’s examinations.</text>
  </threadedComment>
  <threadedComment ref="AN309" dT="2026-08-20T05:32:50.39" personId="{A87A03F1-D194-4224-B6ED-B822BAF16891}" id="{D611218F-1E1D-4713-9414-D006180B7F44}">
    <text xml:space="preserve">Chhaya :- Send Followup Email
</text>
  </threadedComment>
  <threadedComment ref="AO309" dT="2026-09-12T11:47:55.45" personId="{A87A03F1-D194-4224-B6ED-B822BAF16891}" id="{E365F560-4BFC-4D98-A89E-3A17B752BE6B}">
    <text>Chhaya :- Agent’s call not respond so I sent a follow-up email</text>
  </threadedComment>
  <threadedComment ref="AN311" dT="2026-08-31T11:10:33.42" personId="{A87A03F1-D194-4224-B6ED-B822BAF16891}" id="{E877AFE7-A3F7-4ECD-B047-4CCC7E192672}">
    <text>Chhaya :- Send followp email</text>
  </threadedComment>
  <threadedComment ref="AO311" dT="2026-09-12T07:07:59.20" personId="{A87A03F1-D194-4224-B6ED-B822BAF16891}" id="{3E1C738D-E8E5-41B9-918F-37135205A173}">
    <text xml:space="preserve">chhaya :- Agent call not receive </text>
  </threadedComment>
  <threadedComment ref="AN313" dT="2026-08-31T11:10:55.58" personId="{A87A03F1-D194-4224-B6ED-B822BAF16891}" id="{01005146-C878-44E5-B32A-9F9FAC71D7F9}">
    <text>chhaya :- Send followup email</text>
  </threadedComment>
  <threadedComment ref="AO315" dT="2026-09-03T10:35:02.30" personId="{A87A03F1-D194-4224-B6ED-B822BAF16891}" id="{D1105127-38B2-4E13-8BAC-AF0F5C1BCC0E}">
    <text>Deeksha: Sent Follow-up mail</text>
  </threadedComment>
  <threadedComment ref="AO326" dT="2026-09-03T10:18:00.18" personId="{A87A03F1-D194-4224-B6ED-B822BAF16891}" id="{032A943C-F113-4836-BAD7-925ECF9EFA44}">
    <text>Deeksha: Agent not received my call sent follow-up mail</text>
  </threadedComment>
  <threadedComment ref="AN329" dT="2026-08-31T11:08:48.17" personId="{A87A03F1-D194-4224-B6ED-B822BAF16891}" id="{7C016095-9D62-41C3-98E3-9BA8739BAD6E}">
    <text>Chhaya :-send followup email</text>
  </threadedComment>
  <threadedComment ref="AN330" dT="2026-08-31T11:08:31.36" personId="{A87A03F1-D194-4224-B6ED-B822BAF16891}" id="{84E20E13-DB2C-4BFF-8BE8-608660451FA1}">
    <text>chhaya:- send followup email</text>
  </threadedComment>
  <threadedComment ref="AN332" dT="2026-09-02T11:30:20.12" personId="{A87A03F1-D194-4224-B6ED-B822BAF16891}" id="{02F44C8B-B9B7-44D2-9F49-9AF7B9676F19}">
    <text>Deeksha: Sent Follow-up mail</text>
  </threadedComment>
  <threadedComment ref="AN334" dT="2026-09-11T05:43:22.07" personId="{A87A03F1-D194-4224-B6ED-B822BAF16891}" id="{79FCA843-BBC0-4899-BE66-8131F58032A1}">
    <text>Chhaya:- agent call not received send   followup email</text>
  </threadedComment>
  <threadedComment ref="AO334" dT="2026-09-12T11:38:08.81" personId="{A87A03F1-D194-4224-B6ED-B822BAF16891}" id="{DC55E1B1-EB82-455E-88CB-161A9DBCE21F}">
    <text>Deeksha: Agent not receive my call sent follow-up mail</text>
  </threadedComment>
  <threadedComment ref="AN335" dT="2026-09-04T12:34:33.19" personId="{A87A03F1-D194-4224-B6ED-B822BAF16891}" id="{2B84D70A-AA18-4A46-B03F-09CA61D8C1D6}">
    <text>Chhaya :- Spoke with the agent. The client is currently out of town and is expected to update them by 10th or 12th September. The agent will update us accordingly.</text>
  </threadedComment>
  <threadedComment ref="AO335" dT="2026-09-12T11:36:04.58" personId="{A87A03F1-D194-4224-B6ED-B822BAF16891}" id="{7C179FFA-06CE-4FF7-B7BC-880FDF0E60DB}">
    <text>Deeksha: Agent not received call sent follow-up mail</text>
  </threadedComment>
  <threadedComment ref="AN337" dT="2026-09-12T11:31:35.78" personId="{A87A03F1-D194-4224-B6ED-B822BAF16891}" id="{0FE3F840-9724-4E45-AF63-ED4CFDBA0946}">
    <text>Deeksha: Sent Follow-up mail</text>
  </threadedComment>
  <threadedComment ref="AN354" dT="2026-09-12T11:33:52.79" personId="{A87A03F1-D194-4224-B6ED-B822BAF16891}" id="{25DCE52A-19F0-463D-8E82-E017D6AE840D}">
    <text xml:space="preserve">Deeksha: Send Revised Quote on 11 Sep'26 </text>
  </threadedComment>
  <threadedComment ref="AN355" dT="2026-09-12T12:33:23.57" personId="{A87A03F1-D194-4224-B6ED-B822BAF16891}" id="{AA142266-C730-4881-8A33-46A4BF761E50}">
    <text>Chhaya :- Spoke to the agent on Monday after consulting the client.</text>
  </threadedComment>
</ThreadedComments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fly@flyhighflysafe.com" TargetMode="External"/><Relationship Id="rId21" Type="http://schemas.openxmlformats.org/officeDocument/2006/relationships/hyperlink" Target="mailto:noopur@ottila.in" TargetMode="External"/><Relationship Id="rId42" Type="http://schemas.openxmlformats.org/officeDocument/2006/relationships/hyperlink" Target="mailto:dipti@ottila.in" TargetMode="External"/><Relationship Id="rId63" Type="http://schemas.openxmlformats.org/officeDocument/2006/relationships/hyperlink" Target="mailto:travels.wings2022@gmail.com" TargetMode="External"/><Relationship Id="rId84" Type="http://schemas.openxmlformats.org/officeDocument/2006/relationships/hyperlink" Target="mailto:travelatinfinity@gmail.com" TargetMode="External"/><Relationship Id="rId138" Type="http://schemas.openxmlformats.org/officeDocument/2006/relationships/hyperlink" Target="mailto:as_teju@yahoo.com" TargetMode="External"/><Relationship Id="rId159" Type="http://schemas.openxmlformats.org/officeDocument/2006/relationships/hyperlink" Target="mailto:sales@jetkyte.com" TargetMode="External"/><Relationship Id="rId170" Type="http://schemas.openxmlformats.org/officeDocument/2006/relationships/hyperlink" Target="mailto:naturalblissholidays@gmail.com" TargetMode="External"/><Relationship Id="rId191" Type="http://schemas.openxmlformats.org/officeDocument/2006/relationships/hyperlink" Target="mailto:sejal@tweakyourtrip.com" TargetMode="External"/><Relationship Id="rId205" Type="http://schemas.openxmlformats.org/officeDocument/2006/relationships/hyperlink" Target="mailto:partha@travelsystems.in" TargetMode="External"/><Relationship Id="rId226" Type="http://schemas.openxmlformats.org/officeDocument/2006/relationships/hyperlink" Target="mailto:m.jhansi@southerntravels.com" TargetMode="External"/><Relationship Id="rId247" Type="http://schemas.openxmlformats.org/officeDocument/2006/relationships/hyperlink" Target="mailto:ojasc@worldtravelstudio.com" TargetMode="External"/><Relationship Id="rId107" Type="http://schemas.openxmlformats.org/officeDocument/2006/relationships/hyperlink" Target="mailto:terrainmarauders@gmail.com" TargetMode="External"/><Relationship Id="rId11" Type="http://schemas.openxmlformats.org/officeDocument/2006/relationships/hyperlink" Target="mailto:kowsalya@orchidtours.net" TargetMode="External"/><Relationship Id="rId32" Type="http://schemas.openxmlformats.org/officeDocument/2006/relationships/hyperlink" Target="mailto:brijesh@dishaworldtravels.com" TargetMode="External"/><Relationship Id="rId53" Type="http://schemas.openxmlformats.org/officeDocument/2006/relationships/hyperlink" Target="mailto:varshada@ottila.in" TargetMode="External"/><Relationship Id="rId74" Type="http://schemas.openxmlformats.org/officeDocument/2006/relationships/hyperlink" Target="mailto:lakshmi.r@sbittravels.com" TargetMode="External"/><Relationship Id="rId128" Type="http://schemas.openxmlformats.org/officeDocument/2006/relationships/hyperlink" Target="mailto:enquiry@happyholidayshyderabad.com" TargetMode="External"/><Relationship Id="rId149" Type="http://schemas.openxmlformats.org/officeDocument/2006/relationships/hyperlink" Target="mailto:packages@jetsavetours.com" TargetMode="External"/><Relationship Id="rId5" Type="http://schemas.openxmlformats.org/officeDocument/2006/relationships/hyperlink" Target="mailto:kowsalya@orchidtours.net" TargetMode="External"/><Relationship Id="rId95" Type="http://schemas.openxmlformats.org/officeDocument/2006/relationships/hyperlink" Target="mailto:res@royalternhospitality.com" TargetMode="External"/><Relationship Id="rId160" Type="http://schemas.openxmlformats.org/officeDocument/2006/relationships/hyperlink" Target="mailto:dipti@ottila.in" TargetMode="External"/><Relationship Id="rId181" Type="http://schemas.openxmlformats.org/officeDocument/2006/relationships/hyperlink" Target="mailto:sales@travelxpedia.com" TargetMode="External"/><Relationship Id="rId216" Type="http://schemas.openxmlformats.org/officeDocument/2006/relationships/hyperlink" Target="mailto:Infotravelkiaa@gmail.com" TargetMode="External"/><Relationship Id="rId237" Type="http://schemas.openxmlformats.org/officeDocument/2006/relationships/hyperlink" Target="mailto:lakshmi.r@sbittravels.com" TargetMode="External"/><Relationship Id="rId258" Type="http://schemas.microsoft.com/office/2017/10/relationships/threadedComment" Target="../threadedComments/threadedComment1.xml"/><Relationship Id="rId22" Type="http://schemas.openxmlformats.org/officeDocument/2006/relationships/hyperlink" Target="mailto:mangoleafsmg@gmail.com" TargetMode="External"/><Relationship Id="rId43" Type="http://schemas.openxmlformats.org/officeDocument/2006/relationships/hyperlink" Target="mailto:traveliciousjourneys@gmail.com" TargetMode="External"/><Relationship Id="rId64" Type="http://schemas.openxmlformats.org/officeDocument/2006/relationships/hyperlink" Target="mailto:yogesh@parichayaholidays.com" TargetMode="External"/><Relationship Id="rId118" Type="http://schemas.openxmlformats.org/officeDocument/2006/relationships/hyperlink" Target="mailto:arvind@mjourneys.com" TargetMode="External"/><Relationship Id="rId139" Type="http://schemas.openxmlformats.org/officeDocument/2006/relationships/hyperlink" Target="mailto:xplorersparadisepvtld@gmail.com" TargetMode="External"/><Relationship Id="rId85" Type="http://schemas.openxmlformats.org/officeDocument/2006/relationships/hyperlink" Target="mailto:obt@joannaholidays.com" TargetMode="External"/><Relationship Id="rId150" Type="http://schemas.openxmlformats.org/officeDocument/2006/relationships/hyperlink" Target="mailto:info@joshitours.org" TargetMode="External"/><Relationship Id="rId171" Type="http://schemas.openxmlformats.org/officeDocument/2006/relationships/hyperlink" Target="mailto:naturalblissholidays@gmail.com" TargetMode="External"/><Relationship Id="rId192" Type="http://schemas.openxmlformats.org/officeDocument/2006/relationships/hyperlink" Target="mailto:arjun@travelsystems.in" TargetMode="External"/><Relationship Id="rId206" Type="http://schemas.openxmlformats.org/officeDocument/2006/relationships/hyperlink" Target="mailto:packages@jetsavetours.com" TargetMode="External"/><Relationship Id="rId227" Type="http://schemas.openxmlformats.org/officeDocument/2006/relationships/hyperlink" Target="mailto:connect@karlotravel.com" TargetMode="External"/><Relationship Id="rId248" Type="http://schemas.openxmlformats.org/officeDocument/2006/relationships/hyperlink" Target="mailto:sales@travelxpedia.com" TargetMode="External"/><Relationship Id="rId12" Type="http://schemas.openxmlformats.org/officeDocument/2006/relationships/hyperlink" Target="mailto:letstalk@wildvgr.com" TargetMode="External"/><Relationship Id="rId33" Type="http://schemas.openxmlformats.org/officeDocument/2006/relationships/hyperlink" Target="mailto:whitesandtrip@gmail.com" TargetMode="External"/><Relationship Id="rId108" Type="http://schemas.openxmlformats.org/officeDocument/2006/relationships/hyperlink" Target="mailto:Saninmumbai@gmail.com" TargetMode="External"/><Relationship Id="rId129" Type="http://schemas.openxmlformats.org/officeDocument/2006/relationships/hyperlink" Target="mailto:gupta.sanjeet4@gmail.com" TargetMode="External"/><Relationship Id="rId54" Type="http://schemas.openxmlformats.org/officeDocument/2006/relationships/hyperlink" Target="mailto:grh.sunny@gmail.com" TargetMode="External"/><Relationship Id="rId75" Type="http://schemas.openxmlformats.org/officeDocument/2006/relationships/hyperlink" Target="mailto:mitalitours1@gmail.com" TargetMode="External"/><Relationship Id="rId96" Type="http://schemas.openxmlformats.org/officeDocument/2006/relationships/hyperlink" Target="mailto:mindbogglingholidays@gmail.com" TargetMode="External"/><Relationship Id="rId140" Type="http://schemas.openxmlformats.org/officeDocument/2006/relationships/hyperlink" Target="mailto:swashaglobalholidays@gmail.com" TargetMode="External"/><Relationship Id="rId161" Type="http://schemas.openxmlformats.org/officeDocument/2006/relationships/hyperlink" Target="mailto:sales@dreamlandescapes.co.in" TargetMode="External"/><Relationship Id="rId182" Type="http://schemas.openxmlformats.org/officeDocument/2006/relationships/hyperlink" Target="mailto:vimaltrls@gmail.com" TargetMode="External"/><Relationship Id="rId217" Type="http://schemas.openxmlformats.org/officeDocument/2006/relationships/hyperlink" Target="mailto:ganesh@currytours.com" TargetMode="External"/><Relationship Id="rId6" Type="http://schemas.openxmlformats.org/officeDocument/2006/relationships/hyperlink" Target="mailto:sankalpdreamholidays@gmail.com" TargetMode="External"/><Relationship Id="rId238" Type="http://schemas.openxmlformats.org/officeDocument/2006/relationships/hyperlink" Target="mailto:harshitha@sbittravels.com" TargetMode="External"/><Relationship Id="rId259" Type="http://schemas.microsoft.com/office/2019/04/relationships/namedSheetView" Target="../namedSheetViews/namedSheetView1.xml"/><Relationship Id="rId23" Type="http://schemas.openxmlformats.org/officeDocument/2006/relationships/hyperlink" Target="mailto:Triptides123@gmail.com" TargetMode="External"/><Relationship Id="rId119" Type="http://schemas.openxmlformats.org/officeDocument/2006/relationships/hyperlink" Target="mailto:globalholidaysbwr@gmail.com" TargetMode="External"/><Relationship Id="rId44" Type="http://schemas.openxmlformats.org/officeDocument/2006/relationships/hyperlink" Target="mailto:holidayfriendstoursntravels@gmail.com" TargetMode="External"/><Relationship Id="rId65" Type="http://schemas.openxmlformats.org/officeDocument/2006/relationships/hyperlink" Target="mailto:esanchar@gmail.com" TargetMode="External"/><Relationship Id="rId86" Type="http://schemas.openxmlformats.org/officeDocument/2006/relationships/hyperlink" Target="mailto:hemant@traveltatva.com" TargetMode="External"/><Relationship Id="rId130" Type="http://schemas.openxmlformats.org/officeDocument/2006/relationships/hyperlink" Target="mailto:harshitha@sbittravels.com" TargetMode="External"/><Relationship Id="rId151" Type="http://schemas.openxmlformats.org/officeDocument/2006/relationships/hyperlink" Target="mailto:Anilkumar@sbittravels.com" TargetMode="External"/><Relationship Id="rId172" Type="http://schemas.openxmlformats.org/officeDocument/2006/relationships/hyperlink" Target="mailto:naturalblissholidays@gmail.com" TargetMode="External"/><Relationship Id="rId193" Type="http://schemas.openxmlformats.org/officeDocument/2006/relationships/hyperlink" Target="mailto:Anilkumar@sbittravels.com" TargetMode="External"/><Relationship Id="rId207" Type="http://schemas.openxmlformats.org/officeDocument/2006/relationships/hyperlink" Target="mailto:gaurikiran@gmail.com" TargetMode="External"/><Relationship Id="rId228" Type="http://schemas.openxmlformats.org/officeDocument/2006/relationships/hyperlink" Target="mailto:mangoleafsmg@gmail.com" TargetMode="External"/><Relationship Id="rId249" Type="http://schemas.openxmlformats.org/officeDocument/2006/relationships/hyperlink" Target="mailto:harshitha@sbittravels.com" TargetMode="External"/><Relationship Id="rId13" Type="http://schemas.openxmlformats.org/officeDocument/2006/relationships/hyperlink" Target="mailto:ops3@lotusexoticjourneys.com" TargetMode="External"/><Relationship Id="rId109" Type="http://schemas.openxmlformats.org/officeDocument/2006/relationships/hyperlink" Target="mailto:Anilkumar@sbittravels.com" TargetMode="External"/><Relationship Id="rId34" Type="http://schemas.openxmlformats.org/officeDocument/2006/relationships/hyperlink" Target="mailto:saiholidays225353@gmail.com" TargetMode="External"/><Relationship Id="rId55" Type="http://schemas.openxmlformats.org/officeDocument/2006/relationships/hyperlink" Target="mailto:sales1@itdhholidays.com" TargetMode="External"/><Relationship Id="rId76" Type="http://schemas.openxmlformats.org/officeDocument/2006/relationships/hyperlink" Target="mailto:lakshmi.r@sbittravels.com" TargetMode="External"/><Relationship Id="rId97" Type="http://schemas.openxmlformats.org/officeDocument/2006/relationships/hyperlink" Target="mailto:varshada@ottila.in" TargetMode="External"/><Relationship Id="rId120" Type="http://schemas.openxmlformats.org/officeDocument/2006/relationships/hyperlink" Target="mailto:varshada@ottila.in" TargetMode="External"/><Relationship Id="rId141" Type="http://schemas.openxmlformats.org/officeDocument/2006/relationships/hyperlink" Target="mailto:sales1@itdhholidays.com" TargetMode="External"/><Relationship Id="rId7" Type="http://schemas.openxmlformats.org/officeDocument/2006/relationships/hyperlink" Target="mailto:travel@itdh.in" TargetMode="External"/><Relationship Id="rId162" Type="http://schemas.openxmlformats.org/officeDocument/2006/relationships/hyperlink" Target="mailto:khushi@ottila.in" TargetMode="External"/><Relationship Id="rId183" Type="http://schemas.openxmlformats.org/officeDocument/2006/relationships/hyperlink" Target="mailto:dom.dmtravel@gmail.com" TargetMode="External"/><Relationship Id="rId218" Type="http://schemas.openxmlformats.org/officeDocument/2006/relationships/hyperlink" Target="mailto:varshada@ottila.in" TargetMode="External"/><Relationship Id="rId239" Type="http://schemas.openxmlformats.org/officeDocument/2006/relationships/hyperlink" Target="mailto:harshitha@sbittravels.com" TargetMode="External"/><Relationship Id="rId250" Type="http://schemas.openxmlformats.org/officeDocument/2006/relationships/hyperlink" Target="mailto:tushar.m@benitotherapeutic.com" TargetMode="External"/><Relationship Id="rId24" Type="http://schemas.openxmlformats.org/officeDocument/2006/relationships/hyperlink" Target="mailto:tasleem@globalsenkay.com" TargetMode="External"/><Relationship Id="rId45" Type="http://schemas.openxmlformats.org/officeDocument/2006/relationships/hyperlink" Target="mailto:sudha@saipearlholidays.com" TargetMode="External"/><Relationship Id="rId66" Type="http://schemas.openxmlformats.org/officeDocument/2006/relationships/hyperlink" Target="mailto:ops@blr.ottila.net" TargetMode="External"/><Relationship Id="rId87" Type="http://schemas.openxmlformats.org/officeDocument/2006/relationships/hyperlink" Target="mailto:vimalhospitality@gmail.com" TargetMode="External"/><Relationship Id="rId110" Type="http://schemas.openxmlformats.org/officeDocument/2006/relationships/hyperlink" Target="mailto:rohit.sonutours@gmail.com" TargetMode="External"/><Relationship Id="rId131" Type="http://schemas.openxmlformats.org/officeDocument/2006/relationships/hyperlink" Target="mailto:lakshmi.r@sbittravels.com" TargetMode="External"/><Relationship Id="rId152" Type="http://schemas.openxmlformats.org/officeDocument/2006/relationships/hyperlink" Target="mailto:ops@hyd.ottila.net" TargetMode="External"/><Relationship Id="rId173" Type="http://schemas.openxmlformats.org/officeDocument/2006/relationships/hyperlink" Target="mailto:sales@travelxpedia.com" TargetMode="External"/><Relationship Id="rId194" Type="http://schemas.openxmlformats.org/officeDocument/2006/relationships/hyperlink" Target="mailto:m.jhansi@southerntravels.com" TargetMode="External"/><Relationship Id="rId208" Type="http://schemas.openxmlformats.org/officeDocument/2006/relationships/hyperlink" Target="mailto:mytourz09@gmail.com" TargetMode="External"/><Relationship Id="rId229" Type="http://schemas.openxmlformats.org/officeDocument/2006/relationships/hyperlink" Target="mailto:Subrata@vedicjourney.in" TargetMode="External"/><Relationship Id="rId240" Type="http://schemas.openxmlformats.org/officeDocument/2006/relationships/hyperlink" Target="mailto:harshitha@sbittravels.com" TargetMode="External"/><Relationship Id="rId14" Type="http://schemas.openxmlformats.org/officeDocument/2006/relationships/hyperlink" Target="mailto:ops3@lotusexoticjourneys.com" TargetMode="External"/><Relationship Id="rId35" Type="http://schemas.openxmlformats.org/officeDocument/2006/relationships/hyperlink" Target="mailto:merrimentholidayspvtltd@gmail.com" TargetMode="External"/><Relationship Id="rId56" Type="http://schemas.openxmlformats.org/officeDocument/2006/relationships/hyperlink" Target="mailto:airvisiontt@gmail.com" TargetMode="External"/><Relationship Id="rId77" Type="http://schemas.openxmlformats.org/officeDocument/2006/relationships/hyperlink" Target="mailto:thewanderlust.tours001@gmail.com" TargetMode="External"/><Relationship Id="rId100" Type="http://schemas.openxmlformats.org/officeDocument/2006/relationships/hyperlink" Target="mailto:info@joshitours.org" TargetMode="External"/><Relationship Id="rId8" Type="http://schemas.openxmlformats.org/officeDocument/2006/relationships/hyperlink" Target="mailto:varshada@ottila.in" TargetMode="External"/><Relationship Id="rId98" Type="http://schemas.openxmlformats.org/officeDocument/2006/relationships/hyperlink" Target="mailto:vacations@hiflytravel.com" TargetMode="External"/><Relationship Id="rId121" Type="http://schemas.openxmlformats.org/officeDocument/2006/relationships/hyperlink" Target="mailto:packages@jetsavetours.com" TargetMode="External"/><Relationship Id="rId142" Type="http://schemas.openxmlformats.org/officeDocument/2006/relationships/hyperlink" Target="mailto:ops1@trypmaker.com" TargetMode="External"/><Relationship Id="rId163" Type="http://schemas.openxmlformats.org/officeDocument/2006/relationships/hyperlink" Target="mailto:naturalblissholidays@gmail.com" TargetMode="External"/><Relationship Id="rId184" Type="http://schemas.openxmlformats.org/officeDocument/2006/relationships/hyperlink" Target="mailto:Info@fastays.com" TargetMode="External"/><Relationship Id="rId219" Type="http://schemas.openxmlformats.org/officeDocument/2006/relationships/hyperlink" Target="mailto:mangoleafsmg@gmail.com" TargetMode="External"/><Relationship Id="rId230" Type="http://schemas.openxmlformats.org/officeDocument/2006/relationships/hyperlink" Target="mailto:ops@finest.co.in" TargetMode="External"/><Relationship Id="rId251" Type="http://schemas.openxmlformats.org/officeDocument/2006/relationships/hyperlink" Target="mailto:skyplanner.co.in@gmail.com" TargetMode="External"/><Relationship Id="rId25" Type="http://schemas.openxmlformats.org/officeDocument/2006/relationships/hyperlink" Target="mailto:ops3@lotusexoticjourneys.com" TargetMode="External"/><Relationship Id="rId46" Type="http://schemas.openxmlformats.org/officeDocument/2006/relationships/hyperlink" Target="mailto:brijesh@dishaworldtravels.com" TargetMode="External"/><Relationship Id="rId67" Type="http://schemas.openxmlformats.org/officeDocument/2006/relationships/hyperlink" Target="mailto:sachin@senkaytwd.com" TargetMode="External"/><Relationship Id="rId88" Type="http://schemas.openxmlformats.org/officeDocument/2006/relationships/hyperlink" Target="mailto:gaurav@heavensgroup.in" TargetMode="External"/><Relationship Id="rId111" Type="http://schemas.openxmlformats.org/officeDocument/2006/relationships/hyperlink" Target="mailto:shamik.sengupta@zenithholidays.com" TargetMode="External"/><Relationship Id="rId132" Type="http://schemas.openxmlformats.org/officeDocument/2006/relationships/hyperlink" Target="mailto:triptides123@gmail.com" TargetMode="External"/><Relationship Id="rId153" Type="http://schemas.openxmlformats.org/officeDocument/2006/relationships/hyperlink" Target="mailto:tatw121212@gmail.com" TargetMode="External"/><Relationship Id="rId174" Type="http://schemas.openxmlformats.org/officeDocument/2006/relationships/hyperlink" Target="mailto:sudha@saipearlholidays.com" TargetMode="External"/><Relationship Id="rId195" Type="http://schemas.openxmlformats.org/officeDocument/2006/relationships/hyperlink" Target="mailto:Anilkumar@sbittravels.com" TargetMode="External"/><Relationship Id="rId209" Type="http://schemas.openxmlformats.org/officeDocument/2006/relationships/hyperlink" Target="mailto:tulasi@aakasaveedhilo.in" TargetMode="External"/><Relationship Id="rId220" Type="http://schemas.openxmlformats.org/officeDocument/2006/relationships/hyperlink" Target="mailto:vijay@pathikthetraveller.com" TargetMode="External"/><Relationship Id="rId241" Type="http://schemas.openxmlformats.org/officeDocument/2006/relationships/hyperlink" Target="mailto:harshitha@sbittravels.com" TargetMode="External"/><Relationship Id="rId15" Type="http://schemas.openxmlformats.org/officeDocument/2006/relationships/hyperlink" Target="mailto:tours@servicestours.com" TargetMode="External"/><Relationship Id="rId36" Type="http://schemas.openxmlformats.org/officeDocument/2006/relationships/hyperlink" Target="mailto:info@travelzoneofindia.com" TargetMode="External"/><Relationship Id="rId57" Type="http://schemas.openxmlformats.org/officeDocument/2006/relationships/hyperlink" Target="mailto:dipti@ottila.in" TargetMode="External"/><Relationship Id="rId78" Type="http://schemas.openxmlformats.org/officeDocument/2006/relationships/hyperlink" Target="mailto:hemant@traveltatva.com" TargetMode="External"/><Relationship Id="rId99" Type="http://schemas.openxmlformats.org/officeDocument/2006/relationships/hyperlink" Target="mailto:yogesh@parichayaholidays.com" TargetMode="External"/><Relationship Id="rId101" Type="http://schemas.openxmlformats.org/officeDocument/2006/relationships/hyperlink" Target="mailto:saiholidays225353@gmail.com" TargetMode="External"/><Relationship Id="rId122" Type="http://schemas.openxmlformats.org/officeDocument/2006/relationships/hyperlink" Target="mailto:Anilkumar@sbittravels.com" TargetMode="External"/><Relationship Id="rId143" Type="http://schemas.openxmlformats.org/officeDocument/2006/relationships/hyperlink" Target="mailto:swashaglobalholidays@gmail.com" TargetMode="External"/><Relationship Id="rId164" Type="http://schemas.openxmlformats.org/officeDocument/2006/relationships/hyperlink" Target="mailto:naturalblissholidays@gmail.com" TargetMode="External"/><Relationship Id="rId185" Type="http://schemas.openxmlformats.org/officeDocument/2006/relationships/hyperlink" Target="mailto:lakshmi.r@sbittravels.com" TargetMode="External"/><Relationship Id="rId9" Type="http://schemas.openxmlformats.org/officeDocument/2006/relationships/hyperlink" Target="mailto:ops3@lotusexoticjourneys.com" TargetMode="External"/><Relationship Id="rId210" Type="http://schemas.openxmlformats.org/officeDocument/2006/relationships/hyperlink" Target="mailto:Monisha@sbittravels.com" TargetMode="External"/><Relationship Id="rId26" Type="http://schemas.openxmlformats.org/officeDocument/2006/relationships/hyperlink" Target="mailto:tulasi@aakasaveedhilo.in" TargetMode="External"/><Relationship Id="rId231" Type="http://schemas.openxmlformats.org/officeDocument/2006/relationships/hyperlink" Target="mailto:b2b@traviget.com" TargetMode="External"/><Relationship Id="rId252" Type="http://schemas.openxmlformats.org/officeDocument/2006/relationships/hyperlink" Target="mailto:skyplanner.co.in@gmail.com" TargetMode="External"/><Relationship Id="rId47" Type="http://schemas.openxmlformats.org/officeDocument/2006/relationships/hyperlink" Target="mailto:operations@orchidtours.net" TargetMode="External"/><Relationship Id="rId68" Type="http://schemas.openxmlformats.org/officeDocument/2006/relationships/hyperlink" Target="mailto:lakshmi.r@sbittravels.com" TargetMode="External"/><Relationship Id="rId89" Type="http://schemas.openxmlformats.org/officeDocument/2006/relationships/hyperlink" Target="mailto:Anilkumar@sbittravels.com" TargetMode="External"/><Relationship Id="rId112" Type="http://schemas.openxmlformats.org/officeDocument/2006/relationships/hyperlink" Target="mailto:sachin@senkaytwd.com" TargetMode="External"/><Relationship Id="rId133" Type="http://schemas.openxmlformats.org/officeDocument/2006/relationships/hyperlink" Target="mailto:swashaglobalholidays@gmail.com" TargetMode="External"/><Relationship Id="rId154" Type="http://schemas.openxmlformats.org/officeDocument/2006/relationships/hyperlink" Target="mailto:sudha@saipearlholidays.com" TargetMode="External"/><Relationship Id="rId175" Type="http://schemas.openxmlformats.org/officeDocument/2006/relationships/hyperlink" Target="mailto:shreyatravels1003@gmail.com" TargetMode="External"/><Relationship Id="rId196" Type="http://schemas.openxmlformats.org/officeDocument/2006/relationships/hyperlink" Target="mailto:triptides123@gmail.com" TargetMode="External"/><Relationship Id="rId200" Type="http://schemas.openxmlformats.org/officeDocument/2006/relationships/hyperlink" Target="mailto:Anilkumar@sbittravels.com" TargetMode="External"/><Relationship Id="rId16" Type="http://schemas.openxmlformats.org/officeDocument/2006/relationships/hyperlink" Target="mailto:khushi@ottila.in" TargetMode="External"/><Relationship Id="rId221" Type="http://schemas.openxmlformats.org/officeDocument/2006/relationships/hyperlink" Target="mailto:harshitha@sbittravels.com" TargetMode="External"/><Relationship Id="rId242" Type="http://schemas.openxmlformats.org/officeDocument/2006/relationships/hyperlink" Target="mailto:info@honeyvihar.com" TargetMode="External"/><Relationship Id="rId37" Type="http://schemas.openxmlformats.org/officeDocument/2006/relationships/hyperlink" Target="mailto:ops.safarchhand@gmail.com" TargetMode="External"/><Relationship Id="rId58" Type="http://schemas.openxmlformats.org/officeDocument/2006/relationships/hyperlink" Target="mailto:saiholidays225353@gmail.com" TargetMode="External"/><Relationship Id="rId79" Type="http://schemas.openxmlformats.org/officeDocument/2006/relationships/hyperlink" Target="mailto:travnestt@gmail.com" TargetMode="External"/><Relationship Id="rId102" Type="http://schemas.openxmlformats.org/officeDocument/2006/relationships/hyperlink" Target="mailto:vsktoursandtravels18@gmail.com" TargetMode="External"/><Relationship Id="rId123" Type="http://schemas.openxmlformats.org/officeDocument/2006/relationships/hyperlink" Target="mailto:Monisha@sbittravels.com" TargetMode="External"/><Relationship Id="rId144" Type="http://schemas.openxmlformats.org/officeDocument/2006/relationships/hyperlink" Target="mailto:dipti@ottila.in" TargetMode="External"/><Relationship Id="rId90" Type="http://schemas.openxmlformats.org/officeDocument/2006/relationships/hyperlink" Target="mailto:fly@flyhighflysafe.com" TargetMode="External"/><Relationship Id="rId165" Type="http://schemas.openxmlformats.org/officeDocument/2006/relationships/hyperlink" Target="mailto:info@tripyapa.in" TargetMode="External"/><Relationship Id="rId186" Type="http://schemas.openxmlformats.org/officeDocument/2006/relationships/hyperlink" Target="mailto:lakshmi.r@sbittravels.com" TargetMode="External"/><Relationship Id="rId211" Type="http://schemas.openxmlformats.org/officeDocument/2006/relationships/hyperlink" Target="mailto:dipti@ottila.in" TargetMode="External"/><Relationship Id="rId232" Type="http://schemas.openxmlformats.org/officeDocument/2006/relationships/hyperlink" Target="mailto:vacaymodeon1721@gmail.com" TargetMode="External"/><Relationship Id="rId253" Type="http://schemas.openxmlformats.org/officeDocument/2006/relationships/hyperlink" Target="mailto:sales@travelxpedia.com" TargetMode="External"/><Relationship Id="rId27" Type="http://schemas.openxmlformats.org/officeDocument/2006/relationships/hyperlink" Target="mailto:bagpackaro@gmail.com" TargetMode="External"/><Relationship Id="rId48" Type="http://schemas.openxmlformats.org/officeDocument/2006/relationships/hyperlink" Target="mailto:sales1@itdhholidays.com" TargetMode="External"/><Relationship Id="rId69" Type="http://schemas.openxmlformats.org/officeDocument/2006/relationships/hyperlink" Target="mailto:sales@travelxpedia.com" TargetMode="External"/><Relationship Id="rId113" Type="http://schemas.openxmlformats.org/officeDocument/2006/relationships/hyperlink" Target="mailto:traviewindiatours@gmail.com" TargetMode="External"/><Relationship Id="rId134" Type="http://schemas.openxmlformats.org/officeDocument/2006/relationships/hyperlink" Target="mailto:ranjith@uniglobebit.com" TargetMode="External"/><Relationship Id="rId80" Type="http://schemas.openxmlformats.org/officeDocument/2006/relationships/hyperlink" Target="mailto:b2b@traviget.com" TargetMode="External"/><Relationship Id="rId155" Type="http://schemas.openxmlformats.org/officeDocument/2006/relationships/hyperlink" Target="mailto:gotmytripofficial@gmail.com" TargetMode="External"/><Relationship Id="rId176" Type="http://schemas.openxmlformats.org/officeDocument/2006/relationships/hyperlink" Target="mailto:madhuvagabond@gmail.com" TargetMode="External"/><Relationship Id="rId197" Type="http://schemas.openxmlformats.org/officeDocument/2006/relationships/hyperlink" Target="mailto:jaaltrikon@gmail.com" TargetMode="External"/><Relationship Id="rId201" Type="http://schemas.openxmlformats.org/officeDocument/2006/relationships/hyperlink" Target="mailto:hitarthi@dishaworldtravels.com" TargetMode="External"/><Relationship Id="rId222" Type="http://schemas.openxmlformats.org/officeDocument/2006/relationships/hyperlink" Target="mailto:Anilkumar@sbittravels.com" TargetMode="External"/><Relationship Id="rId243" Type="http://schemas.openxmlformats.org/officeDocument/2006/relationships/hyperlink" Target="mailto:lakshmi.r@sbittravels.com" TargetMode="External"/><Relationship Id="rId17" Type="http://schemas.openxmlformats.org/officeDocument/2006/relationships/hyperlink" Target="mailto:letstalk@wildvgr.com" TargetMode="External"/><Relationship Id="rId38" Type="http://schemas.openxmlformats.org/officeDocument/2006/relationships/hyperlink" Target="mailto:mangoleafsmg@gmail.com" TargetMode="External"/><Relationship Id="rId59" Type="http://schemas.openxmlformats.org/officeDocument/2006/relationships/hyperlink" Target="mailto:noushad@venustourplanners.com" TargetMode="External"/><Relationship Id="rId103" Type="http://schemas.openxmlformats.org/officeDocument/2006/relationships/hyperlink" Target="mailto:Anilkumar@sbittravels.com" TargetMode="External"/><Relationship Id="rId124" Type="http://schemas.openxmlformats.org/officeDocument/2006/relationships/hyperlink" Target="mailto:info@honeyvihar.com" TargetMode="External"/><Relationship Id="rId70" Type="http://schemas.openxmlformats.org/officeDocument/2006/relationships/hyperlink" Target="mailto:rashmi@ottila.in" TargetMode="External"/><Relationship Id="rId91" Type="http://schemas.openxmlformats.org/officeDocument/2006/relationships/hyperlink" Target="mailto:dipti@ottila.in" TargetMode="External"/><Relationship Id="rId145" Type="http://schemas.openxmlformats.org/officeDocument/2006/relationships/hyperlink" Target="mailto:ops@finest.co.in" TargetMode="External"/><Relationship Id="rId166" Type="http://schemas.openxmlformats.org/officeDocument/2006/relationships/hyperlink" Target="mailto:packages@jetsavetours.com" TargetMode="External"/><Relationship Id="rId187" Type="http://schemas.openxmlformats.org/officeDocument/2006/relationships/hyperlink" Target="mailto:saiholidays225353@gmail.com" TargetMode="External"/><Relationship Id="rId1" Type="http://schemas.openxmlformats.org/officeDocument/2006/relationships/hyperlink" Target="mailto:bookings.destinationtreasury@gmail.com" TargetMode="External"/><Relationship Id="rId212" Type="http://schemas.openxmlformats.org/officeDocument/2006/relationships/hyperlink" Target="mailto:aamish@senkaytwd.com" TargetMode="External"/><Relationship Id="rId233" Type="http://schemas.openxmlformats.org/officeDocument/2006/relationships/hyperlink" Target="mailto:sales@travelxpedia.com" TargetMode="External"/><Relationship Id="rId254" Type="http://schemas.openxmlformats.org/officeDocument/2006/relationships/printerSettings" Target="../printerSettings/printerSettings1.bin"/><Relationship Id="rId28" Type="http://schemas.openxmlformats.org/officeDocument/2006/relationships/hyperlink" Target="mailto:sales@travelxpedia.com" TargetMode="External"/><Relationship Id="rId49" Type="http://schemas.openxmlformats.org/officeDocument/2006/relationships/hyperlink" Target="mailto:hitarthi@dishaworldtravels.com" TargetMode="External"/><Relationship Id="rId114" Type="http://schemas.openxmlformats.org/officeDocument/2006/relationships/hyperlink" Target="mailto:khushi@ottila.in" TargetMode="External"/><Relationship Id="rId60" Type="http://schemas.openxmlformats.org/officeDocument/2006/relationships/hyperlink" Target="mailto:kewalsonsholidays@gmail.com" TargetMode="External"/><Relationship Id="rId81" Type="http://schemas.openxmlformats.org/officeDocument/2006/relationships/hyperlink" Target="mailto:holidays4@reisentours.com" TargetMode="External"/><Relationship Id="rId135" Type="http://schemas.openxmlformats.org/officeDocument/2006/relationships/hyperlink" Target="mailto:holidays@toliday.in" TargetMode="External"/><Relationship Id="rId156" Type="http://schemas.openxmlformats.org/officeDocument/2006/relationships/hyperlink" Target="mailto:naturalblissholidays@gmail.com" TargetMode="External"/><Relationship Id="rId177" Type="http://schemas.openxmlformats.org/officeDocument/2006/relationships/hyperlink" Target="mailto:Anilkumar@sbittravels.com" TargetMode="External"/><Relationship Id="rId198" Type="http://schemas.openxmlformats.org/officeDocument/2006/relationships/hyperlink" Target="mailto:saahil@holidayhub.in" TargetMode="External"/><Relationship Id="rId202" Type="http://schemas.openxmlformats.org/officeDocument/2006/relationships/hyperlink" Target="mailto:prince.agrawal@girirajholidays.in" TargetMode="External"/><Relationship Id="rId223" Type="http://schemas.openxmlformats.org/officeDocument/2006/relationships/hyperlink" Target="mailto:Monisha@sbittravels.com" TargetMode="External"/><Relationship Id="rId244" Type="http://schemas.openxmlformats.org/officeDocument/2006/relationships/hyperlink" Target="mailto:enquiry@happyholidayshyderabad.com" TargetMode="External"/><Relationship Id="rId18" Type="http://schemas.openxmlformats.org/officeDocument/2006/relationships/hyperlink" Target="mailto:Anilkumar@sbittravels.com" TargetMode="External"/><Relationship Id="rId39" Type="http://schemas.openxmlformats.org/officeDocument/2006/relationships/hyperlink" Target="mailto:yatrimitraholidays@gmail.com" TargetMode="External"/><Relationship Id="rId50" Type="http://schemas.openxmlformats.org/officeDocument/2006/relationships/hyperlink" Target="mailto:manyabajaj@abhacgroup.com" TargetMode="External"/><Relationship Id="rId104" Type="http://schemas.openxmlformats.org/officeDocument/2006/relationships/hyperlink" Target="mailto:Anilkumar@sbittravels.com" TargetMode="External"/><Relationship Id="rId125" Type="http://schemas.openxmlformats.org/officeDocument/2006/relationships/hyperlink" Target="mailto:trip@servicestours.com" TargetMode="External"/><Relationship Id="rId146" Type="http://schemas.openxmlformats.org/officeDocument/2006/relationships/hyperlink" Target="mailto:dipti@ottila.in" TargetMode="External"/><Relationship Id="rId167" Type="http://schemas.openxmlformats.org/officeDocument/2006/relationships/hyperlink" Target="mailto:madhur@traveltatva.com" TargetMode="External"/><Relationship Id="rId188" Type="http://schemas.openxmlformats.org/officeDocument/2006/relationships/hyperlink" Target="mailto:exltravelvns@gmail.com" TargetMode="External"/><Relationship Id="rId71" Type="http://schemas.openxmlformats.org/officeDocument/2006/relationships/hyperlink" Target="mailto:ops@hyd.ottila.net" TargetMode="External"/><Relationship Id="rId92" Type="http://schemas.openxmlformats.org/officeDocument/2006/relationships/hyperlink" Target="mailto:vimalhospitality@gmail.com" TargetMode="External"/><Relationship Id="rId213" Type="http://schemas.openxmlformats.org/officeDocument/2006/relationships/hyperlink" Target="mailto:rajeshwari.s@sbittravels.com" TargetMode="External"/><Relationship Id="rId234" Type="http://schemas.openxmlformats.org/officeDocument/2006/relationships/hyperlink" Target="mailto:lakshmi.r@sbittravels.com" TargetMode="External"/><Relationship Id="rId2" Type="http://schemas.openxmlformats.org/officeDocument/2006/relationships/hyperlink" Target="mailto:hitarthi@dishaworldtravels.com" TargetMode="External"/><Relationship Id="rId29" Type="http://schemas.openxmlformats.org/officeDocument/2006/relationships/hyperlink" Target="mailto:info@joshitours.org" TargetMode="External"/><Relationship Id="rId255" Type="http://schemas.openxmlformats.org/officeDocument/2006/relationships/vmlDrawing" Target="../drawings/vmlDrawing1.vml"/><Relationship Id="rId40" Type="http://schemas.openxmlformats.org/officeDocument/2006/relationships/hyperlink" Target="mailto:info@joshitours.org" TargetMode="External"/><Relationship Id="rId115" Type="http://schemas.openxmlformats.org/officeDocument/2006/relationships/hyperlink" Target="mailto:kewalsonsholidays@gmail.com" TargetMode="External"/><Relationship Id="rId136" Type="http://schemas.openxmlformats.org/officeDocument/2006/relationships/hyperlink" Target="mailto:aarviholidays@gmail.com" TargetMode="External"/><Relationship Id="rId157" Type="http://schemas.openxmlformats.org/officeDocument/2006/relationships/hyperlink" Target="mailto:sales1@goglobalvacations.in" TargetMode="External"/><Relationship Id="rId178" Type="http://schemas.openxmlformats.org/officeDocument/2006/relationships/hyperlink" Target="mailto:shamik.sengupta@zenithholidays.com" TargetMode="External"/><Relationship Id="rId61" Type="http://schemas.openxmlformats.org/officeDocument/2006/relationships/hyperlink" Target="mailto:varshada@ottila.in" TargetMode="External"/><Relationship Id="rId82" Type="http://schemas.openxmlformats.org/officeDocument/2006/relationships/hyperlink" Target="mailto:khushi@ottila.in" TargetMode="External"/><Relationship Id="rId199" Type="http://schemas.openxmlformats.org/officeDocument/2006/relationships/hyperlink" Target="mailto:sales@gopaltravels.in" TargetMode="External"/><Relationship Id="rId203" Type="http://schemas.openxmlformats.org/officeDocument/2006/relationships/hyperlink" Target="mailto:shree.international.travels@gmail.com" TargetMode="External"/><Relationship Id="rId19" Type="http://schemas.openxmlformats.org/officeDocument/2006/relationships/hyperlink" Target="mailto:saleshariom999@gmail.com" TargetMode="External"/><Relationship Id="rId224" Type="http://schemas.openxmlformats.org/officeDocument/2006/relationships/hyperlink" Target="mailto:operations@travelradio.co.in" TargetMode="External"/><Relationship Id="rId245" Type="http://schemas.openxmlformats.org/officeDocument/2006/relationships/hyperlink" Target="mailto:brijesh@dishaworldtravels.com" TargetMode="External"/><Relationship Id="rId30" Type="http://schemas.openxmlformats.org/officeDocument/2006/relationships/hyperlink" Target="mailto:sales@travelxpedia.com" TargetMode="External"/><Relationship Id="rId105" Type="http://schemas.openxmlformats.org/officeDocument/2006/relationships/hyperlink" Target="mailto:rajeshwari.s@sbittravels.com" TargetMode="External"/><Relationship Id="rId126" Type="http://schemas.openxmlformats.org/officeDocument/2006/relationships/hyperlink" Target="mailto:harshitha@sbittravels.com" TargetMode="External"/><Relationship Id="rId147" Type="http://schemas.openxmlformats.org/officeDocument/2006/relationships/hyperlink" Target="mailto:lakshmi.r@sbittravels.com" TargetMode="External"/><Relationship Id="rId168" Type="http://schemas.openxmlformats.org/officeDocument/2006/relationships/hyperlink" Target="mailto:trip@servicestours.com" TargetMode="External"/><Relationship Id="rId51" Type="http://schemas.openxmlformats.org/officeDocument/2006/relationships/hyperlink" Target="mailto:worldescapeholidays@gmail.com" TargetMode="External"/><Relationship Id="rId72" Type="http://schemas.openxmlformats.org/officeDocument/2006/relationships/hyperlink" Target="mailto:kowsalya@orchidtours.net" TargetMode="External"/><Relationship Id="rId93" Type="http://schemas.openxmlformats.org/officeDocument/2006/relationships/hyperlink" Target="mailto:sales@travelxpedia.com" TargetMode="External"/><Relationship Id="rId189" Type="http://schemas.openxmlformats.org/officeDocument/2006/relationships/hyperlink" Target="mailto:exploraecoholidays@gmail.com" TargetMode="External"/><Relationship Id="rId3" Type="http://schemas.openxmlformats.org/officeDocument/2006/relationships/hyperlink" Target="mailto:travel@servicestours.com" TargetMode="External"/><Relationship Id="rId214" Type="http://schemas.openxmlformats.org/officeDocument/2006/relationships/hyperlink" Target="mailto:anusualholidayplanner@gmail.com" TargetMode="External"/><Relationship Id="rId235" Type="http://schemas.openxmlformats.org/officeDocument/2006/relationships/hyperlink" Target="mailto:lakshmi.r@sbittravels.com" TargetMode="External"/><Relationship Id="rId256" Type="http://schemas.openxmlformats.org/officeDocument/2006/relationships/table" Target="../tables/table1.xml"/><Relationship Id="rId116" Type="http://schemas.openxmlformats.org/officeDocument/2006/relationships/hyperlink" Target="mailto:rashmi@ottila.in" TargetMode="External"/><Relationship Id="rId137" Type="http://schemas.openxmlformats.org/officeDocument/2006/relationships/hyperlink" Target="mailto:sales@travelxpedia.com" TargetMode="External"/><Relationship Id="rId158" Type="http://schemas.openxmlformats.org/officeDocument/2006/relationships/hyperlink" Target="mailto:rashmi@ottila.in" TargetMode="External"/><Relationship Id="rId20" Type="http://schemas.openxmlformats.org/officeDocument/2006/relationships/hyperlink" Target="mailto:swaroop@sbittravels.com" TargetMode="External"/><Relationship Id="rId41" Type="http://schemas.openxmlformats.org/officeDocument/2006/relationships/hyperlink" Target="mailto:Anilkumar@sbittravels.com" TargetMode="External"/><Relationship Id="rId62" Type="http://schemas.openxmlformats.org/officeDocument/2006/relationships/hyperlink" Target="mailto:hello@tripinminutes.in" TargetMode="External"/><Relationship Id="rId83" Type="http://schemas.openxmlformats.org/officeDocument/2006/relationships/hyperlink" Target="mailto:trip@servicestours.com" TargetMode="External"/><Relationship Id="rId179" Type="http://schemas.openxmlformats.org/officeDocument/2006/relationships/hyperlink" Target="mailto:tours@servicestours.com" TargetMode="External"/><Relationship Id="rId190" Type="http://schemas.openxmlformats.org/officeDocument/2006/relationships/hyperlink" Target="mailto:office@svrtourism.in" TargetMode="External"/><Relationship Id="rId204" Type="http://schemas.openxmlformats.org/officeDocument/2006/relationships/hyperlink" Target="mailto:shree.international.travels@gmail.com" TargetMode="External"/><Relationship Id="rId225" Type="http://schemas.openxmlformats.org/officeDocument/2006/relationships/hyperlink" Target="mailto:yogesh@parichayaholidays.com" TargetMode="External"/><Relationship Id="rId246" Type="http://schemas.openxmlformats.org/officeDocument/2006/relationships/hyperlink" Target="mailto:rashmi@ottila.in" TargetMode="External"/><Relationship Id="rId106" Type="http://schemas.openxmlformats.org/officeDocument/2006/relationships/hyperlink" Target="mailto:noopur@ottila.in" TargetMode="External"/><Relationship Id="rId127" Type="http://schemas.openxmlformats.org/officeDocument/2006/relationships/hyperlink" Target="mailto:lakshmi.r@sbittravels.com" TargetMode="External"/><Relationship Id="rId10" Type="http://schemas.openxmlformats.org/officeDocument/2006/relationships/hyperlink" Target="mailto:ops3@lotusexoticjourneys.com" TargetMode="External"/><Relationship Id="rId31" Type="http://schemas.openxmlformats.org/officeDocument/2006/relationships/hyperlink" Target="mailto:sales@travelxpedia.com" TargetMode="External"/><Relationship Id="rId52" Type="http://schemas.openxmlformats.org/officeDocument/2006/relationships/hyperlink" Target="mailto:operations@travelradio.co.in" TargetMode="External"/><Relationship Id="rId73" Type="http://schemas.openxmlformats.org/officeDocument/2006/relationships/hyperlink" Target="mailto:jh.accounts@jetsavetours.com" TargetMode="External"/><Relationship Id="rId94" Type="http://schemas.openxmlformats.org/officeDocument/2006/relationships/hyperlink" Target="mailto:holidayfriendstoursntravels@gmail.com" TargetMode="External"/><Relationship Id="rId148" Type="http://schemas.openxmlformats.org/officeDocument/2006/relationships/hyperlink" Target="mailto:vsktoursandtravels18@gmail.com" TargetMode="External"/><Relationship Id="rId169" Type="http://schemas.openxmlformats.org/officeDocument/2006/relationships/hyperlink" Target="mailto:naturalblissholidays@gmail.com" TargetMode="External"/><Relationship Id="rId4" Type="http://schemas.openxmlformats.org/officeDocument/2006/relationships/hyperlink" Target="mailto:shrutikulkarni@letstakeabreak.in" TargetMode="External"/><Relationship Id="rId180" Type="http://schemas.openxmlformats.org/officeDocument/2006/relationships/hyperlink" Target="mailto:niket@mishkaholidays.in" TargetMode="External"/><Relationship Id="rId215" Type="http://schemas.openxmlformats.org/officeDocument/2006/relationships/hyperlink" Target="mailto:sales@greenviewtravels.com" TargetMode="External"/><Relationship Id="rId236" Type="http://schemas.openxmlformats.org/officeDocument/2006/relationships/hyperlink" Target="mailto:harshitha@sbittravels.com" TargetMode="External"/><Relationship Id="rId257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EO1004"/>
  <sheetViews>
    <sheetView showGridLines="0" tabSelected="1" topLeftCell="B1" zoomScale="115" zoomScaleNormal="115" workbookViewId="0">
      <pane xSplit="2" ySplit="3" topLeftCell="AF354" activePane="bottomRight" state="frozen"/>
      <selection pane="bottomRight" activeCell="AT360" sqref="AT360"/>
      <selection pane="bottomLeft"/>
      <selection pane="topRight"/>
    </sheetView>
  </sheetViews>
  <sheetFormatPr defaultColWidth="8.85546875" defaultRowHeight="14.45"/>
  <cols>
    <col min="2" max="2" width="8" bestFit="1" customWidth="1"/>
    <col min="3" max="3" width="18.7109375" bestFit="1" customWidth="1"/>
    <col min="4" max="4" width="20.28515625" style="24" customWidth="1"/>
    <col min="5" max="6" width="15.42578125" customWidth="1"/>
    <col min="7" max="7" width="23.5703125" bestFit="1" customWidth="1"/>
    <col min="8" max="8" width="21.28515625" customWidth="1"/>
    <col min="9" max="9" width="28.7109375" customWidth="1"/>
    <col min="10" max="11" width="27.5703125" customWidth="1"/>
    <col min="12" max="12" width="27.28515625" style="1" customWidth="1"/>
    <col min="13" max="13" width="38.85546875" customWidth="1"/>
    <col min="14" max="14" width="30.85546875" customWidth="1"/>
    <col min="15" max="15" width="32.7109375" customWidth="1"/>
    <col min="16" max="16" width="39" customWidth="1"/>
    <col min="17" max="17" width="20" customWidth="1"/>
    <col min="18" max="18" width="19.140625" customWidth="1"/>
    <col min="19" max="19" width="19" customWidth="1"/>
    <col min="20" max="20" width="18.140625" customWidth="1"/>
    <col min="21" max="21" width="18.85546875" customWidth="1"/>
    <col min="22" max="22" width="15.5703125" customWidth="1"/>
    <col min="23" max="23" width="42.140625" customWidth="1"/>
    <col min="24" max="24" width="13.42578125" customWidth="1"/>
    <col min="25" max="25" width="25.5703125" customWidth="1" collapsed="1"/>
    <col min="26" max="26" width="19.140625" customWidth="1"/>
    <col min="27" max="27" width="18.140625" customWidth="1"/>
    <col min="28" max="29" width="21" customWidth="1"/>
    <col min="30" max="32" width="66.42578125" customWidth="1"/>
    <col min="33" max="34" width="27" customWidth="1"/>
    <col min="35" max="35" width="18.42578125" customWidth="1"/>
    <col min="36" max="36" width="26.140625" customWidth="1"/>
    <col min="37" max="37" width="8.85546875" customWidth="1"/>
    <col min="38" max="38" width="11" customWidth="1"/>
    <col min="39" max="39" width="12.140625" customWidth="1"/>
    <col min="40" max="43" width="11.7109375" customWidth="1"/>
    <col min="44" max="44" width="37" customWidth="1"/>
    <col min="45" max="45" width="11.7109375" customWidth="1"/>
    <col min="46" max="46" width="18.42578125" customWidth="1"/>
    <col min="47" max="47" width="50.28515625" customWidth="1"/>
    <col min="48" max="48" width="8.85546875" customWidth="1" collapsed="1"/>
    <col min="49" max="72" width="8.85546875" customWidth="1"/>
    <col min="73" max="73" width="8.85546875" style="22" customWidth="1"/>
    <col min="74" max="74" width="24.85546875" customWidth="1"/>
    <col min="75" max="75" width="12.5703125" customWidth="1"/>
    <col min="76" max="76" width="8.28515625" customWidth="1"/>
    <col min="77" max="77" width="20" customWidth="1"/>
    <col min="78" max="78" width="4.85546875" customWidth="1"/>
    <col min="79" max="79" width="8.28515625" customWidth="1"/>
    <col min="80" max="80" width="9.28515625" customWidth="1"/>
    <col min="81" max="81" width="15.5703125" customWidth="1"/>
    <col min="82" max="82" width="11" customWidth="1"/>
    <col min="83" max="83" width="45.28515625" customWidth="1"/>
    <col min="84" max="84" width="12.28515625" bestFit="1" customWidth="1"/>
    <col min="85" max="86" width="17.28515625" bestFit="1" customWidth="1"/>
    <col min="87" max="87" width="44.5703125" bestFit="1" customWidth="1"/>
    <col min="88" max="88" width="8.85546875" customWidth="1"/>
    <col min="89" max="89" width="20.28515625" customWidth="1"/>
    <col min="90" max="90" width="36" bestFit="1" customWidth="1"/>
    <col min="91" max="91" width="33.28515625" customWidth="1"/>
    <col min="92" max="92" width="55.85546875" customWidth="1"/>
    <col min="93" max="93" width="28.7109375" customWidth="1"/>
    <col min="94" max="94" width="24.140625" customWidth="1"/>
    <col min="95" max="95" width="20.28515625" customWidth="1"/>
    <col min="96" max="96" width="25.7109375" customWidth="1"/>
    <col min="97" max="97" width="39.7109375" customWidth="1"/>
    <col min="98" max="98" width="18.85546875" hidden="1" customWidth="1"/>
    <col min="99" max="99" width="30.85546875" bestFit="1" customWidth="1"/>
    <col min="100" max="100" width="22.140625" customWidth="1"/>
    <col min="101" max="101" width="13.28515625" customWidth="1"/>
    <col min="102" max="102" width="49" customWidth="1"/>
    <col min="103" max="103" width="18.7109375" bestFit="1" customWidth="1"/>
    <col min="104" max="104" width="109.28515625" bestFit="1" customWidth="1"/>
    <col min="105" max="105" width="59.140625" bestFit="1" customWidth="1"/>
    <col min="106" max="106" width="17.5703125" bestFit="1" customWidth="1"/>
  </cols>
  <sheetData>
    <row r="2" spans="2:145" ht="15" thickBot="1">
      <c r="AN2" s="20" t="s">
        <v>0</v>
      </c>
      <c r="AO2" s="21">
        <f ca="1">(TODAY())</f>
        <v>46281</v>
      </c>
    </row>
    <row r="3" spans="2:145" ht="18.600000000000001" thickBot="1">
      <c r="C3" s="151" t="s">
        <v>1</v>
      </c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61" t="s">
        <v>2</v>
      </c>
      <c r="Z3" s="162"/>
      <c r="AA3" s="162"/>
      <c r="AB3" s="162"/>
      <c r="AC3" s="162"/>
      <c r="AD3" s="162"/>
      <c r="AE3" s="162"/>
      <c r="AF3" s="162"/>
      <c r="AG3" s="162"/>
      <c r="AH3" s="163"/>
      <c r="AK3" s="153" t="s">
        <v>3</v>
      </c>
      <c r="AL3" s="154"/>
      <c r="AM3" s="155"/>
      <c r="AN3" s="156" t="s">
        <v>4</v>
      </c>
      <c r="AO3" s="157"/>
      <c r="AP3" s="157"/>
      <c r="AQ3" s="158" t="s">
        <v>5</v>
      </c>
      <c r="AR3" s="159"/>
      <c r="AS3" s="160"/>
    </row>
    <row r="4" spans="2:145" ht="15">
      <c r="B4" s="8" t="s">
        <v>6</v>
      </c>
      <c r="C4" s="69" t="s">
        <v>7</v>
      </c>
      <c r="D4" s="118" t="s">
        <v>8</v>
      </c>
      <c r="E4" s="70" t="s">
        <v>9</v>
      </c>
      <c r="F4" s="70" t="s">
        <v>10</v>
      </c>
      <c r="G4" s="70" t="s">
        <v>11</v>
      </c>
      <c r="H4" s="70" t="s">
        <v>12</v>
      </c>
      <c r="I4" s="70" t="s">
        <v>13</v>
      </c>
      <c r="J4" s="70" t="s">
        <v>14</v>
      </c>
      <c r="K4" s="70" t="s">
        <v>15</v>
      </c>
      <c r="L4" s="70" t="s">
        <v>16</v>
      </c>
      <c r="M4" s="70" t="s">
        <v>17</v>
      </c>
      <c r="N4" s="70" t="s">
        <v>18</v>
      </c>
      <c r="O4" s="70" t="s">
        <v>19</v>
      </c>
      <c r="P4" s="70" t="s">
        <v>20</v>
      </c>
      <c r="Q4" s="70" t="s">
        <v>21</v>
      </c>
      <c r="R4" s="70" t="s">
        <v>22</v>
      </c>
      <c r="S4" s="70" t="s">
        <v>23</v>
      </c>
      <c r="T4" s="70" t="s">
        <v>24</v>
      </c>
      <c r="U4" s="70" t="s">
        <v>25</v>
      </c>
      <c r="V4" s="70" t="s">
        <v>26</v>
      </c>
      <c r="W4" s="78" t="s">
        <v>27</v>
      </c>
      <c r="X4" s="71" t="s">
        <v>28</v>
      </c>
      <c r="Y4" s="72" t="s">
        <v>29</v>
      </c>
      <c r="Z4" s="72" t="s">
        <v>30</v>
      </c>
      <c r="AA4" s="72" t="s">
        <v>31</v>
      </c>
      <c r="AB4" s="72" t="s">
        <v>32</v>
      </c>
      <c r="AC4" s="72" t="s">
        <v>33</v>
      </c>
      <c r="AD4" s="72" t="s">
        <v>34</v>
      </c>
      <c r="AE4" s="72" t="s">
        <v>35</v>
      </c>
      <c r="AF4" s="72" t="s">
        <v>36</v>
      </c>
      <c r="AG4" s="72" t="s">
        <v>37</v>
      </c>
      <c r="AH4" s="72" t="s">
        <v>38</v>
      </c>
      <c r="AI4" s="10" t="s">
        <v>39</v>
      </c>
      <c r="AJ4" s="23" t="s">
        <v>40</v>
      </c>
      <c r="AK4" s="11" t="s">
        <v>41</v>
      </c>
      <c r="AL4" s="12" t="s">
        <v>42</v>
      </c>
      <c r="AM4" s="13" t="s">
        <v>43</v>
      </c>
      <c r="AN4" s="16" t="s">
        <v>44</v>
      </c>
      <c r="AO4" s="17" t="s">
        <v>45</v>
      </c>
      <c r="AP4" s="18" t="s">
        <v>46</v>
      </c>
      <c r="AQ4" s="98" t="s">
        <v>47</v>
      </c>
      <c r="AR4" s="99" t="s">
        <v>48</v>
      </c>
      <c r="AS4" s="100" t="s">
        <v>49</v>
      </c>
      <c r="AT4" s="101" t="s">
        <v>50</v>
      </c>
      <c r="AU4" s="19" t="s">
        <v>51</v>
      </c>
      <c r="BV4" s="3" t="s">
        <v>16</v>
      </c>
      <c r="BW4" s="3" t="s">
        <v>26</v>
      </c>
      <c r="BX4" s="3" t="s">
        <v>52</v>
      </c>
      <c r="BY4" s="3" t="s">
        <v>39</v>
      </c>
      <c r="BZ4" s="3" t="s">
        <v>41</v>
      </c>
      <c r="CA4" s="3" t="s">
        <v>42</v>
      </c>
      <c r="CB4" s="3" t="s">
        <v>43</v>
      </c>
      <c r="CC4" s="3" t="s">
        <v>50</v>
      </c>
      <c r="CD4" s="2" t="s">
        <v>9</v>
      </c>
      <c r="CE4" s="3" t="s">
        <v>51</v>
      </c>
      <c r="CF4" s="3" t="s">
        <v>11</v>
      </c>
      <c r="CG4" s="3" t="s">
        <v>53</v>
      </c>
      <c r="CH4" s="3" t="s">
        <v>54</v>
      </c>
      <c r="CI4" s="2" t="s">
        <v>55</v>
      </c>
      <c r="CK4" s="2" t="s">
        <v>40</v>
      </c>
      <c r="CL4" s="2" t="s">
        <v>27</v>
      </c>
      <c r="CM4" s="2" t="s">
        <v>56</v>
      </c>
      <c r="CN4" s="2" t="s">
        <v>57</v>
      </c>
      <c r="CO4" s="2" t="s">
        <v>14</v>
      </c>
      <c r="CP4" s="2" t="s">
        <v>13</v>
      </c>
      <c r="CQ4" s="2" t="s">
        <v>58</v>
      </c>
      <c r="CR4" s="2" t="s">
        <v>59</v>
      </c>
      <c r="CS4" s="2" t="s">
        <v>37</v>
      </c>
      <c r="CT4" s="2" t="s">
        <v>33</v>
      </c>
      <c r="CU4" s="2" t="s">
        <v>37</v>
      </c>
      <c r="CV4" s="2" t="s">
        <v>38</v>
      </c>
      <c r="CW4" s="2" t="s">
        <v>60</v>
      </c>
      <c r="CX4" s="2" t="s">
        <v>61</v>
      </c>
      <c r="CY4" s="2" t="s">
        <v>62</v>
      </c>
      <c r="CZ4" s="2" t="s">
        <v>63</v>
      </c>
    </row>
    <row r="5" spans="2:145" ht="15" customHeight="1">
      <c r="B5" s="34">
        <v>1</v>
      </c>
      <c r="C5" s="36" t="s">
        <v>64</v>
      </c>
      <c r="D5" s="76">
        <v>46027</v>
      </c>
      <c r="E5" s="37" t="str">
        <f>IF(Table5[[#This Row],[Query Date]]&lt;&gt;"", TEXT(Table5[[#This Row],[Query Date]], "dddd"), "")</f>
        <v>Monday</v>
      </c>
      <c r="F5" s="37" t="str">
        <f>IF(Table5[[#This Row],[Query Date]]&lt;&gt;"", TEXT(Table5[[#This Row],[Query Date]], "mmmm"), "")</f>
        <v>January</v>
      </c>
      <c r="G5" s="37" t="s">
        <v>65</v>
      </c>
      <c r="H5" s="37" t="s">
        <v>66</v>
      </c>
      <c r="I5" s="37" t="s">
        <v>67</v>
      </c>
      <c r="J5" s="37" t="s">
        <v>68</v>
      </c>
      <c r="K5" s="37" t="s">
        <v>69</v>
      </c>
      <c r="L5" s="37" t="s">
        <v>70</v>
      </c>
      <c r="M5" s="111" t="s">
        <v>71</v>
      </c>
      <c r="N5" s="37" t="s">
        <v>72</v>
      </c>
      <c r="O5" s="129" t="s">
        <v>73</v>
      </c>
      <c r="P5" s="117" t="s">
        <v>74</v>
      </c>
      <c r="Q5" s="77">
        <v>46124</v>
      </c>
      <c r="R5" s="77" t="str">
        <f>IF(Table5[[#This Row],[Tour Starting Date]]&lt;&gt;"", TEXT(Table5[[#This Row],[Tour Starting Date]], "dddd"), "")</f>
        <v>Sunday</v>
      </c>
      <c r="S5" s="77">
        <v>46130</v>
      </c>
      <c r="T5" s="25" t="str">
        <f>IF(Table5[[#This Row],[Tour Ending Date]]&lt;&gt;"", TEXT(Table5[[#This Row],[Tour Ending Date]], "dddd"), "")</f>
        <v>Saturday</v>
      </c>
      <c r="U5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6 Nights &amp; 7 Days</v>
      </c>
      <c r="V5" s="37" t="str">
        <f>IF(Table5[[#This Row],[Tour Starting Date]]&lt;&gt;"", TEXT(Table5[[#This Row],[Tour Starting Date]], "mmmm"), "")</f>
        <v>April</v>
      </c>
      <c r="W5" s="79" t="str" cm="1">
        <f t="array" ref="W5">IF(Q5&lt;&gt;"", INDEX(CI:CI, MATCH(1, (Q5&gt;=CG:CG)*(Q5&lt;=CH:CH), 0)), "")</f>
        <v>Regular Dates - Weekend</v>
      </c>
      <c r="X5" s="38">
        <v>25</v>
      </c>
      <c r="Y5" s="73">
        <v>8500</v>
      </c>
      <c r="Z5" s="73">
        <f>IF(OR(Table5[[#This Row],[Per Person Package Cost]]="", Table5[[#This Row],[No. of Pax]]=""), "", Table5[[#This Row],[Per Person Package Cost]] * Table5[[#This Row],[No. of Pax]])</f>
        <v>212500</v>
      </c>
      <c r="AA5" s="51" t="s">
        <v>75</v>
      </c>
      <c r="AB5" s="51" t="s">
        <v>75</v>
      </c>
      <c r="AC5" s="51" t="s">
        <v>76</v>
      </c>
      <c r="AD5" s="51"/>
      <c r="AE5" s="51" t="str">
        <f t="shared" ref="AE5:AE68" si="0">IF(AD5&lt;&gt;"", INDEX(CW:CW, MATCH(AD5, CZ:CZ, 0)), "")</f>
        <v/>
      </c>
      <c r="AF5" s="51" t="str">
        <f t="shared" ref="AF5:AF68" si="1">IF(AD5&lt;&gt;"", INDEX(CX:CX, MATCH(AD5, CZ:CZ, 0)), "")</f>
        <v/>
      </c>
      <c r="AG5" s="73" t="str">
        <f t="shared" ref="AG5:AG68" si="2">IF(AE5&lt;&gt;"", INDEX(CU:CU, MATCH(AE5, CW:CW, 0)), "")</f>
        <v/>
      </c>
      <c r="AH5" s="73" t="str">
        <f>IF(AD5&lt;&gt;"", INDEX(CV:CV, MATCH(AD5, CZ:CZ, 0)), "")</f>
        <v/>
      </c>
      <c r="AI5" s="51" t="s">
        <v>77</v>
      </c>
      <c r="AJ5" s="55" t="s">
        <v>78</v>
      </c>
      <c r="AK5" s="58" t="s">
        <v>79</v>
      </c>
      <c r="AL5" s="30" t="s">
        <v>80</v>
      </c>
      <c r="AM5" s="61" t="s">
        <v>80</v>
      </c>
      <c r="AN5" s="14">
        <v>46030</v>
      </c>
      <c r="AO5" s="15">
        <v>46065</v>
      </c>
      <c r="AP5" s="91">
        <v>46077</v>
      </c>
      <c r="AQ5" s="83">
        <v>46091</v>
      </c>
      <c r="AR5" s="84">
        <v>46105</v>
      </c>
      <c r="AS5" s="85"/>
      <c r="AT5" s="86" t="s">
        <v>81</v>
      </c>
      <c r="AU5" s="66" t="s">
        <v>82</v>
      </c>
      <c r="BV5" s="116" t="s">
        <v>70</v>
      </c>
      <c r="BW5" t="s">
        <v>83</v>
      </c>
      <c r="BX5" s="1">
        <v>1</v>
      </c>
      <c r="BY5" t="s">
        <v>84</v>
      </c>
      <c r="BZ5" s="4" t="s">
        <v>79</v>
      </c>
      <c r="CA5" s="4" t="s">
        <v>80</v>
      </c>
      <c r="CB5" s="4" t="s">
        <v>80</v>
      </c>
      <c r="CC5" s="6" t="s">
        <v>85</v>
      </c>
      <c r="CD5" s="7" t="s">
        <v>86</v>
      </c>
      <c r="CE5" s="9" t="s">
        <v>87</v>
      </c>
      <c r="CF5" t="s">
        <v>65</v>
      </c>
      <c r="CG5" s="143">
        <v>46113</v>
      </c>
      <c r="CH5" s="143">
        <v>46114</v>
      </c>
      <c r="CI5" s="142" t="s">
        <v>88</v>
      </c>
      <c r="CJ5" s="140"/>
      <c r="CK5" s="142" t="s">
        <v>78</v>
      </c>
      <c r="CL5" t="s">
        <v>88</v>
      </c>
      <c r="CM5" t="s">
        <v>89</v>
      </c>
      <c r="CN5" t="s">
        <v>90</v>
      </c>
      <c r="CO5" t="s">
        <v>68</v>
      </c>
      <c r="CP5" t="s">
        <v>67</v>
      </c>
      <c r="CQ5" t="s">
        <v>66</v>
      </c>
      <c r="CR5" t="s">
        <v>91</v>
      </c>
      <c r="CS5" t="s">
        <v>92</v>
      </c>
      <c r="CT5" t="s">
        <v>93</v>
      </c>
      <c r="CU5" t="s">
        <v>92</v>
      </c>
      <c r="CV5" t="s">
        <v>91</v>
      </c>
      <c r="CW5" t="s">
        <v>94</v>
      </c>
      <c r="CX5" t="s">
        <v>95</v>
      </c>
      <c r="CY5" t="s">
        <v>96</v>
      </c>
      <c r="CZ5" t="s">
        <v>97</v>
      </c>
      <c r="DA5" t="str" cm="1">
        <f t="array" ref="DA5:DZ5">IF(U5&lt;&gt;"", TRANSPOSE(_xlfn._xlws.FILTER(CZ:CZ, CY:CY=U5, "")), "")</f>
        <v>Ex Gwl | Gwl (2N) + Mor - Orc - Pan (2N) - Hjr (1N) - Dat - Son - Gwl (1N)</v>
      </c>
      <c r="DB5" t="str">
        <v>Ex Gwl | GWL (2N) + Mor - Shiv - Chan (2N) - Hjr (1N) - Orc (1N) - Dat - Gwl</v>
      </c>
      <c r="DC5" t="str">
        <v>Gwl (2N) + Mor - Son - Dat - Orc (1N) - Hjr (1N) - Ban (1N) - Jlr (1N)</v>
      </c>
      <c r="DD5" t="str">
        <v>Idr - Ujj (1N) - Omk - Mah (1N) - Man (2N) - Bhp (2N) + Bhim + Bhoj + San</v>
      </c>
      <c r="DE5" t="str">
        <v>Bhp (1N) + Bhim + Bhoj + San - Ujj (1N) - Man (2N) - Mah - Omk (1N) - Idr (1N)</v>
      </c>
      <c r="DF5" t="str">
        <v>Jlr (1N) - Ban (1N) - Hjr (1N) - Orc (1N) - Dat - Son - Gwl (2N) + Mor</v>
      </c>
      <c r="DG5" t="str">
        <v>Bho (1N) + San - Bhoj - Bhim - Tawa (1N) - Mad (1N) - Pch (2N) - Jlr (1N)</v>
      </c>
      <c r="DH5" t="str">
        <v>Bho (1N) + San + Udaygiri - Bhoj - Bhim - Pch (2N) - Kan(2N) - Jlr (1N)</v>
      </c>
      <c r="DI5" t="str">
        <v>Bho (1N) + Bhim + Bhoj - San - Ujj (1N) - Man (2N) - Mah - Omk (1N) - Idr (1N)</v>
      </c>
      <c r="DJ5" t="str">
        <v>Gwl (2N) + Mor - Son - Dat - Orc (1N) - Hjr (1N) - Jab (1N) - Kan (1N) - Nag</v>
      </c>
      <c r="DK5" t="str">
        <v>Bho (2N) + San + Bhoj + Bhim - Ujj (1N) - Omk - Mah (1N) - Man (1N) - Idr (1N)</v>
      </c>
      <c r="DL5" t="str">
        <v>Ex Nag | Nag - Pch (2N) - Bhim - Bhoj - Bho (2N) + San + Udaygiri - Jlr (1N) - Kan (1N) - Nag</v>
      </c>
      <c r="DM5" t="str">
        <v>Bho (1N) - Mad (2N) + Tawa Cruise Safari - Pch (2N) - Jlr (1N) - Nag</v>
      </c>
      <c r="DN5" t="str">
        <v>Idr - Man (2N) - Idr (1N) - Bho (1N) + San - Bhoj - Bhim - Pch (2N) - Bho</v>
      </c>
      <c r="DO5" t="str">
        <v>Rpr - kan (2N) - Ban (1N) - Jlr (1N) - Mad (2N) - Bhim - Bhoj - Bho</v>
      </c>
      <c r="DP5" t="str">
        <v>Jlr - Amar (1 N) - Ban (2 N) - Kan (1N) - Pch (2N) - Ppi</v>
      </c>
      <c r="DQ5" t="str">
        <v>Jlr - (2N) Kan - (1N) Jlr - Bhim - Bhoj - (2N) Bho  (Ex San &amp; Uda)  - (1N) Ujj - Idr</v>
      </c>
      <c r="DR5" t="str">
        <v>Ex Nag | Nag (2 N) Pach - Bhim - Bhij - (2 N) Bho (Ex San &amp; Uad) - (1 N) Jlr - (1 N) Kan - Nag</v>
      </c>
      <c r="DS5" t="str">
        <v>(2 N) Bho (Ex San, Bhoj &amp; Bhim) - (1 N) Ujj - Omk - (1 N) Mah - (1 N) Man - (1 N) Idr</v>
      </c>
      <c r="DT5" t="str">
        <v>(2 N) Gwl (Ex Mor) - Son - Dat - (1 N) Orc - (1 N) Hjr - (1 N) Jlr - (1 N) Kan - Nag</v>
      </c>
      <c r="DU5" t="str">
        <v>(1 N) Jlr - (2 N) Kanha - (2 N Pach) - (1 N) BHo</v>
      </c>
      <c r="DV5" t="str">
        <v>(2 N) Gwl - (1 N) Orc - (1 N) Hjr - (1 N) Ban - (1 N) Jlr</v>
      </c>
      <c r="DW5" t="str">
        <v>(2 N) BHo - (2 N) Madhai - (1 N) Pach - (1 N) Jlr</v>
      </c>
      <c r="DX5" t="str">
        <v>Ex Bhp | Bhp - Bhoj - Bhim - Pach (3N) - Tawa - Mad - Tawa (1N) - Mad (1N) - Bho (1N)</v>
      </c>
      <c r="DY5" t="str">
        <v>Ex Idr I Idr - 2N Ujj - 1N Man - 1N Mah - 1N Omk - 1N Idr</v>
      </c>
      <c r="DZ5" t="str">
        <v>1N Jlr - 1N Kan - 1N Ban - 1N Hjr -2N Gwl</v>
      </c>
    </row>
    <row r="6" spans="2:145" ht="15" customHeight="1">
      <c r="B6" s="35">
        <v>2</v>
      </c>
      <c r="C6" s="36" t="s">
        <v>98</v>
      </c>
      <c r="D6" s="76">
        <v>46041</v>
      </c>
      <c r="E6" s="37" t="str">
        <f>IF(Table5[[#This Row],[Query Date]]&lt;&gt;"", TEXT(Table5[[#This Row],[Query Date]], "dddd"), "")</f>
        <v>Monday</v>
      </c>
      <c r="F6" s="37" t="str">
        <f>IF(Table5[[#This Row],[Query Date]]&lt;&gt;"", TEXT(Table5[[#This Row],[Query Date]], "mmmm"), "")</f>
        <v>January</v>
      </c>
      <c r="G6" s="28" t="s">
        <v>65</v>
      </c>
      <c r="H6" s="28" t="s">
        <v>99</v>
      </c>
      <c r="I6" s="28" t="s">
        <v>100</v>
      </c>
      <c r="J6" s="28" t="s">
        <v>68</v>
      </c>
      <c r="K6" s="28" t="s">
        <v>69</v>
      </c>
      <c r="L6" s="25" t="s">
        <v>70</v>
      </c>
      <c r="M6" s="112" t="s">
        <v>101</v>
      </c>
      <c r="N6" s="25" t="s">
        <v>102</v>
      </c>
      <c r="O6" s="130" t="s">
        <v>103</v>
      </c>
      <c r="P6" s="106" t="s">
        <v>104</v>
      </c>
      <c r="Q6" s="77">
        <v>46115</v>
      </c>
      <c r="R6" s="77" t="str">
        <f>IF(Table5[[#This Row],[Tour Starting Date]]&lt;&gt;"", TEXT(Table5[[#This Row],[Tour Starting Date]], "dddd"), "")</f>
        <v>Friday</v>
      </c>
      <c r="S6" s="77">
        <v>46117</v>
      </c>
      <c r="T6" s="25" t="str">
        <f>IF(Table5[[#This Row],[Tour Ending Date]]&lt;&gt;"", TEXT(Table5[[#This Row],[Tour Ending Date]], "dddd"), "")</f>
        <v>Sunday</v>
      </c>
      <c r="U6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6" s="37" t="str">
        <f>IF(Table5[[#This Row],[Tour Starting Date]]&lt;&gt;"", TEXT(Table5[[#This Row],[Tour Starting Date]], "mmmm"), "")</f>
        <v>April</v>
      </c>
      <c r="W6" s="80" t="str" cm="1">
        <f t="array" ref="W6">IF(Q6&lt;&gt;"", INDEX(CI:CI, MATCH(1, (Q6&gt;=CG:CG)*(Q6&lt;=CH:CH), 0)), "")</f>
        <v>Long Weekend - Good Friday</v>
      </c>
      <c r="X6" s="39">
        <v>15</v>
      </c>
      <c r="Y6" s="74">
        <v>5300</v>
      </c>
      <c r="Z6" s="74">
        <f>IF(OR(Table5[[#This Row],[Per Person Package Cost]]="", Table5[[#This Row],[No. of Pax]]=""), "", Table5[[#This Row],[Per Person Package Cost]] * Table5[[#This Row],[No. of Pax]])</f>
        <v>79500</v>
      </c>
      <c r="AA6" s="52" t="s">
        <v>75</v>
      </c>
      <c r="AB6" s="52" t="s">
        <v>75</v>
      </c>
      <c r="AC6" s="52" t="s">
        <v>105</v>
      </c>
      <c r="AD6" s="52" t="s">
        <v>106</v>
      </c>
      <c r="AE6" s="51" t="str">
        <f t="shared" si="0"/>
        <v>EXIDR04</v>
      </c>
      <c r="AF6" s="51" t="str">
        <f t="shared" si="1"/>
        <v>Heritage Pilgrimage</v>
      </c>
      <c r="AG6" s="74" t="str">
        <f t="shared" si="2"/>
        <v>Quick Getaways</v>
      </c>
      <c r="AH6" s="73" t="str">
        <f t="shared" ref="AH6:AH18" si="3">IF(AD6&lt;&gt;"", INDEX(CV:CV, MATCH(AD6, CZ:CZ, 0)), "")</f>
        <v>West MP</v>
      </c>
      <c r="AI6" s="52" t="s">
        <v>107</v>
      </c>
      <c r="AJ6" s="56" t="s">
        <v>78</v>
      </c>
      <c r="AK6" s="59" t="s">
        <v>79</v>
      </c>
      <c r="AL6" s="60" t="s">
        <v>80</v>
      </c>
      <c r="AM6" s="54" t="s">
        <v>80</v>
      </c>
      <c r="AN6" s="14">
        <v>46060</v>
      </c>
      <c r="AO6" s="15"/>
      <c r="AP6" s="91"/>
      <c r="AQ6" s="87"/>
      <c r="AR6" s="26"/>
      <c r="AS6" s="65"/>
      <c r="AT6" s="88" t="s">
        <v>85</v>
      </c>
      <c r="AU6" s="67"/>
      <c r="BV6" s="116" t="s">
        <v>108</v>
      </c>
      <c r="BW6" t="s">
        <v>109</v>
      </c>
      <c r="BX6" s="1">
        <v>2</v>
      </c>
      <c r="BY6" t="s">
        <v>110</v>
      </c>
      <c r="CC6" s="5" t="s">
        <v>81</v>
      </c>
      <c r="CD6" s="7" t="s">
        <v>111</v>
      </c>
      <c r="CE6" t="s">
        <v>112</v>
      </c>
      <c r="CF6" t="s">
        <v>113</v>
      </c>
      <c r="CG6" s="143">
        <v>46115</v>
      </c>
      <c r="CH6" s="143">
        <v>46117</v>
      </c>
      <c r="CI6" s="142" t="s">
        <v>114</v>
      </c>
      <c r="CJ6" s="141"/>
      <c r="CK6" s="142" t="s">
        <v>115</v>
      </c>
      <c r="CL6" t="s">
        <v>116</v>
      </c>
      <c r="CM6" t="s">
        <v>117</v>
      </c>
      <c r="CN6" t="s">
        <v>118</v>
      </c>
      <c r="CO6" t="s">
        <v>119</v>
      </c>
      <c r="CP6" t="s">
        <v>100</v>
      </c>
      <c r="CQ6" t="s">
        <v>120</v>
      </c>
      <c r="CR6" t="s">
        <v>121</v>
      </c>
      <c r="CS6" t="s">
        <v>122</v>
      </c>
      <c r="CT6" t="s">
        <v>105</v>
      </c>
      <c r="CU6" t="s">
        <v>92</v>
      </c>
      <c r="CV6" t="s">
        <v>91</v>
      </c>
      <c r="CW6" t="s">
        <v>123</v>
      </c>
      <c r="CX6" t="s">
        <v>124</v>
      </c>
      <c r="CY6" t="s">
        <v>125</v>
      </c>
      <c r="CZ6" t="s">
        <v>126</v>
      </c>
      <c r="DA6" t="str" cm="1">
        <f t="array" ref="DA6:DY6">IF(U6&lt;&gt;"", TRANSPOSE(_xlfn._xlws.FILTER(CZ:CZ, CY:CY=U6, "")), "")</f>
        <v>Gwl (2N) + Mor</v>
      </c>
      <c r="DB6" t="str">
        <v>Ex Idr | Idr - Ujj (1N) - Omk - Mah (1N) - Man - Idr</v>
      </c>
      <c r="DC6" t="str">
        <v>Ujj (1N) - Omk - Idr (1N)</v>
      </c>
      <c r="DD6" t="str">
        <v>Ex Jlr | Jlr - Kan (2N) - Jlr</v>
      </c>
      <c r="DE6" t="str">
        <v>Ex Jlr | Jlr - Ban (2N) - Jlr</v>
      </c>
      <c r="DF6" t="str">
        <v>Ex Bho | Bho (2N) + Bhim + Bhoj + San</v>
      </c>
      <c r="DG6" t="str">
        <v>Ex Idr | Idr - Man (2N) - Idr</v>
      </c>
      <c r="DH6" t="str">
        <v>Ex Jlr | Jlr - Kan (2N) - Jlr</v>
      </c>
      <c r="DI6" t="str">
        <v>Ex Bho | Bho (2N) + Bhim + Bhoj + San + HDCT Bho</v>
      </c>
      <c r="DJ6" t="str">
        <v>Ex Bho | Bho - Bhim - Tawa (1N) - Mad (1N) - Bho</v>
      </c>
      <c r="DK6" t="str">
        <v>Ujj (1N) - Omk - Mah (1N) - Idr</v>
      </c>
      <c r="DL6" t="str">
        <v>Ujj (1N) -  Idr (1N)</v>
      </c>
      <c r="DM6" t="str">
        <v>Ex Idr | Idr (2N) + Ujj + Omk + Mah</v>
      </c>
      <c r="DN6" t="str">
        <v>Idr - Mah - Omk (1N) - Ujj (1N)</v>
      </c>
      <c r="DO6" t="str">
        <v>Idr - Ujj (1N) - Mah - Omk (1N) - Khandwa</v>
      </c>
      <c r="DP6" t="str">
        <v>Ex Idr | Idr (EX Ujj) (1N) - Mah - Omk (1N) - Idr HDCT</v>
      </c>
      <c r="DQ6" t="str">
        <v>Ujj (1N) - Sehor - Bho (1N) HDCT</v>
      </c>
      <c r="DR6" t="str">
        <v>Ex Jlr | Jlr (1N) - Ban (1N)</v>
      </c>
      <c r="DS6" t="str">
        <v>Ex Jlr | Ban (1N)</v>
      </c>
      <c r="DT6" t="str">
        <v>Ex Jlr | Jlr (2 N) Kan</v>
      </c>
      <c r="DU6" t="str">
        <v>Ex Jlr | Jlr - Amr (1 N) - (1 N) Ban</v>
      </c>
      <c r="DV6" t="str">
        <v>Ex Rpr | Rpr - (2N) Kan</v>
      </c>
      <c r="DW6" t="str">
        <v>Hjr (1N) - Mahi (1N) - Sat</v>
      </c>
      <c r="DX6" t="str">
        <v>Ex Bhp | Bhp - Bhim - Pch (2N) - Bhp</v>
      </c>
      <c r="DY6" t="str">
        <v xml:space="preserve">Ex Ujj I 2N Ujj </v>
      </c>
    </row>
    <row r="7" spans="2:145" ht="15" customHeight="1">
      <c r="B7" s="34">
        <v>3</v>
      </c>
      <c r="C7" s="36" t="s">
        <v>127</v>
      </c>
      <c r="D7" s="76">
        <v>46049</v>
      </c>
      <c r="E7" s="37" t="str">
        <f>IF(Table5[[#This Row],[Query Date]]&lt;&gt;"", TEXT(Table5[[#This Row],[Query Date]], "dddd"), "")</f>
        <v>Tuesday</v>
      </c>
      <c r="F7" s="37" t="str">
        <f>IF(Table5[[#This Row],[Query Date]]&lt;&gt;"", TEXT(Table5[[#This Row],[Query Date]], "mmmm"), "")</f>
        <v>January</v>
      </c>
      <c r="G7" s="28" t="s">
        <v>65</v>
      </c>
      <c r="H7" s="28" t="s">
        <v>66</v>
      </c>
      <c r="I7" s="28" t="s">
        <v>67</v>
      </c>
      <c r="J7" s="28" t="s">
        <v>68</v>
      </c>
      <c r="K7" s="28" t="s">
        <v>128</v>
      </c>
      <c r="L7" s="25" t="s">
        <v>70</v>
      </c>
      <c r="M7" s="112" t="s">
        <v>129</v>
      </c>
      <c r="N7" s="40" t="s">
        <v>130</v>
      </c>
      <c r="O7" s="130" t="s">
        <v>131</v>
      </c>
      <c r="P7" s="46" t="s">
        <v>132</v>
      </c>
      <c r="Q7" s="77">
        <v>46296</v>
      </c>
      <c r="R7" s="77" t="str">
        <f>IF(Table5[[#This Row],[Tour Starting Date]]&lt;&gt;"", TEXT(Table5[[#This Row],[Tour Starting Date]], "dddd"), "")</f>
        <v>Thursday</v>
      </c>
      <c r="S7" s="77">
        <v>46300</v>
      </c>
      <c r="T7" s="25" t="str">
        <f>IF(Table5[[#This Row],[Tour Ending Date]]&lt;&gt;"", TEXT(Table5[[#This Row],[Tour Ending Date]], "dddd"), "")</f>
        <v>Monday</v>
      </c>
      <c r="U7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4 Nights &amp; 5 Days</v>
      </c>
      <c r="V7" s="37" t="str">
        <f>IF(Table5[[#This Row],[Tour Starting Date]]&lt;&gt;"", TEXT(Table5[[#This Row],[Tour Starting Date]], "mmmm"), "")</f>
        <v>October</v>
      </c>
      <c r="W7" s="80" t="str" cm="1">
        <f t="array" ref="W7">IF(Q7&lt;&gt;"", INDEX(CI:CI, MATCH(1, (Q7&gt;=CG:CG)*(Q7&lt;=CH:CH), 0)), "")</f>
        <v>Regular Dates - Weekday</v>
      </c>
      <c r="X7" s="39">
        <v>1</v>
      </c>
      <c r="Y7" s="74">
        <v>184000</v>
      </c>
      <c r="Z7" s="74">
        <f>IF(OR(Table5[[#This Row],[Per Person Package Cost]]="", Table5[[#This Row],[No. of Pax]]=""), "", Table5[[#This Row],[Per Person Package Cost]] * Table5[[#This Row],[No. of Pax]])</f>
        <v>184000</v>
      </c>
      <c r="AA7" s="52" t="s">
        <v>133</v>
      </c>
      <c r="AB7" s="52" t="s">
        <v>133</v>
      </c>
      <c r="AC7" s="52" t="s">
        <v>134</v>
      </c>
      <c r="AD7" s="52" t="s">
        <v>135</v>
      </c>
      <c r="AE7" s="51" t="str">
        <f t="shared" si="0"/>
        <v>EXJBP10</v>
      </c>
      <c r="AF7" s="51" t="str">
        <f t="shared" si="1"/>
        <v>Nature &amp; Wilderness Retreat</v>
      </c>
      <c r="AG7" s="74" t="str">
        <f t="shared" si="2"/>
        <v>Quick Getaways</v>
      </c>
      <c r="AH7" s="73" t="str">
        <f t="shared" si="3"/>
        <v>North + East MP</v>
      </c>
      <c r="AI7" s="52" t="s">
        <v>107</v>
      </c>
      <c r="AJ7" s="56" t="s">
        <v>78</v>
      </c>
      <c r="AK7" s="59" t="s">
        <v>79</v>
      </c>
      <c r="AL7" s="60" t="s">
        <v>80</v>
      </c>
      <c r="AM7" s="54" t="s">
        <v>80</v>
      </c>
      <c r="AN7" s="14">
        <v>46077</v>
      </c>
      <c r="AO7" s="15">
        <v>46091</v>
      </c>
      <c r="AP7" s="91"/>
      <c r="AQ7" s="87"/>
      <c r="AR7" s="26"/>
      <c r="AS7" s="65"/>
      <c r="AT7" s="88" t="s">
        <v>81</v>
      </c>
      <c r="AU7" s="67"/>
      <c r="BV7" s="116" t="s">
        <v>118</v>
      </c>
      <c r="BW7" t="s">
        <v>136</v>
      </c>
      <c r="BX7" s="1">
        <v>3</v>
      </c>
      <c r="BY7" t="s">
        <v>137</v>
      </c>
      <c r="CC7" s="27" t="s">
        <v>138</v>
      </c>
      <c r="CD7" s="7" t="s">
        <v>139</v>
      </c>
      <c r="CE7" t="s">
        <v>140</v>
      </c>
      <c r="CF7" t="s">
        <v>141</v>
      </c>
      <c r="CG7" s="143">
        <v>46118</v>
      </c>
      <c r="CH7" s="143">
        <v>46121</v>
      </c>
      <c r="CI7" s="142" t="s">
        <v>88</v>
      </c>
      <c r="CJ7" s="141"/>
      <c r="CK7" s="141"/>
      <c r="CL7" t="s">
        <v>142</v>
      </c>
      <c r="CM7" t="s">
        <v>143</v>
      </c>
      <c r="CN7" t="s">
        <v>144</v>
      </c>
      <c r="CO7" t="s">
        <v>145</v>
      </c>
      <c r="CP7" t="s">
        <v>146</v>
      </c>
      <c r="CQ7" t="s">
        <v>99</v>
      </c>
      <c r="CR7" t="s">
        <v>147</v>
      </c>
      <c r="CS7" t="s">
        <v>148</v>
      </c>
      <c r="CT7" t="s">
        <v>76</v>
      </c>
      <c r="CU7" t="s">
        <v>92</v>
      </c>
      <c r="CV7" t="s">
        <v>91</v>
      </c>
      <c r="CW7" t="s">
        <v>149</v>
      </c>
      <c r="CX7" t="s">
        <v>150</v>
      </c>
      <c r="CY7" t="s">
        <v>151</v>
      </c>
      <c r="CZ7" t="s">
        <v>152</v>
      </c>
      <c r="DA7" t="str" cm="1">
        <f t="array" ref="DA7:EJ7">IF(U7&lt;&gt;"", TRANSPOSE(_xlfn._xlws.FILTER(CZ:CZ, CY:CY=U7, "")), "")</f>
        <v>Ex Gwl | Gwl (2N) + Mor - Son - Dat - Orc (1N) - Hjr (1N) - Gwl</v>
      </c>
      <c r="DB7" t="str">
        <v>Ex Idr | Idr - Ujj (1N) - Omk - Mah (1N) - Man (1N) - Idr (1N)</v>
      </c>
      <c r="DC7" t="str">
        <v>Ex Idr | Idr - Ujj (1N) - Omk (1N) - Mah (1N) - Man (1N) - Idr</v>
      </c>
      <c r="DD7" t="str">
        <v>Ex Jlr | Jlr - Kan (2N) - Amk (1N) - Jlr (1N)</v>
      </c>
      <c r="DE7" t="str">
        <v>Ex Jlr | Jlr - Ban (2N) - Amk (1N) - Jlr (1N)</v>
      </c>
      <c r="DF7" t="str">
        <v>Ex Jlr | Jlr (1N) - Hjr (1N) - Ban (2N) - Jlr</v>
      </c>
      <c r="DG7" t="str">
        <v>Ex Jlr | Jlr (1N) - Kan (1N) - Ban (2N) - Jlr</v>
      </c>
      <c r="DH7" t="str">
        <v>Ex Bho | Bho (1N) + San + Bhoj + Bhim - Tawa - Mad (1N) - Pch (2N) - Bho</v>
      </c>
      <c r="DI7" t="str">
        <v>Ex Idr | Idr - Ujj (1N) - Omk - Mah (1N) - Man (1N) - Idr (1N)</v>
      </c>
      <c r="DJ7" t="str">
        <v>Ex Bho | Bho (1N) - Bhoj - Bhim - Pch (3N) - Bho</v>
      </c>
      <c r="DK7" t="str">
        <v>Gwl (1N) - Dat (Pitambara Peeth) - Orc (1N) - Ckt (2N) - Ixd</v>
      </c>
      <c r="DL7" t="str">
        <v>Ex Jlr | Jlr - Ban (2N) - Kan (2N) - Jlr</v>
      </c>
      <c r="DM7" t="str">
        <v>Jlr - Ban (1N) - Kan (1N) - Pen (2N) - Nag</v>
      </c>
      <c r="DN7" t="str">
        <v>Ex Bho | Bho (1N) - Bhoj - Bhim - Pch (3N) - Bho</v>
      </c>
      <c r="DO7" t="str">
        <v>Ex Bho | Bho (2N) + Sanchi + Bhoj + Bhim - Tawa - Mad (1N) - Bho (1N)</v>
      </c>
      <c r="DP7" t="str">
        <v>Ex Bho | Bho - Bhoj - Bhim - Tawa (1N) - Mad (1N) - Pch (2N) - Bho</v>
      </c>
      <c r="DQ7" t="str">
        <v>Bho - Bhoj - Bhim - Pch (2N) - Kan (1N) - Jlr (1N)</v>
      </c>
      <c r="DR7" t="str">
        <v>Bho - Bhoj - Bhim - Pch (2N) - Kan (1N) - Amk (1N) - Jlr</v>
      </c>
      <c r="DS7" t="str">
        <v xml:space="preserve">Bho (1N) + Bhim + Bhoj + San - Ujj (1N) - Omk - Mah (1N) - Idr (1N) </v>
      </c>
      <c r="DT7" t="str">
        <v>Ex Gwl | Gwl - Hjr (1N) - Orc (1N) - Dat - Son - Gwl (2N)</v>
      </c>
      <c r="DU7" t="str">
        <v>Ex Gwl | Gwl - Orc (1N) - Hjr (1N) - Chn (1N) - Shiv (1N) - Gwl</v>
      </c>
      <c r="DV7" t="str">
        <v>Gwl - Hjr (1N) - Panna (1N) - Chit (1N) - Mahi (1N) - Sat</v>
      </c>
      <c r="DW7" t="str">
        <v>Jlr - (2 N) Kan - (2 N) Pch - Bhim - Bhoj - Bhp</v>
      </c>
      <c r="DX7" t="str">
        <v>Jlr - (2 N) Kan - (2 N) Pen - Rpr</v>
      </c>
      <c r="DY7" t="str">
        <v>Gwl (2N) (Ex Mor) - Dat -Orc (1N) - Hjr (1N) - Jhn</v>
      </c>
      <c r="DZ7" t="str">
        <v>Ex Gwl | Gwl (1N) - Son - Dat - Orc (1N) - Hjr (2N) (Ex Panna) - Gwl</v>
      </c>
      <c r="EA7" t="str">
        <v>Hjr (1N) - Orc (1N) - Dat - son - Gwl (2N)(Ex Mor)</v>
      </c>
      <c r="EB7" t="str">
        <v>(2 N) Gwl - (1 N) Orch - (1 N) Hjr</v>
      </c>
      <c r="EC7" t="str">
        <v>Ex Bhp | Bhp - Bhoj - Bhim - Pch (2N) - Mad (1N) - Tawa (1N) - Bhp</v>
      </c>
      <c r="ED7" t="str">
        <v>Ex Bhp | Bhp - Bhoj - Bhim - Pch (2N) - Mad (2N) - Bhp</v>
      </c>
      <c r="EE7" t="str">
        <v>Ex Idr | Idr - Ujj (1N) - Omk (1N) - Mah (2N) (Ex Man) - Idr (HDCT)</v>
      </c>
      <c r="EF7" t="str">
        <v>Arr Rpr - Amr (2N) - Par (2N) - IXD</v>
      </c>
      <c r="EG7" t="str">
        <v>1N Gwl - Orc - 2N Hjr - Jhn - 1N Gwl</v>
      </c>
      <c r="EH7" t="str">
        <v>1N Orc - 1N Hjr - 2N Gwl Ex Mor</v>
      </c>
      <c r="EI7" t="str">
        <v>1N Idr - Omk - 1N Mah - 1N Ujj - Seh - 1N Bho</v>
      </c>
      <c r="EJ7" t="str">
        <v>Ex Idr I 1N Idr - 1N Ujj - Omk - 2N Mah - Man - Idr</v>
      </c>
    </row>
    <row r="8" spans="2:145" ht="15" customHeight="1">
      <c r="B8" s="35">
        <v>4</v>
      </c>
      <c r="C8" s="36" t="s">
        <v>153</v>
      </c>
      <c r="D8" s="76">
        <v>46062</v>
      </c>
      <c r="E8" s="37" t="str">
        <f>IF(Table5[[#This Row],[Query Date]]&lt;&gt;"", TEXT(Table5[[#This Row],[Query Date]], "dddd"), "")</f>
        <v>Monday</v>
      </c>
      <c r="F8" s="37" t="str">
        <f>IF(Table5[[#This Row],[Query Date]]&lt;&gt;"", TEXT(Table5[[#This Row],[Query Date]], "mmmm"), "")</f>
        <v>February</v>
      </c>
      <c r="G8" s="28" t="s">
        <v>65</v>
      </c>
      <c r="H8" s="28"/>
      <c r="I8" s="28" t="s">
        <v>67</v>
      </c>
      <c r="J8" s="28" t="s">
        <v>68</v>
      </c>
      <c r="K8" s="28" t="s">
        <v>69</v>
      </c>
      <c r="L8" s="25" t="s">
        <v>70</v>
      </c>
      <c r="M8" s="112" t="s">
        <v>154</v>
      </c>
      <c r="N8" s="25" t="s">
        <v>155</v>
      </c>
      <c r="O8" s="130" t="s">
        <v>156</v>
      </c>
      <c r="P8" s="106" t="s">
        <v>157</v>
      </c>
      <c r="Q8" s="77">
        <v>46176</v>
      </c>
      <c r="R8" s="77" t="str">
        <f>IF(Table5[[#This Row],[Tour Starting Date]]&lt;&gt;"", TEXT(Table5[[#This Row],[Tour Starting Date]], "dddd"), "")</f>
        <v>Wednesday</v>
      </c>
      <c r="S8" s="77">
        <v>46180</v>
      </c>
      <c r="T8" s="25" t="str">
        <f>IF(Table5[[#This Row],[Tour Ending Date]]&lt;&gt;"", TEXT(Table5[[#This Row],[Tour Ending Date]], "dddd"), "")</f>
        <v>Sunday</v>
      </c>
      <c r="U8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4 Nights &amp; 5 Days</v>
      </c>
      <c r="V8" s="37" t="str">
        <f>IF(Table5[[#This Row],[Tour Starting Date]]&lt;&gt;"", TEXT(Table5[[#This Row],[Tour Starting Date]], "mmmm"), "")</f>
        <v>June</v>
      </c>
      <c r="W8" s="80" t="str" cm="1">
        <f t="array" ref="W8">IF(Q8&lt;&gt;"", INDEX(CI:CI, MATCH(1, (Q8&gt;=CG:CG)*(Q8&lt;=CH:CH), 0)), "")</f>
        <v>Regular Dates - Weekday</v>
      </c>
      <c r="X8" s="39">
        <v>7</v>
      </c>
      <c r="Y8" s="74">
        <v>9000</v>
      </c>
      <c r="Z8" s="74">
        <f>IF(OR(Table5[[#This Row],[Per Person Package Cost]]="", Table5[[#This Row],[No. of Pax]]=""), "", Table5[[#This Row],[Per Person Package Cost]] * Table5[[#This Row],[No. of Pax]])</f>
        <v>63000</v>
      </c>
      <c r="AA8" s="52" t="s">
        <v>75</v>
      </c>
      <c r="AB8" s="52" t="s">
        <v>75</v>
      </c>
      <c r="AC8" s="52" t="s">
        <v>76</v>
      </c>
      <c r="AD8" s="52" t="s">
        <v>158</v>
      </c>
      <c r="AE8" s="51" t="str">
        <f t="shared" si="0"/>
        <v>EXIDR07</v>
      </c>
      <c r="AF8" s="51" t="str">
        <f t="shared" si="1"/>
        <v>Heritage Trails &amp; Sacred Wonders</v>
      </c>
      <c r="AG8" s="74" t="str">
        <f t="shared" si="2"/>
        <v>Quick Getaways</v>
      </c>
      <c r="AH8" s="73" t="str">
        <f t="shared" si="3"/>
        <v>West MP</v>
      </c>
      <c r="AI8" s="52" t="s">
        <v>159</v>
      </c>
      <c r="AJ8" s="56" t="s">
        <v>78</v>
      </c>
      <c r="AK8" s="59" t="s">
        <v>79</v>
      </c>
      <c r="AL8" s="60" t="s">
        <v>80</v>
      </c>
      <c r="AM8" s="54" t="s">
        <v>80</v>
      </c>
      <c r="AN8" s="14">
        <v>46066</v>
      </c>
      <c r="AO8" s="15">
        <v>46105</v>
      </c>
      <c r="AP8" s="91"/>
      <c r="AQ8" s="87"/>
      <c r="AR8" s="26"/>
      <c r="AS8" s="65"/>
      <c r="AT8" s="88" t="s">
        <v>81</v>
      </c>
      <c r="AU8" s="67" t="s">
        <v>82</v>
      </c>
      <c r="BV8" s="116" t="s">
        <v>160</v>
      </c>
      <c r="BW8" t="s">
        <v>161</v>
      </c>
      <c r="BX8" s="1">
        <v>4</v>
      </c>
      <c r="BY8" t="s">
        <v>162</v>
      </c>
      <c r="CD8" s="7" t="s">
        <v>163</v>
      </c>
      <c r="CE8" t="s">
        <v>164</v>
      </c>
      <c r="CG8" s="143">
        <v>46122</v>
      </c>
      <c r="CH8" s="143">
        <v>46124</v>
      </c>
      <c r="CI8" s="142" t="s">
        <v>116</v>
      </c>
      <c r="CJ8" s="141"/>
      <c r="CK8" s="141"/>
      <c r="CL8" t="s">
        <v>165</v>
      </c>
      <c r="CM8" t="s">
        <v>166</v>
      </c>
      <c r="CN8" t="s">
        <v>167</v>
      </c>
      <c r="CO8" t="s">
        <v>168</v>
      </c>
      <c r="CP8" t="s">
        <v>169</v>
      </c>
      <c r="CQ8" t="s">
        <v>170</v>
      </c>
      <c r="CR8" t="s">
        <v>171</v>
      </c>
      <c r="CS8" t="s">
        <v>172</v>
      </c>
      <c r="CT8" t="s">
        <v>173</v>
      </c>
      <c r="CU8" t="s">
        <v>92</v>
      </c>
      <c r="CV8" t="s">
        <v>91</v>
      </c>
      <c r="CW8" t="s">
        <v>174</v>
      </c>
      <c r="CX8" t="s">
        <v>175</v>
      </c>
      <c r="CY8" t="s">
        <v>151</v>
      </c>
      <c r="CZ8" t="s">
        <v>176</v>
      </c>
      <c r="DA8" t="str" cm="1">
        <f t="array" ref="DA8:EJ8">IF(U8&lt;&gt;"", TRANSPOSE(_xlfn._xlws.FILTER(CZ:CZ, CY:CY=U8, "")), "")</f>
        <v>Ex Gwl | Gwl (2N) + Mor - Son - Dat - Orc (1N) - Hjr (1N) - Gwl</v>
      </c>
      <c r="DB8" t="str">
        <v>Ex Idr | Idr - Ujj (1N) - Omk - Mah (1N) - Man (1N) - Idr (1N)</v>
      </c>
      <c r="DC8" t="str">
        <v>Ex Idr | Idr - Ujj (1N) - Omk (1N) - Mah (1N) - Man (1N) - Idr</v>
      </c>
      <c r="DD8" t="str">
        <v>Ex Jlr | Jlr - Kan (2N) - Amk (1N) - Jlr (1N)</v>
      </c>
      <c r="DE8" t="str">
        <v>Ex Jlr | Jlr - Ban (2N) - Amk (1N) - Jlr (1N)</v>
      </c>
      <c r="DF8" t="str">
        <v>Ex Jlr | Jlr (1N) - Hjr (1N) - Ban (2N) - Jlr</v>
      </c>
      <c r="DG8" t="str">
        <v>Ex Jlr | Jlr (1N) - Kan (1N) - Ban (2N) - Jlr</v>
      </c>
      <c r="DH8" t="str">
        <v>Ex Bho | Bho (1N) + San + Bhoj + Bhim - Tawa - Mad (1N) - Pch (2N) - Bho</v>
      </c>
      <c r="DI8" t="str">
        <v>Ex Idr | Idr - Ujj (1N) - Omk - Mah (1N) - Man (1N) - Idr (1N)</v>
      </c>
      <c r="DJ8" t="str">
        <v>Ex Bho | Bho (1N) - Bhoj - Bhim - Pch (3N) - Bho</v>
      </c>
      <c r="DK8" t="str">
        <v>Gwl (1N) - Dat (Pitambara Peeth) - Orc (1N) - Ckt (2N) - Ixd</v>
      </c>
      <c r="DL8" t="str">
        <v>Ex Jlr | Jlr - Ban (2N) - Kan (2N) - Jlr</v>
      </c>
      <c r="DM8" t="str">
        <v>Jlr - Ban (1N) - Kan (1N) - Pen (2N) - Nag</v>
      </c>
      <c r="DN8" t="str">
        <v>Ex Bho | Bho (1N) - Bhoj - Bhim - Pch (3N) - Bho</v>
      </c>
      <c r="DO8" t="str">
        <v>Ex Bho | Bho (2N) + Sanchi + Bhoj + Bhim - Tawa - Mad (1N) - Bho (1N)</v>
      </c>
      <c r="DP8" t="str">
        <v>Ex Bho | Bho - Bhoj - Bhim - Tawa (1N) - Mad (1N) - Pch (2N) - Bho</v>
      </c>
      <c r="DQ8" t="str">
        <v>Bho - Bhoj - Bhim - Pch (2N) - Kan (1N) - Jlr (1N)</v>
      </c>
      <c r="DR8" t="str">
        <v>Bho - Bhoj - Bhim - Pch (2N) - Kan (1N) - Amk (1N) - Jlr</v>
      </c>
      <c r="DS8" t="str">
        <v xml:space="preserve">Bho (1N) + Bhim + Bhoj + San - Ujj (1N) - Omk - Mah (1N) - Idr (1N) </v>
      </c>
      <c r="DT8" t="str">
        <v>Ex Gwl | Gwl - Hjr (1N) - Orc (1N) - Dat - Son - Gwl (2N)</v>
      </c>
      <c r="DU8" t="str">
        <v>Ex Gwl | Gwl - Orc (1N) - Hjr (1N) - Chn (1N) - Shiv (1N) - Gwl</v>
      </c>
      <c r="DV8" t="str">
        <v>Gwl - Hjr (1N) - Panna (1N) - Chit (1N) - Mahi (1N) - Sat</v>
      </c>
      <c r="DW8" t="str">
        <v>Jlr - (2 N) Kan - (2 N) Pch - Bhim - Bhoj - Bhp</v>
      </c>
      <c r="DX8" t="str">
        <v>Jlr - (2 N) Kan - (2 N) Pen - Rpr</v>
      </c>
      <c r="DY8" t="str">
        <v>Gwl (2N) (Ex Mor) - Dat -Orc (1N) - Hjr (1N) - Jhn</v>
      </c>
      <c r="DZ8" t="str">
        <v>Ex Gwl | Gwl (1N) - Son - Dat - Orc (1N) - Hjr (2N) (Ex Panna) - Gwl</v>
      </c>
      <c r="EA8" t="str">
        <v>Hjr (1N) - Orc (1N) - Dat - son - Gwl (2N)(Ex Mor)</v>
      </c>
      <c r="EB8" t="str">
        <v>(2 N) Gwl - (1 N) Orch - (1 N) Hjr</v>
      </c>
      <c r="EC8" t="str">
        <v>Ex Bhp | Bhp - Bhoj - Bhim - Pch (2N) - Mad (1N) - Tawa (1N) - Bhp</v>
      </c>
      <c r="ED8" t="str">
        <v>Ex Bhp | Bhp - Bhoj - Bhim - Pch (2N) - Mad (2N) - Bhp</v>
      </c>
      <c r="EE8" t="str">
        <v>Ex Idr | Idr - Ujj (1N) - Omk (1N) - Mah (2N) (Ex Man) - Idr (HDCT)</v>
      </c>
      <c r="EF8" t="str">
        <v>Arr Rpr - Amr (2N) - Par (2N) - IXD</v>
      </c>
      <c r="EG8" t="str">
        <v>1N Gwl - Orc - 2N Hjr - Jhn - 1N Gwl</v>
      </c>
      <c r="EH8" t="str">
        <v>1N Orc - 1N Hjr - 2N Gwl Ex Mor</v>
      </c>
      <c r="EI8" t="str">
        <v>1N Idr - Omk - 1N Mah - 1N Ujj - Seh - 1N Bho</v>
      </c>
      <c r="EJ8" t="str">
        <v>Ex Idr I 1N Idr - 1N Ujj - Omk - 2N Mah - Man - Idr</v>
      </c>
    </row>
    <row r="9" spans="2:145" ht="15" customHeight="1">
      <c r="B9" s="34">
        <v>5</v>
      </c>
      <c r="C9" s="36" t="s">
        <v>177</v>
      </c>
      <c r="D9" s="76">
        <v>46063</v>
      </c>
      <c r="E9" s="37" t="str">
        <f>IF(Table5[[#This Row],[Query Date]]&lt;&gt;"", TEXT(Table5[[#This Row],[Query Date]], "dddd"), "")</f>
        <v>Tuesday</v>
      </c>
      <c r="F9" s="37" t="str">
        <f>IF(Table5[[#This Row],[Query Date]]&lt;&gt;"", TEXT(Table5[[#This Row],[Query Date]], "mmmm"), "")</f>
        <v>February</v>
      </c>
      <c r="G9" s="28" t="s">
        <v>65</v>
      </c>
      <c r="H9" s="28" t="s">
        <v>120</v>
      </c>
      <c r="I9" s="28" t="s">
        <v>67</v>
      </c>
      <c r="J9" s="28" t="s">
        <v>68</v>
      </c>
      <c r="K9" s="28" t="s">
        <v>178</v>
      </c>
      <c r="L9" s="25" t="s">
        <v>70</v>
      </c>
      <c r="M9" s="112" t="s">
        <v>179</v>
      </c>
      <c r="N9" s="25" t="s">
        <v>180</v>
      </c>
      <c r="O9" s="130" t="s">
        <v>181</v>
      </c>
      <c r="P9" s="106" t="s">
        <v>182</v>
      </c>
      <c r="Q9" s="77">
        <v>46121</v>
      </c>
      <c r="R9" s="77" t="str">
        <f>IF(Table5[[#This Row],[Tour Starting Date]]&lt;&gt;"", TEXT(Table5[[#This Row],[Tour Starting Date]], "dddd"), "")</f>
        <v>Thursday</v>
      </c>
      <c r="S9" s="77">
        <v>46124</v>
      </c>
      <c r="T9" s="25" t="str">
        <f>IF(Table5[[#This Row],[Tour Ending Date]]&lt;&gt;"", TEXT(Table5[[#This Row],[Tour Ending Date]], "dddd"), "")</f>
        <v>Sunday</v>
      </c>
      <c r="U9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9" s="37" t="str">
        <f>IF(Table5[[#This Row],[Tour Starting Date]]&lt;&gt;"", TEXT(Table5[[#This Row],[Tour Starting Date]], "mmmm"), "")</f>
        <v>April</v>
      </c>
      <c r="W9" s="80" t="str" cm="1">
        <f t="array" ref="W9">IF(Q9&lt;&gt;"", INDEX(CI:CI, MATCH(1, (Q9&gt;=CG:CG)*(Q9&lt;=CH:CH), 0)), "")</f>
        <v>Regular Dates - Weekday</v>
      </c>
      <c r="X9" s="39">
        <v>16</v>
      </c>
      <c r="Y9" s="74">
        <v>9500</v>
      </c>
      <c r="Z9" s="74">
        <f>IF(OR(Table5[[#This Row],[Per Person Package Cost]]="", Table5[[#This Row],[No. of Pax]]=""), "", Table5[[#This Row],[Per Person Package Cost]] * Table5[[#This Row],[No. of Pax]])</f>
        <v>152000</v>
      </c>
      <c r="AA9" s="52" t="s">
        <v>75</v>
      </c>
      <c r="AB9" s="52" t="s">
        <v>75</v>
      </c>
      <c r="AC9" s="52" t="s">
        <v>76</v>
      </c>
      <c r="AD9" s="52" t="s">
        <v>183</v>
      </c>
      <c r="AE9" s="51" t="str">
        <f t="shared" si="0"/>
        <v>EXIDR05</v>
      </c>
      <c r="AF9" s="51" t="str">
        <f t="shared" si="1"/>
        <v>The Marvels Of Malwa</v>
      </c>
      <c r="AG9" s="74" t="str">
        <f t="shared" si="2"/>
        <v>Quick Getaways</v>
      </c>
      <c r="AH9" s="73" t="str">
        <f t="shared" si="3"/>
        <v>West MP</v>
      </c>
      <c r="AI9" s="52" t="s">
        <v>107</v>
      </c>
      <c r="AJ9" s="56" t="s">
        <v>78</v>
      </c>
      <c r="AK9" s="59" t="s">
        <v>79</v>
      </c>
      <c r="AL9" s="60" t="s">
        <v>80</v>
      </c>
      <c r="AM9" s="54" t="s">
        <v>80</v>
      </c>
      <c r="AN9" s="14">
        <v>46069</v>
      </c>
      <c r="AO9" s="15">
        <v>46090</v>
      </c>
      <c r="AP9" s="91">
        <v>46105</v>
      </c>
      <c r="AQ9" s="87"/>
      <c r="AR9" s="26"/>
      <c r="AS9" s="65"/>
      <c r="AT9" s="88" t="s">
        <v>81</v>
      </c>
      <c r="AU9" s="67" t="s">
        <v>82</v>
      </c>
      <c r="BV9" s="116" t="s">
        <v>184</v>
      </c>
      <c r="BW9" t="s">
        <v>185</v>
      </c>
      <c r="BX9" s="1">
        <v>5</v>
      </c>
      <c r="BY9" t="s">
        <v>77</v>
      </c>
      <c r="CD9" s="7" t="s">
        <v>186</v>
      </c>
      <c r="CE9" t="s">
        <v>82</v>
      </c>
      <c r="CG9" s="143">
        <v>46125</v>
      </c>
      <c r="CH9" s="143">
        <v>46128</v>
      </c>
      <c r="CI9" s="142" t="s">
        <v>88</v>
      </c>
      <c r="CJ9" s="141"/>
      <c r="CK9" s="141"/>
      <c r="CL9" t="s">
        <v>187</v>
      </c>
      <c r="CM9" t="s">
        <v>188</v>
      </c>
      <c r="CN9" t="s">
        <v>189</v>
      </c>
      <c r="CO9" t="s">
        <v>190</v>
      </c>
      <c r="CP9" t="s">
        <v>191</v>
      </c>
      <c r="CQ9" t="s">
        <v>192</v>
      </c>
      <c r="CR9" t="s">
        <v>193</v>
      </c>
      <c r="CS9" t="s">
        <v>194</v>
      </c>
      <c r="CT9" t="s">
        <v>134</v>
      </c>
      <c r="CU9" t="s">
        <v>92</v>
      </c>
      <c r="CV9" t="s">
        <v>91</v>
      </c>
      <c r="CW9" t="s">
        <v>195</v>
      </c>
      <c r="CX9" t="s">
        <v>196</v>
      </c>
      <c r="CY9" t="s">
        <v>197</v>
      </c>
      <c r="CZ9" t="s">
        <v>198</v>
      </c>
      <c r="DA9" t="str" cm="1">
        <f t="array" ref="DA9:EO9">IF(U9&lt;&gt;"", TRANSPOSE(_xlfn._xlws.FILTER(CZ:CZ, CY:CY=U9, "")), "")</f>
        <v>Gwl (3N) + Mor + Son + Dat + Orc</v>
      </c>
      <c r="DB9" t="str">
        <v>Ex Gwl | Gwl (1N) - Son - Dat - Orc (1N) - Gwl (1N)</v>
      </c>
      <c r="DC9" t="str">
        <v>Ex Idr | Idr - Ujj (1N) - Omk - Mah (1N) - Man (1N) - Idr</v>
      </c>
      <c r="DD9" t="str">
        <v>Ex Jlr | Jlr - Kan (2N) - Jlr (1N)</v>
      </c>
      <c r="DE9" t="str">
        <v>Ex Jlr | Jlr - Ban (2N) - Jlr (1N)</v>
      </c>
      <c r="DF9" t="str">
        <v>Ex Bho | Bho (1N) + San - Bhoj - Bhim - Pch (2N) - Bho</v>
      </c>
      <c r="DG9" t="str">
        <v>Ex Idr | Idr (1N) - Ujj (1N) - Omk (1N) - Mah - Idr</v>
      </c>
      <c r="DH9" t="str">
        <v>Gwl - Orc (1N) - Ckt (1N) - Myr (1N) - Jlr</v>
      </c>
      <c r="DI9" t="str">
        <v>Gwl - Orc (1N) - Ckt (2N) - Ixd</v>
      </c>
      <c r="DJ9" t="str">
        <v>Ex Idr | Idr - Ujj (1N) - Omk - Mah (1N) - Idr (1N)</v>
      </c>
      <c r="DK9" t="str">
        <v>Ex Jlr | Jlr - Kan (3N) - Jlr</v>
      </c>
      <c r="DL9" t="str">
        <v>Ex Bho | Bho (2N) + Bhim + Bhoj + San + Udaygiri + Vidisha + FDCT Bho</v>
      </c>
      <c r="DM9" t="str">
        <v>Bho (1N) + Bhim + Bhoj - HDCT  Bho + Sanchi - Ujj (2N)</v>
      </c>
      <c r="DN9" t="str">
        <v>Bho (1N) + Bhim + Bhoj - HDCT  Bho + Sanchi - Ujj (2N) - Idr</v>
      </c>
      <c r="DO9" t="str">
        <v>Ex Bho | Bho - Bhoj - Bhim - Mad (1N) - Pch (2N) - Bho</v>
      </c>
      <c r="DP9" t="str">
        <v>Ex Bho | Bho - Bhoj - Bhim - Mad (1N) - Pch (3N) - Bho</v>
      </c>
      <c r="DQ9" t="str">
        <v>Ex Bho | Bho - Bhoj - Bhim - Tawa (1N) - Mad (1N) - Bho (1N)</v>
      </c>
      <c r="DR9" t="str">
        <v>Bho (1N) - Bhim - Bhoj - San - Idr (2N) + Ujj</v>
      </c>
      <c r="DS9" t="str">
        <v>Bho (1N) - Bhoj - Bhim - Pch (2N) - Bho</v>
      </c>
      <c r="DT9" t="str">
        <v>Ujj (1N) - Omk - Mah (1N) - Idr (1N)</v>
      </c>
      <c r="DU9" t="str">
        <v>Ujj (1N) - Omk - Mah (1N) - Man (1N) - Idr</v>
      </c>
      <c r="DV9" t="str">
        <v>Ex Idr | Idr (1N) - Ujj (1N) - Omk - Mah (1N)</v>
      </c>
      <c r="DW9" t="str">
        <v>Ex Idr | Idr - Ujj (1N) - Omk (1N) - Mah (1N) - Idr</v>
      </c>
      <c r="DX9" t="str">
        <v>Khandwa - Omk (1N) - Mah (1N) - Ujj (1N) - Idr</v>
      </c>
      <c r="DY9" t="str">
        <v>Ex Idr | Idr - Ujj (1N) - Omk - Mah (1N) - Man - Idr (1N)</v>
      </c>
      <c r="DZ9" t="str">
        <v xml:space="preserve">Idr - Omk (1N) - Mah - Ujj (1N) San - Bho (1N) </v>
      </c>
      <c r="EA9" t="str">
        <v>Ex Idr | Idr - Man (1N) - Mah - Omk (1N) - Ujj (1N) - Idr</v>
      </c>
      <c r="EB9" t="str">
        <v>Khandwa - Omk (1N) - Mah - Ujj (2N)</v>
      </c>
      <c r="EC9" t="str">
        <v>Ex Jlr | Jlr (1N) - Amr (1N) - Ban (1N) - Jlr</v>
      </c>
      <c r="ED9" t="str">
        <v>Ex Jlr | Jlr - (1 N) Ban - (2 N) Amar</v>
      </c>
      <c r="EE9" t="str">
        <v>Jlr - Kan (1N) - Pch (2N)</v>
      </c>
      <c r="EF9" t="str">
        <v>Pi - Pch (2N)  - Kan (1N)</v>
      </c>
      <c r="EG9" t="str">
        <v>Ex Jlr | Jlr - Amr (1 N) - (1 N) Ban - (1 N) Jlr</v>
      </c>
      <c r="EH9" t="str">
        <v>Ppi - (2 N) Pch - (1 N) Pen</v>
      </c>
      <c r="EI9" t="str">
        <v>Bhp - Pch (2N) - Jlr (1N)</v>
      </c>
      <c r="EJ9" t="str">
        <v xml:space="preserve">Arr Jhn - Hjr (1N) - Orc - Gwl (2N) </v>
      </c>
      <c r="EK9" t="str">
        <v>(1 N) Ujj - (1 N) Mah - (1 N) Idr</v>
      </c>
      <c r="EL9" t="str">
        <v>Ex Bhp | Bhp - Bhoj - Bhim - Pch (3N) - Bhp</v>
      </c>
      <c r="EM9" t="str">
        <v>Ex Bhp | Bhp - Bhoj - Bhim - Pch (2N) - Mad (1N) - Bhp</v>
      </c>
      <c r="EN9" t="str">
        <v xml:space="preserve">Ex Nag - 3N Pch + Sat </v>
      </c>
      <c r="EO9" t="str">
        <v>1N Gwl - Son - Dat - 1N Hjr - 1N Orc - Jhn</v>
      </c>
    </row>
    <row r="10" spans="2:145" ht="15" customHeight="1">
      <c r="B10" s="35">
        <v>6</v>
      </c>
      <c r="C10" s="36" t="s">
        <v>199</v>
      </c>
      <c r="D10" s="76">
        <v>46065</v>
      </c>
      <c r="E10" s="37" t="str">
        <f>IF(Table5[[#This Row],[Query Date]]&lt;&gt;"", TEXT(Table5[[#This Row],[Query Date]], "dddd"), "")</f>
        <v>Thursday</v>
      </c>
      <c r="F10" s="37" t="str">
        <f>IF(Table5[[#This Row],[Query Date]]&lt;&gt;"", TEXT(Table5[[#This Row],[Query Date]], "mmmm"), "")</f>
        <v>February</v>
      </c>
      <c r="G10" s="28" t="s">
        <v>65</v>
      </c>
      <c r="H10" s="28" t="s">
        <v>120</v>
      </c>
      <c r="I10" s="28" t="s">
        <v>100</v>
      </c>
      <c r="J10" s="28" t="s">
        <v>68</v>
      </c>
      <c r="K10" s="28" t="s">
        <v>200</v>
      </c>
      <c r="L10" s="25" t="s">
        <v>70</v>
      </c>
      <c r="M10" s="112" t="s">
        <v>201</v>
      </c>
      <c r="N10" s="25" t="s">
        <v>202</v>
      </c>
      <c r="O10" s="130" t="s">
        <v>203</v>
      </c>
      <c r="P10" s="46" t="s">
        <v>204</v>
      </c>
      <c r="Q10" s="77">
        <v>46123</v>
      </c>
      <c r="R10" s="77" t="str">
        <f>IF(Table5[[#This Row],[Tour Starting Date]]&lt;&gt;"", TEXT(Table5[[#This Row],[Tour Starting Date]], "dddd"), "")</f>
        <v>Saturday</v>
      </c>
      <c r="S10" s="77">
        <v>46124</v>
      </c>
      <c r="T10" s="25" t="str">
        <f>IF(Table5[[#This Row],[Tour Ending Date]]&lt;&gt;"", TEXT(Table5[[#This Row],[Tour Ending Date]], "dddd"), "")</f>
        <v>Sunday</v>
      </c>
      <c r="U10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1 Night &amp; 2 Days</v>
      </c>
      <c r="V10" s="37" t="str">
        <f>IF(Table5[[#This Row],[Tour Starting Date]]&lt;&gt;"", TEXT(Table5[[#This Row],[Tour Starting Date]], "mmmm"), "")</f>
        <v>April</v>
      </c>
      <c r="W10" s="80" t="str" cm="1">
        <f t="array" ref="W10">IF(Q10&lt;&gt;"", INDEX(CI:CI, MATCH(1, (Q10&gt;=CG:CG)*(Q10&lt;=CH:CH), 0)), "")</f>
        <v>Regular Dates - Weekend</v>
      </c>
      <c r="X10" s="39">
        <v>6</v>
      </c>
      <c r="Y10" s="74">
        <v>3000</v>
      </c>
      <c r="Z10" s="74">
        <f>IF(OR(Table5[[#This Row],[Per Person Package Cost]]="", Table5[[#This Row],[No. of Pax]]=""), "", Table5[[#This Row],[Per Person Package Cost]] * Table5[[#This Row],[No. of Pax]])</f>
        <v>18000</v>
      </c>
      <c r="AA10" s="52" t="s">
        <v>205</v>
      </c>
      <c r="AB10" s="52" t="s">
        <v>205</v>
      </c>
      <c r="AC10" s="52" t="s">
        <v>93</v>
      </c>
      <c r="AD10" s="52" t="s">
        <v>206</v>
      </c>
      <c r="AE10" s="51" t="str">
        <f t="shared" si="0"/>
        <v>EXUJJ02</v>
      </c>
      <c r="AF10" s="51" t="str">
        <f t="shared" si="1"/>
        <v>Ujjain Divine Sojourn</v>
      </c>
      <c r="AG10" s="74" t="str">
        <f t="shared" si="2"/>
        <v>Quick Getaways</v>
      </c>
      <c r="AH10" s="73" t="str">
        <f t="shared" si="3"/>
        <v>West MP</v>
      </c>
      <c r="AI10" s="52" t="s">
        <v>159</v>
      </c>
      <c r="AJ10" s="56" t="s">
        <v>78</v>
      </c>
      <c r="AK10" s="59" t="s">
        <v>79</v>
      </c>
      <c r="AL10" s="60" t="s">
        <v>80</v>
      </c>
      <c r="AM10" s="54" t="s">
        <v>80</v>
      </c>
      <c r="AN10" s="14">
        <v>46066</v>
      </c>
      <c r="AO10" s="15"/>
      <c r="AP10" s="91"/>
      <c r="AQ10" s="87"/>
      <c r="AR10" s="26"/>
      <c r="AS10" s="65"/>
      <c r="AT10" s="88" t="s">
        <v>81</v>
      </c>
      <c r="AU10" s="67" t="s">
        <v>207</v>
      </c>
      <c r="BV10" s="116" t="s">
        <v>208</v>
      </c>
      <c r="BW10" t="s">
        <v>209</v>
      </c>
      <c r="BX10" s="1">
        <v>6</v>
      </c>
      <c r="BY10" t="s">
        <v>107</v>
      </c>
      <c r="CD10" s="7" t="s">
        <v>210</v>
      </c>
      <c r="CE10" t="s">
        <v>211</v>
      </c>
      <c r="CG10" s="143">
        <v>46129</v>
      </c>
      <c r="CH10" s="143">
        <v>46131</v>
      </c>
      <c r="CI10" s="142" t="s">
        <v>116</v>
      </c>
      <c r="CJ10" s="141"/>
      <c r="CK10" s="141"/>
      <c r="CL10" t="s">
        <v>212</v>
      </c>
      <c r="CM10" t="s">
        <v>213</v>
      </c>
      <c r="CN10" t="s">
        <v>214</v>
      </c>
      <c r="CO10" t="s">
        <v>215</v>
      </c>
      <c r="CP10" t="s">
        <v>216</v>
      </c>
      <c r="CQ10" t="s">
        <v>217</v>
      </c>
      <c r="CR10" t="s">
        <v>218</v>
      </c>
      <c r="CS10" t="s">
        <v>219</v>
      </c>
      <c r="CT10" t="s">
        <v>220</v>
      </c>
      <c r="CU10" t="s">
        <v>92</v>
      </c>
      <c r="CV10" t="s">
        <v>91</v>
      </c>
      <c r="CW10" t="s">
        <v>221</v>
      </c>
      <c r="CX10" t="s">
        <v>222</v>
      </c>
      <c r="CY10" t="s">
        <v>223</v>
      </c>
      <c r="CZ10" t="s">
        <v>224</v>
      </c>
      <c r="DA10" t="str" cm="1">
        <f t="array" ref="DA10:DH10">IF(U10&lt;&gt;"", TRANSPOSE(_xlfn._xlws.FILTER(CZ:CZ, CY:CY=U10, "")), "")</f>
        <v>Gwl (1N)</v>
      </c>
      <c r="DB10" t="str">
        <v>Ex Idr | Idr - Ujj (1N) - Idr</v>
      </c>
      <c r="DC10" t="str">
        <v>Ex Idr | Idr - Ujj (1N) - Omk - Idr</v>
      </c>
      <c r="DD10" t="str">
        <v>Ex Idr | Idr - Ujj (1N) - Omk - Mah - Idr</v>
      </c>
      <c r="DE10" t="str">
        <v>Ex Idr | Ujj (1N) - Idr + HDCT</v>
      </c>
      <c r="DF10" t="str">
        <v>Ex Idr | Idr (1N)</v>
      </c>
      <c r="DG10" t="str">
        <v>Khandwa - Omk (1N) - Idr HDCT</v>
      </c>
      <c r="DH10" t="str">
        <v>Ex Ujj | Ujj (1N)</v>
      </c>
    </row>
    <row r="11" spans="2:145" ht="15" customHeight="1">
      <c r="B11" s="34">
        <v>7</v>
      </c>
      <c r="C11" s="36" t="s">
        <v>225</v>
      </c>
      <c r="D11" s="76">
        <v>46070</v>
      </c>
      <c r="E11" s="37" t="str">
        <f>IF(Table5[[#This Row],[Query Date]]&lt;&gt;"", TEXT(Table5[[#This Row],[Query Date]], "dddd"), "")</f>
        <v>Tuesday</v>
      </c>
      <c r="F11" s="37" t="str">
        <f>IF(Table5[[#This Row],[Query Date]]&lt;&gt;"", TEXT(Table5[[#This Row],[Query Date]], "mmmm"), "")</f>
        <v>February</v>
      </c>
      <c r="G11" s="28" t="s">
        <v>113</v>
      </c>
      <c r="H11" s="28" t="s">
        <v>120</v>
      </c>
      <c r="I11" s="28" t="s">
        <v>67</v>
      </c>
      <c r="J11" s="28" t="s">
        <v>68</v>
      </c>
      <c r="K11" s="28" t="s">
        <v>226</v>
      </c>
      <c r="L11" s="25" t="s">
        <v>160</v>
      </c>
      <c r="M11" s="112" t="s">
        <v>90</v>
      </c>
      <c r="N11" s="25" t="s">
        <v>227</v>
      </c>
      <c r="O11" s="130"/>
      <c r="P11" s="46"/>
      <c r="Q11" s="77">
        <v>46158</v>
      </c>
      <c r="R11" s="77" t="str">
        <f>IF(Table5[[#This Row],[Tour Starting Date]]&lt;&gt;"", TEXT(Table5[[#This Row],[Tour Starting Date]], "dddd"), "")</f>
        <v>Saturday</v>
      </c>
      <c r="S11" s="77">
        <v>46162</v>
      </c>
      <c r="T11" s="25" t="str">
        <f>IF(Table5[[#This Row],[Tour Ending Date]]&lt;&gt;"", TEXT(Table5[[#This Row],[Tour Ending Date]], "dddd"), "")</f>
        <v>Wednesday</v>
      </c>
      <c r="U11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4 Nights &amp; 5 Days</v>
      </c>
      <c r="V11" s="37" t="str">
        <f>IF(Table5[[#This Row],[Tour Starting Date]]&lt;&gt;"", TEXT(Table5[[#This Row],[Tour Starting Date]], "mmmm"), "")</f>
        <v>May</v>
      </c>
      <c r="W11" s="80" t="str" cm="1">
        <f t="array" ref="W11">IF(Q11&lt;&gt;"", INDEX(CI:CI, MATCH(1, (Q11&gt;=CG:CG)*(Q11&lt;=CH:CH), 0)), "")</f>
        <v>Regular Dates - Weekend</v>
      </c>
      <c r="X11" s="39">
        <v>5</v>
      </c>
      <c r="Y11" s="74">
        <v>54000</v>
      </c>
      <c r="Z11" s="74">
        <f>IF(OR(Table5[[#This Row],[Per Person Package Cost]]="", Table5[[#This Row],[No. of Pax]]=""), "", Table5[[#This Row],[Per Person Package Cost]] * Table5[[#This Row],[No. of Pax]])</f>
        <v>270000</v>
      </c>
      <c r="AA11" s="52" t="s">
        <v>128</v>
      </c>
      <c r="AB11" s="52" t="s">
        <v>128</v>
      </c>
      <c r="AC11" s="52" t="s">
        <v>173</v>
      </c>
      <c r="AD11" s="52"/>
      <c r="AE11" s="51" t="str">
        <f t="shared" si="0"/>
        <v/>
      </c>
      <c r="AF11" s="51" t="str">
        <f t="shared" si="1"/>
        <v/>
      </c>
      <c r="AG11" s="74" t="str">
        <f t="shared" si="2"/>
        <v/>
      </c>
      <c r="AH11" s="73" t="str">
        <f t="shared" si="3"/>
        <v/>
      </c>
      <c r="AI11" s="52" t="s">
        <v>107</v>
      </c>
      <c r="AJ11" s="56" t="s">
        <v>78</v>
      </c>
      <c r="AK11" s="59" t="s">
        <v>79</v>
      </c>
      <c r="AL11" s="60" t="s">
        <v>80</v>
      </c>
      <c r="AM11" s="54" t="s">
        <v>80</v>
      </c>
      <c r="AN11" s="14"/>
      <c r="AO11" s="15"/>
      <c r="AP11" s="91"/>
      <c r="AQ11" s="87"/>
      <c r="AR11" s="26"/>
      <c r="AS11" s="65"/>
      <c r="AT11" s="88" t="s">
        <v>85</v>
      </c>
      <c r="AU11" s="67"/>
      <c r="BV11" s="116" t="s">
        <v>228</v>
      </c>
      <c r="BW11" t="s">
        <v>229</v>
      </c>
      <c r="BX11" s="1">
        <v>7</v>
      </c>
      <c r="BY11" s="123" t="s">
        <v>159</v>
      </c>
      <c r="CD11" s="7" t="s">
        <v>230</v>
      </c>
      <c r="CE11" t="s">
        <v>231</v>
      </c>
      <c r="CG11" s="143">
        <v>46132</v>
      </c>
      <c r="CH11" s="143">
        <v>46135</v>
      </c>
      <c r="CI11" s="142" t="s">
        <v>88</v>
      </c>
      <c r="CJ11" s="141"/>
      <c r="CK11" s="141"/>
      <c r="CL11" t="s">
        <v>232</v>
      </c>
      <c r="CM11" t="s">
        <v>233</v>
      </c>
      <c r="CN11" t="s">
        <v>234</v>
      </c>
      <c r="CO11" t="s">
        <v>235</v>
      </c>
      <c r="CP11" t="s">
        <v>236</v>
      </c>
      <c r="CQ11" t="s">
        <v>237</v>
      </c>
      <c r="CR11" t="s">
        <v>238</v>
      </c>
      <c r="CS11" t="s">
        <v>239</v>
      </c>
      <c r="CT11" t="s">
        <v>240</v>
      </c>
      <c r="CU11" t="s">
        <v>92</v>
      </c>
      <c r="CV11" t="s">
        <v>91</v>
      </c>
      <c r="CW11" t="s">
        <v>241</v>
      </c>
      <c r="CX11" t="s">
        <v>242</v>
      </c>
      <c r="CY11" t="s">
        <v>243</v>
      </c>
      <c r="CZ11" t="s">
        <v>244</v>
      </c>
      <c r="DA11" t="str" cm="1">
        <f t="array" ref="DA11:EJ11">IF(U11&lt;&gt;"", TRANSPOSE(_xlfn._xlws.FILTER(CZ:CZ, CY:CY=U11, "")), "")</f>
        <v>Ex Gwl | Gwl (2N) + Mor - Son - Dat - Orc (1N) - Hjr (1N) - Gwl</v>
      </c>
      <c r="DB11" t="str">
        <v>Ex Idr | Idr - Ujj (1N) - Omk - Mah (1N) - Man (1N) - Idr (1N)</v>
      </c>
      <c r="DC11" t="str">
        <v>Ex Idr | Idr - Ujj (1N) - Omk (1N) - Mah (1N) - Man (1N) - Idr</v>
      </c>
      <c r="DD11" t="str">
        <v>Ex Jlr | Jlr - Kan (2N) - Amk (1N) - Jlr (1N)</v>
      </c>
      <c r="DE11" t="str">
        <v>Ex Jlr | Jlr - Ban (2N) - Amk (1N) - Jlr (1N)</v>
      </c>
      <c r="DF11" t="str">
        <v>Ex Jlr | Jlr (1N) - Hjr (1N) - Ban (2N) - Jlr</v>
      </c>
      <c r="DG11" t="str">
        <v>Ex Jlr | Jlr (1N) - Kan (1N) - Ban (2N) - Jlr</v>
      </c>
      <c r="DH11" t="str">
        <v>Ex Bho | Bho (1N) + San + Bhoj + Bhim - Tawa - Mad (1N) - Pch (2N) - Bho</v>
      </c>
      <c r="DI11" t="str">
        <v>Ex Idr | Idr - Ujj (1N) - Omk - Mah (1N) - Man (1N) - Idr (1N)</v>
      </c>
      <c r="DJ11" t="str">
        <v>Ex Bho | Bho (1N) - Bhoj - Bhim - Pch (3N) - Bho</v>
      </c>
      <c r="DK11" t="str">
        <v>Gwl (1N) - Dat (Pitambara Peeth) - Orc (1N) - Ckt (2N) - Ixd</v>
      </c>
      <c r="DL11" t="str">
        <v>Ex Jlr | Jlr - Ban (2N) - Kan (2N) - Jlr</v>
      </c>
      <c r="DM11" t="str">
        <v>Jlr - Ban (1N) - Kan (1N) - Pen (2N) - Nag</v>
      </c>
      <c r="DN11" t="str">
        <v>Ex Bho | Bho (1N) - Bhoj - Bhim - Pch (3N) - Bho</v>
      </c>
      <c r="DO11" t="str">
        <v>Ex Bho | Bho (2N) + Sanchi + Bhoj + Bhim - Tawa - Mad (1N) - Bho (1N)</v>
      </c>
      <c r="DP11" t="str">
        <v>Ex Bho | Bho - Bhoj - Bhim - Tawa (1N) - Mad (1N) - Pch (2N) - Bho</v>
      </c>
      <c r="DQ11" t="str">
        <v>Bho - Bhoj - Bhim - Pch (2N) - Kan (1N) - Jlr (1N)</v>
      </c>
      <c r="DR11" t="str">
        <v>Bho - Bhoj - Bhim - Pch (2N) - Kan (1N) - Amk (1N) - Jlr</v>
      </c>
      <c r="DS11" t="str">
        <v xml:space="preserve">Bho (1N) + Bhim + Bhoj + San - Ujj (1N) - Omk - Mah (1N) - Idr (1N) </v>
      </c>
      <c r="DT11" t="str">
        <v>Ex Gwl | Gwl - Hjr (1N) - Orc (1N) - Dat - Son - Gwl (2N)</v>
      </c>
      <c r="DU11" t="str">
        <v>Ex Gwl | Gwl - Orc (1N) - Hjr (1N) - Chn (1N) - Shiv (1N) - Gwl</v>
      </c>
      <c r="DV11" t="str">
        <v>Gwl - Hjr (1N) - Panna (1N) - Chit (1N) - Mahi (1N) - Sat</v>
      </c>
      <c r="DW11" t="str">
        <v>Jlr - (2 N) Kan - (2 N) Pch - Bhim - Bhoj - Bhp</v>
      </c>
      <c r="DX11" t="str">
        <v>Jlr - (2 N) Kan - (2 N) Pen - Rpr</v>
      </c>
      <c r="DY11" t="str">
        <v>Gwl (2N) (Ex Mor) - Dat -Orc (1N) - Hjr (1N) - Jhn</v>
      </c>
      <c r="DZ11" t="str">
        <v>Ex Gwl | Gwl (1N) - Son - Dat - Orc (1N) - Hjr (2N) (Ex Panna) - Gwl</v>
      </c>
      <c r="EA11" t="str">
        <v>Hjr (1N) - Orc (1N) - Dat - son - Gwl (2N)(Ex Mor)</v>
      </c>
      <c r="EB11" t="str">
        <v>(2 N) Gwl - (1 N) Orch - (1 N) Hjr</v>
      </c>
      <c r="EC11" t="str">
        <v>Ex Bhp | Bhp - Bhoj - Bhim - Pch (2N) - Mad (1N) - Tawa (1N) - Bhp</v>
      </c>
      <c r="ED11" t="str">
        <v>Ex Bhp | Bhp - Bhoj - Bhim - Pch (2N) - Mad (2N) - Bhp</v>
      </c>
      <c r="EE11" t="str">
        <v>Ex Idr | Idr - Ujj (1N) - Omk (1N) - Mah (2N) (Ex Man) - Idr (HDCT)</v>
      </c>
      <c r="EF11" t="str">
        <v>Arr Rpr - Amr (2N) - Par (2N) - IXD</v>
      </c>
      <c r="EG11" t="str">
        <v>1N Gwl - Orc - 2N Hjr - Jhn - 1N Gwl</v>
      </c>
      <c r="EH11" t="str">
        <v>1N Orc - 1N Hjr - 2N Gwl Ex Mor</v>
      </c>
      <c r="EI11" t="str">
        <v>1N Idr - Omk - 1N Mah - 1N Ujj - Seh - 1N Bho</v>
      </c>
      <c r="EJ11" t="str">
        <v>Ex Idr I 1N Idr - 1N Ujj - Omk - 2N Mah - Man - Idr</v>
      </c>
    </row>
    <row r="12" spans="2:145" ht="15" customHeight="1">
      <c r="B12" s="35">
        <v>8</v>
      </c>
      <c r="C12" s="36" t="s">
        <v>245</v>
      </c>
      <c r="D12" s="76">
        <v>46074</v>
      </c>
      <c r="E12" s="37" t="str">
        <f>IF(Table5[[#This Row],[Query Date]]&lt;&gt;"", TEXT(Table5[[#This Row],[Query Date]], "dddd"), "")</f>
        <v>Saturday</v>
      </c>
      <c r="F12" s="37" t="str">
        <f>IF(Table5[[#This Row],[Query Date]]&lt;&gt;"", TEXT(Table5[[#This Row],[Query Date]], "mmmm"), "")</f>
        <v>February</v>
      </c>
      <c r="G12" s="28" t="s">
        <v>65</v>
      </c>
      <c r="H12" s="28" t="s">
        <v>99</v>
      </c>
      <c r="I12" s="28" t="s">
        <v>67</v>
      </c>
      <c r="J12" s="28" t="s">
        <v>68</v>
      </c>
      <c r="K12" s="28" t="s">
        <v>246</v>
      </c>
      <c r="L12" s="25" t="s">
        <v>70</v>
      </c>
      <c r="M12" s="112" t="s">
        <v>247</v>
      </c>
      <c r="N12" s="40" t="s">
        <v>248</v>
      </c>
      <c r="O12" s="130" t="s">
        <v>249</v>
      </c>
      <c r="P12" s="106" t="s">
        <v>250</v>
      </c>
      <c r="Q12" s="77">
        <v>46141</v>
      </c>
      <c r="R12" s="77" t="str">
        <f>IF(Table5[[#This Row],[Tour Starting Date]]&lt;&gt;"", TEXT(Table5[[#This Row],[Tour Starting Date]], "dddd"), "")</f>
        <v>Wednesday</v>
      </c>
      <c r="S12" s="77">
        <v>46143</v>
      </c>
      <c r="T12" s="25" t="str">
        <f>IF(Table5[[#This Row],[Tour Ending Date]]&lt;&gt;"", TEXT(Table5[[#This Row],[Tour Ending Date]], "dddd"), "")</f>
        <v>Friday</v>
      </c>
      <c r="U12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12" s="37" t="str">
        <f>IF(Table5[[#This Row],[Tour Starting Date]]&lt;&gt;"", TEXT(Table5[[#This Row],[Tour Starting Date]], "mmmm"), "")</f>
        <v>April</v>
      </c>
      <c r="W12" s="80" t="str" cm="1">
        <f t="array" ref="W12">IF(Q12&lt;&gt;"", INDEX(CI:CI, MATCH(1, (Q12&gt;=CG:CG)*(Q12&lt;=CH:CH), 0)), "")</f>
        <v>Regular Dates - Weekday</v>
      </c>
      <c r="X12" s="39">
        <v>4</v>
      </c>
      <c r="Y12" s="74">
        <v>3600</v>
      </c>
      <c r="Z12" s="74">
        <f>IF(OR(Table5[[#This Row],[Per Person Package Cost]]="", Table5[[#This Row],[No. of Pax]]=""), "", Table5[[#This Row],[Per Person Package Cost]] * Table5[[#This Row],[No. of Pax]])</f>
        <v>14400</v>
      </c>
      <c r="AA12" s="52" t="s">
        <v>205</v>
      </c>
      <c r="AB12" s="52" t="s">
        <v>205</v>
      </c>
      <c r="AC12" s="52" t="s">
        <v>76</v>
      </c>
      <c r="AD12" s="52" t="s">
        <v>251</v>
      </c>
      <c r="AE12" s="51" t="str">
        <f t="shared" si="0"/>
        <v>EXIDR14</v>
      </c>
      <c r="AF12" s="51" t="str">
        <f t="shared" si="1"/>
        <v>Spirit of the Jyotirlingas</v>
      </c>
      <c r="AG12" s="74" t="str">
        <f t="shared" si="2"/>
        <v>Quick Getaways</v>
      </c>
      <c r="AH12" s="73" t="str">
        <f t="shared" si="3"/>
        <v>West MP</v>
      </c>
      <c r="AI12" s="52" t="s">
        <v>159</v>
      </c>
      <c r="AJ12" s="56" t="s">
        <v>78</v>
      </c>
      <c r="AK12" s="59" t="s">
        <v>79</v>
      </c>
      <c r="AL12" s="60" t="s">
        <v>80</v>
      </c>
      <c r="AM12" s="54" t="s">
        <v>80</v>
      </c>
      <c r="AN12" s="14">
        <v>46077</v>
      </c>
      <c r="AO12" s="15"/>
      <c r="AP12" s="91"/>
      <c r="AQ12" s="87"/>
      <c r="AR12" s="26"/>
      <c r="AS12" s="65"/>
      <c r="AT12" s="88" t="s">
        <v>81</v>
      </c>
      <c r="AU12" s="67" t="s">
        <v>82</v>
      </c>
      <c r="BV12" s="116" t="s">
        <v>252</v>
      </c>
      <c r="BW12" t="s">
        <v>253</v>
      </c>
      <c r="BX12" s="1">
        <v>8</v>
      </c>
      <c r="CE12" t="s">
        <v>82</v>
      </c>
      <c r="CG12" s="143">
        <v>46136</v>
      </c>
      <c r="CH12" s="143">
        <v>46138</v>
      </c>
      <c r="CI12" s="142" t="s">
        <v>116</v>
      </c>
      <c r="CJ12" s="141"/>
      <c r="CK12" s="141"/>
      <c r="CM12" t="s">
        <v>254</v>
      </c>
      <c r="CN12" t="s">
        <v>255</v>
      </c>
      <c r="CO12" t="s">
        <v>256</v>
      </c>
      <c r="CP12" t="s">
        <v>257</v>
      </c>
      <c r="CQ12" t="s">
        <v>258</v>
      </c>
      <c r="CR12" t="s">
        <v>259</v>
      </c>
      <c r="CS12" t="s">
        <v>260</v>
      </c>
      <c r="CT12" t="s">
        <v>261</v>
      </c>
      <c r="CU12" t="s">
        <v>92</v>
      </c>
      <c r="CV12" t="s">
        <v>91</v>
      </c>
      <c r="CW12" t="s">
        <v>262</v>
      </c>
      <c r="CX12" t="s">
        <v>263</v>
      </c>
      <c r="CY12" t="s">
        <v>223</v>
      </c>
      <c r="CZ12" t="s">
        <v>264</v>
      </c>
      <c r="DA12" t="str" cm="1">
        <f t="array" ref="DA12:DY12">IF(U12&lt;&gt;"", TRANSPOSE(_xlfn._xlws.FILTER(CZ:CZ, CY:CY=U12, "")), "")</f>
        <v>Gwl (2N) + Mor</v>
      </c>
      <c r="DB12" t="str">
        <v>Ex Idr | Idr - Ujj (1N) - Omk - Mah (1N) - Man - Idr</v>
      </c>
      <c r="DC12" t="str">
        <v>Ujj (1N) - Omk - Idr (1N)</v>
      </c>
      <c r="DD12" t="str">
        <v>Ex Jlr | Jlr - Kan (2N) - Jlr</v>
      </c>
      <c r="DE12" t="str">
        <v>Ex Jlr | Jlr - Ban (2N) - Jlr</v>
      </c>
      <c r="DF12" t="str">
        <v>Ex Bho | Bho (2N) + Bhim + Bhoj + San</v>
      </c>
      <c r="DG12" t="str">
        <v>Ex Idr | Idr - Man (2N) - Idr</v>
      </c>
      <c r="DH12" t="str">
        <v>Ex Jlr | Jlr - Kan (2N) - Jlr</v>
      </c>
      <c r="DI12" t="str">
        <v>Ex Bho | Bho (2N) + Bhim + Bhoj + San + HDCT Bho</v>
      </c>
      <c r="DJ12" t="str">
        <v>Ex Bho | Bho - Bhim - Tawa (1N) - Mad (1N) - Bho</v>
      </c>
      <c r="DK12" t="str">
        <v>Ujj (1N) - Omk - Mah (1N) - Idr</v>
      </c>
      <c r="DL12" t="str">
        <v>Ujj (1N) -  Idr (1N)</v>
      </c>
      <c r="DM12" t="str">
        <v>Ex Idr | Idr (2N) + Ujj + Omk + Mah</v>
      </c>
      <c r="DN12" t="str">
        <v>Idr - Mah - Omk (1N) - Ujj (1N)</v>
      </c>
      <c r="DO12" t="str">
        <v>Idr - Ujj (1N) - Mah - Omk (1N) - Khandwa</v>
      </c>
      <c r="DP12" t="str">
        <v>Ex Idr | Idr (EX Ujj) (1N) - Mah - Omk (1N) - Idr HDCT</v>
      </c>
      <c r="DQ12" t="str">
        <v>Ujj (1N) - Sehor - Bho (1N) HDCT</v>
      </c>
      <c r="DR12" t="str">
        <v>Ex Jlr | Jlr (1N) - Ban (1N)</v>
      </c>
      <c r="DS12" t="str">
        <v>Ex Jlr | Ban (1N)</v>
      </c>
      <c r="DT12" t="str">
        <v>Ex Jlr | Jlr (2 N) Kan</v>
      </c>
      <c r="DU12" t="str">
        <v>Ex Jlr | Jlr - Amr (1 N) - (1 N) Ban</v>
      </c>
      <c r="DV12" t="str">
        <v>Ex Rpr | Rpr - (2N) Kan</v>
      </c>
      <c r="DW12" t="str">
        <v>Hjr (1N) - Mahi (1N) - Sat</v>
      </c>
      <c r="DX12" t="str">
        <v>Ex Bhp | Bhp - Bhim - Pch (2N) - Bhp</v>
      </c>
      <c r="DY12" t="str">
        <v xml:space="preserve">Ex Ujj I 2N Ujj </v>
      </c>
    </row>
    <row r="13" spans="2:145" ht="15" customHeight="1">
      <c r="B13" s="34">
        <v>9</v>
      </c>
      <c r="C13" s="36" t="s">
        <v>265</v>
      </c>
      <c r="D13" s="76">
        <v>46076</v>
      </c>
      <c r="E13" s="37" t="str">
        <f>IF(Table5[[#This Row],[Query Date]]&lt;&gt;"", TEXT(Table5[[#This Row],[Query Date]], "dddd"), "")</f>
        <v>Monday</v>
      </c>
      <c r="F13" s="37" t="str">
        <f>IF(Table5[[#This Row],[Query Date]]&lt;&gt;"", TEXT(Table5[[#This Row],[Query Date]], "mmmm"), "")</f>
        <v>February</v>
      </c>
      <c r="G13" s="28" t="s">
        <v>65</v>
      </c>
      <c r="H13" s="28" t="s">
        <v>66</v>
      </c>
      <c r="I13" s="28" t="s">
        <v>100</v>
      </c>
      <c r="J13" s="28" t="s">
        <v>68</v>
      </c>
      <c r="K13" s="28" t="s">
        <v>69</v>
      </c>
      <c r="L13" s="25" t="s">
        <v>70</v>
      </c>
      <c r="M13" s="112" t="s">
        <v>266</v>
      </c>
      <c r="N13" s="25" t="s">
        <v>267</v>
      </c>
      <c r="O13" s="130" t="s">
        <v>268</v>
      </c>
      <c r="P13" s="46" t="s">
        <v>269</v>
      </c>
      <c r="Q13" s="77">
        <v>46336</v>
      </c>
      <c r="R13" s="77" t="str">
        <f>IF(Table5[[#This Row],[Tour Starting Date]]&lt;&gt;"", TEXT(Table5[[#This Row],[Tour Starting Date]], "dddd"), "")</f>
        <v>Tuesday</v>
      </c>
      <c r="S13" s="77">
        <v>46338</v>
      </c>
      <c r="T13" s="25" t="str">
        <f>IF(Table5[[#This Row],[Tour Ending Date]]&lt;&gt;"", TEXT(Table5[[#This Row],[Tour Ending Date]], "dddd"), "")</f>
        <v>Thursday</v>
      </c>
      <c r="U13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13" s="37" t="str">
        <f>IF(Table5[[#This Row],[Tour Starting Date]]&lt;&gt;"", TEXT(Table5[[#This Row],[Tour Starting Date]], "mmmm"), "")</f>
        <v>November</v>
      </c>
      <c r="W13" s="80" t="str" cm="1">
        <f t="array" ref="W13">IF(Q13&lt;&gt;"", INDEX(CI:CI, MATCH(1, (Q13&gt;=CG:CG)*(Q13&lt;=CH:CH), 0)), "")</f>
        <v>Long Weekend - Diwali</v>
      </c>
      <c r="X13" s="39">
        <v>4</v>
      </c>
      <c r="Y13" s="74">
        <v>42000</v>
      </c>
      <c r="Z13" s="74">
        <f>IF(OR(Table5[[#This Row],[Per Person Package Cost]]="", Table5[[#This Row],[No. of Pax]]=""), "", Table5[[#This Row],[Per Person Package Cost]] * Table5[[#This Row],[No. of Pax]])</f>
        <v>168000</v>
      </c>
      <c r="AA13" s="52" t="s">
        <v>270</v>
      </c>
      <c r="AB13" s="52" t="s">
        <v>270</v>
      </c>
      <c r="AC13" s="52" t="s">
        <v>76</v>
      </c>
      <c r="AD13" s="52"/>
      <c r="AE13" s="51" t="str">
        <f t="shared" si="0"/>
        <v/>
      </c>
      <c r="AF13" s="51" t="str">
        <f t="shared" si="1"/>
        <v/>
      </c>
      <c r="AG13" s="74" t="str">
        <f t="shared" si="2"/>
        <v/>
      </c>
      <c r="AH13" s="73" t="str">
        <f t="shared" si="3"/>
        <v/>
      </c>
      <c r="AI13" s="52" t="s">
        <v>107</v>
      </c>
      <c r="AJ13" s="56" t="s">
        <v>78</v>
      </c>
      <c r="AK13" s="59" t="s">
        <v>79</v>
      </c>
      <c r="AL13" s="60" t="s">
        <v>80</v>
      </c>
      <c r="AM13" s="54" t="s">
        <v>80</v>
      </c>
      <c r="AN13" s="14">
        <v>46248</v>
      </c>
      <c r="AO13" s="15"/>
      <c r="AP13" s="91"/>
      <c r="AQ13" s="87"/>
      <c r="AR13" s="26"/>
      <c r="AS13" s="65"/>
      <c r="AT13" s="88" t="s">
        <v>138</v>
      </c>
      <c r="AU13" s="67"/>
      <c r="BV13" s="116" t="s">
        <v>271</v>
      </c>
      <c r="BW13" t="s">
        <v>272</v>
      </c>
      <c r="BX13" s="1">
        <v>9</v>
      </c>
      <c r="CE13" t="s">
        <v>273</v>
      </c>
      <c r="CG13" s="143">
        <v>46139</v>
      </c>
      <c r="CH13" s="143">
        <v>46142</v>
      </c>
      <c r="CI13" s="142" t="s">
        <v>88</v>
      </c>
      <c r="CJ13" s="141"/>
      <c r="CK13" s="141"/>
      <c r="CM13" t="s">
        <v>274</v>
      </c>
      <c r="CN13" t="s">
        <v>275</v>
      </c>
      <c r="CO13" t="s">
        <v>276</v>
      </c>
      <c r="CP13" t="s">
        <v>277</v>
      </c>
      <c r="CQ13" t="s">
        <v>278</v>
      </c>
      <c r="CR13" t="s">
        <v>279</v>
      </c>
      <c r="CS13" t="s">
        <v>280</v>
      </c>
      <c r="CT13" t="s">
        <v>281</v>
      </c>
      <c r="CU13" t="s">
        <v>92</v>
      </c>
      <c r="CV13" t="s">
        <v>91</v>
      </c>
      <c r="CW13" t="s">
        <v>282</v>
      </c>
      <c r="CX13" t="s">
        <v>283</v>
      </c>
      <c r="CY13" t="s">
        <v>243</v>
      </c>
      <c r="CZ13" t="s">
        <v>284</v>
      </c>
      <c r="DA13" t="str" cm="1">
        <f t="array" ref="DA13:DY13">IF(U13&lt;&gt;"", TRANSPOSE(_xlfn._xlws.FILTER(CZ:CZ, CY:CY=U13, "")), "")</f>
        <v>Gwl (2N) + Mor</v>
      </c>
      <c r="DB13" t="str">
        <v>Ex Idr | Idr - Ujj (1N) - Omk - Mah (1N) - Man - Idr</v>
      </c>
      <c r="DC13" t="str">
        <v>Ujj (1N) - Omk - Idr (1N)</v>
      </c>
      <c r="DD13" t="str">
        <v>Ex Jlr | Jlr - Kan (2N) - Jlr</v>
      </c>
      <c r="DE13" t="str">
        <v>Ex Jlr | Jlr - Ban (2N) - Jlr</v>
      </c>
      <c r="DF13" t="str">
        <v>Ex Bho | Bho (2N) + Bhim + Bhoj + San</v>
      </c>
      <c r="DG13" t="str">
        <v>Ex Idr | Idr - Man (2N) - Idr</v>
      </c>
      <c r="DH13" t="str">
        <v>Ex Jlr | Jlr - Kan (2N) - Jlr</v>
      </c>
      <c r="DI13" t="str">
        <v>Ex Bho | Bho (2N) + Bhim + Bhoj + San + HDCT Bho</v>
      </c>
      <c r="DJ13" t="str">
        <v>Ex Bho | Bho - Bhim - Tawa (1N) - Mad (1N) - Bho</v>
      </c>
      <c r="DK13" t="str">
        <v>Ujj (1N) - Omk - Mah (1N) - Idr</v>
      </c>
      <c r="DL13" t="str">
        <v>Ujj (1N) -  Idr (1N)</v>
      </c>
      <c r="DM13" t="str">
        <v>Ex Idr | Idr (2N) + Ujj + Omk + Mah</v>
      </c>
      <c r="DN13" t="str">
        <v>Idr - Mah - Omk (1N) - Ujj (1N)</v>
      </c>
      <c r="DO13" t="str">
        <v>Idr - Ujj (1N) - Mah - Omk (1N) - Khandwa</v>
      </c>
      <c r="DP13" t="str">
        <v>Ex Idr | Idr (EX Ujj) (1N) - Mah - Omk (1N) - Idr HDCT</v>
      </c>
      <c r="DQ13" t="str">
        <v>Ujj (1N) - Sehor - Bho (1N) HDCT</v>
      </c>
      <c r="DR13" t="str">
        <v>Ex Jlr | Jlr (1N) - Ban (1N)</v>
      </c>
      <c r="DS13" t="str">
        <v>Ex Jlr | Ban (1N)</v>
      </c>
      <c r="DT13" t="str">
        <v>Ex Jlr | Jlr (2 N) Kan</v>
      </c>
      <c r="DU13" t="str">
        <v>Ex Jlr | Jlr - Amr (1 N) - (1 N) Ban</v>
      </c>
      <c r="DV13" t="str">
        <v>Ex Rpr | Rpr - (2N) Kan</v>
      </c>
      <c r="DW13" t="str">
        <v>Hjr (1N) - Mahi (1N) - Sat</v>
      </c>
      <c r="DX13" t="str">
        <v>Ex Bhp | Bhp - Bhim - Pch (2N) - Bhp</v>
      </c>
      <c r="DY13" t="str">
        <v xml:space="preserve">Ex Ujj I 2N Ujj </v>
      </c>
    </row>
    <row r="14" spans="2:145" ht="15" customHeight="1">
      <c r="B14" s="35">
        <v>10</v>
      </c>
      <c r="C14" s="36" t="s">
        <v>285</v>
      </c>
      <c r="D14" s="76">
        <v>46077</v>
      </c>
      <c r="E14" s="37" t="str">
        <f>IF(Table5[[#This Row],[Query Date]]&lt;&gt;"", TEXT(Table5[[#This Row],[Query Date]], "dddd"), "")</f>
        <v>Tuesday</v>
      </c>
      <c r="F14" s="37" t="str">
        <f>IF(Table5[[#This Row],[Query Date]]&lt;&gt;"", TEXT(Table5[[#This Row],[Query Date]], "mmmm"), "")</f>
        <v>February</v>
      </c>
      <c r="G14" s="28" t="s">
        <v>65</v>
      </c>
      <c r="H14" s="28" t="s">
        <v>120</v>
      </c>
      <c r="I14" s="28" t="s">
        <v>100</v>
      </c>
      <c r="J14" s="28" t="s">
        <v>68</v>
      </c>
      <c r="K14" s="28" t="s">
        <v>226</v>
      </c>
      <c r="L14" s="25" t="s">
        <v>70</v>
      </c>
      <c r="M14" s="112" t="s">
        <v>286</v>
      </c>
      <c r="N14" s="25" t="s">
        <v>287</v>
      </c>
      <c r="O14" s="130" t="s">
        <v>288</v>
      </c>
      <c r="P14" s="46" t="s">
        <v>289</v>
      </c>
      <c r="Q14" s="77">
        <v>46145</v>
      </c>
      <c r="R14" s="77" t="str">
        <f>IF(Table5[[#This Row],[Tour Starting Date]]&lt;&gt;"", TEXT(Table5[[#This Row],[Tour Starting Date]], "dddd"), "")</f>
        <v>Sunday</v>
      </c>
      <c r="S14" s="77">
        <v>46151</v>
      </c>
      <c r="T14" s="25" t="str">
        <f>IF(Table5[[#This Row],[Tour Ending Date]]&lt;&gt;"", TEXT(Table5[[#This Row],[Tour Ending Date]], "dddd"), "")</f>
        <v>Saturday</v>
      </c>
      <c r="U14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6 Nights &amp; 7 Days</v>
      </c>
      <c r="V14" s="37" t="str">
        <f>IF(Table5[[#This Row],[Tour Starting Date]]&lt;&gt;"", TEXT(Table5[[#This Row],[Tour Starting Date]], "mmmm"), "")</f>
        <v>May</v>
      </c>
      <c r="W14" s="80" t="str" cm="1">
        <f t="array" ref="W14">IF(Q14&lt;&gt;"", INDEX(CI:CI, MATCH(1, (Q14&gt;=CG:CG)*(Q14&lt;=CH:CH), 0)), "")</f>
        <v>Long Weekend - Labour Day / Buddha Purnima</v>
      </c>
      <c r="X14" s="39">
        <v>10</v>
      </c>
      <c r="Y14" s="74">
        <v>60000</v>
      </c>
      <c r="Z14" s="74">
        <f>IF(OR(Table5[[#This Row],[Per Person Package Cost]]="", Table5[[#This Row],[No. of Pax]]=""), "", Table5[[#This Row],[Per Person Package Cost]] * Table5[[#This Row],[No. of Pax]])</f>
        <v>600000</v>
      </c>
      <c r="AA14" s="52" t="s">
        <v>290</v>
      </c>
      <c r="AB14" s="52" t="s">
        <v>128</v>
      </c>
      <c r="AC14" s="52" t="s">
        <v>134</v>
      </c>
      <c r="AD14" s="52"/>
      <c r="AE14" s="51" t="str">
        <f t="shared" si="0"/>
        <v/>
      </c>
      <c r="AF14" s="51" t="str">
        <f t="shared" si="1"/>
        <v/>
      </c>
      <c r="AG14" s="74" t="str">
        <f t="shared" si="2"/>
        <v/>
      </c>
      <c r="AH14" s="73" t="str">
        <f t="shared" si="3"/>
        <v/>
      </c>
      <c r="AI14" s="52" t="s">
        <v>107</v>
      </c>
      <c r="AJ14" s="56" t="s">
        <v>78</v>
      </c>
      <c r="AK14" s="59" t="s">
        <v>79</v>
      </c>
      <c r="AL14" s="60" t="s">
        <v>80</v>
      </c>
      <c r="AM14" s="54" t="s">
        <v>80</v>
      </c>
      <c r="AN14" s="14">
        <v>46091</v>
      </c>
      <c r="AO14" s="15">
        <v>46107</v>
      </c>
      <c r="AP14" s="91"/>
      <c r="AQ14" s="87"/>
      <c r="AR14" s="26"/>
      <c r="AS14" s="65"/>
      <c r="AT14" s="88" t="s">
        <v>81</v>
      </c>
      <c r="AU14" s="67" t="s">
        <v>82</v>
      </c>
      <c r="BV14" s="116" t="s">
        <v>291</v>
      </c>
      <c r="BW14" t="s">
        <v>292</v>
      </c>
      <c r="BX14" s="1">
        <v>10</v>
      </c>
      <c r="CE14" t="s">
        <v>207</v>
      </c>
      <c r="CG14" s="143">
        <v>46143</v>
      </c>
      <c r="CH14" s="143">
        <v>46145</v>
      </c>
      <c r="CI14" s="142" t="s">
        <v>293</v>
      </c>
      <c r="CJ14" s="141"/>
      <c r="CK14" s="141"/>
      <c r="CM14" t="s">
        <v>294</v>
      </c>
      <c r="CN14" t="s">
        <v>295</v>
      </c>
      <c r="CO14" t="s">
        <v>296</v>
      </c>
      <c r="CP14" t="s">
        <v>297</v>
      </c>
      <c r="CQ14" t="s">
        <v>298</v>
      </c>
      <c r="CR14" t="s">
        <v>299</v>
      </c>
      <c r="CS14" t="s">
        <v>300</v>
      </c>
      <c r="CT14" t="s">
        <v>301</v>
      </c>
      <c r="CU14" t="s">
        <v>92</v>
      </c>
      <c r="CV14" t="s">
        <v>193</v>
      </c>
      <c r="CW14" t="s">
        <v>302</v>
      </c>
      <c r="CX14" t="s">
        <v>303</v>
      </c>
      <c r="CY14" t="s">
        <v>223</v>
      </c>
      <c r="CZ14" t="s">
        <v>304</v>
      </c>
      <c r="DA14" t="str" cm="1">
        <f t="array" ref="DA14:DZ14">IF(U14&lt;&gt;"", TRANSPOSE(_xlfn._xlws.FILTER(CZ:CZ, CY:CY=U14, "")), "")</f>
        <v>Ex Gwl | Gwl (2N) + Mor - Orc - Pan (2N) - Hjr (1N) - Dat - Son - Gwl (1N)</v>
      </c>
      <c r="DB14" t="str">
        <v>Ex Gwl | GWL (2N) + Mor - Shiv - Chan (2N) - Hjr (1N) - Orc (1N) - Dat - Gwl</v>
      </c>
      <c r="DC14" t="str">
        <v>Gwl (2N) + Mor - Son - Dat - Orc (1N) - Hjr (1N) - Ban (1N) - Jlr (1N)</v>
      </c>
      <c r="DD14" t="str">
        <v>Idr - Ujj (1N) - Omk - Mah (1N) - Man (2N) - Bhp (2N) + Bhim + Bhoj + San</v>
      </c>
      <c r="DE14" t="str">
        <v>Bhp (1N) + Bhim + Bhoj + San - Ujj (1N) - Man (2N) - Mah - Omk (1N) - Idr (1N)</v>
      </c>
      <c r="DF14" t="str">
        <v>Jlr (1N) - Ban (1N) - Hjr (1N) - Orc (1N) - Dat - Son - Gwl (2N) + Mor</v>
      </c>
      <c r="DG14" t="str">
        <v>Bho (1N) + San - Bhoj - Bhim - Tawa (1N) - Mad (1N) - Pch (2N) - Jlr (1N)</v>
      </c>
      <c r="DH14" t="str">
        <v>Bho (1N) + San + Udaygiri - Bhoj - Bhim - Pch (2N) - Kan(2N) - Jlr (1N)</v>
      </c>
      <c r="DI14" t="str">
        <v>Bho (1N) + Bhim + Bhoj - San - Ujj (1N) - Man (2N) - Mah - Omk (1N) - Idr (1N)</v>
      </c>
      <c r="DJ14" t="str">
        <v>Gwl (2N) + Mor - Son - Dat - Orc (1N) - Hjr (1N) - Jab (1N) - Kan (1N) - Nag</v>
      </c>
      <c r="DK14" t="str">
        <v>Bho (2N) + San + Bhoj + Bhim - Ujj (1N) - Omk - Mah (1N) - Man (1N) - Idr (1N)</v>
      </c>
      <c r="DL14" t="str">
        <v>Ex Nag | Nag - Pch (2N) - Bhim - Bhoj - Bho (2N) + San + Udaygiri - Jlr (1N) - Kan (1N) - Nag</v>
      </c>
      <c r="DM14" t="str">
        <v>Bho (1N) - Mad (2N) + Tawa Cruise Safari - Pch (2N) - Jlr (1N) - Nag</v>
      </c>
      <c r="DN14" t="str">
        <v>Idr - Man (2N) - Idr (1N) - Bho (1N) + San - Bhoj - Bhim - Pch (2N) - Bho</v>
      </c>
      <c r="DO14" t="str">
        <v>Rpr - kan (2N) - Ban (1N) - Jlr (1N) - Mad (2N) - Bhim - Bhoj - Bho</v>
      </c>
      <c r="DP14" t="str">
        <v>Jlr - Amar (1 N) - Ban (2 N) - Kan (1N) - Pch (2N) - Ppi</v>
      </c>
      <c r="DQ14" t="str">
        <v>Jlr - (2N) Kan - (1N) Jlr - Bhim - Bhoj - (2N) Bho  (Ex San &amp; Uda)  - (1N) Ujj - Idr</v>
      </c>
      <c r="DR14" t="str">
        <v>Ex Nag | Nag (2 N) Pach - Bhim - Bhij - (2 N) Bho (Ex San &amp; Uad) - (1 N) Jlr - (1 N) Kan - Nag</v>
      </c>
      <c r="DS14" t="str">
        <v>(2 N) Bho (Ex San, Bhoj &amp; Bhim) - (1 N) Ujj - Omk - (1 N) Mah - (1 N) Man - (1 N) Idr</v>
      </c>
      <c r="DT14" t="str">
        <v>(2 N) Gwl (Ex Mor) - Son - Dat - (1 N) Orc - (1 N) Hjr - (1 N) Jlr - (1 N) Kan - Nag</v>
      </c>
      <c r="DU14" t="str">
        <v>(1 N) Jlr - (2 N) Kanha - (2 N Pach) - (1 N) BHo</v>
      </c>
      <c r="DV14" t="str">
        <v>(2 N) Gwl - (1 N) Orc - (1 N) Hjr - (1 N) Ban - (1 N) Jlr</v>
      </c>
      <c r="DW14" t="str">
        <v>(2 N) BHo - (2 N) Madhai - (1 N) Pach - (1 N) Jlr</v>
      </c>
      <c r="DX14" t="str">
        <v>Ex Bhp | Bhp - Bhoj - Bhim - Pach (3N) - Tawa - Mad - Tawa (1N) - Mad (1N) - Bho (1N)</v>
      </c>
      <c r="DY14" t="str">
        <v>Ex Idr I Idr - 2N Ujj - 1N Man - 1N Mah - 1N Omk - 1N Idr</v>
      </c>
      <c r="DZ14" t="str">
        <v>1N Jlr - 1N Kan - 1N Ban - 1N Hjr -2N Gwl</v>
      </c>
    </row>
    <row r="15" spans="2:145" ht="15" customHeight="1">
      <c r="B15" s="34">
        <v>11</v>
      </c>
      <c r="C15" s="36" t="s">
        <v>305</v>
      </c>
      <c r="D15" s="76">
        <v>46079</v>
      </c>
      <c r="E15" s="37" t="str">
        <f>IF(Table5[[#This Row],[Query Date]]&lt;&gt;"", TEXT(Table5[[#This Row],[Query Date]], "dddd"), "")</f>
        <v>Thursday</v>
      </c>
      <c r="F15" s="37" t="str">
        <f>IF(Table5[[#This Row],[Query Date]]&lt;&gt;"", TEXT(Table5[[#This Row],[Query Date]], "mmmm"), "")</f>
        <v>February</v>
      </c>
      <c r="G15" s="28" t="s">
        <v>65</v>
      </c>
      <c r="H15" s="28" t="s">
        <v>120</v>
      </c>
      <c r="I15" s="28" t="s">
        <v>67</v>
      </c>
      <c r="J15" s="28" t="s">
        <v>68</v>
      </c>
      <c r="K15" s="28" t="s">
        <v>226</v>
      </c>
      <c r="L15" s="41" t="s">
        <v>70</v>
      </c>
      <c r="M15" s="112" t="s">
        <v>286</v>
      </c>
      <c r="N15" s="41" t="s">
        <v>287</v>
      </c>
      <c r="O15" s="131" t="s">
        <v>288</v>
      </c>
      <c r="P15" s="46" t="s">
        <v>289</v>
      </c>
      <c r="Q15" s="77">
        <v>46322</v>
      </c>
      <c r="R15" s="77" t="str">
        <f>IF(Table5[[#This Row],[Tour Starting Date]]&lt;&gt;"", TEXT(Table5[[#This Row],[Tour Starting Date]], "dddd"), "")</f>
        <v>Tuesday</v>
      </c>
      <c r="S15" s="77">
        <v>46341</v>
      </c>
      <c r="T15" s="41" t="str">
        <f>IF(Table5[[#This Row],[Tour Ending Date]]&lt;&gt;"", TEXT(Table5[[#This Row],[Tour Ending Date]], "dddd"), "")</f>
        <v>Sunday</v>
      </c>
      <c r="U15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19 Nights &amp; 20 Days</v>
      </c>
      <c r="V15" s="37" t="str">
        <f>IF(Table5[[#This Row],[Tour Starting Date]]&lt;&gt;"", TEXT(Table5[[#This Row],[Tour Starting Date]], "mmmm"), "")</f>
        <v>October</v>
      </c>
      <c r="W15" s="80" t="str" cm="1">
        <f t="array" ref="W15">IF(Q15&lt;&gt;"", INDEX(CI:CI, MATCH(1, (Q15&gt;=CG:CG)*(Q15&lt;=CH:CH), 0)), "")</f>
        <v>Regular Dates - Weekday</v>
      </c>
      <c r="X15" s="42">
        <v>4</v>
      </c>
      <c r="Y15" s="75">
        <v>123500</v>
      </c>
      <c r="Z15" s="75">
        <f>IF(OR(Table5[[#This Row],[Per Person Package Cost]]="", Table5[[#This Row],[No. of Pax]]=""), "", Table5[[#This Row],[Per Person Package Cost]] * Table5[[#This Row],[No. of Pax]])</f>
        <v>494000</v>
      </c>
      <c r="AA15" s="53" t="s">
        <v>306</v>
      </c>
      <c r="AB15" s="53" t="s">
        <v>306</v>
      </c>
      <c r="AC15" s="53" t="s">
        <v>134</v>
      </c>
      <c r="AD15" s="53"/>
      <c r="AE15" s="51" t="str">
        <f t="shared" si="0"/>
        <v/>
      </c>
      <c r="AF15" s="51" t="str">
        <f t="shared" si="1"/>
        <v/>
      </c>
      <c r="AG15" s="75" t="str">
        <f t="shared" si="2"/>
        <v/>
      </c>
      <c r="AH15" s="73" t="str">
        <f t="shared" si="3"/>
        <v/>
      </c>
      <c r="AI15" s="53" t="s">
        <v>107</v>
      </c>
      <c r="AJ15" s="57" t="s">
        <v>78</v>
      </c>
      <c r="AK15" s="59" t="s">
        <v>79</v>
      </c>
      <c r="AL15" s="60" t="s">
        <v>80</v>
      </c>
      <c r="AM15" s="54" t="s">
        <v>80</v>
      </c>
      <c r="AN15" s="14">
        <v>46091</v>
      </c>
      <c r="AO15" s="15">
        <v>46107</v>
      </c>
      <c r="AP15" s="91">
        <v>46158</v>
      </c>
      <c r="AQ15" s="87"/>
      <c r="AR15" s="26" t="s">
        <v>307</v>
      </c>
      <c r="AS15" s="65"/>
      <c r="AT15" s="88" t="s">
        <v>81</v>
      </c>
      <c r="AU15" s="67" t="s">
        <v>82</v>
      </c>
      <c r="BV15" s="116" t="s">
        <v>308</v>
      </c>
      <c r="BW15" t="s">
        <v>309</v>
      </c>
      <c r="BX15" s="1">
        <v>11</v>
      </c>
      <c r="CE15" t="s">
        <v>310</v>
      </c>
      <c r="CG15" s="143">
        <v>46146</v>
      </c>
      <c r="CH15" s="143">
        <v>46149</v>
      </c>
      <c r="CI15" s="142" t="s">
        <v>88</v>
      </c>
      <c r="CJ15" s="141"/>
      <c r="CK15" s="141"/>
      <c r="CM15" t="s">
        <v>311</v>
      </c>
      <c r="CN15" t="s">
        <v>312</v>
      </c>
      <c r="CO15" t="s">
        <v>313</v>
      </c>
      <c r="CP15" t="s">
        <v>314</v>
      </c>
      <c r="CQ15" t="s">
        <v>315</v>
      </c>
      <c r="CR15" t="s">
        <v>316</v>
      </c>
      <c r="CS15" t="s">
        <v>317</v>
      </c>
      <c r="CU15" t="s">
        <v>92</v>
      </c>
      <c r="CV15" t="s">
        <v>193</v>
      </c>
      <c r="CW15" t="s">
        <v>318</v>
      </c>
      <c r="CX15" t="s">
        <v>319</v>
      </c>
      <c r="CY15" t="s">
        <v>243</v>
      </c>
      <c r="CZ15" t="s">
        <v>320</v>
      </c>
      <c r="DA15" t="str" cm="1">
        <f t="array" ref="DA15">IF(U15&lt;&gt;"", TRANSPOSE(_xlfn._xlws.FILTER(CZ:CZ, CY:CY=U15, "")), "")</f>
        <v/>
      </c>
    </row>
    <row r="16" spans="2:145" ht="15" customHeight="1">
      <c r="B16" s="35">
        <v>12</v>
      </c>
      <c r="C16" s="36" t="s">
        <v>321</v>
      </c>
      <c r="D16" s="76">
        <v>46080</v>
      </c>
      <c r="E16" s="37" t="str">
        <f>IF(Table5[[#This Row],[Query Date]]&lt;&gt;"", TEXT(Table5[[#This Row],[Query Date]], "dddd"), "")</f>
        <v>Friday</v>
      </c>
      <c r="F16" s="37" t="str">
        <f>IF(Table5[[#This Row],[Query Date]]&lt;&gt;"", TEXT(Table5[[#This Row],[Query Date]], "mmmm"), "")</f>
        <v>February</v>
      </c>
      <c r="G16" s="28" t="s">
        <v>65</v>
      </c>
      <c r="H16" s="28" t="s">
        <v>120</v>
      </c>
      <c r="I16" s="28" t="s">
        <v>100</v>
      </c>
      <c r="J16" s="28" t="s">
        <v>68</v>
      </c>
      <c r="K16" s="28" t="s">
        <v>178</v>
      </c>
      <c r="L16" s="41" t="s">
        <v>70</v>
      </c>
      <c r="M16" s="112" t="s">
        <v>179</v>
      </c>
      <c r="N16" s="41" t="s">
        <v>322</v>
      </c>
      <c r="O16" s="132" t="s">
        <v>181</v>
      </c>
      <c r="P16" s="106" t="s">
        <v>182</v>
      </c>
      <c r="Q16" s="77">
        <v>46380</v>
      </c>
      <c r="R16" s="77" t="str">
        <f>IF(Table5[[#This Row],[Tour Starting Date]]&lt;&gt;"", TEXT(Table5[[#This Row],[Tour Starting Date]], "dddd"), "")</f>
        <v>Thursday</v>
      </c>
      <c r="S16" s="77">
        <v>46384</v>
      </c>
      <c r="T16" s="41" t="str">
        <f>IF(Table5[[#This Row],[Tour Ending Date]]&lt;&gt;"", TEXT(Table5[[#This Row],[Tour Ending Date]], "dddd"), "")</f>
        <v>Monday</v>
      </c>
      <c r="U16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4 Nights &amp; 5 Days</v>
      </c>
      <c r="V16" s="37" t="str">
        <f>IF(Table5[[#This Row],[Tour Starting Date]]&lt;&gt;"", TEXT(Table5[[#This Row],[Tour Starting Date]], "mmmm"), "")</f>
        <v>December</v>
      </c>
      <c r="W16" s="80" t="str" cm="1">
        <f t="array" ref="W16">IF(Q16&lt;&gt;"", INDEX(CI:CI, MATCH(1, (Q16&gt;=CG:CG)*(Q16&lt;=CH:CH), 0)), "")</f>
        <v>Regular Dates - Weekday</v>
      </c>
      <c r="X16" s="42">
        <v>30</v>
      </c>
      <c r="Y16" s="75">
        <v>22500</v>
      </c>
      <c r="Z16" s="75">
        <f>IF(OR(Table5[[#This Row],[Per Person Package Cost]]="", Table5[[#This Row],[No. of Pax]]=""), "", Table5[[#This Row],[Per Person Package Cost]] * Table5[[#This Row],[No. of Pax]])</f>
        <v>675000</v>
      </c>
      <c r="AA16" s="53" t="s">
        <v>75</v>
      </c>
      <c r="AB16" s="53" t="s">
        <v>75</v>
      </c>
      <c r="AC16" s="53" t="s">
        <v>173</v>
      </c>
      <c r="AD16" s="53" t="s">
        <v>158</v>
      </c>
      <c r="AE16" s="51" t="str">
        <f t="shared" si="0"/>
        <v>EXIDR07</v>
      </c>
      <c r="AF16" s="51" t="str">
        <f t="shared" si="1"/>
        <v>Heritage Trails &amp; Sacred Wonders</v>
      </c>
      <c r="AG16" s="75" t="str">
        <f t="shared" si="2"/>
        <v>Quick Getaways</v>
      </c>
      <c r="AH16" s="73" t="str">
        <f t="shared" si="3"/>
        <v>West MP</v>
      </c>
      <c r="AI16" s="53" t="s">
        <v>107</v>
      </c>
      <c r="AJ16" s="57" t="s">
        <v>78</v>
      </c>
      <c r="AK16" s="59" t="s">
        <v>79</v>
      </c>
      <c r="AL16" s="60" t="s">
        <v>80</v>
      </c>
      <c r="AM16" s="54" t="s">
        <v>80</v>
      </c>
      <c r="AN16" s="14">
        <v>46090</v>
      </c>
      <c r="AO16" s="15">
        <v>46107</v>
      </c>
      <c r="AP16" s="91">
        <v>46231</v>
      </c>
      <c r="AQ16" s="87"/>
      <c r="AR16" s="26"/>
      <c r="AS16" s="65"/>
      <c r="AT16" s="88" t="s">
        <v>81</v>
      </c>
      <c r="AU16" s="67"/>
      <c r="BV16" s="116" t="s">
        <v>323</v>
      </c>
      <c r="BW16" t="s">
        <v>324</v>
      </c>
      <c r="BX16" s="1">
        <v>12</v>
      </c>
      <c r="CE16" t="s">
        <v>325</v>
      </c>
      <c r="CG16" s="143">
        <v>46150</v>
      </c>
      <c r="CH16" s="143">
        <v>46152</v>
      </c>
      <c r="CI16" s="142" t="s">
        <v>116</v>
      </c>
      <c r="CJ16" s="141"/>
      <c r="CK16" s="141"/>
      <c r="CM16" t="s">
        <v>326</v>
      </c>
      <c r="CN16" t="s">
        <v>327</v>
      </c>
      <c r="CO16" t="s">
        <v>328</v>
      </c>
      <c r="CP16" t="s">
        <v>329</v>
      </c>
      <c r="CQ16" t="s">
        <v>330</v>
      </c>
      <c r="CR16" t="s">
        <v>331</v>
      </c>
      <c r="CS16" t="s">
        <v>332</v>
      </c>
      <c r="CU16" t="s">
        <v>92</v>
      </c>
      <c r="CV16" t="s">
        <v>171</v>
      </c>
      <c r="CW16" t="s">
        <v>333</v>
      </c>
      <c r="CX16" t="s">
        <v>334</v>
      </c>
      <c r="CY16" t="s">
        <v>96</v>
      </c>
      <c r="CZ16" t="s">
        <v>335</v>
      </c>
      <c r="DA16" t="str" cm="1">
        <f t="array" ref="DA16:EJ16">IF(U16&lt;&gt;"", TRANSPOSE(_xlfn._xlws.FILTER(CZ:CZ, CY:CY=U16, "")), "")</f>
        <v>Ex Gwl | Gwl (2N) + Mor - Son - Dat - Orc (1N) - Hjr (1N) - Gwl</v>
      </c>
      <c r="DB16" t="str">
        <v>Ex Idr | Idr - Ujj (1N) - Omk - Mah (1N) - Man (1N) - Idr (1N)</v>
      </c>
      <c r="DC16" t="str">
        <v>Ex Idr | Idr - Ujj (1N) - Omk (1N) - Mah (1N) - Man (1N) - Idr</v>
      </c>
      <c r="DD16" t="str">
        <v>Ex Jlr | Jlr - Kan (2N) - Amk (1N) - Jlr (1N)</v>
      </c>
      <c r="DE16" t="str">
        <v>Ex Jlr | Jlr - Ban (2N) - Amk (1N) - Jlr (1N)</v>
      </c>
      <c r="DF16" t="str">
        <v>Ex Jlr | Jlr (1N) - Hjr (1N) - Ban (2N) - Jlr</v>
      </c>
      <c r="DG16" t="str">
        <v>Ex Jlr | Jlr (1N) - Kan (1N) - Ban (2N) - Jlr</v>
      </c>
      <c r="DH16" t="str">
        <v>Ex Bho | Bho (1N) + San + Bhoj + Bhim - Tawa - Mad (1N) - Pch (2N) - Bho</v>
      </c>
      <c r="DI16" t="str">
        <v>Ex Idr | Idr - Ujj (1N) - Omk - Mah (1N) - Man (1N) - Idr (1N)</v>
      </c>
      <c r="DJ16" t="str">
        <v>Ex Bho | Bho (1N) - Bhoj - Bhim - Pch (3N) - Bho</v>
      </c>
      <c r="DK16" t="str">
        <v>Gwl (1N) - Dat (Pitambara Peeth) - Orc (1N) - Ckt (2N) - Ixd</v>
      </c>
      <c r="DL16" t="str">
        <v>Ex Jlr | Jlr - Ban (2N) - Kan (2N) - Jlr</v>
      </c>
      <c r="DM16" t="str">
        <v>Jlr - Ban (1N) - Kan (1N) - Pen (2N) - Nag</v>
      </c>
      <c r="DN16" t="str">
        <v>Ex Bho | Bho (1N) - Bhoj - Bhim - Pch (3N) - Bho</v>
      </c>
      <c r="DO16" t="str">
        <v>Ex Bho | Bho (2N) + Sanchi + Bhoj + Bhim - Tawa - Mad (1N) - Bho (1N)</v>
      </c>
      <c r="DP16" t="str">
        <v>Ex Bho | Bho - Bhoj - Bhim - Tawa (1N) - Mad (1N) - Pch (2N) - Bho</v>
      </c>
      <c r="DQ16" t="str">
        <v>Bho - Bhoj - Bhim - Pch (2N) - Kan (1N) - Jlr (1N)</v>
      </c>
      <c r="DR16" t="str">
        <v>Bho - Bhoj - Bhim - Pch (2N) - Kan (1N) - Amk (1N) - Jlr</v>
      </c>
      <c r="DS16" t="str">
        <v xml:space="preserve">Bho (1N) + Bhim + Bhoj + San - Ujj (1N) - Omk - Mah (1N) - Idr (1N) </v>
      </c>
      <c r="DT16" t="str">
        <v>Ex Gwl | Gwl - Hjr (1N) - Orc (1N) - Dat - Son - Gwl (2N)</v>
      </c>
      <c r="DU16" t="str">
        <v>Ex Gwl | Gwl - Orc (1N) - Hjr (1N) - Chn (1N) - Shiv (1N) - Gwl</v>
      </c>
      <c r="DV16" t="str">
        <v>Gwl - Hjr (1N) - Panna (1N) - Chit (1N) - Mahi (1N) - Sat</v>
      </c>
      <c r="DW16" t="str">
        <v>Jlr - (2 N) Kan - (2 N) Pch - Bhim - Bhoj - Bhp</v>
      </c>
      <c r="DX16" t="str">
        <v>Jlr - (2 N) Kan - (2 N) Pen - Rpr</v>
      </c>
      <c r="DY16" t="str">
        <v>Gwl (2N) (Ex Mor) - Dat -Orc (1N) - Hjr (1N) - Jhn</v>
      </c>
      <c r="DZ16" t="str">
        <v>Ex Gwl | Gwl (1N) - Son - Dat - Orc (1N) - Hjr (2N) (Ex Panna) - Gwl</v>
      </c>
      <c r="EA16" t="str">
        <v>Hjr (1N) - Orc (1N) - Dat - son - Gwl (2N)(Ex Mor)</v>
      </c>
      <c r="EB16" t="str">
        <v>(2 N) Gwl - (1 N) Orch - (1 N) Hjr</v>
      </c>
      <c r="EC16" t="str">
        <v>Ex Bhp | Bhp - Bhoj - Bhim - Pch (2N) - Mad (1N) - Tawa (1N) - Bhp</v>
      </c>
      <c r="ED16" t="str">
        <v>Ex Bhp | Bhp - Bhoj - Bhim - Pch (2N) - Mad (2N) - Bhp</v>
      </c>
      <c r="EE16" t="str">
        <v>Ex Idr | Idr - Ujj (1N) - Omk (1N) - Mah (2N) (Ex Man) - Idr (HDCT)</v>
      </c>
      <c r="EF16" t="str">
        <v>Arr Rpr - Amr (2N) - Par (2N) - IXD</v>
      </c>
      <c r="EG16" t="str">
        <v>1N Gwl - Orc - 2N Hjr - Jhn - 1N Gwl</v>
      </c>
      <c r="EH16" t="str">
        <v>1N Orc - 1N Hjr - 2N Gwl Ex Mor</v>
      </c>
      <c r="EI16" t="str">
        <v>1N Idr - Omk - 1N Mah - 1N Ujj - Seh - 1N Bho</v>
      </c>
      <c r="EJ16" t="str">
        <v>Ex Idr I 1N Idr - 1N Ujj - Omk - 2N Mah - Man - Idr</v>
      </c>
    </row>
    <row r="17" spans="2:145" ht="15" customHeight="1">
      <c r="B17" s="34">
        <v>13</v>
      </c>
      <c r="C17" s="36" t="s">
        <v>336</v>
      </c>
      <c r="D17" s="76">
        <v>46084</v>
      </c>
      <c r="E17" s="37" t="str">
        <f>IF(Table5[[#This Row],[Query Date]]&lt;&gt;"", TEXT(Table5[[#This Row],[Query Date]], "dddd"), "")</f>
        <v>Tuesday</v>
      </c>
      <c r="F17" s="37" t="str">
        <f>IF(Table5[[#This Row],[Query Date]]&lt;&gt;"", TEXT(Table5[[#This Row],[Query Date]], "mmmm"), "")</f>
        <v>March</v>
      </c>
      <c r="G17" s="28" t="s">
        <v>65</v>
      </c>
      <c r="H17" s="28" t="s">
        <v>120</v>
      </c>
      <c r="I17" s="28" t="s">
        <v>67</v>
      </c>
      <c r="J17" s="28" t="s">
        <v>68</v>
      </c>
      <c r="K17" s="28" t="s">
        <v>128</v>
      </c>
      <c r="L17" s="41" t="s">
        <v>70</v>
      </c>
      <c r="M17" s="113" t="s">
        <v>337</v>
      </c>
      <c r="N17" s="41" t="s">
        <v>338</v>
      </c>
      <c r="O17" s="131" t="s">
        <v>339</v>
      </c>
      <c r="P17" s="46" t="s">
        <v>340</v>
      </c>
      <c r="Q17" s="77">
        <v>46178</v>
      </c>
      <c r="R17" s="77" t="str">
        <f>IF(Table5[[#This Row],[Tour Starting Date]]&lt;&gt;"", TEXT(Table5[[#This Row],[Tour Starting Date]], "dddd"), "")</f>
        <v>Friday</v>
      </c>
      <c r="S17" s="77">
        <v>46183</v>
      </c>
      <c r="T17" s="41" t="str">
        <f>IF(Table5[[#This Row],[Tour Ending Date]]&lt;&gt;"", TEXT(Table5[[#This Row],[Tour Ending Date]], "dddd"), "")</f>
        <v>Wednesday</v>
      </c>
      <c r="U17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5 Nights &amp; 6 Days</v>
      </c>
      <c r="V17" s="37" t="str">
        <f>IF(Table5[[#This Row],[Tour Starting Date]]&lt;&gt;"", TEXT(Table5[[#This Row],[Tour Starting Date]], "mmmm"), "")</f>
        <v>June</v>
      </c>
      <c r="W17" s="80" t="str" cm="1">
        <f t="array" ref="W17">IF(Q17&lt;&gt;"", INDEX(CI:CI, MATCH(1, (Q17&gt;=CG:CG)*(Q17&lt;=CH:CH), 0)), "")</f>
        <v>Regular Dates - Weekend</v>
      </c>
      <c r="X17" s="42">
        <v>5</v>
      </c>
      <c r="Y17" s="75">
        <v>23100</v>
      </c>
      <c r="Z17" s="75">
        <f>IF(OR(Table5[[#This Row],[Per Person Package Cost]]="", Table5[[#This Row],[No. of Pax]]=""), "", Table5[[#This Row],[Per Person Package Cost]] * Table5[[#This Row],[No. of Pax]])</f>
        <v>115500</v>
      </c>
      <c r="AA17" s="53" t="s">
        <v>270</v>
      </c>
      <c r="AB17" s="53" t="s">
        <v>270</v>
      </c>
      <c r="AC17" s="53" t="s">
        <v>76</v>
      </c>
      <c r="AD17" s="53"/>
      <c r="AE17" s="51" t="str">
        <f t="shared" si="0"/>
        <v/>
      </c>
      <c r="AF17" s="51" t="str">
        <f t="shared" si="1"/>
        <v/>
      </c>
      <c r="AG17" s="75" t="str">
        <f t="shared" si="2"/>
        <v/>
      </c>
      <c r="AH17" s="73" t="str">
        <f t="shared" si="3"/>
        <v/>
      </c>
      <c r="AI17" s="53" t="s">
        <v>107</v>
      </c>
      <c r="AJ17" s="57" t="s">
        <v>78</v>
      </c>
      <c r="AK17" s="59" t="s">
        <v>79</v>
      </c>
      <c r="AL17" s="60" t="s">
        <v>80</v>
      </c>
      <c r="AM17" s="54" t="s">
        <v>80</v>
      </c>
      <c r="AN17" s="14">
        <v>46091</v>
      </c>
      <c r="AO17" s="15">
        <v>46107</v>
      </c>
      <c r="AP17" s="91"/>
      <c r="AQ17" s="87"/>
      <c r="AR17" s="26"/>
      <c r="AS17" s="65"/>
      <c r="AT17" s="88" t="s">
        <v>81</v>
      </c>
      <c r="AU17" s="67" t="s">
        <v>164</v>
      </c>
      <c r="BV17" s="116" t="s">
        <v>341</v>
      </c>
      <c r="BX17" s="1">
        <v>13</v>
      </c>
      <c r="CE17" t="s">
        <v>342</v>
      </c>
      <c r="CG17" s="143">
        <v>46153</v>
      </c>
      <c r="CH17" s="143">
        <v>46156</v>
      </c>
      <c r="CI17" s="142" t="s">
        <v>88</v>
      </c>
      <c r="CJ17" s="141"/>
      <c r="CK17" s="141"/>
      <c r="CM17" t="s">
        <v>343</v>
      </c>
      <c r="CN17" t="s">
        <v>344</v>
      </c>
      <c r="CO17" t="s">
        <v>345</v>
      </c>
      <c r="CP17" t="s">
        <v>346</v>
      </c>
      <c r="CQ17" t="s">
        <v>347</v>
      </c>
      <c r="CR17" t="s">
        <v>348</v>
      </c>
      <c r="CS17" t="s">
        <v>349</v>
      </c>
      <c r="CU17" t="s">
        <v>92</v>
      </c>
      <c r="CV17" t="s">
        <v>171</v>
      </c>
      <c r="CW17" t="s">
        <v>350</v>
      </c>
      <c r="CX17" t="s">
        <v>351</v>
      </c>
      <c r="CY17" t="s">
        <v>96</v>
      </c>
      <c r="CZ17" t="s">
        <v>352</v>
      </c>
      <c r="DA17" t="str" cm="1">
        <f t="array" ref="DA17:DW17">IF(U17&lt;&gt;"", TRANSPOSE(_xlfn._xlws.FILTER(CZ:CZ, CY:CY=U17, "")), "")</f>
        <v>Gwl (2N) + Mor - Son - Dat - Orc (1N) - Hjr (2N) + Panna</v>
      </c>
      <c r="DB17" t="str">
        <v>Ex Gwl | Gwl (2N) + Mor - Shiv - Chan (2N) - Orc (1N) - Dat - Son - Gwl</v>
      </c>
      <c r="DC17" t="str">
        <v>Gwl (2N) + Mor - Son - Dat - Orc (1N) - Hjr (1N) - Jlr (1N)</v>
      </c>
      <c r="DD17" t="str">
        <v>Ex Idr | Idr - Ujj (1N) - Omk (1N) - Mah (1N) - Man (1N) - Idr (1N)</v>
      </c>
      <c r="DE17" t="str">
        <v>Bhp (1N) + Bhim + Bhoj + San - Ujj (1N) - Man (2N) - Mah - Omk (1N) - Idr</v>
      </c>
      <c r="DF17" t="str">
        <v>Jlr (1N) - Hjr (1N) - Orc (1N) - Dat - Son - Gwl (2N) + Mor</v>
      </c>
      <c r="DG17" t="str">
        <v>Jlr (1N) - Kan (1N) - Pch (2N) - Bhim - Bhoj - Bho (1N) + Sanchi</v>
      </c>
      <c r="DH17" t="str">
        <v>Ex Bho | Bho (1N) + San - Bhoj - Bhim - Tawa (1N) - Mad (1N) - Pch (2N) - Bho</v>
      </c>
      <c r="DI17" t="str">
        <v>Bho (1N) + San + Udaygiri - Bhoj - Bhim - Pch (2N) - Kan(1N) - Jlr (1N)</v>
      </c>
      <c r="DJ17" t="str">
        <v>Bho (1N) + Bhim + Bhoj - San - Ujj (1N) - Man (2N) - Mah - Omk (1N) - Idr</v>
      </c>
      <c r="DK17" t="str">
        <v>Idr - Man (2N) - Idr (1N) - Bho (2N) + Bhim + Bhoj + Sanchi</v>
      </c>
      <c r="DL17" t="str">
        <v>Ex Bho | Bho (2N) + San + Udaygiri - Bhoj - Bhim - Pch (2N) - Tawa (1N) - Bho</v>
      </c>
      <c r="DM17" t="str">
        <v>Rpr - Kan (2N) - Pen (1N) - Pch (2N) - Bho</v>
      </c>
      <c r="DN17" t="str">
        <v>Nag - Pen (2N) - Pch (2N) - Bhim - Bhoj - Bho (1N) + San</v>
      </c>
      <c r="DO17" t="str">
        <v>Gwl (2N) (Ex Mor) - Orc (1N) - Chn (1N) - Shiv (1N) - Jhn</v>
      </c>
      <c r="DP17" t="str">
        <v>Gwl (2N) (Ex Mor) - Dat - Orc (1N) - Chn (1N) - Shiv (1N) - Jhn</v>
      </c>
      <c r="DQ17" t="str">
        <v>Nag - Pen (2N) - Kan (2N) - Jlr (1N)</v>
      </c>
      <c r="DR17" t="str">
        <v>Rpr - (2 N) Amr - (1 N) Ban - (1 N) Hjr - (1 N) Jlr</v>
      </c>
      <c r="DS17" t="str">
        <v>Gwl (2N) (Ex Mor) -Orc  - Hjr (1N) - Chn (1N) - Shiv (1N) - Jhn</v>
      </c>
      <c r="DT17" t="str">
        <v>(2 N) Gwl - (1 N) Orch - (1 N) Hjr - (1 N) Jlr</v>
      </c>
      <c r="DU17" t="str">
        <v xml:space="preserve">Arr Rpr - Amr (2N) - Par (2N) - Jlr (1N) </v>
      </c>
      <c r="DV17" t="str">
        <v>3N Idr (Ex Ujj - Man) - Bhim - Bhoj - San - 2N Bho</v>
      </c>
      <c r="DW17" t="str">
        <v>1N Jlr - 1N Kan - 3N Pch - Ppi</v>
      </c>
    </row>
    <row r="18" spans="2:145" ht="15" customHeight="1">
      <c r="B18" s="35">
        <v>14</v>
      </c>
      <c r="C18" s="36" t="s">
        <v>353</v>
      </c>
      <c r="D18" s="76">
        <v>46086</v>
      </c>
      <c r="E18" s="37" t="str">
        <f>IF(Table5[[#This Row],[Query Date]]&lt;&gt;"", TEXT(Table5[[#This Row],[Query Date]], "dddd"), "")</f>
        <v>Thursday</v>
      </c>
      <c r="F18" s="37" t="str">
        <f>IF(Table5[[#This Row],[Query Date]]&lt;&gt;"", TEXT(Table5[[#This Row],[Query Date]], "mmmm"), "")</f>
        <v>March</v>
      </c>
      <c r="G18" s="28" t="s">
        <v>65</v>
      </c>
      <c r="H18" s="28" t="s">
        <v>120</v>
      </c>
      <c r="I18" s="28" t="s">
        <v>67</v>
      </c>
      <c r="J18" s="28" t="s">
        <v>68</v>
      </c>
      <c r="K18" s="28" t="s">
        <v>226</v>
      </c>
      <c r="L18" s="25" t="s">
        <v>70</v>
      </c>
      <c r="M18" s="112" t="s">
        <v>286</v>
      </c>
      <c r="N18" s="25" t="s">
        <v>287</v>
      </c>
      <c r="O18" s="130" t="s">
        <v>288</v>
      </c>
      <c r="P18" s="46" t="s">
        <v>289</v>
      </c>
      <c r="Q18" s="77">
        <v>46130</v>
      </c>
      <c r="R18" s="77" t="str">
        <f>IF(Table5[[#This Row],[Tour Starting Date]]&lt;&gt;"", TEXT(Table5[[#This Row],[Tour Starting Date]], "dddd"), "")</f>
        <v>Saturday</v>
      </c>
      <c r="S18" s="77">
        <v>46134</v>
      </c>
      <c r="T18" s="25" t="str">
        <f>IF(Table5[[#This Row],[Tour Ending Date]]&lt;&gt;"", TEXT(Table5[[#This Row],[Tour Ending Date]], "dddd"), "")</f>
        <v>Wednesday</v>
      </c>
      <c r="U18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4 Nights &amp; 5 Days</v>
      </c>
      <c r="V18" s="37" t="str">
        <f>IF(Table5[[#This Row],[Tour Starting Date]]&lt;&gt;"", TEXT(Table5[[#This Row],[Tour Starting Date]], "mmmm"), "")</f>
        <v>April</v>
      </c>
      <c r="W18" s="80" t="str" cm="1">
        <f t="array" ref="W18">IF(Q18&lt;&gt;"", INDEX(CI:CI, MATCH(1, (Q18&gt;=CG:CG)*(Q18&lt;=CH:CH), 0)), "")</f>
        <v>Regular Dates - Weekend</v>
      </c>
      <c r="X18" s="39">
        <v>2</v>
      </c>
      <c r="Y18" s="74">
        <v>24450</v>
      </c>
      <c r="Z18" s="74">
        <f>IF(OR(Table5[[#This Row],[Per Person Package Cost]]="", Table5[[#This Row],[No. of Pax]]=""), "", Table5[[#This Row],[Per Person Package Cost]] * Table5[[#This Row],[No. of Pax]])</f>
        <v>48900</v>
      </c>
      <c r="AA18" s="52" t="s">
        <v>354</v>
      </c>
      <c r="AB18" s="52" t="s">
        <v>354</v>
      </c>
      <c r="AC18" s="52" t="s">
        <v>76</v>
      </c>
      <c r="AD18" s="52"/>
      <c r="AE18" s="51" t="str">
        <f t="shared" si="0"/>
        <v/>
      </c>
      <c r="AF18" s="51" t="str">
        <f t="shared" si="1"/>
        <v/>
      </c>
      <c r="AG18" s="74" t="str">
        <f t="shared" si="2"/>
        <v/>
      </c>
      <c r="AH18" s="73" t="str">
        <f t="shared" si="3"/>
        <v/>
      </c>
      <c r="AI18" s="52" t="s">
        <v>107</v>
      </c>
      <c r="AJ18" s="56" t="s">
        <v>78</v>
      </c>
      <c r="AK18" s="59" t="s">
        <v>79</v>
      </c>
      <c r="AL18" s="60" t="s">
        <v>80</v>
      </c>
      <c r="AM18" s="54" t="s">
        <v>80</v>
      </c>
      <c r="AN18" s="14">
        <v>46091</v>
      </c>
      <c r="AO18" s="15">
        <v>46107</v>
      </c>
      <c r="AP18" s="91"/>
      <c r="AQ18" s="87"/>
      <c r="AR18" s="26"/>
      <c r="AS18" s="65"/>
      <c r="AT18" s="88" t="s">
        <v>81</v>
      </c>
      <c r="AU18" s="67" t="s">
        <v>82</v>
      </c>
      <c r="BV18" s="116" t="s">
        <v>355</v>
      </c>
      <c r="BX18" s="1">
        <v>14</v>
      </c>
      <c r="CE18" t="s">
        <v>356</v>
      </c>
      <c r="CG18" s="143">
        <v>46157</v>
      </c>
      <c r="CH18" s="143">
        <v>46159</v>
      </c>
      <c r="CI18" s="142" t="s">
        <v>116</v>
      </c>
      <c r="CJ18" s="141"/>
      <c r="CK18" s="141"/>
      <c r="CM18" t="s">
        <v>357</v>
      </c>
      <c r="CN18" t="s">
        <v>358</v>
      </c>
      <c r="CO18" t="s">
        <v>359</v>
      </c>
      <c r="CR18" t="s">
        <v>360</v>
      </c>
      <c r="CS18" t="s">
        <v>361</v>
      </c>
      <c r="CU18" t="s">
        <v>92</v>
      </c>
      <c r="CV18" t="s">
        <v>171</v>
      </c>
      <c r="CW18" t="s">
        <v>362</v>
      </c>
      <c r="CX18" t="s">
        <v>363</v>
      </c>
      <c r="CY18" t="s">
        <v>96</v>
      </c>
      <c r="CZ18" t="s">
        <v>364</v>
      </c>
      <c r="DA18" t="str" cm="1">
        <f t="array" ref="DA18:EJ18">IF(U18&lt;&gt;"", TRANSPOSE(_xlfn._xlws.FILTER(CZ:CZ, CY:CY=U18, "")), "")</f>
        <v>Ex Gwl | Gwl (2N) + Mor - Son - Dat - Orc (1N) - Hjr (1N) - Gwl</v>
      </c>
      <c r="DB18" t="str">
        <v>Ex Idr | Idr - Ujj (1N) - Omk - Mah (1N) - Man (1N) - Idr (1N)</v>
      </c>
      <c r="DC18" t="str">
        <v>Ex Idr | Idr - Ujj (1N) - Omk (1N) - Mah (1N) - Man (1N) - Idr</v>
      </c>
      <c r="DD18" t="str">
        <v>Ex Jlr | Jlr - Kan (2N) - Amk (1N) - Jlr (1N)</v>
      </c>
      <c r="DE18" t="str">
        <v>Ex Jlr | Jlr - Ban (2N) - Amk (1N) - Jlr (1N)</v>
      </c>
      <c r="DF18" t="str">
        <v>Ex Jlr | Jlr (1N) - Hjr (1N) - Ban (2N) - Jlr</v>
      </c>
      <c r="DG18" t="str">
        <v>Ex Jlr | Jlr (1N) - Kan (1N) - Ban (2N) - Jlr</v>
      </c>
      <c r="DH18" t="str">
        <v>Ex Bho | Bho (1N) + San + Bhoj + Bhim - Tawa - Mad (1N) - Pch (2N) - Bho</v>
      </c>
      <c r="DI18" t="str">
        <v>Ex Idr | Idr - Ujj (1N) - Omk - Mah (1N) - Man (1N) - Idr (1N)</v>
      </c>
      <c r="DJ18" t="str">
        <v>Ex Bho | Bho (1N) - Bhoj - Bhim - Pch (3N) - Bho</v>
      </c>
      <c r="DK18" t="str">
        <v>Gwl (1N) - Dat (Pitambara Peeth) - Orc (1N) - Ckt (2N) - Ixd</v>
      </c>
      <c r="DL18" t="str">
        <v>Ex Jlr | Jlr - Ban (2N) - Kan (2N) - Jlr</v>
      </c>
      <c r="DM18" t="str">
        <v>Jlr - Ban (1N) - Kan (1N) - Pen (2N) - Nag</v>
      </c>
      <c r="DN18" t="str">
        <v>Ex Bho | Bho (1N) - Bhoj - Bhim - Pch (3N) - Bho</v>
      </c>
      <c r="DO18" t="str">
        <v>Ex Bho | Bho (2N) + Sanchi + Bhoj + Bhim - Tawa - Mad (1N) - Bho (1N)</v>
      </c>
      <c r="DP18" t="str">
        <v>Ex Bho | Bho - Bhoj - Bhim - Tawa (1N) - Mad (1N) - Pch (2N) - Bho</v>
      </c>
      <c r="DQ18" t="str">
        <v>Bho - Bhoj - Bhim - Pch (2N) - Kan (1N) - Jlr (1N)</v>
      </c>
      <c r="DR18" t="str">
        <v>Bho - Bhoj - Bhim - Pch (2N) - Kan (1N) - Amk (1N) - Jlr</v>
      </c>
      <c r="DS18" t="str">
        <v xml:space="preserve">Bho (1N) + Bhim + Bhoj + San - Ujj (1N) - Omk - Mah (1N) - Idr (1N) </v>
      </c>
      <c r="DT18" t="str">
        <v>Ex Gwl | Gwl - Hjr (1N) - Orc (1N) - Dat - Son - Gwl (2N)</v>
      </c>
      <c r="DU18" t="str">
        <v>Ex Gwl | Gwl - Orc (1N) - Hjr (1N) - Chn (1N) - Shiv (1N) - Gwl</v>
      </c>
      <c r="DV18" t="str">
        <v>Gwl - Hjr (1N) - Panna (1N) - Chit (1N) - Mahi (1N) - Sat</v>
      </c>
      <c r="DW18" t="str">
        <v>Jlr - (2 N) Kan - (2 N) Pch - Bhim - Bhoj - Bhp</v>
      </c>
      <c r="DX18" t="str">
        <v>Jlr - (2 N) Kan - (2 N) Pen - Rpr</v>
      </c>
      <c r="DY18" t="str">
        <v>Gwl (2N) (Ex Mor) - Dat -Orc (1N) - Hjr (1N) - Jhn</v>
      </c>
      <c r="DZ18" t="str">
        <v>Ex Gwl | Gwl (1N) - Son - Dat - Orc (1N) - Hjr (2N) (Ex Panna) - Gwl</v>
      </c>
      <c r="EA18" t="str">
        <v>Hjr (1N) - Orc (1N) - Dat - son - Gwl (2N)(Ex Mor)</v>
      </c>
      <c r="EB18" t="str">
        <v>(2 N) Gwl - (1 N) Orch - (1 N) Hjr</v>
      </c>
      <c r="EC18" t="str">
        <v>Ex Bhp | Bhp - Bhoj - Bhim - Pch (2N) - Mad (1N) - Tawa (1N) - Bhp</v>
      </c>
      <c r="ED18" t="str">
        <v>Ex Bhp | Bhp - Bhoj - Bhim - Pch (2N) - Mad (2N) - Bhp</v>
      </c>
      <c r="EE18" t="str">
        <v>Ex Idr | Idr - Ujj (1N) - Omk (1N) - Mah (2N) (Ex Man) - Idr (HDCT)</v>
      </c>
      <c r="EF18" t="str">
        <v>Arr Rpr - Amr (2N) - Par (2N) - IXD</v>
      </c>
      <c r="EG18" t="str">
        <v>1N Gwl - Orc - 2N Hjr - Jhn - 1N Gwl</v>
      </c>
      <c r="EH18" t="str">
        <v>1N Orc - 1N Hjr - 2N Gwl Ex Mor</v>
      </c>
      <c r="EI18" t="str">
        <v>1N Idr - Omk - 1N Mah - 1N Ujj - Seh - 1N Bho</v>
      </c>
      <c r="EJ18" t="str">
        <v>Ex Idr I 1N Idr - 1N Ujj - Omk - 2N Mah - Man - Idr</v>
      </c>
    </row>
    <row r="19" spans="2:145" ht="15" customHeight="1">
      <c r="B19" s="34">
        <v>15</v>
      </c>
      <c r="C19" s="36" t="s">
        <v>365</v>
      </c>
      <c r="D19" s="76">
        <v>46086</v>
      </c>
      <c r="E19" s="37" t="str">
        <f>IF(Table5[[#This Row],[Query Date]]&lt;&gt;"", TEXT(Table5[[#This Row],[Query Date]], "dddd"), "")</f>
        <v>Thursday</v>
      </c>
      <c r="F19" s="37" t="str">
        <f>IF(Table5[[#This Row],[Query Date]]&lt;&gt;"", TEXT(Table5[[#This Row],[Query Date]], "mmmm"), "")</f>
        <v>March</v>
      </c>
      <c r="G19" s="28" t="s">
        <v>65</v>
      </c>
      <c r="H19" s="28" t="s">
        <v>120</v>
      </c>
      <c r="I19" s="28" t="s">
        <v>67</v>
      </c>
      <c r="J19" s="28" t="s">
        <v>68</v>
      </c>
      <c r="K19" s="28" t="s">
        <v>226</v>
      </c>
      <c r="L19" s="81" t="s">
        <v>70</v>
      </c>
      <c r="M19" s="112" t="s">
        <v>286</v>
      </c>
      <c r="N19" s="25" t="s">
        <v>287</v>
      </c>
      <c r="O19" s="130" t="s">
        <v>288</v>
      </c>
      <c r="P19" s="46" t="s">
        <v>289</v>
      </c>
      <c r="Q19" s="77">
        <v>46130</v>
      </c>
      <c r="R19" s="77" t="str">
        <f>IF(Table5[[#This Row],[Tour Starting Date]]&lt;&gt;"", TEXT(Table5[[#This Row],[Tour Starting Date]], "dddd"), "")</f>
        <v>Saturday</v>
      </c>
      <c r="S19" s="77">
        <v>46134</v>
      </c>
      <c r="T19" s="25" t="str">
        <f>IF(Table5[[#This Row],[Tour Ending Date]]&lt;&gt;"", TEXT(Table5[[#This Row],[Tour Ending Date]], "dddd"), "")</f>
        <v>Wednesday</v>
      </c>
      <c r="U19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4 Nights &amp; 5 Days</v>
      </c>
      <c r="V19" s="37" t="str">
        <f>IF(Table5[[#This Row],[Tour Starting Date]]&lt;&gt;"", TEXT(Table5[[#This Row],[Tour Starting Date]], "mmmm"), "")</f>
        <v>April</v>
      </c>
      <c r="W19" s="80" t="str" cm="1">
        <f t="array" ref="W19">IF(Q19&lt;&gt;"", INDEX(CI:CI, MATCH(1, (Q19&gt;=CG:CG)*(Q19&lt;=CH:CH), 0)), "")</f>
        <v>Regular Dates - Weekend</v>
      </c>
      <c r="X19" s="39">
        <v>2</v>
      </c>
      <c r="Y19" s="74">
        <v>18600</v>
      </c>
      <c r="Z19" s="74">
        <f>IF(OR(Table5[[#This Row],[Per Person Package Cost]]="", Table5[[#This Row],[No. of Pax]]=""), "", Table5[[#This Row],[Per Person Package Cost]] * Table5[[#This Row],[No. of Pax]])</f>
        <v>37200</v>
      </c>
      <c r="AA19" s="52" t="s">
        <v>366</v>
      </c>
      <c r="AB19" s="52" t="s">
        <v>366</v>
      </c>
      <c r="AC19" s="52" t="s">
        <v>76</v>
      </c>
      <c r="AD19" s="52"/>
      <c r="AE19" s="51" t="str">
        <f t="shared" si="0"/>
        <v/>
      </c>
      <c r="AF19" s="51" t="str">
        <f t="shared" si="1"/>
        <v/>
      </c>
      <c r="AG19" s="74" t="str">
        <f t="shared" si="2"/>
        <v/>
      </c>
      <c r="AH19" s="73" t="str">
        <f>IF(AD19&lt;&gt;"", INDEX(CV:CV, MATCH(AD19, CZ:CZ, 0)), "")</f>
        <v/>
      </c>
      <c r="AI19" s="52" t="s">
        <v>107</v>
      </c>
      <c r="AJ19" s="56" t="s">
        <v>78</v>
      </c>
      <c r="AK19" s="59" t="s">
        <v>79</v>
      </c>
      <c r="AL19" s="60" t="s">
        <v>80</v>
      </c>
      <c r="AM19" s="54" t="s">
        <v>80</v>
      </c>
      <c r="AN19" s="14">
        <v>46091</v>
      </c>
      <c r="AO19" s="15">
        <v>46107</v>
      </c>
      <c r="AP19" s="91"/>
      <c r="AQ19" s="87"/>
      <c r="AR19" s="26"/>
      <c r="AS19" s="65"/>
      <c r="AT19" s="88" t="s">
        <v>81</v>
      </c>
      <c r="AU19" s="67" t="s">
        <v>82</v>
      </c>
      <c r="BV19" s="116" t="s">
        <v>367</v>
      </c>
      <c r="BX19" s="1">
        <v>15</v>
      </c>
      <c r="CG19" s="143">
        <v>46160</v>
      </c>
      <c r="CH19" s="143">
        <v>46163</v>
      </c>
      <c r="CI19" s="142" t="s">
        <v>88</v>
      </c>
      <c r="CJ19" s="141"/>
      <c r="CK19" s="141"/>
      <c r="CM19" t="s">
        <v>368</v>
      </c>
      <c r="CN19" t="s">
        <v>369</v>
      </c>
      <c r="CR19" t="s">
        <v>370</v>
      </c>
      <c r="CS19" t="s">
        <v>371</v>
      </c>
      <c r="CU19" t="s">
        <v>92</v>
      </c>
      <c r="CV19" t="s">
        <v>171</v>
      </c>
      <c r="CW19" t="s">
        <v>372</v>
      </c>
      <c r="CX19" t="s">
        <v>373</v>
      </c>
      <c r="CY19" t="s">
        <v>125</v>
      </c>
      <c r="CZ19" t="s">
        <v>106</v>
      </c>
      <c r="DA19" t="str" cm="1">
        <f t="array" ref="DA19:EJ19">IF(U19&lt;&gt;"", TRANSPOSE(_xlfn._xlws.FILTER(CZ:CZ, CY:CY=U19, "")), "")</f>
        <v>Ex Gwl | Gwl (2N) + Mor - Son - Dat - Orc (1N) - Hjr (1N) - Gwl</v>
      </c>
      <c r="DB19" t="str">
        <v>Ex Idr | Idr - Ujj (1N) - Omk - Mah (1N) - Man (1N) - Idr (1N)</v>
      </c>
      <c r="DC19" t="str">
        <v>Ex Idr | Idr - Ujj (1N) - Omk (1N) - Mah (1N) - Man (1N) - Idr</v>
      </c>
      <c r="DD19" t="str">
        <v>Ex Jlr | Jlr - Kan (2N) - Amk (1N) - Jlr (1N)</v>
      </c>
      <c r="DE19" t="str">
        <v>Ex Jlr | Jlr - Ban (2N) - Amk (1N) - Jlr (1N)</v>
      </c>
      <c r="DF19" t="str">
        <v>Ex Jlr | Jlr (1N) - Hjr (1N) - Ban (2N) - Jlr</v>
      </c>
      <c r="DG19" t="str">
        <v>Ex Jlr | Jlr (1N) - Kan (1N) - Ban (2N) - Jlr</v>
      </c>
      <c r="DH19" t="str">
        <v>Ex Bho | Bho (1N) + San + Bhoj + Bhim - Tawa - Mad (1N) - Pch (2N) - Bho</v>
      </c>
      <c r="DI19" t="str">
        <v>Ex Idr | Idr - Ujj (1N) - Omk - Mah (1N) - Man (1N) - Idr (1N)</v>
      </c>
      <c r="DJ19" t="str">
        <v>Ex Bho | Bho (1N) - Bhoj - Bhim - Pch (3N) - Bho</v>
      </c>
      <c r="DK19" t="str">
        <v>Gwl (1N) - Dat (Pitambara Peeth) - Orc (1N) - Ckt (2N) - Ixd</v>
      </c>
      <c r="DL19" t="str">
        <v>Ex Jlr | Jlr - Ban (2N) - Kan (2N) - Jlr</v>
      </c>
      <c r="DM19" t="str">
        <v>Jlr - Ban (1N) - Kan (1N) - Pen (2N) - Nag</v>
      </c>
      <c r="DN19" t="str">
        <v>Ex Bho | Bho (1N) - Bhoj - Bhim - Pch (3N) - Bho</v>
      </c>
      <c r="DO19" t="str">
        <v>Ex Bho | Bho (2N) + Sanchi + Bhoj + Bhim - Tawa - Mad (1N) - Bho (1N)</v>
      </c>
      <c r="DP19" t="str">
        <v>Ex Bho | Bho - Bhoj - Bhim - Tawa (1N) - Mad (1N) - Pch (2N) - Bho</v>
      </c>
      <c r="DQ19" t="str">
        <v>Bho - Bhoj - Bhim - Pch (2N) - Kan (1N) - Jlr (1N)</v>
      </c>
      <c r="DR19" t="str">
        <v>Bho - Bhoj - Bhim - Pch (2N) - Kan (1N) - Amk (1N) - Jlr</v>
      </c>
      <c r="DS19" t="str">
        <v xml:space="preserve">Bho (1N) + Bhim + Bhoj + San - Ujj (1N) - Omk - Mah (1N) - Idr (1N) </v>
      </c>
      <c r="DT19" t="str">
        <v>Ex Gwl | Gwl - Hjr (1N) - Orc (1N) - Dat - Son - Gwl (2N)</v>
      </c>
      <c r="DU19" t="str">
        <v>Ex Gwl | Gwl - Orc (1N) - Hjr (1N) - Chn (1N) - Shiv (1N) - Gwl</v>
      </c>
      <c r="DV19" t="str">
        <v>Gwl - Hjr (1N) - Panna (1N) - Chit (1N) - Mahi (1N) - Sat</v>
      </c>
      <c r="DW19" t="str">
        <v>Jlr - (2 N) Kan - (2 N) Pch - Bhim - Bhoj - Bhp</v>
      </c>
      <c r="DX19" t="str">
        <v>Jlr - (2 N) Kan - (2 N) Pen - Rpr</v>
      </c>
      <c r="DY19" t="str">
        <v>Gwl (2N) (Ex Mor) - Dat -Orc (1N) - Hjr (1N) - Jhn</v>
      </c>
      <c r="DZ19" t="str">
        <v>Ex Gwl | Gwl (1N) - Son - Dat - Orc (1N) - Hjr (2N) (Ex Panna) - Gwl</v>
      </c>
      <c r="EA19" t="str">
        <v>Hjr (1N) - Orc (1N) - Dat - son - Gwl (2N)(Ex Mor)</v>
      </c>
      <c r="EB19" t="str">
        <v>(2 N) Gwl - (1 N) Orch - (1 N) Hjr</v>
      </c>
      <c r="EC19" t="str">
        <v>Ex Bhp | Bhp - Bhoj - Bhim - Pch (2N) - Mad (1N) - Tawa (1N) - Bhp</v>
      </c>
      <c r="ED19" t="str">
        <v>Ex Bhp | Bhp - Bhoj - Bhim - Pch (2N) - Mad (2N) - Bhp</v>
      </c>
      <c r="EE19" t="str">
        <v>Ex Idr | Idr - Ujj (1N) - Omk (1N) - Mah (2N) (Ex Man) - Idr (HDCT)</v>
      </c>
      <c r="EF19" t="str">
        <v>Arr Rpr - Amr (2N) - Par (2N) - IXD</v>
      </c>
      <c r="EG19" t="str">
        <v>1N Gwl - Orc - 2N Hjr - Jhn - 1N Gwl</v>
      </c>
      <c r="EH19" t="str">
        <v>1N Orc - 1N Hjr - 2N Gwl Ex Mor</v>
      </c>
      <c r="EI19" t="str">
        <v>1N Idr - Omk - 1N Mah - 1N Ujj - Seh - 1N Bho</v>
      </c>
      <c r="EJ19" t="str">
        <v>Ex Idr I 1N Idr - 1N Ujj - Omk - 2N Mah - Man - Idr</v>
      </c>
    </row>
    <row r="20" spans="2:145" ht="15" customHeight="1">
      <c r="B20" s="35">
        <v>16</v>
      </c>
      <c r="C20" s="36" t="s">
        <v>374</v>
      </c>
      <c r="D20" s="76">
        <v>46087</v>
      </c>
      <c r="E20" s="37" t="str">
        <f>IF(Table5[[#This Row],[Query Date]]&lt;&gt;"", TEXT(Table5[[#This Row],[Query Date]], "dddd"), "")</f>
        <v>Friday</v>
      </c>
      <c r="F20" s="37" t="str">
        <f>IF(Table5[[#This Row],[Query Date]]&lt;&gt;"", TEXT(Table5[[#This Row],[Query Date]], "mmmm"), "")</f>
        <v>March</v>
      </c>
      <c r="G20" s="28" t="s">
        <v>65</v>
      </c>
      <c r="H20" s="28" t="s">
        <v>99</v>
      </c>
      <c r="I20" s="28" t="s">
        <v>67</v>
      </c>
      <c r="J20" s="28" t="s">
        <v>145</v>
      </c>
      <c r="K20" s="28" t="s">
        <v>128</v>
      </c>
      <c r="L20" s="25" t="s">
        <v>70</v>
      </c>
      <c r="M20" s="112" t="s">
        <v>129</v>
      </c>
      <c r="N20" s="40" t="s">
        <v>375</v>
      </c>
      <c r="O20" s="130" t="s">
        <v>376</v>
      </c>
      <c r="P20" s="46" t="s">
        <v>377</v>
      </c>
      <c r="Q20" s="77">
        <v>46120</v>
      </c>
      <c r="R20" s="77" t="str">
        <f>IF(Table5[[#This Row],[Tour Starting Date]]&lt;&gt;"", TEXT(Table5[[#This Row],[Tour Starting Date]], "dddd"), "")</f>
        <v>Wednesday</v>
      </c>
      <c r="S20" s="77">
        <v>46122</v>
      </c>
      <c r="T20" s="25" t="str">
        <f>IF(Table5[[#This Row],[Tour Ending Date]]&lt;&gt;"", TEXT(Table5[[#This Row],[Tour Ending Date]], "dddd"), "")</f>
        <v>Friday</v>
      </c>
      <c r="U20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20" s="37" t="str">
        <f>IF(Table5[[#This Row],[Tour Starting Date]]&lt;&gt;"", TEXT(Table5[[#This Row],[Tour Starting Date]], "mmmm"), "")</f>
        <v>April</v>
      </c>
      <c r="W20" s="80" t="str" cm="1">
        <f t="array" ref="W20">IF(Q20&lt;&gt;"", INDEX(CI:CI, MATCH(1, (Q20&gt;=CG:CG)*(Q20&lt;=CH:CH), 0)), "")</f>
        <v>Regular Dates - Weekday</v>
      </c>
      <c r="X20" s="39"/>
      <c r="Y20" s="74">
        <v>2500</v>
      </c>
      <c r="Z20" s="74" t="str">
        <f>IF(OR(Table5[[#This Row],[Per Person Package Cost]]="", Table5[[#This Row],[No. of Pax]]=""), "", Table5[[#This Row],[Per Person Package Cost]] * Table5[[#This Row],[No. of Pax]])</f>
        <v/>
      </c>
      <c r="AA20" s="52" t="s">
        <v>133</v>
      </c>
      <c r="AB20" s="52" t="s">
        <v>133</v>
      </c>
      <c r="AC20" s="52"/>
      <c r="AD20" s="52"/>
      <c r="AE20" s="51" t="str">
        <f t="shared" si="0"/>
        <v/>
      </c>
      <c r="AF20" s="51" t="str">
        <f t="shared" si="1"/>
        <v/>
      </c>
      <c r="AG20" s="74" t="str">
        <f t="shared" si="2"/>
        <v/>
      </c>
      <c r="AH20" s="73" t="str">
        <f t="shared" ref="AH20:AH83" si="4">IF(AD20&lt;&gt;"", INDEX(CV:CV, MATCH(AD20, CZ:CZ, 0)), "")</f>
        <v/>
      </c>
      <c r="AI20" s="52" t="s">
        <v>107</v>
      </c>
      <c r="AJ20" s="56" t="s">
        <v>78</v>
      </c>
      <c r="AK20" s="59" t="s">
        <v>79</v>
      </c>
      <c r="AL20" s="60" t="s">
        <v>80</v>
      </c>
      <c r="AM20" s="54" t="s">
        <v>80</v>
      </c>
      <c r="AN20" s="14">
        <v>46091</v>
      </c>
      <c r="AO20" s="15">
        <v>46102</v>
      </c>
      <c r="AP20" s="91"/>
      <c r="AQ20" s="87"/>
      <c r="AR20" s="26"/>
      <c r="AS20" s="65"/>
      <c r="AT20" s="88" t="s">
        <v>81</v>
      </c>
      <c r="AU20" s="67" t="s">
        <v>82</v>
      </c>
      <c r="BV20" s="116" t="s">
        <v>378</v>
      </c>
      <c r="BX20" s="1">
        <v>16</v>
      </c>
      <c r="CG20" s="143">
        <v>46164</v>
      </c>
      <c r="CH20" s="143">
        <v>46166</v>
      </c>
      <c r="CI20" s="142" t="s">
        <v>116</v>
      </c>
      <c r="CJ20" s="141"/>
      <c r="CK20" s="141"/>
      <c r="CM20" t="s">
        <v>379</v>
      </c>
      <c r="CN20" t="s">
        <v>380</v>
      </c>
      <c r="CR20" t="s">
        <v>381</v>
      </c>
      <c r="CS20" t="s">
        <v>382</v>
      </c>
      <c r="CU20" t="s">
        <v>92</v>
      </c>
      <c r="CV20" t="s">
        <v>171</v>
      </c>
      <c r="CW20" t="s">
        <v>383</v>
      </c>
      <c r="CX20" t="s">
        <v>384</v>
      </c>
      <c r="CY20" t="s">
        <v>151</v>
      </c>
      <c r="CZ20" t="s">
        <v>183</v>
      </c>
      <c r="DA20" t="str" cm="1">
        <f t="array" ref="DA20:DY20">IF(U20&lt;&gt;"", TRANSPOSE(_xlfn._xlws.FILTER(CZ:CZ, CY:CY=U20, "")), "")</f>
        <v>Gwl (2N) + Mor</v>
      </c>
      <c r="DB20" t="str">
        <v>Ex Idr | Idr - Ujj (1N) - Omk - Mah (1N) - Man - Idr</v>
      </c>
      <c r="DC20" t="str">
        <v>Ujj (1N) - Omk - Idr (1N)</v>
      </c>
      <c r="DD20" t="str">
        <v>Ex Jlr | Jlr - Kan (2N) - Jlr</v>
      </c>
      <c r="DE20" t="str">
        <v>Ex Jlr | Jlr - Ban (2N) - Jlr</v>
      </c>
      <c r="DF20" t="str">
        <v>Ex Bho | Bho (2N) + Bhim + Bhoj + San</v>
      </c>
      <c r="DG20" t="str">
        <v>Ex Idr | Idr - Man (2N) - Idr</v>
      </c>
      <c r="DH20" t="str">
        <v>Ex Jlr | Jlr - Kan (2N) - Jlr</v>
      </c>
      <c r="DI20" t="str">
        <v>Ex Bho | Bho (2N) + Bhim + Bhoj + San + HDCT Bho</v>
      </c>
      <c r="DJ20" t="str">
        <v>Ex Bho | Bho - Bhim - Tawa (1N) - Mad (1N) - Bho</v>
      </c>
      <c r="DK20" t="str">
        <v>Ujj (1N) - Omk - Mah (1N) - Idr</v>
      </c>
      <c r="DL20" t="str">
        <v>Ujj (1N) -  Idr (1N)</v>
      </c>
      <c r="DM20" t="str">
        <v>Ex Idr | Idr (2N) + Ujj + Omk + Mah</v>
      </c>
      <c r="DN20" t="str">
        <v>Idr - Mah - Omk (1N) - Ujj (1N)</v>
      </c>
      <c r="DO20" t="str">
        <v>Idr - Ujj (1N) - Mah - Omk (1N) - Khandwa</v>
      </c>
      <c r="DP20" t="str">
        <v>Ex Idr | Idr (EX Ujj) (1N) - Mah - Omk (1N) - Idr HDCT</v>
      </c>
      <c r="DQ20" t="str">
        <v>Ujj (1N) - Sehor - Bho (1N) HDCT</v>
      </c>
      <c r="DR20" t="str">
        <v>Ex Jlr | Jlr (1N) - Ban (1N)</v>
      </c>
      <c r="DS20" t="str">
        <v>Ex Jlr | Ban (1N)</v>
      </c>
      <c r="DT20" t="str">
        <v>Ex Jlr | Jlr (2 N) Kan</v>
      </c>
      <c r="DU20" t="str">
        <v>Ex Jlr | Jlr - Amr (1 N) - (1 N) Ban</v>
      </c>
      <c r="DV20" t="str">
        <v>Ex Rpr | Rpr - (2N) Kan</v>
      </c>
      <c r="DW20" t="str">
        <v>Hjr (1N) - Mahi (1N) - Sat</v>
      </c>
      <c r="DX20" t="str">
        <v>Ex Bhp | Bhp - Bhim - Pch (2N) - Bhp</v>
      </c>
      <c r="DY20" t="str">
        <v xml:space="preserve">Ex Ujj I 2N Ujj </v>
      </c>
    </row>
    <row r="21" spans="2:145" ht="15" customHeight="1">
      <c r="B21" s="34">
        <v>17</v>
      </c>
      <c r="C21" s="36" t="s">
        <v>385</v>
      </c>
      <c r="D21" s="76">
        <v>46088</v>
      </c>
      <c r="E21" s="37" t="str">
        <f>IF(Table5[[#This Row],[Query Date]]&lt;&gt;"", TEXT(Table5[[#This Row],[Query Date]], "dddd"), "")</f>
        <v>Saturday</v>
      </c>
      <c r="F21" s="37" t="str">
        <f>IF(Table5[[#This Row],[Query Date]]&lt;&gt;"", TEXT(Table5[[#This Row],[Query Date]], "mmmm"), "")</f>
        <v>March</v>
      </c>
      <c r="G21" s="28" t="s">
        <v>65</v>
      </c>
      <c r="H21" s="28" t="s">
        <v>66</v>
      </c>
      <c r="I21" s="28" t="s">
        <v>67</v>
      </c>
      <c r="J21" s="28" t="s">
        <v>145</v>
      </c>
      <c r="K21" s="28" t="s">
        <v>69</v>
      </c>
      <c r="L21" s="25" t="s">
        <v>70</v>
      </c>
      <c r="M21" s="112" t="s">
        <v>266</v>
      </c>
      <c r="N21" s="25" t="s">
        <v>386</v>
      </c>
      <c r="O21" s="130" t="s">
        <v>387</v>
      </c>
      <c r="P21" s="46" t="s">
        <v>388</v>
      </c>
      <c r="Q21" s="77">
        <v>46143</v>
      </c>
      <c r="R21" s="77" t="str">
        <f>IF(Table5[[#This Row],[Tour Starting Date]]&lt;&gt;"", TEXT(Table5[[#This Row],[Tour Starting Date]], "dddd"), "")</f>
        <v>Friday</v>
      </c>
      <c r="S21" s="77">
        <v>46145</v>
      </c>
      <c r="T21" s="25" t="str">
        <f>IF(Table5[[#This Row],[Tour Ending Date]]&lt;&gt;"", TEXT(Table5[[#This Row],[Tour Ending Date]], "dddd"), "")</f>
        <v>Sunday</v>
      </c>
      <c r="U21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21" s="37" t="str">
        <f>IF(Table5[[#This Row],[Tour Starting Date]]&lt;&gt;"", TEXT(Table5[[#This Row],[Tour Starting Date]], "mmmm"), "")</f>
        <v>May</v>
      </c>
      <c r="W21" s="80" t="str" cm="1">
        <f t="array" ref="W21">IF(Q21&lt;&gt;"", INDEX(CI:CI, MATCH(1, (Q21&gt;=CG:CG)*(Q21&lt;=CH:CH), 0)), "")</f>
        <v>Long Weekend - Labour Day / Buddha Purnima</v>
      </c>
      <c r="X21" s="39">
        <v>2</v>
      </c>
      <c r="Y21" s="74">
        <v>15000</v>
      </c>
      <c r="Z21" s="74">
        <f>IF(OR(Table5[[#This Row],[Per Person Package Cost]]="", Table5[[#This Row],[No. of Pax]]=""), "", Table5[[#This Row],[Per Person Package Cost]] * Table5[[#This Row],[No. of Pax]])</f>
        <v>30000</v>
      </c>
      <c r="AA21" s="52" t="s">
        <v>205</v>
      </c>
      <c r="AB21" s="52" t="s">
        <v>75</v>
      </c>
      <c r="AC21" s="52"/>
      <c r="AD21" s="52"/>
      <c r="AE21" s="51" t="str">
        <f t="shared" si="0"/>
        <v/>
      </c>
      <c r="AF21" s="51" t="str">
        <f t="shared" si="1"/>
        <v/>
      </c>
      <c r="AG21" s="74" t="str">
        <f t="shared" si="2"/>
        <v/>
      </c>
      <c r="AH21" s="73" t="str">
        <f t="shared" si="4"/>
        <v/>
      </c>
      <c r="AI21" s="52" t="s">
        <v>107</v>
      </c>
      <c r="AJ21" s="56" t="s">
        <v>78</v>
      </c>
      <c r="AK21" s="59" t="s">
        <v>79</v>
      </c>
      <c r="AL21" s="60" t="s">
        <v>80</v>
      </c>
      <c r="AM21" s="54" t="s">
        <v>80</v>
      </c>
      <c r="AN21" s="14">
        <v>46091</v>
      </c>
      <c r="AO21" s="15">
        <v>46109</v>
      </c>
      <c r="AP21" s="91">
        <v>46132</v>
      </c>
      <c r="AQ21" s="87">
        <v>46134</v>
      </c>
      <c r="AR21" s="26"/>
      <c r="AS21" s="65"/>
      <c r="AT21" s="88" t="s">
        <v>81</v>
      </c>
      <c r="AU21" s="67"/>
      <c r="BV21" s="116" t="s">
        <v>389</v>
      </c>
      <c r="BX21" s="1">
        <v>17</v>
      </c>
      <c r="CG21" s="143">
        <v>46167</v>
      </c>
      <c r="CH21" s="143">
        <v>46170</v>
      </c>
      <c r="CI21" s="142" t="s">
        <v>88</v>
      </c>
      <c r="CJ21" s="141"/>
      <c r="CK21" s="141"/>
      <c r="CM21" t="s">
        <v>390</v>
      </c>
      <c r="CN21" t="s">
        <v>129</v>
      </c>
      <c r="CR21" t="s">
        <v>391</v>
      </c>
      <c r="CS21" t="s">
        <v>392</v>
      </c>
      <c r="CU21" t="s">
        <v>92</v>
      </c>
      <c r="CV21" t="s">
        <v>171</v>
      </c>
      <c r="CW21" t="s">
        <v>393</v>
      </c>
      <c r="CX21" t="s">
        <v>394</v>
      </c>
      <c r="CY21" t="s">
        <v>197</v>
      </c>
      <c r="CZ21" t="s">
        <v>395</v>
      </c>
      <c r="DA21" t="str" cm="1">
        <f t="array" ref="DA21:DY21">IF(U21&lt;&gt;"", TRANSPOSE(_xlfn._xlws.FILTER(CZ:CZ, CY:CY=U21, "")), "")</f>
        <v>Gwl (2N) + Mor</v>
      </c>
      <c r="DB21" t="str">
        <v>Ex Idr | Idr - Ujj (1N) - Omk - Mah (1N) - Man - Idr</v>
      </c>
      <c r="DC21" t="str">
        <v>Ujj (1N) - Omk - Idr (1N)</v>
      </c>
      <c r="DD21" t="str">
        <v>Ex Jlr | Jlr - Kan (2N) - Jlr</v>
      </c>
      <c r="DE21" t="str">
        <v>Ex Jlr | Jlr - Ban (2N) - Jlr</v>
      </c>
      <c r="DF21" t="str">
        <v>Ex Bho | Bho (2N) + Bhim + Bhoj + San</v>
      </c>
      <c r="DG21" t="str">
        <v>Ex Idr | Idr - Man (2N) - Idr</v>
      </c>
      <c r="DH21" t="str">
        <v>Ex Jlr | Jlr - Kan (2N) - Jlr</v>
      </c>
      <c r="DI21" t="str">
        <v>Ex Bho | Bho (2N) + Bhim + Bhoj + San + HDCT Bho</v>
      </c>
      <c r="DJ21" t="str">
        <v>Ex Bho | Bho - Bhim - Tawa (1N) - Mad (1N) - Bho</v>
      </c>
      <c r="DK21" t="str">
        <v>Ujj (1N) - Omk - Mah (1N) - Idr</v>
      </c>
      <c r="DL21" t="str">
        <v>Ujj (1N) -  Idr (1N)</v>
      </c>
      <c r="DM21" t="str">
        <v>Ex Idr | Idr (2N) + Ujj + Omk + Mah</v>
      </c>
      <c r="DN21" t="str">
        <v>Idr - Mah - Omk (1N) - Ujj (1N)</v>
      </c>
      <c r="DO21" t="str">
        <v>Idr - Ujj (1N) - Mah - Omk (1N) - Khandwa</v>
      </c>
      <c r="DP21" t="str">
        <v>Ex Idr | Idr (EX Ujj) (1N) - Mah - Omk (1N) - Idr HDCT</v>
      </c>
      <c r="DQ21" t="str">
        <v>Ujj (1N) - Sehor - Bho (1N) HDCT</v>
      </c>
      <c r="DR21" t="str">
        <v>Ex Jlr | Jlr (1N) - Ban (1N)</v>
      </c>
      <c r="DS21" t="str">
        <v>Ex Jlr | Ban (1N)</v>
      </c>
      <c r="DT21" t="str">
        <v>Ex Jlr | Jlr (2 N) Kan</v>
      </c>
      <c r="DU21" t="str">
        <v>Ex Jlr | Jlr - Amr (1 N) - (1 N) Ban</v>
      </c>
      <c r="DV21" t="str">
        <v>Ex Rpr | Rpr - (2N) Kan</v>
      </c>
      <c r="DW21" t="str">
        <v>Hjr (1N) - Mahi (1N) - Sat</v>
      </c>
      <c r="DX21" t="str">
        <v>Ex Bhp | Bhp - Bhim - Pch (2N) - Bhp</v>
      </c>
      <c r="DY21" t="str">
        <v xml:space="preserve">Ex Ujj I 2N Ujj </v>
      </c>
    </row>
    <row r="22" spans="2:145" ht="15" customHeight="1">
      <c r="B22" s="35">
        <v>18</v>
      </c>
      <c r="C22" s="36" t="s">
        <v>396</v>
      </c>
      <c r="D22" s="76">
        <v>46088</v>
      </c>
      <c r="E22" s="37" t="str">
        <f>IF(Table5[[#This Row],[Query Date]]&lt;&gt;"", TEXT(Table5[[#This Row],[Query Date]], "dddd"), "")</f>
        <v>Saturday</v>
      </c>
      <c r="F22" s="37" t="str">
        <f>IF(Table5[[#This Row],[Query Date]]&lt;&gt;"", TEXT(Table5[[#This Row],[Query Date]], "mmmm"), "")</f>
        <v>March</v>
      </c>
      <c r="G22" s="28" t="s">
        <v>65</v>
      </c>
      <c r="H22" s="28"/>
      <c r="I22" s="28" t="s">
        <v>100</v>
      </c>
      <c r="J22" s="28" t="s">
        <v>68</v>
      </c>
      <c r="K22" s="28" t="s">
        <v>178</v>
      </c>
      <c r="L22" s="25" t="s">
        <v>70</v>
      </c>
      <c r="M22" s="112" t="s">
        <v>397</v>
      </c>
      <c r="N22" s="25" t="s">
        <v>398</v>
      </c>
      <c r="O22" s="131" t="s">
        <v>399</v>
      </c>
      <c r="P22" s="31"/>
      <c r="Q22" s="77">
        <v>46115</v>
      </c>
      <c r="R22" s="77" t="str">
        <f>IF(Table5[[#This Row],[Tour Starting Date]]&lt;&gt;"", TEXT(Table5[[#This Row],[Tour Starting Date]], "dddd"), "")</f>
        <v>Friday</v>
      </c>
      <c r="S22" s="77">
        <v>46117</v>
      </c>
      <c r="T22" s="25" t="str">
        <f>IF(Table5[[#This Row],[Tour Ending Date]]&lt;&gt;"", TEXT(Table5[[#This Row],[Tour Ending Date]], "dddd"), "")</f>
        <v>Sunday</v>
      </c>
      <c r="U22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22" s="37" t="str">
        <f>IF(Table5[[#This Row],[Tour Starting Date]]&lt;&gt;"", TEXT(Table5[[#This Row],[Tour Starting Date]], "mmmm"), "")</f>
        <v>April</v>
      </c>
      <c r="W22" s="80" t="str" cm="1">
        <f t="array" ref="W22">IF(Q22&lt;&gt;"", INDEX(CI:CI, MATCH(1, (Q22&gt;=CG:CG)*(Q22&lt;=CH:CH), 0)), "")</f>
        <v>Long Weekend - Good Friday</v>
      </c>
      <c r="X22" s="39">
        <v>30</v>
      </c>
      <c r="Y22" s="74">
        <v>8200</v>
      </c>
      <c r="Z22" s="74">
        <f>IF(OR(Table5[[#This Row],[Per Person Package Cost]]="", Table5[[#This Row],[No. of Pax]]=""), "", Table5[[#This Row],[Per Person Package Cost]] * Table5[[#This Row],[No. of Pax]])</f>
        <v>246000</v>
      </c>
      <c r="AA22" s="52" t="s">
        <v>400</v>
      </c>
      <c r="AB22" s="52" t="s">
        <v>75</v>
      </c>
      <c r="AC22" s="52" t="s">
        <v>134</v>
      </c>
      <c r="AD22" s="52" t="s">
        <v>401</v>
      </c>
      <c r="AE22" s="51" t="str">
        <f t="shared" si="0"/>
        <v>EXIDR29</v>
      </c>
      <c r="AF22" s="51" t="str">
        <f t="shared" si="1"/>
        <v>Divine Riverside Journey</v>
      </c>
      <c r="AG22" s="74" t="str">
        <f t="shared" si="2"/>
        <v>Quick Getaways</v>
      </c>
      <c r="AH22" s="73" t="str">
        <f t="shared" si="4"/>
        <v>West MP</v>
      </c>
      <c r="AI22" s="52" t="s">
        <v>107</v>
      </c>
      <c r="AJ22" s="56" t="s">
        <v>78</v>
      </c>
      <c r="AK22" s="59" t="s">
        <v>79</v>
      </c>
      <c r="AL22" s="60" t="s">
        <v>80</v>
      </c>
      <c r="AM22" s="54" t="s">
        <v>80</v>
      </c>
      <c r="AN22" s="14">
        <v>46091</v>
      </c>
      <c r="AO22" s="15">
        <v>46101</v>
      </c>
      <c r="AP22" s="91">
        <v>46109</v>
      </c>
      <c r="AQ22" s="87"/>
      <c r="AR22" s="26"/>
      <c r="AS22" s="65"/>
      <c r="AT22" s="88" t="s">
        <v>81</v>
      </c>
      <c r="AU22" s="67"/>
      <c r="BV22" s="116" t="s">
        <v>402</v>
      </c>
      <c r="BX22" s="1">
        <v>18</v>
      </c>
      <c r="CG22" s="143">
        <v>46171</v>
      </c>
      <c r="CH22" s="143">
        <v>46173</v>
      </c>
      <c r="CI22" s="142" t="s">
        <v>116</v>
      </c>
      <c r="CJ22" s="141"/>
      <c r="CK22" s="141"/>
      <c r="CN22" t="s">
        <v>403</v>
      </c>
      <c r="CR22" t="s">
        <v>404</v>
      </c>
      <c r="CS22" t="s">
        <v>405</v>
      </c>
      <c r="CU22" t="s">
        <v>92</v>
      </c>
      <c r="CV22" t="s">
        <v>171</v>
      </c>
      <c r="CW22" t="s">
        <v>406</v>
      </c>
      <c r="CX22" t="s">
        <v>407</v>
      </c>
      <c r="CY22" t="s">
        <v>197</v>
      </c>
      <c r="CZ22" t="s">
        <v>158</v>
      </c>
      <c r="DA22" t="str" cm="1">
        <f t="array" ref="DA22:DY22">IF(U22&lt;&gt;"", TRANSPOSE(_xlfn._xlws.FILTER(CZ:CZ, CY:CY=U22, "")), "")</f>
        <v>Gwl (2N) + Mor</v>
      </c>
      <c r="DB22" t="str">
        <v>Ex Idr | Idr - Ujj (1N) - Omk - Mah (1N) - Man - Idr</v>
      </c>
      <c r="DC22" t="str">
        <v>Ujj (1N) - Omk - Idr (1N)</v>
      </c>
      <c r="DD22" t="str">
        <v>Ex Jlr | Jlr - Kan (2N) - Jlr</v>
      </c>
      <c r="DE22" t="str">
        <v>Ex Jlr | Jlr - Ban (2N) - Jlr</v>
      </c>
      <c r="DF22" t="str">
        <v>Ex Bho | Bho (2N) + Bhim + Bhoj + San</v>
      </c>
      <c r="DG22" t="str">
        <v>Ex Idr | Idr - Man (2N) - Idr</v>
      </c>
      <c r="DH22" t="str">
        <v>Ex Jlr | Jlr - Kan (2N) - Jlr</v>
      </c>
      <c r="DI22" t="str">
        <v>Ex Bho | Bho (2N) + Bhim + Bhoj + San + HDCT Bho</v>
      </c>
      <c r="DJ22" t="str">
        <v>Ex Bho | Bho - Bhim - Tawa (1N) - Mad (1N) - Bho</v>
      </c>
      <c r="DK22" t="str">
        <v>Ujj (1N) - Omk - Mah (1N) - Idr</v>
      </c>
      <c r="DL22" t="str">
        <v>Ujj (1N) -  Idr (1N)</v>
      </c>
      <c r="DM22" t="str">
        <v>Ex Idr | Idr (2N) + Ujj + Omk + Mah</v>
      </c>
      <c r="DN22" t="str">
        <v>Idr - Mah - Omk (1N) - Ujj (1N)</v>
      </c>
      <c r="DO22" t="str">
        <v>Idr - Ujj (1N) - Mah - Omk (1N) - Khandwa</v>
      </c>
      <c r="DP22" t="str">
        <v>Ex Idr | Idr (EX Ujj) (1N) - Mah - Omk (1N) - Idr HDCT</v>
      </c>
      <c r="DQ22" t="str">
        <v>Ujj (1N) - Sehor - Bho (1N) HDCT</v>
      </c>
      <c r="DR22" t="str">
        <v>Ex Jlr | Jlr (1N) - Ban (1N)</v>
      </c>
      <c r="DS22" t="str">
        <v>Ex Jlr | Ban (1N)</v>
      </c>
      <c r="DT22" t="str">
        <v>Ex Jlr | Jlr (2 N) Kan</v>
      </c>
      <c r="DU22" t="str">
        <v>Ex Jlr | Jlr - Amr (1 N) - (1 N) Ban</v>
      </c>
      <c r="DV22" t="str">
        <v>Ex Rpr | Rpr - (2N) Kan</v>
      </c>
      <c r="DW22" t="str">
        <v>Hjr (1N) - Mahi (1N) - Sat</v>
      </c>
      <c r="DX22" t="str">
        <v>Ex Bhp | Bhp - Bhim - Pch (2N) - Bhp</v>
      </c>
      <c r="DY22" t="str">
        <v xml:space="preserve">Ex Ujj I 2N Ujj </v>
      </c>
    </row>
    <row r="23" spans="2:145" ht="15" customHeight="1">
      <c r="B23" s="34">
        <v>19</v>
      </c>
      <c r="C23" s="36" t="s">
        <v>408</v>
      </c>
      <c r="D23" s="76">
        <v>46090</v>
      </c>
      <c r="E23" s="37" t="str">
        <f>IF(Table5[[#This Row],[Query Date]]&lt;&gt;"", TEXT(Table5[[#This Row],[Query Date]], "dddd"), "")</f>
        <v>Monday</v>
      </c>
      <c r="F23" s="37" t="str">
        <f>IF(Table5[[#This Row],[Query Date]]&lt;&gt;"", TEXT(Table5[[#This Row],[Query Date]], "mmmm"), "")</f>
        <v>March</v>
      </c>
      <c r="G23" s="28" t="s">
        <v>65</v>
      </c>
      <c r="H23" s="28" t="s">
        <v>120</v>
      </c>
      <c r="I23" s="28" t="s">
        <v>67</v>
      </c>
      <c r="J23" s="28" t="s">
        <v>68</v>
      </c>
      <c r="K23" s="28" t="s">
        <v>128</v>
      </c>
      <c r="L23" s="25" t="s">
        <v>70</v>
      </c>
      <c r="M23" s="112" t="s">
        <v>337</v>
      </c>
      <c r="N23" s="41" t="s">
        <v>338</v>
      </c>
      <c r="O23" s="131" t="s">
        <v>339</v>
      </c>
      <c r="P23" s="46" t="s">
        <v>340</v>
      </c>
      <c r="Q23" s="77">
        <v>46151</v>
      </c>
      <c r="R23" s="77" t="str">
        <f>IF(Table5[[#This Row],[Tour Starting Date]]&lt;&gt;"", TEXT(Table5[[#This Row],[Tour Starting Date]], "dddd"), "")</f>
        <v>Saturday</v>
      </c>
      <c r="S23" s="77">
        <v>46154</v>
      </c>
      <c r="T23" s="25" t="str">
        <f>IF(Table5[[#This Row],[Tour Ending Date]]&lt;&gt;"", TEXT(Table5[[#This Row],[Tour Ending Date]], "dddd"), "")</f>
        <v>Tuesday</v>
      </c>
      <c r="U23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23" s="37" t="str">
        <f>IF(Table5[[#This Row],[Tour Starting Date]]&lt;&gt;"", TEXT(Table5[[#This Row],[Tour Starting Date]], "mmmm"), "")</f>
        <v>May</v>
      </c>
      <c r="W23" s="80" t="str" cm="1">
        <f t="array" ref="W23">IF(Q23&lt;&gt;"", INDEX(CI:CI, MATCH(1, (Q23&gt;=CG:CG)*(Q23&lt;=CH:CH), 0)), "")</f>
        <v>Regular Dates - Weekend</v>
      </c>
      <c r="X23" s="39">
        <v>5</v>
      </c>
      <c r="Y23" s="74">
        <v>49700</v>
      </c>
      <c r="Z23" s="74">
        <f>IF(OR(Table5[[#This Row],[Per Person Package Cost]]="", Table5[[#This Row],[No. of Pax]]=""), "", Table5[[#This Row],[Per Person Package Cost]] * Table5[[#This Row],[No. of Pax]])</f>
        <v>248500</v>
      </c>
      <c r="AA23" s="52" t="s">
        <v>409</v>
      </c>
      <c r="AB23" s="52" t="s">
        <v>409</v>
      </c>
      <c r="AC23" s="52" t="s">
        <v>173</v>
      </c>
      <c r="AD23" s="52"/>
      <c r="AE23" s="51" t="str">
        <f t="shared" si="0"/>
        <v/>
      </c>
      <c r="AF23" s="51" t="str">
        <f t="shared" si="1"/>
        <v/>
      </c>
      <c r="AG23" s="74" t="str">
        <f t="shared" si="2"/>
        <v/>
      </c>
      <c r="AH23" s="73" t="str">
        <f t="shared" si="4"/>
        <v/>
      </c>
      <c r="AI23" s="52" t="s">
        <v>107</v>
      </c>
      <c r="AJ23" s="56" t="s">
        <v>78</v>
      </c>
      <c r="AK23" s="59" t="s">
        <v>79</v>
      </c>
      <c r="AL23" s="60" t="s">
        <v>80</v>
      </c>
      <c r="AM23" s="54" t="s">
        <v>80</v>
      </c>
      <c r="AN23" s="14">
        <v>46111</v>
      </c>
      <c r="AO23" s="15">
        <v>46134</v>
      </c>
      <c r="AP23" s="91"/>
      <c r="AQ23" s="87"/>
      <c r="AR23" s="26"/>
      <c r="AS23" s="65"/>
      <c r="AT23" s="88" t="s">
        <v>81</v>
      </c>
      <c r="AU23" s="67" t="s">
        <v>82</v>
      </c>
      <c r="BX23" s="1">
        <v>19</v>
      </c>
      <c r="CG23" s="143">
        <v>46174</v>
      </c>
      <c r="CH23" s="143">
        <v>46177</v>
      </c>
      <c r="CI23" s="142" t="s">
        <v>88</v>
      </c>
      <c r="CJ23" s="141"/>
      <c r="CK23" s="141"/>
      <c r="CN23" t="s">
        <v>410</v>
      </c>
      <c r="CR23" t="s">
        <v>411</v>
      </c>
      <c r="CS23" t="s">
        <v>412</v>
      </c>
      <c r="CU23" t="s">
        <v>92</v>
      </c>
      <c r="CV23" t="s">
        <v>171</v>
      </c>
      <c r="CW23" t="s">
        <v>413</v>
      </c>
      <c r="CX23" t="s">
        <v>414</v>
      </c>
      <c r="CY23" t="s">
        <v>223</v>
      </c>
      <c r="CZ23" t="s">
        <v>415</v>
      </c>
      <c r="DA23" t="str" cm="1">
        <f t="array" ref="DA23:EO23">IF(U23&lt;&gt;"", TRANSPOSE(_xlfn._xlws.FILTER(CZ:CZ, CY:CY=U23, "")), "")</f>
        <v>Gwl (3N) + Mor + Son + Dat + Orc</v>
      </c>
      <c r="DB23" t="str">
        <v>Ex Gwl | Gwl (1N) - Son - Dat - Orc (1N) - Gwl (1N)</v>
      </c>
      <c r="DC23" t="str">
        <v>Ex Idr | Idr - Ujj (1N) - Omk - Mah (1N) - Man (1N) - Idr</v>
      </c>
      <c r="DD23" t="str">
        <v>Ex Jlr | Jlr - Kan (2N) - Jlr (1N)</v>
      </c>
      <c r="DE23" t="str">
        <v>Ex Jlr | Jlr - Ban (2N) - Jlr (1N)</v>
      </c>
      <c r="DF23" t="str">
        <v>Ex Bho | Bho (1N) + San - Bhoj - Bhim - Pch (2N) - Bho</v>
      </c>
      <c r="DG23" t="str">
        <v>Ex Idr | Idr (1N) - Ujj (1N) - Omk (1N) - Mah - Idr</v>
      </c>
      <c r="DH23" t="str">
        <v>Gwl - Orc (1N) - Ckt (1N) - Myr (1N) - Jlr</v>
      </c>
      <c r="DI23" t="str">
        <v>Gwl - Orc (1N) - Ckt (2N) - Ixd</v>
      </c>
      <c r="DJ23" t="str">
        <v>Ex Idr | Idr - Ujj (1N) - Omk - Mah (1N) - Idr (1N)</v>
      </c>
      <c r="DK23" t="str">
        <v>Ex Jlr | Jlr - Kan (3N) - Jlr</v>
      </c>
      <c r="DL23" t="str">
        <v>Ex Bho | Bho (2N) + Bhim + Bhoj + San + Udaygiri + Vidisha + FDCT Bho</v>
      </c>
      <c r="DM23" t="str">
        <v>Bho (1N) + Bhim + Bhoj - HDCT  Bho + Sanchi - Ujj (2N)</v>
      </c>
      <c r="DN23" t="str">
        <v>Bho (1N) + Bhim + Bhoj - HDCT  Bho + Sanchi - Ujj (2N) - Idr</v>
      </c>
      <c r="DO23" t="str">
        <v>Ex Bho | Bho - Bhoj - Bhim - Mad (1N) - Pch (2N) - Bho</v>
      </c>
      <c r="DP23" t="str">
        <v>Ex Bho | Bho - Bhoj - Bhim - Mad (1N) - Pch (3N) - Bho</v>
      </c>
      <c r="DQ23" t="str">
        <v>Ex Bho | Bho - Bhoj - Bhim - Tawa (1N) - Mad (1N) - Bho (1N)</v>
      </c>
      <c r="DR23" t="str">
        <v>Bho (1N) - Bhim - Bhoj - San - Idr (2N) + Ujj</v>
      </c>
      <c r="DS23" t="str">
        <v>Bho (1N) - Bhoj - Bhim - Pch (2N) - Bho</v>
      </c>
      <c r="DT23" t="str">
        <v>Ujj (1N) - Omk - Mah (1N) - Idr (1N)</v>
      </c>
      <c r="DU23" t="str">
        <v>Ujj (1N) - Omk - Mah (1N) - Man (1N) - Idr</v>
      </c>
      <c r="DV23" t="str">
        <v>Ex Idr | Idr (1N) - Ujj (1N) - Omk - Mah (1N)</v>
      </c>
      <c r="DW23" t="str">
        <v>Ex Idr | Idr - Ujj (1N) - Omk (1N) - Mah (1N) - Idr</v>
      </c>
      <c r="DX23" t="str">
        <v>Khandwa - Omk (1N) - Mah (1N) - Ujj (1N) - Idr</v>
      </c>
      <c r="DY23" t="str">
        <v>Ex Idr | Idr - Ujj (1N) - Omk - Mah (1N) - Man - Idr (1N)</v>
      </c>
      <c r="DZ23" t="str">
        <v xml:space="preserve">Idr - Omk (1N) - Mah - Ujj (1N) San - Bho (1N) </v>
      </c>
      <c r="EA23" t="str">
        <v>Ex Idr | Idr - Man (1N) - Mah - Omk (1N) - Ujj (1N) - Idr</v>
      </c>
      <c r="EB23" t="str">
        <v>Khandwa - Omk (1N) - Mah - Ujj (2N)</v>
      </c>
      <c r="EC23" t="str">
        <v>Ex Jlr | Jlr (1N) - Amr (1N) - Ban (1N) - Jlr</v>
      </c>
      <c r="ED23" t="str">
        <v>Ex Jlr | Jlr - (1 N) Ban - (2 N) Amar</v>
      </c>
      <c r="EE23" t="str">
        <v>Jlr - Kan (1N) - Pch (2N)</v>
      </c>
      <c r="EF23" t="str">
        <v>Pi - Pch (2N)  - Kan (1N)</v>
      </c>
      <c r="EG23" t="str">
        <v>Ex Jlr | Jlr - Amr (1 N) - (1 N) Ban - (1 N) Jlr</v>
      </c>
      <c r="EH23" t="str">
        <v>Ppi - (2 N) Pch - (1 N) Pen</v>
      </c>
      <c r="EI23" t="str">
        <v>Bhp - Pch (2N) - Jlr (1N)</v>
      </c>
      <c r="EJ23" t="str">
        <v xml:space="preserve">Arr Jhn - Hjr (1N) - Orc - Gwl (2N) </v>
      </c>
      <c r="EK23" t="str">
        <v>(1 N) Ujj - (1 N) Mah - (1 N) Idr</v>
      </c>
      <c r="EL23" t="str">
        <v>Ex Bhp | Bhp - Bhoj - Bhim - Pch (3N) - Bhp</v>
      </c>
      <c r="EM23" t="str">
        <v>Ex Bhp | Bhp - Bhoj - Bhim - Pch (2N) - Mad (1N) - Bhp</v>
      </c>
      <c r="EN23" t="str">
        <v xml:space="preserve">Ex Nag - 3N Pch + Sat </v>
      </c>
      <c r="EO23" t="str">
        <v>1N Gwl - Son - Dat - 1N Hjr - 1N Orc - Jhn</v>
      </c>
    </row>
    <row r="24" spans="2:145" ht="15" customHeight="1">
      <c r="B24" s="35">
        <v>20</v>
      </c>
      <c r="C24" s="36" t="s">
        <v>416</v>
      </c>
      <c r="D24" s="76">
        <v>46091</v>
      </c>
      <c r="E24" s="37" t="str">
        <f>IF(Table5[[#This Row],[Query Date]]&lt;&gt;"", TEXT(Table5[[#This Row],[Query Date]], "dddd"), "")</f>
        <v>Tuesday</v>
      </c>
      <c r="F24" s="37" t="str">
        <f>IF(Table5[[#This Row],[Query Date]]&lt;&gt;"", TEXT(Table5[[#This Row],[Query Date]], "mmmm"), "")</f>
        <v>March</v>
      </c>
      <c r="G24" s="28" t="s">
        <v>65</v>
      </c>
      <c r="H24" s="28" t="s">
        <v>66</v>
      </c>
      <c r="I24" s="28" t="s">
        <v>67</v>
      </c>
      <c r="J24" s="28" t="s">
        <v>68</v>
      </c>
      <c r="K24" s="28" t="s">
        <v>178</v>
      </c>
      <c r="L24" s="25" t="s">
        <v>70</v>
      </c>
      <c r="M24" s="112" t="s">
        <v>417</v>
      </c>
      <c r="N24" s="25" t="s">
        <v>418</v>
      </c>
      <c r="O24" s="130" t="s">
        <v>419</v>
      </c>
      <c r="P24" s="46" t="s">
        <v>420</v>
      </c>
      <c r="Q24" s="77">
        <v>46157</v>
      </c>
      <c r="R24" s="77" t="str">
        <f>IF(Table5[[#This Row],[Tour Starting Date]]&lt;&gt;"", TEXT(Table5[[#This Row],[Tour Starting Date]], "dddd"), "")</f>
        <v>Friday</v>
      </c>
      <c r="S24" s="77">
        <v>46160</v>
      </c>
      <c r="T24" s="25" t="str">
        <f>IF(Table5[[#This Row],[Tour Ending Date]]&lt;&gt;"", TEXT(Table5[[#This Row],[Tour Ending Date]], "dddd"), "")</f>
        <v>Monday</v>
      </c>
      <c r="U24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24" s="37" t="str">
        <f>IF(Table5[[#This Row],[Tour Starting Date]]&lt;&gt;"", TEXT(Table5[[#This Row],[Tour Starting Date]], "mmmm"), "")</f>
        <v>May</v>
      </c>
      <c r="W24" s="80" t="str" cm="1">
        <f t="array" ref="W24">IF(Q24&lt;&gt;"", INDEX(CI:CI, MATCH(1, (Q24&gt;=CG:CG)*(Q24&lt;=CH:CH), 0)), "")</f>
        <v>Regular Dates - Weekend</v>
      </c>
      <c r="X24" s="39">
        <v>3</v>
      </c>
      <c r="Y24" s="74">
        <v>15500</v>
      </c>
      <c r="Z24" s="74">
        <f>IF(OR(Table5[[#This Row],[Per Person Package Cost]]="", Table5[[#This Row],[No. of Pax]]=""), "", Table5[[#This Row],[Per Person Package Cost]] * Table5[[#This Row],[No. of Pax]])</f>
        <v>46500</v>
      </c>
      <c r="AA24" s="52" t="s">
        <v>75</v>
      </c>
      <c r="AB24" s="52" t="s">
        <v>75</v>
      </c>
      <c r="AC24" s="52" t="s">
        <v>134</v>
      </c>
      <c r="AD24" s="52" t="s">
        <v>421</v>
      </c>
      <c r="AE24" s="51" t="str">
        <f t="shared" si="0"/>
        <v>EMPSPR08</v>
      </c>
      <c r="AF24" s="51" t="str">
        <f t="shared" si="1"/>
        <v>Sacred Journey of Central India</v>
      </c>
      <c r="AG24" s="74" t="str">
        <f t="shared" si="2"/>
        <v>Special Interest - Spiritual Tours</v>
      </c>
      <c r="AH24" s="73" t="str">
        <f t="shared" si="4"/>
        <v>West MP</v>
      </c>
      <c r="AI24" s="52" t="s">
        <v>107</v>
      </c>
      <c r="AJ24" s="56" t="s">
        <v>78</v>
      </c>
      <c r="AK24" s="59" t="s">
        <v>79</v>
      </c>
      <c r="AL24" s="60" t="s">
        <v>80</v>
      </c>
      <c r="AM24" s="54" t="s">
        <v>80</v>
      </c>
      <c r="AN24" s="14">
        <v>46094</v>
      </c>
      <c r="AO24" s="15">
        <v>46132</v>
      </c>
      <c r="AP24" s="91">
        <v>46134</v>
      </c>
      <c r="AQ24" s="87"/>
      <c r="AR24" s="26"/>
      <c r="AS24" s="65"/>
      <c r="AT24" s="88" t="s">
        <v>81</v>
      </c>
      <c r="AU24" s="67" t="s">
        <v>82</v>
      </c>
      <c r="BX24" s="1">
        <v>20</v>
      </c>
      <c r="CG24" s="143">
        <v>46178</v>
      </c>
      <c r="CH24" s="143">
        <v>46180</v>
      </c>
      <c r="CI24" s="142" t="s">
        <v>116</v>
      </c>
      <c r="CJ24" s="141"/>
      <c r="CK24" s="141"/>
      <c r="CN24" t="s">
        <v>422</v>
      </c>
      <c r="CR24" t="s">
        <v>254</v>
      </c>
      <c r="CU24" t="s">
        <v>92</v>
      </c>
      <c r="CV24" t="s">
        <v>299</v>
      </c>
      <c r="CW24" t="s">
        <v>423</v>
      </c>
      <c r="CX24" t="s">
        <v>424</v>
      </c>
      <c r="CY24" t="s">
        <v>223</v>
      </c>
      <c r="CZ24" t="s">
        <v>425</v>
      </c>
      <c r="DA24" t="str" cm="1">
        <f t="array" ref="DA24:EO24">IF(U24&lt;&gt;"", TRANSPOSE(_xlfn._xlws.FILTER(CZ:CZ, CY:CY=U24, "")), "")</f>
        <v>Gwl (3N) + Mor + Son + Dat + Orc</v>
      </c>
      <c r="DB24" t="str">
        <v>Ex Gwl | Gwl (1N) - Son - Dat - Orc (1N) - Gwl (1N)</v>
      </c>
      <c r="DC24" t="str">
        <v>Ex Idr | Idr - Ujj (1N) - Omk - Mah (1N) - Man (1N) - Idr</v>
      </c>
      <c r="DD24" t="str">
        <v>Ex Jlr | Jlr - Kan (2N) - Jlr (1N)</v>
      </c>
      <c r="DE24" t="str">
        <v>Ex Jlr | Jlr - Ban (2N) - Jlr (1N)</v>
      </c>
      <c r="DF24" t="str">
        <v>Ex Bho | Bho (1N) + San - Bhoj - Bhim - Pch (2N) - Bho</v>
      </c>
      <c r="DG24" t="str">
        <v>Ex Idr | Idr (1N) - Ujj (1N) - Omk (1N) - Mah - Idr</v>
      </c>
      <c r="DH24" t="str">
        <v>Gwl - Orc (1N) - Ckt (1N) - Myr (1N) - Jlr</v>
      </c>
      <c r="DI24" t="str">
        <v>Gwl - Orc (1N) - Ckt (2N) - Ixd</v>
      </c>
      <c r="DJ24" t="str">
        <v>Ex Idr | Idr - Ujj (1N) - Omk - Mah (1N) - Idr (1N)</v>
      </c>
      <c r="DK24" t="str">
        <v>Ex Jlr | Jlr - Kan (3N) - Jlr</v>
      </c>
      <c r="DL24" t="str">
        <v>Ex Bho | Bho (2N) + Bhim + Bhoj + San + Udaygiri + Vidisha + FDCT Bho</v>
      </c>
      <c r="DM24" t="str">
        <v>Bho (1N) + Bhim + Bhoj - HDCT  Bho + Sanchi - Ujj (2N)</v>
      </c>
      <c r="DN24" t="str">
        <v>Bho (1N) + Bhim + Bhoj - HDCT  Bho + Sanchi - Ujj (2N) - Idr</v>
      </c>
      <c r="DO24" t="str">
        <v>Ex Bho | Bho - Bhoj - Bhim - Mad (1N) - Pch (2N) - Bho</v>
      </c>
      <c r="DP24" t="str">
        <v>Ex Bho | Bho - Bhoj - Bhim - Mad (1N) - Pch (3N) - Bho</v>
      </c>
      <c r="DQ24" t="str">
        <v>Ex Bho | Bho - Bhoj - Bhim - Tawa (1N) - Mad (1N) - Bho (1N)</v>
      </c>
      <c r="DR24" t="str">
        <v>Bho (1N) - Bhim - Bhoj - San - Idr (2N) + Ujj</v>
      </c>
      <c r="DS24" t="str">
        <v>Bho (1N) - Bhoj - Bhim - Pch (2N) - Bho</v>
      </c>
      <c r="DT24" t="str">
        <v>Ujj (1N) - Omk - Mah (1N) - Idr (1N)</v>
      </c>
      <c r="DU24" t="str">
        <v>Ujj (1N) - Omk - Mah (1N) - Man (1N) - Idr</v>
      </c>
      <c r="DV24" t="str">
        <v>Ex Idr | Idr (1N) - Ujj (1N) - Omk - Mah (1N)</v>
      </c>
      <c r="DW24" t="str">
        <v>Ex Idr | Idr - Ujj (1N) - Omk (1N) - Mah (1N) - Idr</v>
      </c>
      <c r="DX24" t="str">
        <v>Khandwa - Omk (1N) - Mah (1N) - Ujj (1N) - Idr</v>
      </c>
      <c r="DY24" t="str">
        <v>Ex Idr | Idr - Ujj (1N) - Omk - Mah (1N) - Man - Idr (1N)</v>
      </c>
      <c r="DZ24" t="str">
        <v xml:space="preserve">Idr - Omk (1N) - Mah - Ujj (1N) San - Bho (1N) </v>
      </c>
      <c r="EA24" t="str">
        <v>Ex Idr | Idr - Man (1N) - Mah - Omk (1N) - Ujj (1N) - Idr</v>
      </c>
      <c r="EB24" t="str">
        <v>Khandwa - Omk (1N) - Mah - Ujj (2N)</v>
      </c>
      <c r="EC24" t="str">
        <v>Ex Jlr | Jlr (1N) - Amr (1N) - Ban (1N) - Jlr</v>
      </c>
      <c r="ED24" t="str">
        <v>Ex Jlr | Jlr - (1 N) Ban - (2 N) Amar</v>
      </c>
      <c r="EE24" t="str">
        <v>Jlr - Kan (1N) - Pch (2N)</v>
      </c>
      <c r="EF24" t="str">
        <v>Pi - Pch (2N)  - Kan (1N)</v>
      </c>
      <c r="EG24" t="str">
        <v>Ex Jlr | Jlr - Amr (1 N) - (1 N) Ban - (1 N) Jlr</v>
      </c>
      <c r="EH24" t="str">
        <v>Ppi - (2 N) Pch - (1 N) Pen</v>
      </c>
      <c r="EI24" t="str">
        <v>Bhp - Pch (2N) - Jlr (1N)</v>
      </c>
      <c r="EJ24" t="str">
        <v xml:space="preserve">Arr Jhn - Hjr (1N) - Orc - Gwl (2N) </v>
      </c>
      <c r="EK24" t="str">
        <v>(1 N) Ujj - (1 N) Mah - (1 N) Idr</v>
      </c>
      <c r="EL24" t="str">
        <v>Ex Bhp | Bhp - Bhoj - Bhim - Pch (3N) - Bhp</v>
      </c>
      <c r="EM24" t="str">
        <v>Ex Bhp | Bhp - Bhoj - Bhim - Pch (2N) - Mad (1N) - Bhp</v>
      </c>
      <c r="EN24" t="str">
        <v xml:space="preserve">Ex Nag - 3N Pch + Sat </v>
      </c>
      <c r="EO24" t="str">
        <v>1N Gwl - Son - Dat - 1N Hjr - 1N Orc - Jhn</v>
      </c>
    </row>
    <row r="25" spans="2:145" ht="15" customHeight="1">
      <c r="B25" s="34">
        <v>21</v>
      </c>
      <c r="C25" s="36" t="s">
        <v>426</v>
      </c>
      <c r="D25" s="76">
        <v>46091</v>
      </c>
      <c r="E25" s="37" t="str">
        <f>IF(Table5[[#This Row],[Query Date]]&lt;&gt;"", TEXT(Table5[[#This Row],[Query Date]], "dddd"), "")</f>
        <v>Tuesday</v>
      </c>
      <c r="F25" s="37" t="str">
        <f>IF(Table5[[#This Row],[Query Date]]&lt;&gt;"", TEXT(Table5[[#This Row],[Query Date]], "mmmm"), "")</f>
        <v>March</v>
      </c>
      <c r="G25" s="28" t="s">
        <v>65</v>
      </c>
      <c r="H25" s="28"/>
      <c r="I25" s="28" t="s">
        <v>67</v>
      </c>
      <c r="J25" s="28" t="s">
        <v>68</v>
      </c>
      <c r="K25" s="28" t="s">
        <v>128</v>
      </c>
      <c r="L25" s="25" t="s">
        <v>70</v>
      </c>
      <c r="M25" s="112" t="s">
        <v>427</v>
      </c>
      <c r="N25" s="25" t="s">
        <v>428</v>
      </c>
      <c r="O25" s="131" t="s">
        <v>429</v>
      </c>
      <c r="P25" s="46" t="s">
        <v>430</v>
      </c>
      <c r="Q25" s="77">
        <v>46126</v>
      </c>
      <c r="R25" s="77" t="str">
        <f>IF(Table5[[#This Row],[Tour Starting Date]]&lt;&gt;"", TEXT(Table5[[#This Row],[Tour Starting Date]], "dddd"), "")</f>
        <v>Tuesday</v>
      </c>
      <c r="S25" s="77">
        <v>46130</v>
      </c>
      <c r="T25" s="25" t="str">
        <f>IF(Table5[[#This Row],[Tour Ending Date]]&lt;&gt;"", TEXT(Table5[[#This Row],[Tour Ending Date]], "dddd"), "")</f>
        <v>Saturday</v>
      </c>
      <c r="U25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4 Nights &amp; 5 Days</v>
      </c>
      <c r="V25" s="37" t="str">
        <f>IF(Table5[[#This Row],[Tour Starting Date]]&lt;&gt;"", TEXT(Table5[[#This Row],[Tour Starting Date]], "mmmm"), "")</f>
        <v>April</v>
      </c>
      <c r="W25" s="80" t="str" cm="1">
        <f t="array" ref="W25">IF(Q25&lt;&gt;"", INDEX(CI:CI, MATCH(1, (Q25&gt;=CG:CG)*(Q25&lt;=CH:CH), 0)), "")</f>
        <v>Regular Dates - Weekday</v>
      </c>
      <c r="X25" s="39">
        <v>4</v>
      </c>
      <c r="Y25" s="74">
        <v>15500</v>
      </c>
      <c r="Z25" s="74">
        <f>IF(OR(Table5[[#This Row],[Per Person Package Cost]]="", Table5[[#This Row],[No. of Pax]]=""), "", Table5[[#This Row],[Per Person Package Cost]] * Table5[[#This Row],[No. of Pax]])</f>
        <v>62000</v>
      </c>
      <c r="AA25" s="52" t="s">
        <v>75</v>
      </c>
      <c r="AB25" s="52" t="s">
        <v>75</v>
      </c>
      <c r="AC25" s="52" t="s">
        <v>134</v>
      </c>
      <c r="AD25" s="52"/>
      <c r="AE25" s="51" t="str">
        <f t="shared" si="0"/>
        <v/>
      </c>
      <c r="AF25" s="51" t="str">
        <f t="shared" si="1"/>
        <v/>
      </c>
      <c r="AG25" s="74" t="str">
        <f t="shared" si="2"/>
        <v/>
      </c>
      <c r="AH25" s="73" t="str">
        <f t="shared" si="4"/>
        <v/>
      </c>
      <c r="AI25" s="52" t="s">
        <v>107</v>
      </c>
      <c r="AJ25" s="56" t="s">
        <v>78</v>
      </c>
      <c r="AK25" s="59" t="s">
        <v>79</v>
      </c>
      <c r="AL25" s="60" t="s">
        <v>80</v>
      </c>
      <c r="AM25" s="54" t="s">
        <v>80</v>
      </c>
      <c r="AN25" s="14">
        <v>46094</v>
      </c>
      <c r="AO25" s="15"/>
      <c r="AP25" s="91"/>
      <c r="AQ25" s="87"/>
      <c r="AR25" s="26"/>
      <c r="AS25" s="65"/>
      <c r="AT25" s="88" t="s">
        <v>81</v>
      </c>
      <c r="AU25" s="67"/>
      <c r="BX25" s="1">
        <v>21</v>
      </c>
      <c r="CG25" s="143">
        <v>46181</v>
      </c>
      <c r="CH25" s="143">
        <v>46184</v>
      </c>
      <c r="CI25" s="142" t="s">
        <v>88</v>
      </c>
      <c r="CJ25" s="141"/>
      <c r="CK25" s="141"/>
      <c r="CN25" t="s">
        <v>431</v>
      </c>
      <c r="CU25" t="s">
        <v>92</v>
      </c>
      <c r="CV25" t="s">
        <v>299</v>
      </c>
      <c r="CW25" t="s">
        <v>432</v>
      </c>
      <c r="CX25" t="s">
        <v>433</v>
      </c>
      <c r="CY25" t="s">
        <v>243</v>
      </c>
      <c r="CZ25" t="s">
        <v>434</v>
      </c>
      <c r="DA25" t="str" cm="1">
        <f t="array" ref="DA25:EJ25">IF(U25&lt;&gt;"", TRANSPOSE(_xlfn._xlws.FILTER(CZ:CZ, CY:CY=U25, "")), "")</f>
        <v>Ex Gwl | Gwl (2N) + Mor - Son - Dat - Orc (1N) - Hjr (1N) - Gwl</v>
      </c>
      <c r="DB25" t="str">
        <v>Ex Idr | Idr - Ujj (1N) - Omk - Mah (1N) - Man (1N) - Idr (1N)</v>
      </c>
      <c r="DC25" t="str">
        <v>Ex Idr | Idr - Ujj (1N) - Omk (1N) - Mah (1N) - Man (1N) - Idr</v>
      </c>
      <c r="DD25" t="str">
        <v>Ex Jlr | Jlr - Kan (2N) - Amk (1N) - Jlr (1N)</v>
      </c>
      <c r="DE25" t="str">
        <v>Ex Jlr | Jlr - Ban (2N) - Amk (1N) - Jlr (1N)</v>
      </c>
      <c r="DF25" t="str">
        <v>Ex Jlr | Jlr (1N) - Hjr (1N) - Ban (2N) - Jlr</v>
      </c>
      <c r="DG25" t="str">
        <v>Ex Jlr | Jlr (1N) - Kan (1N) - Ban (2N) - Jlr</v>
      </c>
      <c r="DH25" t="str">
        <v>Ex Bho | Bho (1N) + San + Bhoj + Bhim - Tawa - Mad (1N) - Pch (2N) - Bho</v>
      </c>
      <c r="DI25" t="str">
        <v>Ex Idr | Idr - Ujj (1N) - Omk - Mah (1N) - Man (1N) - Idr (1N)</v>
      </c>
      <c r="DJ25" t="str">
        <v>Ex Bho | Bho (1N) - Bhoj - Bhim - Pch (3N) - Bho</v>
      </c>
      <c r="DK25" t="str">
        <v>Gwl (1N) - Dat (Pitambara Peeth) - Orc (1N) - Ckt (2N) - Ixd</v>
      </c>
      <c r="DL25" t="str">
        <v>Ex Jlr | Jlr - Ban (2N) - Kan (2N) - Jlr</v>
      </c>
      <c r="DM25" t="str">
        <v>Jlr - Ban (1N) - Kan (1N) - Pen (2N) - Nag</v>
      </c>
      <c r="DN25" t="str">
        <v>Ex Bho | Bho (1N) - Bhoj - Bhim - Pch (3N) - Bho</v>
      </c>
      <c r="DO25" t="str">
        <v>Ex Bho | Bho (2N) + Sanchi + Bhoj + Bhim - Tawa - Mad (1N) - Bho (1N)</v>
      </c>
      <c r="DP25" t="str">
        <v>Ex Bho | Bho - Bhoj - Bhim - Tawa (1N) - Mad (1N) - Pch (2N) - Bho</v>
      </c>
      <c r="DQ25" t="str">
        <v>Bho - Bhoj - Bhim - Pch (2N) - Kan (1N) - Jlr (1N)</v>
      </c>
      <c r="DR25" t="str">
        <v>Bho - Bhoj - Bhim - Pch (2N) - Kan (1N) - Amk (1N) - Jlr</v>
      </c>
      <c r="DS25" t="str">
        <v xml:space="preserve">Bho (1N) + Bhim + Bhoj + San - Ujj (1N) - Omk - Mah (1N) - Idr (1N) </v>
      </c>
      <c r="DT25" t="str">
        <v>Ex Gwl | Gwl - Hjr (1N) - Orc (1N) - Dat - Son - Gwl (2N)</v>
      </c>
      <c r="DU25" t="str">
        <v>Ex Gwl | Gwl - Orc (1N) - Hjr (1N) - Chn (1N) - Shiv (1N) - Gwl</v>
      </c>
      <c r="DV25" t="str">
        <v>Gwl - Hjr (1N) - Panna (1N) - Chit (1N) - Mahi (1N) - Sat</v>
      </c>
      <c r="DW25" t="str">
        <v>Jlr - (2 N) Kan - (2 N) Pch - Bhim - Bhoj - Bhp</v>
      </c>
      <c r="DX25" t="str">
        <v>Jlr - (2 N) Kan - (2 N) Pen - Rpr</v>
      </c>
      <c r="DY25" t="str">
        <v>Gwl (2N) (Ex Mor) - Dat -Orc (1N) - Hjr (1N) - Jhn</v>
      </c>
      <c r="DZ25" t="str">
        <v>Ex Gwl | Gwl (1N) - Son - Dat - Orc (1N) - Hjr (2N) (Ex Panna) - Gwl</v>
      </c>
      <c r="EA25" t="str">
        <v>Hjr (1N) - Orc (1N) - Dat - son - Gwl (2N)(Ex Mor)</v>
      </c>
      <c r="EB25" t="str">
        <v>(2 N) Gwl - (1 N) Orch - (1 N) Hjr</v>
      </c>
      <c r="EC25" t="str">
        <v>Ex Bhp | Bhp - Bhoj - Bhim - Pch (2N) - Mad (1N) - Tawa (1N) - Bhp</v>
      </c>
      <c r="ED25" t="str">
        <v>Ex Bhp | Bhp - Bhoj - Bhim - Pch (2N) - Mad (2N) - Bhp</v>
      </c>
      <c r="EE25" t="str">
        <v>Ex Idr | Idr - Ujj (1N) - Omk (1N) - Mah (2N) (Ex Man) - Idr (HDCT)</v>
      </c>
      <c r="EF25" t="str">
        <v>Arr Rpr - Amr (2N) - Par (2N) - IXD</v>
      </c>
      <c r="EG25" t="str">
        <v>1N Gwl - Orc - 2N Hjr - Jhn - 1N Gwl</v>
      </c>
      <c r="EH25" t="str">
        <v>1N Orc - 1N Hjr - 2N Gwl Ex Mor</v>
      </c>
      <c r="EI25" t="str">
        <v>1N Idr - Omk - 1N Mah - 1N Ujj - Seh - 1N Bho</v>
      </c>
      <c r="EJ25" t="str">
        <v>Ex Idr I 1N Idr - 1N Ujj - Omk - 2N Mah - Man - Idr</v>
      </c>
    </row>
    <row r="26" spans="2:145" ht="15" customHeight="1">
      <c r="B26" s="35">
        <v>22</v>
      </c>
      <c r="C26" s="36" t="s">
        <v>435</v>
      </c>
      <c r="D26" s="76">
        <v>46095</v>
      </c>
      <c r="E26" s="37" t="str">
        <f>IF(Table5[[#This Row],[Query Date]]&lt;&gt;"", TEXT(Table5[[#This Row],[Query Date]], "dddd"), "")</f>
        <v>Saturday</v>
      </c>
      <c r="F26" s="37" t="str">
        <f>IF(Table5[[#This Row],[Query Date]]&lt;&gt;"", TEXT(Table5[[#This Row],[Query Date]], "mmmm"), "")</f>
        <v>March</v>
      </c>
      <c r="G26" s="28" t="s">
        <v>65</v>
      </c>
      <c r="H26" s="28" t="s">
        <v>99</v>
      </c>
      <c r="I26" s="28" t="s">
        <v>67</v>
      </c>
      <c r="J26" s="28" t="s">
        <v>68</v>
      </c>
      <c r="K26" s="28" t="s">
        <v>178</v>
      </c>
      <c r="L26" s="25" t="s">
        <v>70</v>
      </c>
      <c r="M26" s="112" t="s">
        <v>417</v>
      </c>
      <c r="N26" s="25" t="s">
        <v>436</v>
      </c>
      <c r="O26" s="131" t="s">
        <v>437</v>
      </c>
      <c r="P26" s="46" t="s">
        <v>438</v>
      </c>
      <c r="Q26" s="77">
        <v>46135</v>
      </c>
      <c r="R26" s="77" t="str">
        <f>IF(Table5[[#This Row],[Tour Starting Date]]&lt;&gt;"", TEXT(Table5[[#This Row],[Tour Starting Date]], "dddd"), "")</f>
        <v>Thursday</v>
      </c>
      <c r="S26" s="77">
        <v>46138</v>
      </c>
      <c r="T26" s="25" t="str">
        <f>IF(Table5[[#This Row],[Tour Ending Date]]&lt;&gt;"", TEXT(Table5[[#This Row],[Tour Ending Date]], "dddd"), "")</f>
        <v>Sunday</v>
      </c>
      <c r="U26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26" s="37" t="str">
        <f>IF(Table5[[#This Row],[Tour Starting Date]]&lt;&gt;"", TEXT(Table5[[#This Row],[Tour Starting Date]], "mmmm"), "")</f>
        <v>April</v>
      </c>
      <c r="W26" s="80" t="str" cm="1">
        <f t="array" ref="W26">IF(Q26&lt;&gt;"", INDEX(CI:CI, MATCH(1, (Q26&gt;=CG:CG)*(Q26&lt;=CH:CH), 0)), "")</f>
        <v>Regular Dates - Weekday</v>
      </c>
      <c r="X26" s="39">
        <v>4</v>
      </c>
      <c r="Y26" s="74">
        <v>13600</v>
      </c>
      <c r="Z26" s="74">
        <f>IF(OR(Table5[[#This Row],[Per Person Package Cost]]="", Table5[[#This Row],[No. of Pax]]=""), "", Table5[[#This Row],[Per Person Package Cost]] * Table5[[#This Row],[No. of Pax]])</f>
        <v>54400</v>
      </c>
      <c r="AA26" s="52" t="s">
        <v>75</v>
      </c>
      <c r="AB26" s="52" t="s">
        <v>75</v>
      </c>
      <c r="AC26" s="52" t="s">
        <v>76</v>
      </c>
      <c r="AD26" s="52" t="s">
        <v>439</v>
      </c>
      <c r="AE26" s="51" t="str">
        <f t="shared" si="0"/>
        <v>EXIDR24</v>
      </c>
      <c r="AF26" s="51" t="str">
        <f t="shared" si="1"/>
        <v>Spiritual Trails &amp; Heritage Echoes</v>
      </c>
      <c r="AG26" s="74" t="str">
        <f t="shared" si="2"/>
        <v>Quick Getaways</v>
      </c>
      <c r="AH26" s="73" t="str">
        <f t="shared" si="4"/>
        <v>West MP</v>
      </c>
      <c r="AI26" s="52" t="s">
        <v>107</v>
      </c>
      <c r="AJ26" s="56" t="s">
        <v>78</v>
      </c>
      <c r="AK26" s="59" t="s">
        <v>79</v>
      </c>
      <c r="AL26" s="60" t="s">
        <v>80</v>
      </c>
      <c r="AM26" s="54" t="s">
        <v>80</v>
      </c>
      <c r="AN26" s="14">
        <v>46098</v>
      </c>
      <c r="AO26" s="15">
        <v>46109</v>
      </c>
      <c r="AP26" s="91">
        <v>46174</v>
      </c>
      <c r="AQ26" s="87"/>
      <c r="AR26" s="26"/>
      <c r="AS26" s="65"/>
      <c r="AT26" s="88" t="s">
        <v>81</v>
      </c>
      <c r="AU26" s="67" t="s">
        <v>82</v>
      </c>
      <c r="BX26" s="1">
        <v>22</v>
      </c>
      <c r="CG26" s="143">
        <v>46185</v>
      </c>
      <c r="CH26" s="143">
        <v>46187</v>
      </c>
      <c r="CI26" s="142" t="s">
        <v>116</v>
      </c>
      <c r="CJ26" s="141"/>
      <c r="CK26" s="141"/>
      <c r="CN26" t="s">
        <v>440</v>
      </c>
      <c r="CU26" t="s">
        <v>92</v>
      </c>
      <c r="CV26" t="s">
        <v>299</v>
      </c>
      <c r="CW26" t="s">
        <v>441</v>
      </c>
      <c r="CX26" t="s">
        <v>442</v>
      </c>
      <c r="CY26" t="s">
        <v>243</v>
      </c>
      <c r="CZ26" t="s">
        <v>443</v>
      </c>
      <c r="DA26" t="str" cm="1">
        <f t="array" ref="DA26:EO26">IF(U26&lt;&gt;"", TRANSPOSE(_xlfn._xlws.FILTER(CZ:CZ, CY:CY=U26, "")), "")</f>
        <v>Gwl (3N) + Mor + Son + Dat + Orc</v>
      </c>
      <c r="DB26" t="str">
        <v>Ex Gwl | Gwl (1N) - Son - Dat - Orc (1N) - Gwl (1N)</v>
      </c>
      <c r="DC26" t="str">
        <v>Ex Idr | Idr - Ujj (1N) - Omk - Mah (1N) - Man (1N) - Idr</v>
      </c>
      <c r="DD26" t="str">
        <v>Ex Jlr | Jlr - Kan (2N) - Jlr (1N)</v>
      </c>
      <c r="DE26" t="str">
        <v>Ex Jlr | Jlr - Ban (2N) - Jlr (1N)</v>
      </c>
      <c r="DF26" t="str">
        <v>Ex Bho | Bho (1N) + San - Bhoj - Bhim - Pch (2N) - Bho</v>
      </c>
      <c r="DG26" t="str">
        <v>Ex Idr | Idr (1N) - Ujj (1N) - Omk (1N) - Mah - Idr</v>
      </c>
      <c r="DH26" t="str">
        <v>Gwl - Orc (1N) - Ckt (1N) - Myr (1N) - Jlr</v>
      </c>
      <c r="DI26" t="str">
        <v>Gwl - Orc (1N) - Ckt (2N) - Ixd</v>
      </c>
      <c r="DJ26" t="str">
        <v>Ex Idr | Idr - Ujj (1N) - Omk - Mah (1N) - Idr (1N)</v>
      </c>
      <c r="DK26" t="str">
        <v>Ex Jlr | Jlr - Kan (3N) - Jlr</v>
      </c>
      <c r="DL26" t="str">
        <v>Ex Bho | Bho (2N) + Bhim + Bhoj + San + Udaygiri + Vidisha + FDCT Bho</v>
      </c>
      <c r="DM26" t="str">
        <v>Bho (1N) + Bhim + Bhoj - HDCT  Bho + Sanchi - Ujj (2N)</v>
      </c>
      <c r="DN26" t="str">
        <v>Bho (1N) + Bhim + Bhoj - HDCT  Bho + Sanchi - Ujj (2N) - Idr</v>
      </c>
      <c r="DO26" t="str">
        <v>Ex Bho | Bho - Bhoj - Bhim - Mad (1N) - Pch (2N) - Bho</v>
      </c>
      <c r="DP26" t="str">
        <v>Ex Bho | Bho - Bhoj - Bhim - Mad (1N) - Pch (3N) - Bho</v>
      </c>
      <c r="DQ26" t="str">
        <v>Ex Bho | Bho - Bhoj - Bhim - Tawa (1N) - Mad (1N) - Bho (1N)</v>
      </c>
      <c r="DR26" t="str">
        <v>Bho (1N) - Bhim - Bhoj - San - Idr (2N) + Ujj</v>
      </c>
      <c r="DS26" t="str">
        <v>Bho (1N) - Bhoj - Bhim - Pch (2N) - Bho</v>
      </c>
      <c r="DT26" t="str">
        <v>Ujj (1N) - Omk - Mah (1N) - Idr (1N)</v>
      </c>
      <c r="DU26" t="str">
        <v>Ujj (1N) - Omk - Mah (1N) - Man (1N) - Idr</v>
      </c>
      <c r="DV26" t="str">
        <v>Ex Idr | Idr (1N) - Ujj (1N) - Omk - Mah (1N)</v>
      </c>
      <c r="DW26" t="str">
        <v>Ex Idr | Idr - Ujj (1N) - Omk (1N) - Mah (1N) - Idr</v>
      </c>
      <c r="DX26" t="str">
        <v>Khandwa - Omk (1N) - Mah (1N) - Ujj (1N) - Idr</v>
      </c>
      <c r="DY26" t="str">
        <v>Ex Idr | Idr - Ujj (1N) - Omk - Mah (1N) - Man - Idr (1N)</v>
      </c>
      <c r="DZ26" t="str">
        <v xml:space="preserve">Idr - Omk (1N) - Mah - Ujj (1N) San - Bho (1N) </v>
      </c>
      <c r="EA26" t="str">
        <v>Ex Idr | Idr - Man (1N) - Mah - Omk (1N) - Ujj (1N) - Idr</v>
      </c>
      <c r="EB26" t="str">
        <v>Khandwa - Omk (1N) - Mah - Ujj (2N)</v>
      </c>
      <c r="EC26" t="str">
        <v>Ex Jlr | Jlr (1N) - Amr (1N) - Ban (1N) - Jlr</v>
      </c>
      <c r="ED26" t="str">
        <v>Ex Jlr | Jlr - (1 N) Ban - (2 N) Amar</v>
      </c>
      <c r="EE26" t="str">
        <v>Jlr - Kan (1N) - Pch (2N)</v>
      </c>
      <c r="EF26" t="str">
        <v>Pi - Pch (2N)  - Kan (1N)</v>
      </c>
      <c r="EG26" t="str">
        <v>Ex Jlr | Jlr - Amr (1 N) - (1 N) Ban - (1 N) Jlr</v>
      </c>
      <c r="EH26" t="str">
        <v>Ppi - (2 N) Pch - (1 N) Pen</v>
      </c>
      <c r="EI26" t="str">
        <v>Bhp - Pch (2N) - Jlr (1N)</v>
      </c>
      <c r="EJ26" t="str">
        <v xml:space="preserve">Arr Jhn - Hjr (1N) - Orc - Gwl (2N) </v>
      </c>
      <c r="EK26" t="str">
        <v>(1 N) Ujj - (1 N) Mah - (1 N) Idr</v>
      </c>
      <c r="EL26" t="str">
        <v>Ex Bhp | Bhp - Bhoj - Bhim - Pch (3N) - Bhp</v>
      </c>
      <c r="EM26" t="str">
        <v>Ex Bhp | Bhp - Bhoj - Bhim - Pch (2N) - Mad (1N) - Bhp</v>
      </c>
      <c r="EN26" t="str">
        <v xml:space="preserve">Ex Nag - 3N Pch + Sat </v>
      </c>
      <c r="EO26" t="str">
        <v>1N Gwl - Son - Dat - 1N Hjr - 1N Orc - Jhn</v>
      </c>
    </row>
    <row r="27" spans="2:145" ht="15" customHeight="1">
      <c r="B27" s="34">
        <v>23</v>
      </c>
      <c r="C27" s="36" t="s">
        <v>444</v>
      </c>
      <c r="D27" s="76">
        <v>46097</v>
      </c>
      <c r="E27" s="37" t="str">
        <f>IF(Table5[[#This Row],[Query Date]]&lt;&gt;"", TEXT(Table5[[#This Row],[Query Date]], "dddd"), "")</f>
        <v>Monday</v>
      </c>
      <c r="F27" s="37" t="str">
        <f>IF(Table5[[#This Row],[Query Date]]&lt;&gt;"", TEXT(Table5[[#This Row],[Query Date]], "mmmm"), "")</f>
        <v>March</v>
      </c>
      <c r="G27" s="28" t="s">
        <v>65</v>
      </c>
      <c r="H27" s="28" t="s">
        <v>66</v>
      </c>
      <c r="I27" s="28" t="s">
        <v>67</v>
      </c>
      <c r="J27" s="28" t="s">
        <v>68</v>
      </c>
      <c r="K27" s="28" t="s">
        <v>69</v>
      </c>
      <c r="L27" s="25" t="s">
        <v>70</v>
      </c>
      <c r="M27" s="112" t="s">
        <v>266</v>
      </c>
      <c r="N27" s="25" t="s">
        <v>445</v>
      </c>
      <c r="O27" s="130" t="s">
        <v>387</v>
      </c>
      <c r="P27" s="46" t="s">
        <v>446</v>
      </c>
      <c r="Q27" s="77">
        <v>46121</v>
      </c>
      <c r="R27" s="77" t="str">
        <f>IF(Table5[[#This Row],[Tour Starting Date]]&lt;&gt;"", TEXT(Table5[[#This Row],[Tour Starting Date]], "dddd"), "")</f>
        <v>Thursday</v>
      </c>
      <c r="S27" s="77">
        <v>46124</v>
      </c>
      <c r="T27" s="25" t="str">
        <f>IF(Table5[[#This Row],[Tour Ending Date]]&lt;&gt;"", TEXT(Table5[[#This Row],[Tour Ending Date]], "dddd"), "")</f>
        <v>Sunday</v>
      </c>
      <c r="U27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27" s="37" t="str">
        <f>IF(Table5[[#This Row],[Tour Starting Date]]&lt;&gt;"", TEXT(Table5[[#This Row],[Tour Starting Date]], "mmmm"), "")</f>
        <v>April</v>
      </c>
      <c r="W27" s="80" t="str" cm="1">
        <f t="array" ref="W27">IF(Q27&lt;&gt;"", INDEX(CI:CI, MATCH(1, (Q27&gt;=CG:CG)*(Q27&lt;=CH:CH), 0)), "")</f>
        <v>Regular Dates - Weekday</v>
      </c>
      <c r="X27" s="39">
        <v>4</v>
      </c>
      <c r="Y27" s="74">
        <v>18600</v>
      </c>
      <c r="Z27" s="74">
        <f>IF(OR(Table5[[#This Row],[Per Person Package Cost]]="", Table5[[#This Row],[No. of Pax]]=""), "", Table5[[#This Row],[Per Person Package Cost]] * Table5[[#This Row],[No. of Pax]])</f>
        <v>74400</v>
      </c>
      <c r="AA27" s="52" t="s">
        <v>75</v>
      </c>
      <c r="AB27" s="52" t="s">
        <v>75</v>
      </c>
      <c r="AC27" s="52" t="s">
        <v>134</v>
      </c>
      <c r="AD27" s="52" t="s">
        <v>183</v>
      </c>
      <c r="AE27" s="51" t="str">
        <f t="shared" si="0"/>
        <v>EXIDR05</v>
      </c>
      <c r="AF27" s="51" t="str">
        <f t="shared" si="1"/>
        <v>The Marvels Of Malwa</v>
      </c>
      <c r="AG27" s="74" t="str">
        <f t="shared" si="2"/>
        <v>Quick Getaways</v>
      </c>
      <c r="AH27" s="73" t="str">
        <f t="shared" si="4"/>
        <v>West MP</v>
      </c>
      <c r="AI27" s="52" t="s">
        <v>159</v>
      </c>
      <c r="AJ27" s="56" t="s">
        <v>78</v>
      </c>
      <c r="AK27" s="59" t="s">
        <v>79</v>
      </c>
      <c r="AL27" s="60" t="s">
        <v>80</v>
      </c>
      <c r="AM27" s="54" t="s">
        <v>80</v>
      </c>
      <c r="AN27" s="14">
        <v>46102</v>
      </c>
      <c r="AO27" s="15">
        <v>46109</v>
      </c>
      <c r="AP27" s="91"/>
      <c r="AQ27" s="87"/>
      <c r="AR27" s="26"/>
      <c r="AS27" s="65"/>
      <c r="AT27" s="88" t="s">
        <v>81</v>
      </c>
      <c r="AU27" s="67"/>
      <c r="BX27" s="1">
        <v>23</v>
      </c>
      <c r="CG27" s="143">
        <v>46188</v>
      </c>
      <c r="CH27" s="143">
        <v>46191</v>
      </c>
      <c r="CI27" s="142" t="s">
        <v>88</v>
      </c>
      <c r="CJ27" s="141"/>
      <c r="CK27" s="141"/>
      <c r="CN27" t="s">
        <v>447</v>
      </c>
      <c r="CU27" t="s">
        <v>92</v>
      </c>
      <c r="CV27" t="s">
        <v>299</v>
      </c>
      <c r="CW27" t="s">
        <v>448</v>
      </c>
      <c r="CX27" t="s">
        <v>449</v>
      </c>
      <c r="CY27" t="s">
        <v>450</v>
      </c>
      <c r="CZ27" t="s">
        <v>451</v>
      </c>
      <c r="DA27" t="str" cm="1">
        <f t="array" ref="DA27:EO27">IF(U27&lt;&gt;"", TRANSPOSE(_xlfn._xlws.FILTER(CZ:CZ, CY:CY=U27, "")), "")</f>
        <v>Gwl (3N) + Mor + Son + Dat + Orc</v>
      </c>
      <c r="DB27" t="str">
        <v>Ex Gwl | Gwl (1N) - Son - Dat - Orc (1N) - Gwl (1N)</v>
      </c>
      <c r="DC27" t="str">
        <v>Ex Idr | Idr - Ujj (1N) - Omk - Mah (1N) - Man (1N) - Idr</v>
      </c>
      <c r="DD27" t="str">
        <v>Ex Jlr | Jlr - Kan (2N) - Jlr (1N)</v>
      </c>
      <c r="DE27" t="str">
        <v>Ex Jlr | Jlr - Ban (2N) - Jlr (1N)</v>
      </c>
      <c r="DF27" t="str">
        <v>Ex Bho | Bho (1N) + San - Bhoj - Bhim - Pch (2N) - Bho</v>
      </c>
      <c r="DG27" t="str">
        <v>Ex Idr | Idr (1N) - Ujj (1N) - Omk (1N) - Mah - Idr</v>
      </c>
      <c r="DH27" t="str">
        <v>Gwl - Orc (1N) - Ckt (1N) - Myr (1N) - Jlr</v>
      </c>
      <c r="DI27" t="str">
        <v>Gwl - Orc (1N) - Ckt (2N) - Ixd</v>
      </c>
      <c r="DJ27" t="str">
        <v>Ex Idr | Idr - Ujj (1N) - Omk - Mah (1N) - Idr (1N)</v>
      </c>
      <c r="DK27" t="str">
        <v>Ex Jlr | Jlr - Kan (3N) - Jlr</v>
      </c>
      <c r="DL27" t="str">
        <v>Ex Bho | Bho (2N) + Bhim + Bhoj + San + Udaygiri + Vidisha + FDCT Bho</v>
      </c>
      <c r="DM27" t="str">
        <v>Bho (1N) + Bhim + Bhoj - HDCT  Bho + Sanchi - Ujj (2N)</v>
      </c>
      <c r="DN27" t="str">
        <v>Bho (1N) + Bhim + Bhoj - HDCT  Bho + Sanchi - Ujj (2N) - Idr</v>
      </c>
      <c r="DO27" t="str">
        <v>Ex Bho | Bho - Bhoj - Bhim - Mad (1N) - Pch (2N) - Bho</v>
      </c>
      <c r="DP27" t="str">
        <v>Ex Bho | Bho - Bhoj - Bhim - Mad (1N) - Pch (3N) - Bho</v>
      </c>
      <c r="DQ27" t="str">
        <v>Ex Bho | Bho - Bhoj - Bhim - Tawa (1N) - Mad (1N) - Bho (1N)</v>
      </c>
      <c r="DR27" t="str">
        <v>Bho (1N) - Bhim - Bhoj - San - Idr (2N) + Ujj</v>
      </c>
      <c r="DS27" t="str">
        <v>Bho (1N) - Bhoj - Bhim - Pch (2N) - Bho</v>
      </c>
      <c r="DT27" t="str">
        <v>Ujj (1N) - Omk - Mah (1N) - Idr (1N)</v>
      </c>
      <c r="DU27" t="str">
        <v>Ujj (1N) - Omk - Mah (1N) - Man (1N) - Idr</v>
      </c>
      <c r="DV27" t="str">
        <v>Ex Idr | Idr (1N) - Ujj (1N) - Omk - Mah (1N)</v>
      </c>
      <c r="DW27" t="str">
        <v>Ex Idr | Idr - Ujj (1N) - Omk (1N) - Mah (1N) - Idr</v>
      </c>
      <c r="DX27" t="str">
        <v>Khandwa - Omk (1N) - Mah (1N) - Ujj (1N) - Idr</v>
      </c>
      <c r="DY27" t="str">
        <v>Ex Idr | Idr - Ujj (1N) - Omk - Mah (1N) - Man - Idr (1N)</v>
      </c>
      <c r="DZ27" t="str">
        <v xml:space="preserve">Idr - Omk (1N) - Mah - Ujj (1N) San - Bho (1N) </v>
      </c>
      <c r="EA27" t="str">
        <v>Ex Idr | Idr - Man (1N) - Mah - Omk (1N) - Ujj (1N) - Idr</v>
      </c>
      <c r="EB27" t="str">
        <v>Khandwa - Omk (1N) - Mah - Ujj (2N)</v>
      </c>
      <c r="EC27" t="str">
        <v>Ex Jlr | Jlr (1N) - Amr (1N) - Ban (1N) - Jlr</v>
      </c>
      <c r="ED27" t="str">
        <v>Ex Jlr | Jlr - (1 N) Ban - (2 N) Amar</v>
      </c>
      <c r="EE27" t="str">
        <v>Jlr - Kan (1N) - Pch (2N)</v>
      </c>
      <c r="EF27" t="str">
        <v>Pi - Pch (2N)  - Kan (1N)</v>
      </c>
      <c r="EG27" t="str">
        <v>Ex Jlr | Jlr - Amr (1 N) - (1 N) Ban - (1 N) Jlr</v>
      </c>
      <c r="EH27" t="str">
        <v>Ppi - (2 N) Pch - (1 N) Pen</v>
      </c>
      <c r="EI27" t="str">
        <v>Bhp - Pch (2N) - Jlr (1N)</v>
      </c>
      <c r="EJ27" t="str">
        <v xml:space="preserve">Arr Jhn - Hjr (1N) - Orc - Gwl (2N) </v>
      </c>
      <c r="EK27" t="str">
        <v>(1 N) Ujj - (1 N) Mah - (1 N) Idr</v>
      </c>
      <c r="EL27" t="str">
        <v>Ex Bhp | Bhp - Bhoj - Bhim - Pch (3N) - Bhp</v>
      </c>
      <c r="EM27" t="str">
        <v>Ex Bhp | Bhp - Bhoj - Bhim - Pch (2N) - Mad (1N) - Bhp</v>
      </c>
      <c r="EN27" t="str">
        <v xml:space="preserve">Ex Nag - 3N Pch + Sat </v>
      </c>
      <c r="EO27" t="str">
        <v>1N Gwl - Son - Dat - 1N Hjr - 1N Orc - Jhn</v>
      </c>
    </row>
    <row r="28" spans="2:145" ht="15" customHeight="1">
      <c r="B28" s="35">
        <v>24</v>
      </c>
      <c r="C28" s="36" t="s">
        <v>452</v>
      </c>
      <c r="D28" s="76">
        <v>46099</v>
      </c>
      <c r="E28" s="37" t="str">
        <f>IF(Table5[[#This Row],[Query Date]]&lt;&gt;"", TEXT(Table5[[#This Row],[Query Date]], "dddd"), "")</f>
        <v>Wednesday</v>
      </c>
      <c r="F28" s="37" t="str">
        <f>IF(Table5[[#This Row],[Query Date]]&lt;&gt;"", TEXT(Table5[[#This Row],[Query Date]], "mmmm"), "")</f>
        <v>March</v>
      </c>
      <c r="G28" s="28" t="s">
        <v>65</v>
      </c>
      <c r="H28" s="28" t="s">
        <v>99</v>
      </c>
      <c r="I28" s="28" t="s">
        <v>67</v>
      </c>
      <c r="J28" s="28" t="s">
        <v>68</v>
      </c>
      <c r="K28" s="28" t="s">
        <v>453</v>
      </c>
      <c r="L28" s="25" t="s">
        <v>70</v>
      </c>
      <c r="M28" s="112" t="s">
        <v>454</v>
      </c>
      <c r="N28" s="25" t="s">
        <v>455</v>
      </c>
      <c r="O28" s="133" t="s">
        <v>456</v>
      </c>
      <c r="P28" s="46" t="s">
        <v>457</v>
      </c>
      <c r="Q28" s="77">
        <v>46122</v>
      </c>
      <c r="R28" s="77" t="str">
        <f>IF(Table5[[#This Row],[Tour Starting Date]]&lt;&gt;"", TEXT(Table5[[#This Row],[Tour Starting Date]], "dddd"), "")</f>
        <v>Friday</v>
      </c>
      <c r="S28" s="77">
        <v>46123</v>
      </c>
      <c r="T28" s="25" t="str">
        <f>IF(Table5[[#This Row],[Tour Ending Date]]&lt;&gt;"", TEXT(Table5[[#This Row],[Tour Ending Date]], "dddd"), "")</f>
        <v>Saturday</v>
      </c>
      <c r="U28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1 Night &amp; 2 Days</v>
      </c>
      <c r="V28" s="37" t="str">
        <f>IF(Table5[[#This Row],[Tour Starting Date]]&lt;&gt;"", TEXT(Table5[[#This Row],[Tour Starting Date]], "mmmm"), "")</f>
        <v>April</v>
      </c>
      <c r="W28" s="80" t="str" cm="1">
        <f t="array" ref="W28">IF(Q28&lt;&gt;"", INDEX(CI:CI, MATCH(1, (Q28&gt;=CG:CG)*(Q28&lt;=CH:CH), 0)), "")</f>
        <v>Regular Dates - Weekend</v>
      </c>
      <c r="X28" s="39">
        <v>3</v>
      </c>
      <c r="Y28" s="74">
        <v>6500</v>
      </c>
      <c r="Z28" s="74">
        <f>IF(OR(Table5[[#This Row],[Per Person Package Cost]]="", Table5[[#This Row],[No. of Pax]]=""), "", Table5[[#This Row],[Per Person Package Cost]] * Table5[[#This Row],[No. of Pax]])</f>
        <v>19500</v>
      </c>
      <c r="AA28" s="52" t="s">
        <v>75</v>
      </c>
      <c r="AB28" s="52" t="s">
        <v>75</v>
      </c>
      <c r="AC28" s="52" t="s">
        <v>76</v>
      </c>
      <c r="AD28" s="52" t="s">
        <v>335</v>
      </c>
      <c r="AE28" s="51" t="str">
        <f t="shared" si="0"/>
        <v>EXIDR01</v>
      </c>
      <c r="AF28" s="51" t="str">
        <f t="shared" si="1"/>
        <v>Mahakaal Darshan</v>
      </c>
      <c r="AG28" s="74" t="str">
        <f t="shared" si="2"/>
        <v>Quick Getaways</v>
      </c>
      <c r="AH28" s="73" t="str">
        <f t="shared" si="4"/>
        <v>West MP</v>
      </c>
      <c r="AI28" s="52" t="s">
        <v>159</v>
      </c>
      <c r="AJ28" s="56" t="s">
        <v>78</v>
      </c>
      <c r="AK28" s="59" t="s">
        <v>79</v>
      </c>
      <c r="AL28" s="60" t="s">
        <v>80</v>
      </c>
      <c r="AM28" s="54" t="s">
        <v>80</v>
      </c>
      <c r="AN28" s="14">
        <v>46102</v>
      </c>
      <c r="AO28" s="15">
        <v>46118</v>
      </c>
      <c r="AP28" s="91"/>
      <c r="AQ28" s="87"/>
      <c r="AR28" s="26"/>
      <c r="AS28" s="65"/>
      <c r="AT28" s="88" t="s">
        <v>81</v>
      </c>
      <c r="AU28" s="67" t="s">
        <v>82</v>
      </c>
      <c r="BX28" s="1">
        <v>24</v>
      </c>
      <c r="CG28" s="143">
        <v>46192</v>
      </c>
      <c r="CH28" s="143">
        <v>46194</v>
      </c>
      <c r="CI28" s="142" t="s">
        <v>116</v>
      </c>
      <c r="CJ28" s="141"/>
      <c r="CK28" s="141"/>
      <c r="CN28" t="s">
        <v>458</v>
      </c>
      <c r="CU28" t="s">
        <v>92</v>
      </c>
      <c r="CV28" t="s">
        <v>171</v>
      </c>
      <c r="CW28" t="s">
        <v>459</v>
      </c>
      <c r="CX28" t="s">
        <v>460</v>
      </c>
      <c r="CY28" t="s">
        <v>125</v>
      </c>
      <c r="CZ28" t="s">
        <v>461</v>
      </c>
      <c r="DA28" t="str" cm="1">
        <f t="array" ref="DA28:DH28">IF(U28&lt;&gt;"", TRANSPOSE(_xlfn._xlws.FILTER(CZ:CZ, CY:CY=U28, "")), "")</f>
        <v>Gwl (1N)</v>
      </c>
      <c r="DB28" t="str">
        <v>Ex Idr | Idr - Ujj (1N) - Idr</v>
      </c>
      <c r="DC28" t="str">
        <v>Ex Idr | Idr - Ujj (1N) - Omk - Idr</v>
      </c>
      <c r="DD28" t="str">
        <v>Ex Idr | Idr - Ujj (1N) - Omk - Mah - Idr</v>
      </c>
      <c r="DE28" t="str">
        <v>Ex Idr | Ujj (1N) - Idr + HDCT</v>
      </c>
      <c r="DF28" t="str">
        <v>Ex Idr | Idr (1N)</v>
      </c>
      <c r="DG28" t="str">
        <v>Khandwa - Omk (1N) - Idr HDCT</v>
      </c>
      <c r="DH28" t="str">
        <v>Ex Ujj | Ujj (1N)</v>
      </c>
    </row>
    <row r="29" spans="2:145" ht="15" customHeight="1">
      <c r="B29" s="34">
        <v>25</v>
      </c>
      <c r="C29" s="36" t="s">
        <v>462</v>
      </c>
      <c r="D29" s="76">
        <v>46099</v>
      </c>
      <c r="E29" s="37" t="str">
        <f>IF(Table5[[#This Row],[Query Date]]&lt;&gt;"", TEXT(Table5[[#This Row],[Query Date]], "dddd"), "")</f>
        <v>Wednesday</v>
      </c>
      <c r="F29" s="37" t="str">
        <f>IF(Table5[[#This Row],[Query Date]]&lt;&gt;"", TEXT(Table5[[#This Row],[Query Date]], "mmmm"), "")</f>
        <v>March</v>
      </c>
      <c r="G29" s="28" t="s">
        <v>65</v>
      </c>
      <c r="H29" s="28" t="s">
        <v>66</v>
      </c>
      <c r="I29" s="28" t="s">
        <v>67</v>
      </c>
      <c r="J29" s="28" t="s">
        <v>68</v>
      </c>
      <c r="K29" s="28" t="s">
        <v>463</v>
      </c>
      <c r="L29" s="25" t="s">
        <v>70</v>
      </c>
      <c r="M29" s="112" t="s">
        <v>464</v>
      </c>
      <c r="N29" s="25" t="s">
        <v>465</v>
      </c>
      <c r="O29" s="130" t="s">
        <v>466</v>
      </c>
      <c r="P29" s="46" t="s">
        <v>467</v>
      </c>
      <c r="Q29" s="77">
        <v>46149</v>
      </c>
      <c r="R29" s="77" t="str">
        <f>IF(Table5[[#This Row],[Tour Starting Date]]&lt;&gt;"", TEXT(Table5[[#This Row],[Tour Starting Date]], "dddd"), "")</f>
        <v>Thursday</v>
      </c>
      <c r="S29" s="77">
        <v>46152</v>
      </c>
      <c r="T29" s="25" t="str">
        <f>IF(Table5[[#This Row],[Tour Ending Date]]&lt;&gt;"", TEXT(Table5[[#This Row],[Tour Ending Date]], "dddd"), "")</f>
        <v>Sunday</v>
      </c>
      <c r="U29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29" s="37" t="str">
        <f>IF(Table5[[#This Row],[Tour Starting Date]]&lt;&gt;"", TEXT(Table5[[#This Row],[Tour Starting Date]], "mmmm"), "")</f>
        <v>May</v>
      </c>
      <c r="W29" s="80" t="str" cm="1">
        <f t="array" ref="W29">IF(Q29&lt;&gt;"", INDEX(CI:CI, MATCH(1, (Q29&gt;=CG:CG)*(Q29&lt;=CH:CH), 0)), "")</f>
        <v>Regular Dates - Weekday</v>
      </c>
      <c r="X29" s="39">
        <v>4</v>
      </c>
      <c r="Y29" s="74">
        <v>11500</v>
      </c>
      <c r="Z29" s="74">
        <f>IF(OR(Table5[[#This Row],[Per Person Package Cost]]="", Table5[[#This Row],[No. of Pax]]=""), "", Table5[[#This Row],[Per Person Package Cost]] * Table5[[#This Row],[No. of Pax]])</f>
        <v>46000</v>
      </c>
      <c r="AA29" s="52" t="s">
        <v>75</v>
      </c>
      <c r="AB29" s="52" t="s">
        <v>75</v>
      </c>
      <c r="AC29" s="52" t="s">
        <v>76</v>
      </c>
      <c r="AD29" s="52" t="s">
        <v>421</v>
      </c>
      <c r="AE29" s="51" t="str">
        <f t="shared" si="0"/>
        <v>EMPSPR08</v>
      </c>
      <c r="AF29" s="51" t="str">
        <f t="shared" si="1"/>
        <v>Sacred Journey of Central India</v>
      </c>
      <c r="AG29" s="74" t="str">
        <f t="shared" si="2"/>
        <v>Special Interest - Spiritual Tours</v>
      </c>
      <c r="AH29" s="73" t="str">
        <f t="shared" si="4"/>
        <v>West MP</v>
      </c>
      <c r="AI29" s="52" t="s">
        <v>159</v>
      </c>
      <c r="AJ29" s="56" t="s">
        <v>78</v>
      </c>
      <c r="AK29" s="59" t="s">
        <v>79</v>
      </c>
      <c r="AL29" s="60" t="s">
        <v>80</v>
      </c>
      <c r="AM29" s="54" t="s">
        <v>80</v>
      </c>
      <c r="AN29" s="14">
        <v>46102</v>
      </c>
      <c r="AO29" s="15"/>
      <c r="AP29" s="91"/>
      <c r="AQ29" s="87"/>
      <c r="AR29" s="26"/>
      <c r="AS29" s="65"/>
      <c r="AT29" s="88" t="s">
        <v>81</v>
      </c>
      <c r="AU29" s="67" t="s">
        <v>211</v>
      </c>
      <c r="BX29" s="1">
        <v>25</v>
      </c>
      <c r="CG29" s="143">
        <v>46195</v>
      </c>
      <c r="CH29" s="143">
        <v>46197</v>
      </c>
      <c r="CI29" s="142" t="s">
        <v>88</v>
      </c>
      <c r="CJ29" s="141"/>
      <c r="CK29" s="141"/>
      <c r="CN29" t="s">
        <v>468</v>
      </c>
      <c r="CU29" t="s">
        <v>92</v>
      </c>
      <c r="CV29" t="s">
        <v>121</v>
      </c>
      <c r="CW29" t="s">
        <v>469</v>
      </c>
      <c r="CX29" t="s">
        <v>470</v>
      </c>
      <c r="CY29" t="s">
        <v>125</v>
      </c>
      <c r="CZ29" t="s">
        <v>471</v>
      </c>
      <c r="DA29" t="str" cm="1">
        <f t="array" ref="DA29:EO29">IF(U29&lt;&gt;"", TRANSPOSE(_xlfn._xlws.FILTER(CZ:CZ, CY:CY=U29, "")), "")</f>
        <v>Gwl (3N) + Mor + Son + Dat + Orc</v>
      </c>
      <c r="DB29" t="str">
        <v>Ex Gwl | Gwl (1N) - Son - Dat - Orc (1N) - Gwl (1N)</v>
      </c>
      <c r="DC29" t="str">
        <v>Ex Idr | Idr - Ujj (1N) - Omk - Mah (1N) - Man (1N) - Idr</v>
      </c>
      <c r="DD29" t="str">
        <v>Ex Jlr | Jlr - Kan (2N) - Jlr (1N)</v>
      </c>
      <c r="DE29" t="str">
        <v>Ex Jlr | Jlr - Ban (2N) - Jlr (1N)</v>
      </c>
      <c r="DF29" t="str">
        <v>Ex Bho | Bho (1N) + San - Bhoj - Bhim - Pch (2N) - Bho</v>
      </c>
      <c r="DG29" t="str">
        <v>Ex Idr | Idr (1N) - Ujj (1N) - Omk (1N) - Mah - Idr</v>
      </c>
      <c r="DH29" t="str">
        <v>Gwl - Orc (1N) - Ckt (1N) - Myr (1N) - Jlr</v>
      </c>
      <c r="DI29" t="str">
        <v>Gwl - Orc (1N) - Ckt (2N) - Ixd</v>
      </c>
      <c r="DJ29" t="str">
        <v>Ex Idr | Idr - Ujj (1N) - Omk - Mah (1N) - Idr (1N)</v>
      </c>
      <c r="DK29" t="str">
        <v>Ex Jlr | Jlr - Kan (3N) - Jlr</v>
      </c>
      <c r="DL29" t="str">
        <v>Ex Bho | Bho (2N) + Bhim + Bhoj + San + Udaygiri + Vidisha + FDCT Bho</v>
      </c>
      <c r="DM29" t="str">
        <v>Bho (1N) + Bhim + Bhoj - HDCT  Bho + Sanchi - Ujj (2N)</v>
      </c>
      <c r="DN29" t="str">
        <v>Bho (1N) + Bhim + Bhoj - HDCT  Bho + Sanchi - Ujj (2N) - Idr</v>
      </c>
      <c r="DO29" t="str">
        <v>Ex Bho | Bho - Bhoj - Bhim - Mad (1N) - Pch (2N) - Bho</v>
      </c>
      <c r="DP29" t="str">
        <v>Ex Bho | Bho - Bhoj - Bhim - Mad (1N) - Pch (3N) - Bho</v>
      </c>
      <c r="DQ29" t="str">
        <v>Ex Bho | Bho - Bhoj - Bhim - Tawa (1N) - Mad (1N) - Bho (1N)</v>
      </c>
      <c r="DR29" t="str">
        <v>Bho (1N) - Bhim - Bhoj - San - Idr (2N) + Ujj</v>
      </c>
      <c r="DS29" t="str">
        <v>Bho (1N) - Bhoj - Bhim - Pch (2N) - Bho</v>
      </c>
      <c r="DT29" t="str">
        <v>Ujj (1N) - Omk - Mah (1N) - Idr (1N)</v>
      </c>
      <c r="DU29" t="str">
        <v>Ujj (1N) - Omk - Mah (1N) - Man (1N) - Idr</v>
      </c>
      <c r="DV29" t="str">
        <v>Ex Idr | Idr (1N) - Ujj (1N) - Omk - Mah (1N)</v>
      </c>
      <c r="DW29" t="str">
        <v>Ex Idr | Idr - Ujj (1N) - Omk (1N) - Mah (1N) - Idr</v>
      </c>
      <c r="DX29" t="str">
        <v>Khandwa - Omk (1N) - Mah (1N) - Ujj (1N) - Idr</v>
      </c>
      <c r="DY29" t="str">
        <v>Ex Idr | Idr - Ujj (1N) - Omk - Mah (1N) - Man - Idr (1N)</v>
      </c>
      <c r="DZ29" t="str">
        <v xml:space="preserve">Idr - Omk (1N) - Mah - Ujj (1N) San - Bho (1N) </v>
      </c>
      <c r="EA29" t="str">
        <v>Ex Idr | Idr - Man (1N) - Mah - Omk (1N) - Ujj (1N) - Idr</v>
      </c>
      <c r="EB29" t="str">
        <v>Khandwa - Omk (1N) - Mah - Ujj (2N)</v>
      </c>
      <c r="EC29" t="str">
        <v>Ex Jlr | Jlr (1N) - Amr (1N) - Ban (1N) - Jlr</v>
      </c>
      <c r="ED29" t="str">
        <v>Ex Jlr | Jlr - (1 N) Ban - (2 N) Amar</v>
      </c>
      <c r="EE29" t="str">
        <v>Jlr - Kan (1N) - Pch (2N)</v>
      </c>
      <c r="EF29" t="str">
        <v>Pi - Pch (2N)  - Kan (1N)</v>
      </c>
      <c r="EG29" t="str">
        <v>Ex Jlr | Jlr - Amr (1 N) - (1 N) Ban - (1 N) Jlr</v>
      </c>
      <c r="EH29" t="str">
        <v>Ppi - (2 N) Pch - (1 N) Pen</v>
      </c>
      <c r="EI29" t="str">
        <v>Bhp - Pch (2N) - Jlr (1N)</v>
      </c>
      <c r="EJ29" t="str">
        <v xml:space="preserve">Arr Jhn - Hjr (1N) - Orc - Gwl (2N) </v>
      </c>
      <c r="EK29" t="str">
        <v>(1 N) Ujj - (1 N) Mah - (1 N) Idr</v>
      </c>
      <c r="EL29" t="str">
        <v>Ex Bhp | Bhp - Bhoj - Bhim - Pch (3N) - Bhp</v>
      </c>
      <c r="EM29" t="str">
        <v>Ex Bhp | Bhp - Bhoj - Bhim - Pch (2N) - Mad (1N) - Bhp</v>
      </c>
      <c r="EN29" t="str">
        <v xml:space="preserve">Ex Nag - 3N Pch + Sat </v>
      </c>
      <c r="EO29" t="str">
        <v>1N Gwl - Son - Dat - 1N Hjr - 1N Orc - Jhn</v>
      </c>
    </row>
    <row r="30" spans="2:145" ht="15" customHeight="1">
      <c r="B30" s="35">
        <v>26</v>
      </c>
      <c r="C30" s="36" t="s">
        <v>472</v>
      </c>
      <c r="D30" s="76">
        <v>46099</v>
      </c>
      <c r="E30" s="37" t="str">
        <f>IF(Table5[[#This Row],[Query Date]]&lt;&gt;"", TEXT(Table5[[#This Row],[Query Date]], "dddd"), "")</f>
        <v>Wednesday</v>
      </c>
      <c r="F30" s="37" t="str">
        <f>IF(Table5[[#This Row],[Query Date]]&lt;&gt;"", TEXT(Table5[[#This Row],[Query Date]], "mmmm"), "")</f>
        <v>March</v>
      </c>
      <c r="G30" s="28" t="s">
        <v>65</v>
      </c>
      <c r="H30" s="28" t="s">
        <v>66</v>
      </c>
      <c r="I30" s="28" t="s">
        <v>67</v>
      </c>
      <c r="J30" s="28" t="s">
        <v>68</v>
      </c>
      <c r="K30" s="28" t="s">
        <v>128</v>
      </c>
      <c r="L30" s="25" t="s">
        <v>70</v>
      </c>
      <c r="M30" s="112" t="s">
        <v>473</v>
      </c>
      <c r="N30" s="25" t="s">
        <v>474</v>
      </c>
      <c r="O30" s="130" t="s">
        <v>475</v>
      </c>
      <c r="P30" s="46" t="s">
        <v>476</v>
      </c>
      <c r="Q30" s="77">
        <v>46113</v>
      </c>
      <c r="R30" s="77" t="str">
        <f>IF(Table5[[#This Row],[Tour Starting Date]]&lt;&gt;"", TEXT(Table5[[#This Row],[Tour Starting Date]], "dddd"), "")</f>
        <v>Wednesday</v>
      </c>
      <c r="S30" s="77">
        <v>46116</v>
      </c>
      <c r="T30" s="25" t="str">
        <f>IF(Table5[[#This Row],[Tour Ending Date]]&lt;&gt;"", TEXT(Table5[[#This Row],[Tour Ending Date]], "dddd"), "")</f>
        <v>Saturday</v>
      </c>
      <c r="U30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30" s="37" t="str">
        <f>IF(Table5[[#This Row],[Tour Starting Date]]&lt;&gt;"", TEXT(Table5[[#This Row],[Tour Starting Date]], "mmmm"), "")</f>
        <v>April</v>
      </c>
      <c r="W30" s="80" t="str" cm="1">
        <f t="array" ref="W30">IF(Q30&lt;&gt;"", INDEX(CI:CI, MATCH(1, (Q30&gt;=CG:CG)*(Q30&lt;=CH:CH), 0)), "")</f>
        <v>Regular Dates - Weekday</v>
      </c>
      <c r="X30" s="39">
        <v>3</v>
      </c>
      <c r="Y30" s="74">
        <v>10500</v>
      </c>
      <c r="Z30" s="74">
        <f>IF(OR(Table5[[#This Row],[Per Person Package Cost]]="", Table5[[#This Row],[No. of Pax]]=""), "", Table5[[#This Row],[Per Person Package Cost]] * Table5[[#This Row],[No. of Pax]])</f>
        <v>31500</v>
      </c>
      <c r="AA30" s="52" t="s">
        <v>75</v>
      </c>
      <c r="AB30" s="52" t="s">
        <v>75</v>
      </c>
      <c r="AC30" s="52" t="s">
        <v>76</v>
      </c>
      <c r="AD30" s="52" t="s">
        <v>421</v>
      </c>
      <c r="AE30" s="51" t="str">
        <f t="shared" si="0"/>
        <v>EMPSPR08</v>
      </c>
      <c r="AF30" s="51" t="str">
        <f t="shared" si="1"/>
        <v>Sacred Journey of Central India</v>
      </c>
      <c r="AG30" s="74" t="str">
        <f t="shared" si="2"/>
        <v>Special Interest - Spiritual Tours</v>
      </c>
      <c r="AH30" s="73" t="str">
        <f t="shared" si="4"/>
        <v>West MP</v>
      </c>
      <c r="AI30" s="52" t="s">
        <v>107</v>
      </c>
      <c r="AJ30" s="56" t="s">
        <v>78</v>
      </c>
      <c r="AK30" s="59" t="s">
        <v>79</v>
      </c>
      <c r="AL30" s="60" t="s">
        <v>80</v>
      </c>
      <c r="AM30" s="54" t="s">
        <v>80</v>
      </c>
      <c r="AN30" s="14">
        <v>46102</v>
      </c>
      <c r="AO30" s="15">
        <v>46107</v>
      </c>
      <c r="AP30" s="91"/>
      <c r="AQ30" s="87"/>
      <c r="AR30" s="26"/>
      <c r="AS30" s="65"/>
      <c r="AT30" s="88" t="s">
        <v>81</v>
      </c>
      <c r="AU30" s="67" t="s">
        <v>82</v>
      </c>
      <c r="BX30" s="1">
        <v>26</v>
      </c>
      <c r="CG30" s="143">
        <v>46198</v>
      </c>
      <c r="CH30" s="143">
        <v>46201</v>
      </c>
      <c r="CI30" s="142" t="s">
        <v>477</v>
      </c>
      <c r="CJ30" s="141"/>
      <c r="CK30" s="141"/>
      <c r="CN30" t="s">
        <v>478</v>
      </c>
      <c r="CU30" t="s">
        <v>92</v>
      </c>
      <c r="CV30" t="s">
        <v>121</v>
      </c>
      <c r="CW30" t="s">
        <v>479</v>
      </c>
      <c r="CX30" t="s">
        <v>480</v>
      </c>
      <c r="CY30" t="s">
        <v>151</v>
      </c>
      <c r="CZ30" t="s">
        <v>481</v>
      </c>
      <c r="DA30" t="str" cm="1">
        <f t="array" ref="DA30:EO30">IF(U30&lt;&gt;"", TRANSPOSE(_xlfn._xlws.FILTER(CZ:CZ, CY:CY=U30, "")), "")</f>
        <v>Gwl (3N) + Mor + Son + Dat + Orc</v>
      </c>
      <c r="DB30" t="str">
        <v>Ex Gwl | Gwl (1N) - Son - Dat - Orc (1N) - Gwl (1N)</v>
      </c>
      <c r="DC30" t="str">
        <v>Ex Idr | Idr - Ujj (1N) - Omk - Mah (1N) - Man (1N) - Idr</v>
      </c>
      <c r="DD30" t="str">
        <v>Ex Jlr | Jlr - Kan (2N) - Jlr (1N)</v>
      </c>
      <c r="DE30" t="str">
        <v>Ex Jlr | Jlr - Ban (2N) - Jlr (1N)</v>
      </c>
      <c r="DF30" t="str">
        <v>Ex Bho | Bho (1N) + San - Bhoj - Bhim - Pch (2N) - Bho</v>
      </c>
      <c r="DG30" t="str">
        <v>Ex Idr | Idr (1N) - Ujj (1N) - Omk (1N) - Mah - Idr</v>
      </c>
      <c r="DH30" t="str">
        <v>Gwl - Orc (1N) - Ckt (1N) - Myr (1N) - Jlr</v>
      </c>
      <c r="DI30" t="str">
        <v>Gwl - Orc (1N) - Ckt (2N) - Ixd</v>
      </c>
      <c r="DJ30" t="str">
        <v>Ex Idr | Idr - Ujj (1N) - Omk - Mah (1N) - Idr (1N)</v>
      </c>
      <c r="DK30" t="str">
        <v>Ex Jlr | Jlr - Kan (3N) - Jlr</v>
      </c>
      <c r="DL30" t="str">
        <v>Ex Bho | Bho (2N) + Bhim + Bhoj + San + Udaygiri + Vidisha + FDCT Bho</v>
      </c>
      <c r="DM30" t="str">
        <v>Bho (1N) + Bhim + Bhoj - HDCT  Bho + Sanchi - Ujj (2N)</v>
      </c>
      <c r="DN30" t="str">
        <v>Bho (1N) + Bhim + Bhoj - HDCT  Bho + Sanchi - Ujj (2N) - Idr</v>
      </c>
      <c r="DO30" t="str">
        <v>Ex Bho | Bho - Bhoj - Bhim - Mad (1N) - Pch (2N) - Bho</v>
      </c>
      <c r="DP30" t="str">
        <v>Ex Bho | Bho - Bhoj - Bhim - Mad (1N) - Pch (3N) - Bho</v>
      </c>
      <c r="DQ30" t="str">
        <v>Ex Bho | Bho - Bhoj - Bhim - Tawa (1N) - Mad (1N) - Bho (1N)</v>
      </c>
      <c r="DR30" t="str">
        <v>Bho (1N) - Bhim - Bhoj - San - Idr (2N) + Ujj</v>
      </c>
      <c r="DS30" t="str">
        <v>Bho (1N) - Bhoj - Bhim - Pch (2N) - Bho</v>
      </c>
      <c r="DT30" t="str">
        <v>Ujj (1N) - Omk - Mah (1N) - Idr (1N)</v>
      </c>
      <c r="DU30" t="str">
        <v>Ujj (1N) - Omk - Mah (1N) - Man (1N) - Idr</v>
      </c>
      <c r="DV30" t="str">
        <v>Ex Idr | Idr (1N) - Ujj (1N) - Omk - Mah (1N)</v>
      </c>
      <c r="DW30" t="str">
        <v>Ex Idr | Idr - Ujj (1N) - Omk (1N) - Mah (1N) - Idr</v>
      </c>
      <c r="DX30" t="str">
        <v>Khandwa - Omk (1N) - Mah (1N) - Ujj (1N) - Idr</v>
      </c>
      <c r="DY30" t="str">
        <v>Ex Idr | Idr - Ujj (1N) - Omk - Mah (1N) - Man - Idr (1N)</v>
      </c>
      <c r="DZ30" t="str">
        <v xml:space="preserve">Idr - Omk (1N) - Mah - Ujj (1N) San - Bho (1N) </v>
      </c>
      <c r="EA30" t="str">
        <v>Ex Idr | Idr - Man (1N) - Mah - Omk (1N) - Ujj (1N) - Idr</v>
      </c>
      <c r="EB30" t="str">
        <v>Khandwa - Omk (1N) - Mah - Ujj (2N)</v>
      </c>
      <c r="EC30" t="str">
        <v>Ex Jlr | Jlr (1N) - Amr (1N) - Ban (1N) - Jlr</v>
      </c>
      <c r="ED30" t="str">
        <v>Ex Jlr | Jlr - (1 N) Ban - (2 N) Amar</v>
      </c>
      <c r="EE30" t="str">
        <v>Jlr - Kan (1N) - Pch (2N)</v>
      </c>
      <c r="EF30" t="str">
        <v>Pi - Pch (2N)  - Kan (1N)</v>
      </c>
      <c r="EG30" t="str">
        <v>Ex Jlr | Jlr - Amr (1 N) - (1 N) Ban - (1 N) Jlr</v>
      </c>
      <c r="EH30" t="str">
        <v>Ppi - (2 N) Pch - (1 N) Pen</v>
      </c>
      <c r="EI30" t="str">
        <v>Bhp - Pch (2N) - Jlr (1N)</v>
      </c>
      <c r="EJ30" t="str">
        <v xml:space="preserve">Arr Jhn - Hjr (1N) - Orc - Gwl (2N) </v>
      </c>
      <c r="EK30" t="str">
        <v>(1 N) Ujj - (1 N) Mah - (1 N) Idr</v>
      </c>
      <c r="EL30" t="str">
        <v>Ex Bhp | Bhp - Bhoj - Bhim - Pch (3N) - Bhp</v>
      </c>
      <c r="EM30" t="str">
        <v>Ex Bhp | Bhp - Bhoj - Bhim - Pch (2N) - Mad (1N) - Bhp</v>
      </c>
      <c r="EN30" t="str">
        <v xml:space="preserve">Ex Nag - 3N Pch + Sat </v>
      </c>
      <c r="EO30" t="str">
        <v>1N Gwl - Son - Dat - 1N Hjr - 1N Orc - Jhn</v>
      </c>
    </row>
    <row r="31" spans="2:145" ht="15" customHeight="1">
      <c r="B31" s="34">
        <v>27</v>
      </c>
      <c r="C31" s="36" t="s">
        <v>482</v>
      </c>
      <c r="D31" s="76">
        <v>46100</v>
      </c>
      <c r="E31" s="37" t="str">
        <f>IF(Table5[[#This Row],[Query Date]]&lt;&gt;"", TEXT(Table5[[#This Row],[Query Date]], "dddd"), "")</f>
        <v>Thursday</v>
      </c>
      <c r="F31" s="37" t="str">
        <f>IF(Table5[[#This Row],[Query Date]]&lt;&gt;"", TEXT(Table5[[#This Row],[Query Date]], "mmmm"), "")</f>
        <v>March</v>
      </c>
      <c r="G31" s="28" t="s">
        <v>65</v>
      </c>
      <c r="H31" s="28" t="s">
        <v>66</v>
      </c>
      <c r="I31" s="28" t="s">
        <v>67</v>
      </c>
      <c r="J31" s="28" t="s">
        <v>68</v>
      </c>
      <c r="K31" s="28" t="s">
        <v>226</v>
      </c>
      <c r="L31" s="25" t="s">
        <v>70</v>
      </c>
      <c r="M31" s="112" t="s">
        <v>286</v>
      </c>
      <c r="N31" s="25" t="s">
        <v>287</v>
      </c>
      <c r="O31" s="130" t="s">
        <v>288</v>
      </c>
      <c r="P31" s="25" t="s">
        <v>289</v>
      </c>
      <c r="Q31" s="77">
        <v>46122</v>
      </c>
      <c r="R31" s="77" t="str">
        <f>IF(Table5[[#This Row],[Tour Starting Date]]&lt;&gt;"", TEXT(Table5[[#This Row],[Tour Starting Date]], "dddd"), "")</f>
        <v>Friday</v>
      </c>
      <c r="S31" s="77">
        <v>46132</v>
      </c>
      <c r="T31" s="25" t="str">
        <f>IF(Table5[[#This Row],[Tour Ending Date]]&lt;&gt;"", TEXT(Table5[[#This Row],[Tour Ending Date]], "dddd"), "")</f>
        <v>Monday</v>
      </c>
      <c r="U31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10 Nights &amp; 11 Days</v>
      </c>
      <c r="V31" s="37" t="str">
        <f>IF(Table5[[#This Row],[Tour Starting Date]]&lt;&gt;"", TEXT(Table5[[#This Row],[Tour Starting Date]], "mmmm"), "")</f>
        <v>April</v>
      </c>
      <c r="W31" s="80" t="str" cm="1">
        <f t="array" ref="W31">IF(Q31&lt;&gt;"", INDEX(CI:CI, MATCH(1, (Q31&gt;=CG:CG)*(Q31&lt;=CH:CH), 0)), "")</f>
        <v>Regular Dates - Weekend</v>
      </c>
      <c r="X31" s="39">
        <v>5</v>
      </c>
      <c r="Y31" s="74">
        <v>49000</v>
      </c>
      <c r="Z31" s="74">
        <f>IF(OR(Table5[[#This Row],[Per Person Package Cost]]="", Table5[[#This Row],[No. of Pax]]=""), "", Table5[[#This Row],[Per Person Package Cost]] * Table5[[#This Row],[No. of Pax]])</f>
        <v>245000</v>
      </c>
      <c r="AA31" s="52" t="s">
        <v>366</v>
      </c>
      <c r="AB31" s="52" t="s">
        <v>128</v>
      </c>
      <c r="AC31" s="52" t="s">
        <v>173</v>
      </c>
      <c r="AD31" s="52"/>
      <c r="AE31" s="51" t="str">
        <f t="shared" si="0"/>
        <v/>
      </c>
      <c r="AF31" s="51" t="str">
        <f t="shared" si="1"/>
        <v/>
      </c>
      <c r="AG31" s="74" t="str">
        <f t="shared" si="2"/>
        <v/>
      </c>
      <c r="AH31" s="73" t="str">
        <f t="shared" si="4"/>
        <v/>
      </c>
      <c r="AI31" s="52" t="s">
        <v>107</v>
      </c>
      <c r="AJ31" s="56" t="s">
        <v>78</v>
      </c>
      <c r="AK31" s="59" t="s">
        <v>79</v>
      </c>
      <c r="AL31" s="60" t="s">
        <v>80</v>
      </c>
      <c r="AM31" s="54" t="s">
        <v>80</v>
      </c>
      <c r="AN31" s="14">
        <v>46102</v>
      </c>
      <c r="AO31" s="15"/>
      <c r="AP31" s="91"/>
      <c r="AQ31" s="87"/>
      <c r="AR31" s="26"/>
      <c r="AS31" s="65"/>
      <c r="AT31" s="88" t="s">
        <v>81</v>
      </c>
      <c r="AU31" s="67" t="s">
        <v>82</v>
      </c>
      <c r="BX31" s="1">
        <v>27</v>
      </c>
      <c r="CG31" s="143">
        <v>46202</v>
      </c>
      <c r="CH31" s="143">
        <v>46205</v>
      </c>
      <c r="CI31" s="142" t="s">
        <v>88</v>
      </c>
      <c r="CJ31" s="141"/>
      <c r="CK31" s="141"/>
      <c r="CN31" t="s">
        <v>483</v>
      </c>
      <c r="CU31" t="s">
        <v>92</v>
      </c>
      <c r="CV31" t="s">
        <v>121</v>
      </c>
      <c r="CW31" t="s">
        <v>484</v>
      </c>
      <c r="CX31" t="s">
        <v>485</v>
      </c>
      <c r="CY31" t="s">
        <v>197</v>
      </c>
      <c r="CZ31" t="s">
        <v>486</v>
      </c>
      <c r="DA31" t="str" cm="1">
        <f t="array" ref="DA31:DC31">IF(U31&lt;&gt;"", TRANSPOSE(_xlfn._xlws.FILTER(CZ:CZ, CY:CY=U31, "")), "")</f>
        <v>Gwl (2N) + Mor - Son - Dat - Orc (1N) - Hjr (1N) - San - Bho (2N) + Bhim + Bhoj - Ujj (1N) - Omk - Mah (1N) - Man (1N) - Idr (1N)</v>
      </c>
      <c r="DB31" t="str">
        <v>Gwl (1N) - Dat (Pitambara Peeth) - Orc (1N) - Ckt (1N) - Myr (1N) - Amk (2N) - Jlr (1N) - Bhoj - Bho (1N) - Ujj (1N)- Omk - Mah (1N) - Idr</v>
      </c>
      <c r="DC31" t="str">
        <v>2N Pen - 2N Kan - 2N Ban - 2N Pan - 2N Hjr</v>
      </c>
    </row>
    <row r="32" spans="2:145" ht="15" customHeight="1">
      <c r="B32" s="35">
        <v>28</v>
      </c>
      <c r="C32" s="36" t="s">
        <v>487</v>
      </c>
      <c r="D32" s="76">
        <v>46104</v>
      </c>
      <c r="E32" s="37" t="str">
        <f>IF(Table5[[#This Row],[Query Date]]&lt;&gt;"", TEXT(Table5[[#This Row],[Query Date]], "dddd"), "")</f>
        <v>Monday</v>
      </c>
      <c r="F32" s="37" t="str">
        <f>IF(Table5[[#This Row],[Query Date]]&lt;&gt;"", TEXT(Table5[[#This Row],[Query Date]], "mmmm"), "")</f>
        <v>March</v>
      </c>
      <c r="G32" s="28" t="s">
        <v>65</v>
      </c>
      <c r="H32" s="28" t="s">
        <v>120</v>
      </c>
      <c r="I32" s="28" t="s">
        <v>67</v>
      </c>
      <c r="J32" s="28" t="s">
        <v>68</v>
      </c>
      <c r="K32" s="28" t="s">
        <v>488</v>
      </c>
      <c r="L32" s="25" t="s">
        <v>70</v>
      </c>
      <c r="M32" s="112" t="s">
        <v>489</v>
      </c>
      <c r="N32" s="25" t="s">
        <v>490</v>
      </c>
      <c r="O32" s="134" t="s">
        <v>491</v>
      </c>
      <c r="P32" s="46" t="s">
        <v>492</v>
      </c>
      <c r="Q32" s="77">
        <v>46147</v>
      </c>
      <c r="R32" s="77" t="str">
        <f>IF(Table5[[#This Row],[Tour Starting Date]]&lt;&gt;"", TEXT(Table5[[#This Row],[Tour Starting Date]], "dddd"), "")</f>
        <v>Tuesday</v>
      </c>
      <c r="S32" s="77">
        <v>46151</v>
      </c>
      <c r="T32" s="25" t="str">
        <f>IF(Table5[[#This Row],[Tour Ending Date]]&lt;&gt;"", TEXT(Table5[[#This Row],[Tour Ending Date]], "dddd"), "")</f>
        <v>Saturday</v>
      </c>
      <c r="U32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4 Nights &amp; 5 Days</v>
      </c>
      <c r="V32" s="37" t="str">
        <f>IF(Table5[[#This Row],[Tour Starting Date]]&lt;&gt;"", TEXT(Table5[[#This Row],[Tour Starting Date]], "mmmm"), "")</f>
        <v>May</v>
      </c>
      <c r="W32" s="80" t="str" cm="1">
        <f t="array" ref="W32">IF(Q32&lt;&gt;"", INDEX(CI:CI, MATCH(1, (Q32&gt;=CG:CG)*(Q32&lt;=CH:CH), 0)), "")</f>
        <v>Regular Dates - Weekday</v>
      </c>
      <c r="X32" s="39">
        <v>3</v>
      </c>
      <c r="Y32" s="74">
        <v>10200</v>
      </c>
      <c r="Z32" s="74">
        <f>IF(OR(Table5[[#This Row],[Per Person Package Cost]]="", Table5[[#This Row],[No. of Pax]]=""), "", Table5[[#This Row],[Per Person Package Cost]] * Table5[[#This Row],[No. of Pax]])</f>
        <v>30600</v>
      </c>
      <c r="AA32" s="52" t="s">
        <v>75</v>
      </c>
      <c r="AB32" s="52" t="s">
        <v>75</v>
      </c>
      <c r="AC32" s="52" t="s">
        <v>76</v>
      </c>
      <c r="AD32" s="52" t="s">
        <v>106</v>
      </c>
      <c r="AE32" s="51" t="str">
        <f t="shared" si="0"/>
        <v>EXIDR04</v>
      </c>
      <c r="AF32" s="51" t="str">
        <f t="shared" si="1"/>
        <v>Heritage Pilgrimage</v>
      </c>
      <c r="AG32" s="74" t="str">
        <f t="shared" si="2"/>
        <v>Quick Getaways</v>
      </c>
      <c r="AH32" s="73" t="str">
        <f t="shared" si="4"/>
        <v>West MP</v>
      </c>
      <c r="AI32" s="52" t="s">
        <v>159</v>
      </c>
      <c r="AJ32" s="56" t="s">
        <v>78</v>
      </c>
      <c r="AK32" s="59" t="s">
        <v>79</v>
      </c>
      <c r="AL32" s="60" t="s">
        <v>80</v>
      </c>
      <c r="AM32" s="54" t="s">
        <v>80</v>
      </c>
      <c r="AN32" s="14">
        <v>46107</v>
      </c>
      <c r="AO32" s="15"/>
      <c r="AP32" s="91"/>
      <c r="AQ32" s="87"/>
      <c r="AR32" s="26"/>
      <c r="AS32" s="65"/>
      <c r="AT32" s="88" t="s">
        <v>81</v>
      </c>
      <c r="AU32" s="67" t="s">
        <v>164</v>
      </c>
      <c r="BX32" s="1">
        <v>28</v>
      </c>
      <c r="CG32" s="143">
        <v>46206</v>
      </c>
      <c r="CH32" s="143">
        <v>46208</v>
      </c>
      <c r="CI32" s="142" t="s">
        <v>116</v>
      </c>
      <c r="CJ32" s="141"/>
      <c r="CK32" s="141"/>
      <c r="CN32" t="s">
        <v>493</v>
      </c>
      <c r="CU32" t="s">
        <v>92</v>
      </c>
      <c r="CV32" t="s">
        <v>121</v>
      </c>
      <c r="CW32" t="s">
        <v>494</v>
      </c>
      <c r="CX32" t="s">
        <v>495</v>
      </c>
      <c r="CY32" t="s">
        <v>125</v>
      </c>
      <c r="CZ32" t="s">
        <v>496</v>
      </c>
      <c r="DA32" t="str" cm="1">
        <f t="array" ref="DA32:EJ32">IF(U32&lt;&gt;"", TRANSPOSE(_xlfn._xlws.FILTER(CZ:CZ, CY:CY=U32, "")), "")</f>
        <v>Ex Gwl | Gwl (2N) + Mor - Son - Dat - Orc (1N) - Hjr (1N) - Gwl</v>
      </c>
      <c r="DB32" t="str">
        <v>Ex Idr | Idr - Ujj (1N) - Omk - Mah (1N) - Man (1N) - Idr (1N)</v>
      </c>
      <c r="DC32" t="str">
        <v>Ex Idr | Idr - Ujj (1N) - Omk (1N) - Mah (1N) - Man (1N) - Idr</v>
      </c>
      <c r="DD32" t="str">
        <v>Ex Jlr | Jlr - Kan (2N) - Amk (1N) - Jlr (1N)</v>
      </c>
      <c r="DE32" t="str">
        <v>Ex Jlr | Jlr - Ban (2N) - Amk (1N) - Jlr (1N)</v>
      </c>
      <c r="DF32" t="str">
        <v>Ex Jlr | Jlr (1N) - Hjr (1N) - Ban (2N) - Jlr</v>
      </c>
      <c r="DG32" t="str">
        <v>Ex Jlr | Jlr (1N) - Kan (1N) - Ban (2N) - Jlr</v>
      </c>
      <c r="DH32" t="str">
        <v>Ex Bho | Bho (1N) + San + Bhoj + Bhim - Tawa - Mad (1N) - Pch (2N) - Bho</v>
      </c>
      <c r="DI32" t="str">
        <v>Ex Idr | Idr - Ujj (1N) - Omk - Mah (1N) - Man (1N) - Idr (1N)</v>
      </c>
      <c r="DJ32" t="str">
        <v>Ex Bho | Bho (1N) - Bhoj - Bhim - Pch (3N) - Bho</v>
      </c>
      <c r="DK32" t="str">
        <v>Gwl (1N) - Dat (Pitambara Peeth) - Orc (1N) - Ckt (2N) - Ixd</v>
      </c>
      <c r="DL32" t="str">
        <v>Ex Jlr | Jlr - Ban (2N) - Kan (2N) - Jlr</v>
      </c>
      <c r="DM32" t="str">
        <v>Jlr - Ban (1N) - Kan (1N) - Pen (2N) - Nag</v>
      </c>
      <c r="DN32" t="str">
        <v>Ex Bho | Bho (1N) - Bhoj - Bhim - Pch (3N) - Bho</v>
      </c>
      <c r="DO32" t="str">
        <v>Ex Bho | Bho (2N) + Sanchi + Bhoj + Bhim - Tawa - Mad (1N) - Bho (1N)</v>
      </c>
      <c r="DP32" t="str">
        <v>Ex Bho | Bho - Bhoj - Bhim - Tawa (1N) - Mad (1N) - Pch (2N) - Bho</v>
      </c>
      <c r="DQ32" t="str">
        <v>Bho - Bhoj - Bhim - Pch (2N) - Kan (1N) - Jlr (1N)</v>
      </c>
      <c r="DR32" t="str">
        <v>Bho - Bhoj - Bhim - Pch (2N) - Kan (1N) - Amk (1N) - Jlr</v>
      </c>
      <c r="DS32" t="str">
        <v xml:space="preserve">Bho (1N) + Bhim + Bhoj + San - Ujj (1N) - Omk - Mah (1N) - Idr (1N) </v>
      </c>
      <c r="DT32" t="str">
        <v>Ex Gwl | Gwl - Hjr (1N) - Orc (1N) - Dat - Son - Gwl (2N)</v>
      </c>
      <c r="DU32" t="str">
        <v>Ex Gwl | Gwl - Orc (1N) - Hjr (1N) - Chn (1N) - Shiv (1N) - Gwl</v>
      </c>
      <c r="DV32" t="str">
        <v>Gwl - Hjr (1N) - Panna (1N) - Chit (1N) - Mahi (1N) - Sat</v>
      </c>
      <c r="DW32" t="str">
        <v>Jlr - (2 N) Kan - (2 N) Pch - Bhim - Bhoj - Bhp</v>
      </c>
      <c r="DX32" t="str">
        <v>Jlr - (2 N) Kan - (2 N) Pen - Rpr</v>
      </c>
      <c r="DY32" t="str">
        <v>Gwl (2N) (Ex Mor) - Dat -Orc (1N) - Hjr (1N) - Jhn</v>
      </c>
      <c r="DZ32" t="str">
        <v>Ex Gwl | Gwl (1N) - Son - Dat - Orc (1N) - Hjr (2N) (Ex Panna) - Gwl</v>
      </c>
      <c r="EA32" t="str">
        <v>Hjr (1N) - Orc (1N) - Dat - son - Gwl (2N)(Ex Mor)</v>
      </c>
      <c r="EB32" t="str">
        <v>(2 N) Gwl - (1 N) Orch - (1 N) Hjr</v>
      </c>
      <c r="EC32" t="str">
        <v>Ex Bhp | Bhp - Bhoj - Bhim - Pch (2N) - Mad (1N) - Tawa (1N) - Bhp</v>
      </c>
      <c r="ED32" t="str">
        <v>Ex Bhp | Bhp - Bhoj - Bhim - Pch (2N) - Mad (2N) - Bhp</v>
      </c>
      <c r="EE32" t="str">
        <v>Ex Idr | Idr - Ujj (1N) - Omk (1N) - Mah (2N) (Ex Man) - Idr (HDCT)</v>
      </c>
      <c r="EF32" t="str">
        <v>Arr Rpr - Amr (2N) - Par (2N) - IXD</v>
      </c>
      <c r="EG32" t="str">
        <v>1N Gwl - Orc - 2N Hjr - Jhn - 1N Gwl</v>
      </c>
      <c r="EH32" t="str">
        <v>1N Orc - 1N Hjr - 2N Gwl Ex Mor</v>
      </c>
      <c r="EI32" t="str">
        <v>1N Idr - Omk - 1N Mah - 1N Ujj - Seh - 1N Bho</v>
      </c>
      <c r="EJ32" t="str">
        <v>Ex Idr I 1N Idr - 1N Ujj - Omk - 2N Mah - Man - Idr</v>
      </c>
    </row>
    <row r="33" spans="2:145" ht="15" customHeight="1">
      <c r="B33" s="34">
        <v>29</v>
      </c>
      <c r="C33" s="36" t="s">
        <v>497</v>
      </c>
      <c r="D33" s="76">
        <v>46104</v>
      </c>
      <c r="E33" s="37" t="str">
        <f>IF(Table5[[#This Row],[Query Date]]&lt;&gt;"", TEXT(Table5[[#This Row],[Query Date]], "dddd"), "")</f>
        <v>Monday</v>
      </c>
      <c r="F33" s="37" t="str">
        <f>IF(Table5[[#This Row],[Query Date]]&lt;&gt;"", TEXT(Table5[[#This Row],[Query Date]], "mmmm"), "")</f>
        <v>March</v>
      </c>
      <c r="G33" s="28" t="s">
        <v>65</v>
      </c>
      <c r="H33" s="28" t="s">
        <v>66</v>
      </c>
      <c r="I33" s="28" t="s">
        <v>67</v>
      </c>
      <c r="J33" s="28" t="s">
        <v>68</v>
      </c>
      <c r="K33" s="28" t="s">
        <v>128</v>
      </c>
      <c r="L33" s="25" t="s">
        <v>70</v>
      </c>
      <c r="M33" s="112" t="s">
        <v>498</v>
      </c>
      <c r="N33" s="41" t="s">
        <v>499</v>
      </c>
      <c r="O33" s="130" t="s">
        <v>500</v>
      </c>
      <c r="P33" s="46" t="s">
        <v>501</v>
      </c>
      <c r="Q33" s="77">
        <v>46115</v>
      </c>
      <c r="R33" s="77" t="str">
        <f>IF(Table5[[#This Row],[Tour Starting Date]]&lt;&gt;"", TEXT(Table5[[#This Row],[Tour Starting Date]], "dddd"), "")</f>
        <v>Friday</v>
      </c>
      <c r="S33" s="77">
        <v>46117</v>
      </c>
      <c r="T33" s="25" t="str">
        <f>IF(Table5[[#This Row],[Tour Ending Date]]&lt;&gt;"", TEXT(Table5[[#This Row],[Tour Ending Date]], "dddd"), "")</f>
        <v>Sunday</v>
      </c>
      <c r="U33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33" s="37" t="str">
        <f>IF(Table5[[#This Row],[Tour Starting Date]]&lt;&gt;"", TEXT(Table5[[#This Row],[Tour Starting Date]], "mmmm"), "")</f>
        <v>April</v>
      </c>
      <c r="W33" s="80" t="str" cm="1">
        <f t="array" ref="W33">IF(Q33&lt;&gt;"", INDEX(CI:CI, MATCH(1, (Q33&gt;=CG:CG)*(Q33&lt;=CH:CH), 0)), "")</f>
        <v>Long Weekend - Good Friday</v>
      </c>
      <c r="X33" s="39">
        <v>8</v>
      </c>
      <c r="Y33" s="74">
        <v>8600</v>
      </c>
      <c r="Z33" s="74">
        <f>IF(OR(Table5[[#This Row],[Per Person Package Cost]]="", Table5[[#This Row],[No. of Pax]]=""), "", Table5[[#This Row],[Per Person Package Cost]] * Table5[[#This Row],[No. of Pax]])</f>
        <v>68800</v>
      </c>
      <c r="AA33" s="52" t="s">
        <v>75</v>
      </c>
      <c r="AB33" s="52" t="s">
        <v>75</v>
      </c>
      <c r="AC33" s="52" t="s">
        <v>134</v>
      </c>
      <c r="AD33" s="52" t="s">
        <v>461</v>
      </c>
      <c r="AE33" s="51" t="str">
        <f t="shared" si="0"/>
        <v>EXIDR13</v>
      </c>
      <c r="AF33" s="51" t="str">
        <f t="shared" si="1"/>
        <v>A Spiritual Odyssey of Madhya Pradesh</v>
      </c>
      <c r="AG33" s="74" t="str">
        <f t="shared" si="2"/>
        <v>Quick Getaways</v>
      </c>
      <c r="AH33" s="73" t="str">
        <f t="shared" si="4"/>
        <v>West MP</v>
      </c>
      <c r="AI33" s="52" t="s">
        <v>107</v>
      </c>
      <c r="AJ33" s="56" t="s">
        <v>78</v>
      </c>
      <c r="AK33" s="59" t="s">
        <v>79</v>
      </c>
      <c r="AL33" s="60" t="s">
        <v>80</v>
      </c>
      <c r="AM33" s="54" t="s">
        <v>80</v>
      </c>
      <c r="AN33" s="14">
        <v>46108</v>
      </c>
      <c r="AO33" s="15"/>
      <c r="AP33" s="91"/>
      <c r="AQ33" s="87"/>
      <c r="AR33" s="26"/>
      <c r="AS33" s="65"/>
      <c r="AT33" s="88" t="s">
        <v>81</v>
      </c>
      <c r="AU33" s="67" t="s">
        <v>82</v>
      </c>
      <c r="BX33" s="1">
        <v>29</v>
      </c>
      <c r="CG33" s="143">
        <v>46209</v>
      </c>
      <c r="CH33" s="143">
        <v>46212</v>
      </c>
      <c r="CI33" s="142" t="s">
        <v>88</v>
      </c>
      <c r="CJ33" s="141"/>
      <c r="CK33" s="141"/>
      <c r="CN33" t="s">
        <v>502</v>
      </c>
      <c r="CU33" t="s">
        <v>92</v>
      </c>
      <c r="CV33" t="s">
        <v>121</v>
      </c>
      <c r="CW33" t="s">
        <v>503</v>
      </c>
      <c r="CX33" s="123" t="s">
        <v>504</v>
      </c>
      <c r="CY33" t="s">
        <v>151</v>
      </c>
      <c r="CZ33" t="s">
        <v>505</v>
      </c>
      <c r="DA33" t="str" cm="1">
        <f t="array" ref="DA33:DY33">IF(U33&lt;&gt;"", TRANSPOSE(_xlfn._xlws.FILTER(CZ:CZ, CY:CY=U33, "")), "")</f>
        <v>Gwl (2N) + Mor</v>
      </c>
      <c r="DB33" t="str">
        <v>Ex Idr | Idr - Ujj (1N) - Omk - Mah (1N) - Man - Idr</v>
      </c>
      <c r="DC33" t="str">
        <v>Ujj (1N) - Omk - Idr (1N)</v>
      </c>
      <c r="DD33" t="str">
        <v>Ex Jlr | Jlr - Kan (2N) - Jlr</v>
      </c>
      <c r="DE33" t="str">
        <v>Ex Jlr | Jlr - Ban (2N) - Jlr</v>
      </c>
      <c r="DF33" t="str">
        <v>Ex Bho | Bho (2N) + Bhim + Bhoj + San</v>
      </c>
      <c r="DG33" t="str">
        <v>Ex Idr | Idr - Man (2N) - Idr</v>
      </c>
      <c r="DH33" t="str">
        <v>Ex Jlr | Jlr - Kan (2N) - Jlr</v>
      </c>
      <c r="DI33" t="str">
        <v>Ex Bho | Bho (2N) + Bhim + Bhoj + San + HDCT Bho</v>
      </c>
      <c r="DJ33" t="str">
        <v>Ex Bho | Bho - Bhim - Tawa (1N) - Mad (1N) - Bho</v>
      </c>
      <c r="DK33" t="str">
        <v>Ujj (1N) - Omk - Mah (1N) - Idr</v>
      </c>
      <c r="DL33" t="str">
        <v>Ujj (1N) -  Idr (1N)</v>
      </c>
      <c r="DM33" t="str">
        <v>Ex Idr | Idr (2N) + Ujj + Omk + Mah</v>
      </c>
      <c r="DN33" t="str">
        <v>Idr - Mah - Omk (1N) - Ujj (1N)</v>
      </c>
      <c r="DO33" t="str">
        <v>Idr - Ujj (1N) - Mah - Omk (1N) - Khandwa</v>
      </c>
      <c r="DP33" t="str">
        <v>Ex Idr | Idr (EX Ujj) (1N) - Mah - Omk (1N) - Idr HDCT</v>
      </c>
      <c r="DQ33" t="str">
        <v>Ujj (1N) - Sehor - Bho (1N) HDCT</v>
      </c>
      <c r="DR33" t="str">
        <v>Ex Jlr | Jlr (1N) - Ban (1N)</v>
      </c>
      <c r="DS33" t="str">
        <v>Ex Jlr | Ban (1N)</v>
      </c>
      <c r="DT33" t="str">
        <v>Ex Jlr | Jlr (2 N) Kan</v>
      </c>
      <c r="DU33" t="str">
        <v>Ex Jlr | Jlr - Amr (1 N) - (1 N) Ban</v>
      </c>
      <c r="DV33" t="str">
        <v>Ex Rpr | Rpr - (2N) Kan</v>
      </c>
      <c r="DW33" t="str">
        <v>Hjr (1N) - Mahi (1N) - Sat</v>
      </c>
      <c r="DX33" t="str">
        <v>Ex Bhp | Bhp - Bhim - Pch (2N) - Bhp</v>
      </c>
      <c r="DY33" t="str">
        <v xml:space="preserve">Ex Ujj I 2N Ujj </v>
      </c>
    </row>
    <row r="34" spans="2:145" ht="15" customHeight="1">
      <c r="B34" s="35">
        <v>30</v>
      </c>
      <c r="C34" s="36" t="s">
        <v>506</v>
      </c>
      <c r="D34" s="76">
        <v>46109</v>
      </c>
      <c r="E34" s="37" t="str">
        <f>IF(Table5[[#This Row],[Query Date]]&lt;&gt;"", TEXT(Table5[[#This Row],[Query Date]], "dddd"), "")</f>
        <v>Saturday</v>
      </c>
      <c r="F34" s="37" t="str">
        <f>IF(Table5[[#This Row],[Query Date]]&lt;&gt;"", TEXT(Table5[[#This Row],[Query Date]], "mmmm"), "")</f>
        <v>March</v>
      </c>
      <c r="G34" s="28" t="s">
        <v>65</v>
      </c>
      <c r="H34" s="28" t="s">
        <v>99</v>
      </c>
      <c r="I34" s="28" t="s">
        <v>67</v>
      </c>
      <c r="J34" s="28" t="s">
        <v>68</v>
      </c>
      <c r="K34" s="28" t="s">
        <v>178</v>
      </c>
      <c r="L34" s="25" t="s">
        <v>70</v>
      </c>
      <c r="M34" s="112" t="s">
        <v>502</v>
      </c>
      <c r="N34" s="25" t="s">
        <v>507</v>
      </c>
      <c r="O34" s="131">
        <v>9036405090</v>
      </c>
      <c r="P34" s="31" t="s">
        <v>508</v>
      </c>
      <c r="Q34" s="77">
        <v>46122</v>
      </c>
      <c r="R34" s="77" t="str">
        <f>IF(Table5[[#This Row],[Tour Starting Date]]&lt;&gt;"", TEXT(Table5[[#This Row],[Tour Starting Date]], "dddd"), "")</f>
        <v>Friday</v>
      </c>
      <c r="S34" s="77">
        <v>46130</v>
      </c>
      <c r="T34" s="25" t="str">
        <f>IF(Table5[[#This Row],[Tour Ending Date]]&lt;&gt;"", TEXT(Table5[[#This Row],[Tour Ending Date]], "dddd"), "")</f>
        <v>Saturday</v>
      </c>
      <c r="U34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8 Nights &amp; 9 Days</v>
      </c>
      <c r="V34" s="37" t="str">
        <f>IF(Table5[[#This Row],[Tour Starting Date]]&lt;&gt;"", TEXT(Table5[[#This Row],[Tour Starting Date]], "mmmm"), "")</f>
        <v>April</v>
      </c>
      <c r="W34" s="80" t="str" cm="1">
        <f t="array" ref="W34">IF(Q34&lt;&gt;"", INDEX(CI:CI, MATCH(1, (Q34&gt;=CG:CG)*(Q34&lt;=CH:CH), 0)), "")</f>
        <v>Regular Dates - Weekend</v>
      </c>
      <c r="X34" s="39">
        <v>2</v>
      </c>
      <c r="Y34" s="74">
        <v>36300</v>
      </c>
      <c r="Z34" s="74">
        <f>IF(OR(Table5[[#This Row],[Per Person Package Cost]]="", Table5[[#This Row],[No. of Pax]]=""), "", Table5[[#This Row],[Per Person Package Cost]] * Table5[[#This Row],[No. of Pax]])</f>
        <v>72600</v>
      </c>
      <c r="AA34" s="52" t="s">
        <v>75</v>
      </c>
      <c r="AB34" s="52" t="s">
        <v>509</v>
      </c>
      <c r="AC34" s="52" t="s">
        <v>173</v>
      </c>
      <c r="AD34" s="52" t="s">
        <v>510</v>
      </c>
      <c r="AE34" s="51" t="str">
        <f t="shared" si="0"/>
        <v>EMPRT01</v>
      </c>
      <c r="AF34" s="51" t="str">
        <f t="shared" si="1"/>
        <v>Ancient Madhya Pradesh</v>
      </c>
      <c r="AG34" s="74" t="str">
        <f t="shared" si="2"/>
        <v>Regular Tours</v>
      </c>
      <c r="AH34" s="73" t="str">
        <f t="shared" si="4"/>
        <v>North + South + West MP</v>
      </c>
      <c r="AI34" s="52" t="s">
        <v>107</v>
      </c>
      <c r="AJ34" s="56" t="s">
        <v>78</v>
      </c>
      <c r="AK34" s="59" t="s">
        <v>79</v>
      </c>
      <c r="AL34" s="60" t="s">
        <v>80</v>
      </c>
      <c r="AM34" s="54" t="s">
        <v>80</v>
      </c>
      <c r="AN34" s="14">
        <v>46113</v>
      </c>
      <c r="AO34" s="15">
        <v>46119</v>
      </c>
      <c r="AP34" s="91"/>
      <c r="AQ34" s="87"/>
      <c r="AR34" s="26"/>
      <c r="AS34" s="65"/>
      <c r="AT34" s="88" t="s">
        <v>81</v>
      </c>
      <c r="AU34" s="67" t="s">
        <v>82</v>
      </c>
      <c r="BX34" s="1">
        <v>30</v>
      </c>
      <c r="CG34" s="143">
        <v>46213</v>
      </c>
      <c r="CH34" s="143">
        <v>46215</v>
      </c>
      <c r="CI34" s="142" t="s">
        <v>116</v>
      </c>
      <c r="CJ34" s="141"/>
      <c r="CK34" s="141"/>
      <c r="CN34" t="s">
        <v>511</v>
      </c>
      <c r="CU34" t="s">
        <v>92</v>
      </c>
      <c r="CV34" t="s">
        <v>121</v>
      </c>
      <c r="CW34" t="s">
        <v>512</v>
      </c>
      <c r="CX34" t="s">
        <v>513</v>
      </c>
      <c r="CY34" t="s">
        <v>197</v>
      </c>
      <c r="CZ34" t="s">
        <v>514</v>
      </c>
      <c r="DA34" t="str" cm="1">
        <f t="array" ref="DA34:DC34">IF(U34&lt;&gt;"", TRANSPOSE(_xlfn._xlws.FILTER(CZ:CZ, CY:CY=U34, "")), "")</f>
        <v>Gwl (1N) - Dat - Orc (1N) - Hjr (1N) - San - Bho (2N) + Bhim + Bhoj - Ujj (1N) - Omk - Mah (1N) - Man (1N) - Idr</v>
      </c>
      <c r="DB34" t="str">
        <v>Bho - Bhoj - Bhim - Mad (1N) - Pen (1N) - Kan (2N) - Ban (2N) - Pan (1N) - Gwl (1N)</v>
      </c>
      <c r="DC34" t="str">
        <v>(1 N) Ujj - (2 N) Mah - (1 N) Idr - (1 N) Bho - (2 N) Pach - (1 N) Pench</v>
      </c>
    </row>
    <row r="35" spans="2:145" ht="15" customHeight="1">
      <c r="B35" s="34">
        <v>31</v>
      </c>
      <c r="C35" s="36" t="s">
        <v>515</v>
      </c>
      <c r="D35" s="76">
        <v>46112</v>
      </c>
      <c r="E35" s="37" t="str">
        <f>IF(Table5[[#This Row],[Query Date]]&lt;&gt;"", TEXT(Table5[[#This Row],[Query Date]], "dddd"), "")</f>
        <v>Tuesday</v>
      </c>
      <c r="F35" s="37" t="str">
        <f>IF(Table5[[#This Row],[Query Date]]&lt;&gt;"", TEXT(Table5[[#This Row],[Query Date]], "mmmm"), "")</f>
        <v>March</v>
      </c>
      <c r="G35" s="28" t="s">
        <v>65</v>
      </c>
      <c r="H35" s="28" t="s">
        <v>120</v>
      </c>
      <c r="I35" s="28" t="s">
        <v>100</v>
      </c>
      <c r="J35" s="28" t="s">
        <v>68</v>
      </c>
      <c r="K35" s="28" t="s">
        <v>488</v>
      </c>
      <c r="L35" s="25" t="s">
        <v>70</v>
      </c>
      <c r="M35" s="112" t="s">
        <v>516</v>
      </c>
      <c r="N35" s="25" t="s">
        <v>517</v>
      </c>
      <c r="O35" s="130" t="s">
        <v>518</v>
      </c>
      <c r="P35" s="46" t="s">
        <v>519</v>
      </c>
      <c r="Q35" s="77">
        <v>46275</v>
      </c>
      <c r="R35" s="77" t="str">
        <f>IF(Table5[[#This Row],[Tour Starting Date]]&lt;&gt;"", TEXT(Table5[[#This Row],[Tour Starting Date]], "dddd"), "")</f>
        <v>Thursday</v>
      </c>
      <c r="S35" s="77">
        <v>46281</v>
      </c>
      <c r="T35" s="25" t="str">
        <f>IF(Table5[[#This Row],[Tour Ending Date]]&lt;&gt;"", TEXT(Table5[[#This Row],[Tour Ending Date]], "dddd"), "")</f>
        <v>Wednesday</v>
      </c>
      <c r="U35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6 Nights &amp; 7 Days</v>
      </c>
      <c r="V35" s="37" t="str">
        <f>IF(Table5[[#This Row],[Tour Starting Date]]&lt;&gt;"", TEXT(Table5[[#This Row],[Tour Starting Date]], "mmmm"), "")</f>
        <v>September</v>
      </c>
      <c r="W35" s="80" t="str" cm="1">
        <f t="array" ref="W35">IF(Q35&lt;&gt;"", INDEX(CI:CI, MATCH(1, (Q35&gt;=CG:CG)*(Q35&lt;=CH:CH), 0)), "")</f>
        <v>Regular Dates - Weekday</v>
      </c>
      <c r="X35" s="39">
        <v>35</v>
      </c>
      <c r="Y35" s="74">
        <v>17500</v>
      </c>
      <c r="Z35" s="74">
        <f>IF(OR(Table5[[#This Row],[Per Person Package Cost]]="", Table5[[#This Row],[No. of Pax]]=""), "", Table5[[#This Row],[Per Person Package Cost]] * Table5[[#This Row],[No. of Pax]])</f>
        <v>612500</v>
      </c>
      <c r="AA35" s="52" t="s">
        <v>133</v>
      </c>
      <c r="AB35" s="52" t="s">
        <v>520</v>
      </c>
      <c r="AC35" s="52" t="s">
        <v>105</v>
      </c>
      <c r="AD35" s="52" t="s">
        <v>521</v>
      </c>
      <c r="AE35" s="51" t="str">
        <f t="shared" si="0"/>
        <v>SUMMP01</v>
      </c>
      <c r="AF35" s="51" t="str">
        <f t="shared" si="1"/>
        <v>Whispers of Summer Trails</v>
      </c>
      <c r="AG35" s="74" t="str">
        <f t="shared" si="2"/>
        <v>Seasonal Tours - Summer Exclusive</v>
      </c>
      <c r="AH35" s="73" t="str">
        <f t="shared" si="4"/>
        <v>South + East MP</v>
      </c>
      <c r="AI35" s="53" t="s">
        <v>107</v>
      </c>
      <c r="AJ35" s="57" t="s">
        <v>78</v>
      </c>
      <c r="AK35" s="59" t="s">
        <v>79</v>
      </c>
      <c r="AL35" s="60" t="s">
        <v>80</v>
      </c>
      <c r="AM35" s="54" t="s">
        <v>80</v>
      </c>
      <c r="AN35" s="14">
        <v>46115</v>
      </c>
      <c r="AO35" s="15">
        <v>46237</v>
      </c>
      <c r="AP35" s="91"/>
      <c r="AQ35" s="87"/>
      <c r="AR35" s="26"/>
      <c r="AS35" s="65"/>
      <c r="AT35" s="88" t="s">
        <v>81</v>
      </c>
      <c r="AU35" s="67"/>
      <c r="BX35" s="1">
        <v>31</v>
      </c>
      <c r="CG35" s="143">
        <v>46216</v>
      </c>
      <c r="CH35" s="143">
        <v>46219</v>
      </c>
      <c r="CI35" s="142" t="s">
        <v>88</v>
      </c>
      <c r="CJ35" s="141"/>
      <c r="CK35" s="141"/>
      <c r="CN35" t="s">
        <v>522</v>
      </c>
      <c r="CU35" t="s">
        <v>92</v>
      </c>
      <c r="CV35" t="s">
        <v>193</v>
      </c>
      <c r="CW35" t="s">
        <v>523</v>
      </c>
      <c r="CX35" t="s">
        <v>524</v>
      </c>
      <c r="CY35" t="s">
        <v>197</v>
      </c>
      <c r="CZ35" t="s">
        <v>525</v>
      </c>
      <c r="DA35" t="str" cm="1">
        <f t="array" ref="DA35:DZ35">IF(U35&lt;&gt;"", TRANSPOSE(_xlfn._xlws.FILTER(CZ:CZ, CY:CY=U35, "")), "")</f>
        <v>Ex Gwl | Gwl (2N) + Mor - Orc - Pan (2N) - Hjr (1N) - Dat - Son - Gwl (1N)</v>
      </c>
      <c r="DB35" t="str">
        <v>Ex Gwl | GWL (2N) + Mor - Shiv - Chan (2N) - Hjr (1N) - Orc (1N) - Dat - Gwl</v>
      </c>
      <c r="DC35" t="str">
        <v>Gwl (2N) + Mor - Son - Dat - Orc (1N) - Hjr (1N) - Ban (1N) - Jlr (1N)</v>
      </c>
      <c r="DD35" t="str">
        <v>Idr - Ujj (1N) - Omk - Mah (1N) - Man (2N) - Bhp (2N) + Bhim + Bhoj + San</v>
      </c>
      <c r="DE35" t="str">
        <v>Bhp (1N) + Bhim + Bhoj + San - Ujj (1N) - Man (2N) - Mah - Omk (1N) - Idr (1N)</v>
      </c>
      <c r="DF35" t="str">
        <v>Jlr (1N) - Ban (1N) - Hjr (1N) - Orc (1N) - Dat - Son - Gwl (2N) + Mor</v>
      </c>
      <c r="DG35" t="str">
        <v>Bho (1N) + San - Bhoj - Bhim - Tawa (1N) - Mad (1N) - Pch (2N) - Jlr (1N)</v>
      </c>
      <c r="DH35" t="str">
        <v>Bho (1N) + San + Udaygiri - Bhoj - Bhim - Pch (2N) - Kan(2N) - Jlr (1N)</v>
      </c>
      <c r="DI35" t="str">
        <v>Bho (1N) + Bhim + Bhoj - San - Ujj (1N) - Man (2N) - Mah - Omk (1N) - Idr (1N)</v>
      </c>
      <c r="DJ35" t="str">
        <v>Gwl (2N) + Mor - Son - Dat - Orc (1N) - Hjr (1N) - Jab (1N) - Kan (1N) - Nag</v>
      </c>
      <c r="DK35" t="str">
        <v>Bho (2N) + San + Bhoj + Bhim - Ujj (1N) - Omk - Mah (1N) - Man (1N) - Idr (1N)</v>
      </c>
      <c r="DL35" t="str">
        <v>Ex Nag | Nag - Pch (2N) - Bhim - Bhoj - Bho (2N) + San + Udaygiri - Jlr (1N) - Kan (1N) - Nag</v>
      </c>
      <c r="DM35" t="str">
        <v>Bho (1N) - Mad (2N) + Tawa Cruise Safari - Pch (2N) - Jlr (1N) - Nag</v>
      </c>
      <c r="DN35" t="str">
        <v>Idr - Man (2N) - Idr (1N) - Bho (1N) + San - Bhoj - Bhim - Pch (2N) - Bho</v>
      </c>
      <c r="DO35" t="str">
        <v>Rpr - kan (2N) - Ban (1N) - Jlr (1N) - Mad (2N) - Bhim - Bhoj - Bho</v>
      </c>
      <c r="DP35" t="str">
        <v>Jlr - Amar (1 N) - Ban (2 N) - Kan (1N) - Pch (2N) - Ppi</v>
      </c>
      <c r="DQ35" t="str">
        <v>Jlr - (2N) Kan - (1N) Jlr - Bhim - Bhoj - (2N) Bho  (Ex San &amp; Uda)  - (1N) Ujj - Idr</v>
      </c>
      <c r="DR35" t="str">
        <v>Ex Nag | Nag (2 N) Pach - Bhim - Bhij - (2 N) Bho (Ex San &amp; Uad) - (1 N) Jlr - (1 N) Kan - Nag</v>
      </c>
      <c r="DS35" t="str">
        <v>(2 N) Bho (Ex San, Bhoj &amp; Bhim) - (1 N) Ujj - Omk - (1 N) Mah - (1 N) Man - (1 N) Idr</v>
      </c>
      <c r="DT35" t="str">
        <v>(2 N) Gwl (Ex Mor) - Son - Dat - (1 N) Orc - (1 N) Hjr - (1 N) Jlr - (1 N) Kan - Nag</v>
      </c>
      <c r="DU35" t="str">
        <v>(1 N) Jlr - (2 N) Kanha - (2 N Pach) - (1 N) BHo</v>
      </c>
      <c r="DV35" t="str">
        <v>(2 N) Gwl - (1 N) Orc - (1 N) Hjr - (1 N) Ban - (1 N) Jlr</v>
      </c>
      <c r="DW35" t="str">
        <v>(2 N) BHo - (2 N) Madhai - (1 N) Pach - (1 N) Jlr</v>
      </c>
      <c r="DX35" t="str">
        <v>Ex Bhp | Bhp - Bhoj - Bhim - Pach (3N) - Tawa - Mad - Tawa (1N) - Mad (1N) - Bho (1N)</v>
      </c>
      <c r="DY35" t="str">
        <v>Ex Idr I Idr - 2N Ujj - 1N Man - 1N Mah - 1N Omk - 1N Idr</v>
      </c>
      <c r="DZ35" t="str">
        <v>1N Jlr - 1N Kan - 1N Ban - 1N Hjr -2N Gwl</v>
      </c>
    </row>
    <row r="36" spans="2:145" ht="15" customHeight="1">
      <c r="B36" s="35">
        <v>32</v>
      </c>
      <c r="C36" s="36" t="s">
        <v>526</v>
      </c>
      <c r="D36" s="76">
        <v>46112</v>
      </c>
      <c r="E36" s="37" t="str">
        <f>IF(Table5[[#This Row],[Query Date]]&lt;&gt;"", TEXT(Table5[[#This Row],[Query Date]], "dddd"), "")</f>
        <v>Tuesday</v>
      </c>
      <c r="F36" s="37" t="str">
        <f>IF(Table5[[#This Row],[Query Date]]&lt;&gt;"", TEXT(Table5[[#This Row],[Query Date]], "mmmm"), "")</f>
        <v>March</v>
      </c>
      <c r="G36" s="28" t="s">
        <v>65</v>
      </c>
      <c r="H36" s="28" t="s">
        <v>99</v>
      </c>
      <c r="I36" s="28" t="s">
        <v>67</v>
      </c>
      <c r="J36" s="28" t="s">
        <v>68</v>
      </c>
      <c r="K36" s="28" t="s">
        <v>178</v>
      </c>
      <c r="L36" s="25" t="s">
        <v>70</v>
      </c>
      <c r="M36" s="112" t="s">
        <v>502</v>
      </c>
      <c r="N36" s="25" t="s">
        <v>507</v>
      </c>
      <c r="O36" s="135" t="s">
        <v>527</v>
      </c>
      <c r="P36" s="31" t="s">
        <v>508</v>
      </c>
      <c r="Q36" s="77">
        <v>46162</v>
      </c>
      <c r="R36" s="77" t="str">
        <f>IF(Table5[[#This Row],[Tour Starting Date]]&lt;&gt;"", TEXT(Table5[[#This Row],[Tour Starting Date]], "dddd"), "")</f>
        <v>Wednesday</v>
      </c>
      <c r="S36" s="77">
        <v>46166</v>
      </c>
      <c r="T36" s="25" t="str">
        <f>IF(Table5[[#This Row],[Tour Ending Date]]&lt;&gt;"", TEXT(Table5[[#This Row],[Tour Ending Date]], "dddd"), "")</f>
        <v>Sunday</v>
      </c>
      <c r="U36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4 Nights &amp; 5 Days</v>
      </c>
      <c r="V36" s="37" t="str">
        <f>IF(Table5[[#This Row],[Tour Starting Date]]&lt;&gt;"", TEXT(Table5[[#This Row],[Tour Starting Date]], "mmmm"), "")</f>
        <v>May</v>
      </c>
      <c r="W36" s="80" t="str" cm="1">
        <f t="array" ref="W36">IF(Q36&lt;&gt;"", INDEX(CI:CI, MATCH(1, (Q36&gt;=CG:CG)*(Q36&lt;=CH:CH), 0)), "")</f>
        <v>Regular Dates - Weekday</v>
      </c>
      <c r="X36" s="39">
        <v>2</v>
      </c>
      <c r="Y36" s="74">
        <v>25000</v>
      </c>
      <c r="Z36" s="74">
        <f>IF(OR(Table5[[#This Row],[Per Person Package Cost]]="", Table5[[#This Row],[No. of Pax]]=""), "", Table5[[#This Row],[Per Person Package Cost]] * Table5[[#This Row],[No. of Pax]])</f>
        <v>50000</v>
      </c>
      <c r="AA36" s="52" t="s">
        <v>528</v>
      </c>
      <c r="AB36" s="52" t="s">
        <v>529</v>
      </c>
      <c r="AC36" s="52" t="s">
        <v>173</v>
      </c>
      <c r="AD36" s="52"/>
      <c r="AE36" s="51" t="str">
        <f t="shared" si="0"/>
        <v/>
      </c>
      <c r="AF36" s="51" t="str">
        <f t="shared" si="1"/>
        <v/>
      </c>
      <c r="AG36" s="74" t="str">
        <f t="shared" si="2"/>
        <v/>
      </c>
      <c r="AH36" s="73" t="str">
        <f t="shared" si="4"/>
        <v/>
      </c>
      <c r="AI36" s="52" t="s">
        <v>77</v>
      </c>
      <c r="AJ36" s="56" t="s">
        <v>78</v>
      </c>
      <c r="AK36" s="59" t="s">
        <v>79</v>
      </c>
      <c r="AL36" s="60" t="s">
        <v>80</v>
      </c>
      <c r="AM36" s="54" t="s">
        <v>80</v>
      </c>
      <c r="AN36" s="14">
        <v>46115</v>
      </c>
      <c r="AO36" s="15">
        <v>46119</v>
      </c>
      <c r="AP36" s="91"/>
      <c r="AQ36" s="87"/>
      <c r="AR36" s="26"/>
      <c r="AS36" s="65"/>
      <c r="AT36" s="88" t="s">
        <v>81</v>
      </c>
      <c r="AU36" s="67" t="s">
        <v>82</v>
      </c>
      <c r="BX36" s="1">
        <v>32</v>
      </c>
      <c r="CG36" s="143">
        <v>46220</v>
      </c>
      <c r="CH36" s="143">
        <v>46222</v>
      </c>
      <c r="CI36" s="142" t="s">
        <v>116</v>
      </c>
      <c r="CJ36" s="141"/>
      <c r="CK36" s="141"/>
      <c r="CN36" t="s">
        <v>530</v>
      </c>
      <c r="CU36" t="s">
        <v>92</v>
      </c>
      <c r="CV36" t="s">
        <v>193</v>
      </c>
      <c r="CW36" t="s">
        <v>531</v>
      </c>
      <c r="CX36" t="s">
        <v>532</v>
      </c>
      <c r="CY36" t="s">
        <v>243</v>
      </c>
      <c r="CZ36" t="s">
        <v>533</v>
      </c>
      <c r="DA36" t="str" cm="1">
        <f t="array" ref="DA36:EJ36">IF(U36&lt;&gt;"", TRANSPOSE(_xlfn._xlws.FILTER(CZ:CZ, CY:CY=U36, "")), "")</f>
        <v>Ex Gwl | Gwl (2N) + Mor - Son - Dat - Orc (1N) - Hjr (1N) - Gwl</v>
      </c>
      <c r="DB36" t="str">
        <v>Ex Idr | Idr - Ujj (1N) - Omk - Mah (1N) - Man (1N) - Idr (1N)</v>
      </c>
      <c r="DC36" t="str">
        <v>Ex Idr | Idr - Ujj (1N) - Omk (1N) - Mah (1N) - Man (1N) - Idr</v>
      </c>
      <c r="DD36" t="str">
        <v>Ex Jlr | Jlr - Kan (2N) - Amk (1N) - Jlr (1N)</v>
      </c>
      <c r="DE36" t="str">
        <v>Ex Jlr | Jlr - Ban (2N) - Amk (1N) - Jlr (1N)</v>
      </c>
      <c r="DF36" t="str">
        <v>Ex Jlr | Jlr (1N) - Hjr (1N) - Ban (2N) - Jlr</v>
      </c>
      <c r="DG36" t="str">
        <v>Ex Jlr | Jlr (1N) - Kan (1N) - Ban (2N) - Jlr</v>
      </c>
      <c r="DH36" t="str">
        <v>Ex Bho | Bho (1N) + San + Bhoj + Bhim - Tawa - Mad (1N) - Pch (2N) - Bho</v>
      </c>
      <c r="DI36" t="str">
        <v>Ex Idr | Idr - Ujj (1N) - Omk - Mah (1N) - Man (1N) - Idr (1N)</v>
      </c>
      <c r="DJ36" t="str">
        <v>Ex Bho | Bho (1N) - Bhoj - Bhim - Pch (3N) - Bho</v>
      </c>
      <c r="DK36" t="str">
        <v>Gwl (1N) - Dat (Pitambara Peeth) - Orc (1N) - Ckt (2N) - Ixd</v>
      </c>
      <c r="DL36" t="str">
        <v>Ex Jlr | Jlr - Ban (2N) - Kan (2N) - Jlr</v>
      </c>
      <c r="DM36" t="str">
        <v>Jlr - Ban (1N) - Kan (1N) - Pen (2N) - Nag</v>
      </c>
      <c r="DN36" t="str">
        <v>Ex Bho | Bho (1N) - Bhoj - Bhim - Pch (3N) - Bho</v>
      </c>
      <c r="DO36" t="str">
        <v>Ex Bho | Bho (2N) + Sanchi + Bhoj + Bhim - Tawa - Mad (1N) - Bho (1N)</v>
      </c>
      <c r="DP36" t="str">
        <v>Ex Bho | Bho - Bhoj - Bhim - Tawa (1N) - Mad (1N) - Pch (2N) - Bho</v>
      </c>
      <c r="DQ36" t="str">
        <v>Bho - Bhoj - Bhim - Pch (2N) - Kan (1N) - Jlr (1N)</v>
      </c>
      <c r="DR36" t="str">
        <v>Bho - Bhoj - Bhim - Pch (2N) - Kan (1N) - Amk (1N) - Jlr</v>
      </c>
      <c r="DS36" t="str">
        <v xml:space="preserve">Bho (1N) + Bhim + Bhoj + San - Ujj (1N) - Omk - Mah (1N) - Idr (1N) </v>
      </c>
      <c r="DT36" t="str">
        <v>Ex Gwl | Gwl - Hjr (1N) - Orc (1N) - Dat - Son - Gwl (2N)</v>
      </c>
      <c r="DU36" t="str">
        <v>Ex Gwl | Gwl - Orc (1N) - Hjr (1N) - Chn (1N) - Shiv (1N) - Gwl</v>
      </c>
      <c r="DV36" t="str">
        <v>Gwl - Hjr (1N) - Panna (1N) - Chit (1N) - Mahi (1N) - Sat</v>
      </c>
      <c r="DW36" t="str">
        <v>Jlr - (2 N) Kan - (2 N) Pch - Bhim - Bhoj - Bhp</v>
      </c>
      <c r="DX36" t="str">
        <v>Jlr - (2 N) Kan - (2 N) Pen - Rpr</v>
      </c>
      <c r="DY36" t="str">
        <v>Gwl (2N) (Ex Mor) - Dat -Orc (1N) - Hjr (1N) - Jhn</v>
      </c>
      <c r="DZ36" t="str">
        <v>Ex Gwl | Gwl (1N) - Son - Dat - Orc (1N) - Hjr (2N) (Ex Panna) - Gwl</v>
      </c>
      <c r="EA36" t="str">
        <v>Hjr (1N) - Orc (1N) - Dat - son - Gwl (2N)(Ex Mor)</v>
      </c>
      <c r="EB36" t="str">
        <v>(2 N) Gwl - (1 N) Orch - (1 N) Hjr</v>
      </c>
      <c r="EC36" t="str">
        <v>Ex Bhp | Bhp - Bhoj - Bhim - Pch (2N) - Mad (1N) - Tawa (1N) - Bhp</v>
      </c>
      <c r="ED36" t="str">
        <v>Ex Bhp | Bhp - Bhoj - Bhim - Pch (2N) - Mad (2N) - Bhp</v>
      </c>
      <c r="EE36" t="str">
        <v>Ex Idr | Idr - Ujj (1N) - Omk (1N) - Mah (2N) (Ex Man) - Idr (HDCT)</v>
      </c>
      <c r="EF36" t="str">
        <v>Arr Rpr - Amr (2N) - Par (2N) - IXD</v>
      </c>
      <c r="EG36" t="str">
        <v>1N Gwl - Orc - 2N Hjr - Jhn - 1N Gwl</v>
      </c>
      <c r="EH36" t="str">
        <v>1N Orc - 1N Hjr - 2N Gwl Ex Mor</v>
      </c>
      <c r="EI36" t="str">
        <v>1N Idr - Omk - 1N Mah - 1N Ujj - Seh - 1N Bho</v>
      </c>
      <c r="EJ36" t="str">
        <v>Ex Idr I 1N Idr - 1N Ujj - Omk - 2N Mah - Man - Idr</v>
      </c>
    </row>
    <row r="37" spans="2:145" ht="15" customHeight="1">
      <c r="B37" s="34">
        <v>33</v>
      </c>
      <c r="C37" s="36" t="s">
        <v>534</v>
      </c>
      <c r="D37" s="76">
        <v>46113</v>
      </c>
      <c r="E37" s="37" t="str">
        <f>IF(Table5[[#This Row],[Query Date]]&lt;&gt;"", TEXT(Table5[[#This Row],[Query Date]], "dddd"), "")</f>
        <v>Wednesday</v>
      </c>
      <c r="F37" s="37" t="str">
        <f>IF(Table5[[#This Row],[Query Date]]&lt;&gt;"", TEXT(Table5[[#This Row],[Query Date]], "mmmm"), "")</f>
        <v>April</v>
      </c>
      <c r="G37" s="28" t="s">
        <v>65</v>
      </c>
      <c r="H37" s="28" t="s">
        <v>99</v>
      </c>
      <c r="I37" s="28" t="s">
        <v>67</v>
      </c>
      <c r="J37" s="28" t="s">
        <v>68</v>
      </c>
      <c r="K37" s="28" t="s">
        <v>535</v>
      </c>
      <c r="L37" s="25" t="s">
        <v>70</v>
      </c>
      <c r="M37" s="112" t="s">
        <v>536</v>
      </c>
      <c r="N37" s="25" t="s">
        <v>537</v>
      </c>
      <c r="O37" s="130">
        <v>9034015552</v>
      </c>
      <c r="P37" s="31" t="s">
        <v>538</v>
      </c>
      <c r="Q37" s="77">
        <v>46147</v>
      </c>
      <c r="R37" s="77" t="str">
        <f>IF(Table5[[#This Row],[Tour Starting Date]]&lt;&gt;"", TEXT(Table5[[#This Row],[Tour Starting Date]], "dddd"), "")</f>
        <v>Tuesday</v>
      </c>
      <c r="S37" s="77">
        <v>46149</v>
      </c>
      <c r="T37" s="25" t="str">
        <f>IF(Table5[[#This Row],[Tour Ending Date]]&lt;&gt;"", TEXT(Table5[[#This Row],[Tour Ending Date]], "dddd"), "")</f>
        <v>Thursday</v>
      </c>
      <c r="U37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37" s="37" t="str">
        <f>IF(Table5[[#This Row],[Tour Starting Date]]&lt;&gt;"", TEXT(Table5[[#This Row],[Tour Starting Date]], "mmmm"), "")</f>
        <v>May</v>
      </c>
      <c r="W37" s="80" t="str" cm="1">
        <f t="array" ref="W37">IF(Q37&lt;&gt;"", INDEX(CI:CI, MATCH(1, (Q37&gt;=CG:CG)*(Q37&lt;=CH:CH), 0)), "")</f>
        <v>Regular Dates - Weekday</v>
      </c>
      <c r="X37" s="39">
        <v>9</v>
      </c>
      <c r="Y37" s="74">
        <v>7500</v>
      </c>
      <c r="Z37" s="74">
        <f>IF(OR(Table5[[#This Row],[Per Person Package Cost]]="", Table5[[#This Row],[No. of Pax]]=""), "", Table5[[#This Row],[Per Person Package Cost]] * Table5[[#This Row],[No. of Pax]])</f>
        <v>67500</v>
      </c>
      <c r="AA37" s="52" t="s">
        <v>75</v>
      </c>
      <c r="AB37" s="52" t="s">
        <v>75</v>
      </c>
      <c r="AC37" s="52" t="s">
        <v>173</v>
      </c>
      <c r="AD37" s="52" t="s">
        <v>106</v>
      </c>
      <c r="AE37" s="51" t="str">
        <f t="shared" si="0"/>
        <v>EXIDR04</v>
      </c>
      <c r="AF37" s="51" t="str">
        <f t="shared" si="1"/>
        <v>Heritage Pilgrimage</v>
      </c>
      <c r="AG37" s="74" t="str">
        <f t="shared" si="2"/>
        <v>Quick Getaways</v>
      </c>
      <c r="AH37" s="73" t="str">
        <f t="shared" si="4"/>
        <v>West MP</v>
      </c>
      <c r="AI37" s="52" t="s">
        <v>159</v>
      </c>
      <c r="AJ37" s="56" t="s">
        <v>78</v>
      </c>
      <c r="AK37" s="59" t="s">
        <v>79</v>
      </c>
      <c r="AL37" s="60" t="s">
        <v>80</v>
      </c>
      <c r="AM37" s="54" t="s">
        <v>80</v>
      </c>
      <c r="AN37" s="14">
        <v>46116</v>
      </c>
      <c r="AO37" s="15">
        <v>46119</v>
      </c>
      <c r="AP37" s="91">
        <v>46132</v>
      </c>
      <c r="AQ37" s="87"/>
      <c r="AR37" s="26"/>
      <c r="AS37" s="65"/>
      <c r="AT37" s="88" t="s">
        <v>81</v>
      </c>
      <c r="AU37" s="67"/>
      <c r="BX37" s="1">
        <v>33</v>
      </c>
      <c r="CG37" s="143">
        <v>46223</v>
      </c>
      <c r="CH37" s="143">
        <v>46226</v>
      </c>
      <c r="CI37" s="142" t="s">
        <v>88</v>
      </c>
      <c r="CJ37" s="141"/>
      <c r="CK37" s="141"/>
      <c r="CN37" t="s">
        <v>179</v>
      </c>
      <c r="CU37" t="s">
        <v>92</v>
      </c>
      <c r="CV37" t="s">
        <v>193</v>
      </c>
      <c r="CW37" t="s">
        <v>539</v>
      </c>
      <c r="CX37" t="s">
        <v>540</v>
      </c>
      <c r="CY37" t="s">
        <v>223</v>
      </c>
      <c r="CZ37" t="s">
        <v>541</v>
      </c>
      <c r="DA37" t="str" cm="1">
        <f t="array" ref="DA37:DY37">IF(U37&lt;&gt;"", TRANSPOSE(_xlfn._xlws.FILTER(CZ:CZ, CY:CY=U37, "")), "")</f>
        <v>Gwl (2N) + Mor</v>
      </c>
      <c r="DB37" t="str">
        <v>Ex Idr | Idr - Ujj (1N) - Omk - Mah (1N) - Man - Idr</v>
      </c>
      <c r="DC37" t="str">
        <v>Ujj (1N) - Omk - Idr (1N)</v>
      </c>
      <c r="DD37" t="str">
        <v>Ex Jlr | Jlr - Kan (2N) - Jlr</v>
      </c>
      <c r="DE37" t="str">
        <v>Ex Jlr | Jlr - Ban (2N) - Jlr</v>
      </c>
      <c r="DF37" t="str">
        <v>Ex Bho | Bho (2N) + Bhim + Bhoj + San</v>
      </c>
      <c r="DG37" t="str">
        <v>Ex Idr | Idr - Man (2N) - Idr</v>
      </c>
      <c r="DH37" t="str">
        <v>Ex Jlr | Jlr - Kan (2N) - Jlr</v>
      </c>
      <c r="DI37" t="str">
        <v>Ex Bho | Bho (2N) + Bhim + Bhoj + San + HDCT Bho</v>
      </c>
      <c r="DJ37" t="str">
        <v>Ex Bho | Bho - Bhim - Tawa (1N) - Mad (1N) - Bho</v>
      </c>
      <c r="DK37" t="str">
        <v>Ujj (1N) - Omk - Mah (1N) - Idr</v>
      </c>
      <c r="DL37" t="str">
        <v>Ujj (1N) -  Idr (1N)</v>
      </c>
      <c r="DM37" t="str">
        <v>Ex Idr | Idr (2N) + Ujj + Omk + Mah</v>
      </c>
      <c r="DN37" t="str">
        <v>Idr - Mah - Omk (1N) - Ujj (1N)</v>
      </c>
      <c r="DO37" t="str">
        <v>Idr - Ujj (1N) - Mah - Omk (1N) - Khandwa</v>
      </c>
      <c r="DP37" t="str">
        <v>Ex Idr | Idr (EX Ujj) (1N) - Mah - Omk (1N) - Idr HDCT</v>
      </c>
      <c r="DQ37" t="str">
        <v>Ujj (1N) - Sehor - Bho (1N) HDCT</v>
      </c>
      <c r="DR37" t="str">
        <v>Ex Jlr | Jlr (1N) - Ban (1N)</v>
      </c>
      <c r="DS37" t="str">
        <v>Ex Jlr | Ban (1N)</v>
      </c>
      <c r="DT37" t="str">
        <v>Ex Jlr | Jlr (2 N) Kan</v>
      </c>
      <c r="DU37" t="str">
        <v>Ex Jlr | Jlr - Amr (1 N) - (1 N) Ban</v>
      </c>
      <c r="DV37" t="str">
        <v>Ex Rpr | Rpr - (2N) Kan</v>
      </c>
      <c r="DW37" t="str">
        <v>Hjr (1N) - Mahi (1N) - Sat</v>
      </c>
      <c r="DX37" t="str">
        <v>Ex Bhp | Bhp - Bhim - Pch (2N) - Bhp</v>
      </c>
      <c r="DY37" t="str">
        <v xml:space="preserve">Ex Ujj I 2N Ujj </v>
      </c>
    </row>
    <row r="38" spans="2:145" ht="15" customHeight="1">
      <c r="B38" s="35">
        <v>34</v>
      </c>
      <c r="C38" s="36" t="s">
        <v>542</v>
      </c>
      <c r="D38" s="76">
        <v>46114</v>
      </c>
      <c r="E38" s="37" t="str">
        <f>IF(Table5[[#This Row],[Query Date]]&lt;&gt;"", TEXT(Table5[[#This Row],[Query Date]], "dddd"), "")</f>
        <v>Thursday</v>
      </c>
      <c r="F38" s="37" t="str">
        <f>IF(Table5[[#This Row],[Query Date]]&lt;&gt;"", TEXT(Table5[[#This Row],[Query Date]], "mmmm"), "")</f>
        <v>April</v>
      </c>
      <c r="G38" s="28" t="s">
        <v>65</v>
      </c>
      <c r="H38" s="28" t="s">
        <v>99</v>
      </c>
      <c r="I38" s="28" t="s">
        <v>67</v>
      </c>
      <c r="J38" s="28" t="s">
        <v>68</v>
      </c>
      <c r="K38" s="28" t="s">
        <v>178</v>
      </c>
      <c r="L38" s="25" t="s">
        <v>70</v>
      </c>
      <c r="M38" s="112" t="s">
        <v>502</v>
      </c>
      <c r="N38" s="25" t="s">
        <v>507</v>
      </c>
      <c r="O38" s="130">
        <v>9036405090</v>
      </c>
      <c r="P38" s="46" t="s">
        <v>508</v>
      </c>
      <c r="Q38" s="77">
        <v>46137</v>
      </c>
      <c r="R38" s="77" t="str">
        <f>IF(Table5[[#This Row],[Tour Starting Date]]&lt;&gt;"", TEXT(Table5[[#This Row],[Tour Starting Date]], "dddd"), "")</f>
        <v>Saturday</v>
      </c>
      <c r="S38" s="77">
        <v>46145</v>
      </c>
      <c r="T38" s="25" t="str">
        <f>IF(Table5[[#This Row],[Tour Ending Date]]&lt;&gt;"", TEXT(Table5[[#This Row],[Tour Ending Date]], "dddd"), "")</f>
        <v>Sunday</v>
      </c>
      <c r="U38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8 Nights &amp; 9 Days</v>
      </c>
      <c r="V38" s="37" t="str">
        <f>IF(Table5[[#This Row],[Tour Starting Date]]&lt;&gt;"", TEXT(Table5[[#This Row],[Tour Starting Date]], "mmmm"), "")</f>
        <v>April</v>
      </c>
      <c r="W38" s="80" t="str" cm="1">
        <f t="array" ref="W38">IF(Q38&lt;&gt;"", INDEX(CI:CI, MATCH(1, (Q38&gt;=CG:CG)*(Q38&lt;=CH:CH), 0)), "")</f>
        <v>Regular Dates - Weekend</v>
      </c>
      <c r="X38" s="39">
        <v>4</v>
      </c>
      <c r="Y38" s="74">
        <v>30900</v>
      </c>
      <c r="Z38" s="74">
        <f>IF(OR(Table5[[#This Row],[Per Person Package Cost]]="", Table5[[#This Row],[No. of Pax]]=""), "", Table5[[#This Row],[Per Person Package Cost]] * Table5[[#This Row],[No. of Pax]])</f>
        <v>123600</v>
      </c>
      <c r="AA38" s="52" t="s">
        <v>509</v>
      </c>
      <c r="AB38" s="52" t="s">
        <v>75</v>
      </c>
      <c r="AC38" s="52" t="s">
        <v>173</v>
      </c>
      <c r="AD38" s="52" t="s">
        <v>510</v>
      </c>
      <c r="AE38" s="51" t="str">
        <f t="shared" si="0"/>
        <v>EMPRT01</v>
      </c>
      <c r="AF38" s="51" t="str">
        <f t="shared" si="1"/>
        <v>Ancient Madhya Pradesh</v>
      </c>
      <c r="AG38" s="74" t="str">
        <f t="shared" si="2"/>
        <v>Regular Tours</v>
      </c>
      <c r="AH38" s="73" t="str">
        <f t="shared" si="4"/>
        <v>North + South + West MP</v>
      </c>
      <c r="AI38" s="52" t="s">
        <v>159</v>
      </c>
      <c r="AJ38" s="56" t="s">
        <v>78</v>
      </c>
      <c r="AK38" s="59" t="s">
        <v>79</v>
      </c>
      <c r="AL38" s="60" t="s">
        <v>80</v>
      </c>
      <c r="AM38" s="54" t="s">
        <v>80</v>
      </c>
      <c r="AN38" s="14">
        <v>46117</v>
      </c>
      <c r="AO38" s="15">
        <v>46128</v>
      </c>
      <c r="AP38" s="91"/>
      <c r="AQ38" s="87"/>
      <c r="AR38" s="26"/>
      <c r="AS38" s="65"/>
      <c r="AT38" s="88" t="s">
        <v>81</v>
      </c>
      <c r="AU38" s="67" t="s">
        <v>82</v>
      </c>
      <c r="BX38" s="1">
        <v>34</v>
      </c>
      <c r="CG38" s="143">
        <v>46227</v>
      </c>
      <c r="CH38" s="143">
        <v>46229</v>
      </c>
      <c r="CI38" s="142" t="s">
        <v>116</v>
      </c>
      <c r="CJ38" s="141"/>
      <c r="CK38" s="141"/>
      <c r="CN38" t="s">
        <v>71</v>
      </c>
      <c r="CU38" t="s">
        <v>92</v>
      </c>
      <c r="CV38" t="s">
        <v>193</v>
      </c>
      <c r="CW38" t="s">
        <v>543</v>
      </c>
      <c r="CX38" t="s">
        <v>544</v>
      </c>
      <c r="CY38" t="s">
        <v>197</v>
      </c>
      <c r="CZ38" t="s">
        <v>135</v>
      </c>
      <c r="DA38" t="str" cm="1">
        <f t="array" ref="DA38:DC38">IF(U38&lt;&gt;"", TRANSPOSE(_xlfn._xlws.FILTER(CZ:CZ, CY:CY=U38, "")), "")</f>
        <v>Gwl (1N) - Dat - Orc (1N) - Hjr (1N) - San - Bho (2N) + Bhim + Bhoj - Ujj (1N) - Omk - Mah (1N) - Man (1N) - Idr</v>
      </c>
      <c r="DB38" t="str">
        <v>Bho - Bhoj - Bhim - Mad (1N) - Pen (1N) - Kan (2N) - Ban (2N) - Pan (1N) - Gwl (1N)</v>
      </c>
      <c r="DC38" t="str">
        <v>(1 N) Ujj - (2 N) Mah - (1 N) Idr - (1 N) Bho - (2 N) Pach - (1 N) Pench</v>
      </c>
    </row>
    <row r="39" spans="2:145" ht="15" customHeight="1">
      <c r="B39" s="34">
        <v>35</v>
      </c>
      <c r="C39" s="36" t="s">
        <v>545</v>
      </c>
      <c r="D39" s="76">
        <v>46114</v>
      </c>
      <c r="E39" s="37" t="str">
        <f>IF(Table5[[#This Row],[Query Date]]&lt;&gt;"", TEXT(Table5[[#This Row],[Query Date]], "dddd"), "")</f>
        <v>Thursday</v>
      </c>
      <c r="F39" s="37" t="str">
        <f>IF(Table5[[#This Row],[Query Date]]&lt;&gt;"", TEXT(Table5[[#This Row],[Query Date]], "mmmm"), "")</f>
        <v>April</v>
      </c>
      <c r="G39" s="28" t="s">
        <v>65</v>
      </c>
      <c r="H39" s="28" t="s">
        <v>99</v>
      </c>
      <c r="I39" s="28" t="s">
        <v>67</v>
      </c>
      <c r="J39" s="28" t="s">
        <v>68</v>
      </c>
      <c r="K39" s="28" t="s">
        <v>69</v>
      </c>
      <c r="L39" s="25" t="s">
        <v>70</v>
      </c>
      <c r="M39" s="112" t="s">
        <v>101</v>
      </c>
      <c r="N39" s="44" t="s">
        <v>546</v>
      </c>
      <c r="O39" s="130">
        <v>9987720222</v>
      </c>
      <c r="P39" s="31" t="s">
        <v>547</v>
      </c>
      <c r="Q39" s="77">
        <v>46173</v>
      </c>
      <c r="R39" s="77" t="str">
        <f>IF(Table5[[#This Row],[Tour Starting Date]]&lt;&gt;"", TEXT(Table5[[#This Row],[Tour Starting Date]], "dddd"), "")</f>
        <v>Sunday</v>
      </c>
      <c r="S39" s="77">
        <v>46177</v>
      </c>
      <c r="T39" s="25" t="str">
        <f>IF(Table5[[#This Row],[Tour Ending Date]]&lt;&gt;"", TEXT(Table5[[#This Row],[Tour Ending Date]], "dddd"), "")</f>
        <v>Thursday</v>
      </c>
      <c r="U39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4 Nights &amp; 5 Days</v>
      </c>
      <c r="V39" s="37" t="str">
        <f>IF(Table5[[#This Row],[Tour Starting Date]]&lt;&gt;"", TEXT(Table5[[#This Row],[Tour Starting Date]], "mmmm"), "")</f>
        <v>May</v>
      </c>
      <c r="W39" s="80" t="str" cm="1">
        <f t="array" ref="W39">IF(Q39&lt;&gt;"", INDEX(CI:CI, MATCH(1, (Q39&gt;=CG:CG)*(Q39&lt;=CH:CH), 0)), "")</f>
        <v>Regular Dates - Weekend</v>
      </c>
      <c r="X39" s="39">
        <v>5</v>
      </c>
      <c r="Y39" s="74">
        <v>12000</v>
      </c>
      <c r="Z39" s="74">
        <f>IF(OR(Table5[[#This Row],[Per Person Package Cost]]="", Table5[[#This Row],[No. of Pax]]=""), "", Table5[[#This Row],[Per Person Package Cost]] * Table5[[#This Row],[No. of Pax]])</f>
        <v>60000</v>
      </c>
      <c r="AA39" s="52" t="s">
        <v>205</v>
      </c>
      <c r="AB39" s="52" t="s">
        <v>75</v>
      </c>
      <c r="AC39" s="52" t="s">
        <v>76</v>
      </c>
      <c r="AD39" s="52" t="s">
        <v>548</v>
      </c>
      <c r="AE39" s="51" t="str">
        <f t="shared" si="0"/>
        <v>EXIDR35</v>
      </c>
      <c r="AF39" s="51" t="str">
        <f t="shared" si="1"/>
        <v>The Narmada Tapestry</v>
      </c>
      <c r="AG39" s="74" t="str">
        <f t="shared" si="2"/>
        <v>Quick Getaways</v>
      </c>
      <c r="AH39" s="73" t="str">
        <f t="shared" si="4"/>
        <v>West MP</v>
      </c>
      <c r="AI39" s="52" t="s">
        <v>77</v>
      </c>
      <c r="AJ39" s="56" t="s">
        <v>78</v>
      </c>
      <c r="AK39" s="59" t="s">
        <v>79</v>
      </c>
      <c r="AL39" s="60" t="s">
        <v>80</v>
      </c>
      <c r="AM39" s="54" t="s">
        <v>80</v>
      </c>
      <c r="AN39" s="14">
        <v>46117</v>
      </c>
      <c r="AO39" s="15">
        <v>46128</v>
      </c>
      <c r="AP39" s="91">
        <v>46150</v>
      </c>
      <c r="AQ39" s="87">
        <v>46158</v>
      </c>
      <c r="AR39" s="26"/>
      <c r="AS39" s="65"/>
      <c r="AT39" s="88" t="s">
        <v>81</v>
      </c>
      <c r="AU39" s="67" t="s">
        <v>82</v>
      </c>
      <c r="BX39" s="1">
        <v>35</v>
      </c>
      <c r="CG39" s="143">
        <v>46230</v>
      </c>
      <c r="CH39" s="143">
        <v>46233</v>
      </c>
      <c r="CI39" s="142" t="s">
        <v>88</v>
      </c>
      <c r="CJ39" s="141"/>
      <c r="CK39" s="141"/>
      <c r="CN39" t="s">
        <v>549</v>
      </c>
      <c r="CU39" t="s">
        <v>92</v>
      </c>
      <c r="CV39" t="s">
        <v>316</v>
      </c>
      <c r="CW39" t="s">
        <v>550</v>
      </c>
      <c r="CX39" t="s">
        <v>551</v>
      </c>
      <c r="CY39" t="s">
        <v>223</v>
      </c>
      <c r="CZ39" t="s">
        <v>552</v>
      </c>
      <c r="DA39" t="str" cm="1">
        <f t="array" ref="DA39:EJ39">IF(U39&lt;&gt;"", TRANSPOSE(_xlfn._xlws.FILTER(CZ:CZ, CY:CY=U39, "")), "")</f>
        <v>Ex Gwl | Gwl (2N) + Mor - Son - Dat - Orc (1N) - Hjr (1N) - Gwl</v>
      </c>
      <c r="DB39" t="str">
        <v>Ex Idr | Idr - Ujj (1N) - Omk - Mah (1N) - Man (1N) - Idr (1N)</v>
      </c>
      <c r="DC39" t="str">
        <v>Ex Idr | Idr - Ujj (1N) - Omk (1N) - Mah (1N) - Man (1N) - Idr</v>
      </c>
      <c r="DD39" t="str">
        <v>Ex Jlr | Jlr - Kan (2N) - Amk (1N) - Jlr (1N)</v>
      </c>
      <c r="DE39" t="str">
        <v>Ex Jlr | Jlr - Ban (2N) - Amk (1N) - Jlr (1N)</v>
      </c>
      <c r="DF39" t="str">
        <v>Ex Jlr | Jlr (1N) - Hjr (1N) - Ban (2N) - Jlr</v>
      </c>
      <c r="DG39" t="str">
        <v>Ex Jlr | Jlr (1N) - Kan (1N) - Ban (2N) - Jlr</v>
      </c>
      <c r="DH39" t="str">
        <v>Ex Bho | Bho (1N) + San + Bhoj + Bhim - Tawa - Mad (1N) - Pch (2N) - Bho</v>
      </c>
      <c r="DI39" t="str">
        <v>Ex Idr | Idr - Ujj (1N) - Omk - Mah (1N) - Man (1N) - Idr (1N)</v>
      </c>
      <c r="DJ39" t="str">
        <v>Ex Bho | Bho (1N) - Bhoj - Bhim - Pch (3N) - Bho</v>
      </c>
      <c r="DK39" t="str">
        <v>Gwl (1N) - Dat (Pitambara Peeth) - Orc (1N) - Ckt (2N) - Ixd</v>
      </c>
      <c r="DL39" t="str">
        <v>Ex Jlr | Jlr - Ban (2N) - Kan (2N) - Jlr</v>
      </c>
      <c r="DM39" t="str">
        <v>Jlr - Ban (1N) - Kan (1N) - Pen (2N) - Nag</v>
      </c>
      <c r="DN39" t="str">
        <v>Ex Bho | Bho (1N) - Bhoj - Bhim - Pch (3N) - Bho</v>
      </c>
      <c r="DO39" t="str">
        <v>Ex Bho | Bho (2N) + Sanchi + Bhoj + Bhim - Tawa - Mad (1N) - Bho (1N)</v>
      </c>
      <c r="DP39" t="str">
        <v>Ex Bho | Bho - Bhoj - Bhim - Tawa (1N) - Mad (1N) - Pch (2N) - Bho</v>
      </c>
      <c r="DQ39" t="str">
        <v>Bho - Bhoj - Bhim - Pch (2N) - Kan (1N) - Jlr (1N)</v>
      </c>
      <c r="DR39" t="str">
        <v>Bho - Bhoj - Bhim - Pch (2N) - Kan (1N) - Amk (1N) - Jlr</v>
      </c>
      <c r="DS39" t="str">
        <v xml:space="preserve">Bho (1N) + Bhim + Bhoj + San - Ujj (1N) - Omk - Mah (1N) - Idr (1N) </v>
      </c>
      <c r="DT39" t="str">
        <v>Ex Gwl | Gwl - Hjr (1N) - Orc (1N) - Dat - Son - Gwl (2N)</v>
      </c>
      <c r="DU39" t="str">
        <v>Ex Gwl | Gwl - Orc (1N) - Hjr (1N) - Chn (1N) - Shiv (1N) - Gwl</v>
      </c>
      <c r="DV39" t="str">
        <v>Gwl - Hjr (1N) - Panna (1N) - Chit (1N) - Mahi (1N) - Sat</v>
      </c>
      <c r="DW39" t="str">
        <v>Jlr - (2 N) Kan - (2 N) Pch - Bhim - Bhoj - Bhp</v>
      </c>
      <c r="DX39" t="str">
        <v>Jlr - (2 N) Kan - (2 N) Pen - Rpr</v>
      </c>
      <c r="DY39" t="str">
        <v>Gwl (2N) (Ex Mor) - Dat -Orc (1N) - Hjr (1N) - Jhn</v>
      </c>
      <c r="DZ39" t="str">
        <v>Ex Gwl | Gwl (1N) - Son - Dat - Orc (1N) - Hjr (2N) (Ex Panna) - Gwl</v>
      </c>
      <c r="EA39" t="str">
        <v>Hjr (1N) - Orc (1N) - Dat - son - Gwl (2N)(Ex Mor)</v>
      </c>
      <c r="EB39" t="str">
        <v>(2 N) Gwl - (1 N) Orch - (1 N) Hjr</v>
      </c>
      <c r="EC39" t="str">
        <v>Ex Bhp | Bhp - Bhoj - Bhim - Pch (2N) - Mad (1N) - Tawa (1N) - Bhp</v>
      </c>
      <c r="ED39" t="str">
        <v>Ex Bhp | Bhp - Bhoj - Bhim - Pch (2N) - Mad (2N) - Bhp</v>
      </c>
      <c r="EE39" t="str">
        <v>Ex Idr | Idr - Ujj (1N) - Omk (1N) - Mah (2N) (Ex Man) - Idr (HDCT)</v>
      </c>
      <c r="EF39" t="str">
        <v>Arr Rpr - Amr (2N) - Par (2N) - IXD</v>
      </c>
      <c r="EG39" t="str">
        <v>1N Gwl - Orc - 2N Hjr - Jhn - 1N Gwl</v>
      </c>
      <c r="EH39" t="str">
        <v>1N Orc - 1N Hjr - 2N Gwl Ex Mor</v>
      </c>
      <c r="EI39" t="str">
        <v>1N Idr - Omk - 1N Mah - 1N Ujj - Seh - 1N Bho</v>
      </c>
      <c r="EJ39" t="str">
        <v>Ex Idr I 1N Idr - 1N Ujj - Omk - 2N Mah - Man - Idr</v>
      </c>
    </row>
    <row r="40" spans="2:145" ht="15" customHeight="1">
      <c r="B40" s="35">
        <v>36</v>
      </c>
      <c r="C40" s="36" t="s">
        <v>553</v>
      </c>
      <c r="D40" s="76">
        <v>46114</v>
      </c>
      <c r="E40" s="37" t="str">
        <f>IF(Table5[[#This Row],[Query Date]]&lt;&gt;"", TEXT(Table5[[#This Row],[Query Date]], "dddd"), "")</f>
        <v>Thursday</v>
      </c>
      <c r="F40" s="37" t="str">
        <f>IF(Table5[[#This Row],[Query Date]]&lt;&gt;"", TEXT(Table5[[#This Row],[Query Date]], "mmmm"), "")</f>
        <v>April</v>
      </c>
      <c r="G40" s="28" t="s">
        <v>65</v>
      </c>
      <c r="H40" s="28" t="s">
        <v>99</v>
      </c>
      <c r="I40" s="28" t="s">
        <v>67</v>
      </c>
      <c r="J40" s="28" t="s">
        <v>68</v>
      </c>
      <c r="K40" s="28" t="s">
        <v>246</v>
      </c>
      <c r="L40" s="25" t="s">
        <v>70</v>
      </c>
      <c r="M40" s="112" t="s">
        <v>554</v>
      </c>
      <c r="N40" s="25" t="s">
        <v>555</v>
      </c>
      <c r="O40" s="130" t="s">
        <v>556</v>
      </c>
      <c r="P40" s="46" t="s">
        <v>557</v>
      </c>
      <c r="Q40" s="77">
        <v>46154</v>
      </c>
      <c r="R40" s="77" t="str">
        <f>IF(Table5[[#This Row],[Tour Starting Date]]&lt;&gt;"", TEXT(Table5[[#This Row],[Tour Starting Date]], "dddd"), "")</f>
        <v>Tuesday</v>
      </c>
      <c r="S40" s="77">
        <v>46160</v>
      </c>
      <c r="T40" s="25" t="str">
        <f>IF(Table5[[#This Row],[Tour Ending Date]]&lt;&gt;"", TEXT(Table5[[#This Row],[Tour Ending Date]], "dddd"), "")</f>
        <v>Monday</v>
      </c>
      <c r="U40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6 Nights &amp; 7 Days</v>
      </c>
      <c r="V40" s="37" t="str">
        <f>IF(Table5[[#This Row],[Tour Starting Date]]&lt;&gt;"", TEXT(Table5[[#This Row],[Tour Starting Date]], "mmmm"), "")</f>
        <v>May</v>
      </c>
      <c r="W40" s="80" t="str" cm="1">
        <f t="array" ref="W40">IF(Q40&lt;&gt;"", INDEX(CI:CI, MATCH(1, (Q40&gt;=CG:CG)*(Q40&lt;=CH:CH), 0)), "")</f>
        <v>Regular Dates - Weekday</v>
      </c>
      <c r="X40" s="39">
        <v>15</v>
      </c>
      <c r="Y40" s="74">
        <v>20600</v>
      </c>
      <c r="Z40" s="74">
        <f>IF(OR(Table5[[#This Row],[Per Person Package Cost]]="", Table5[[#This Row],[No. of Pax]]=""), "", Table5[[#This Row],[Per Person Package Cost]] * Table5[[#This Row],[No. of Pax]])</f>
        <v>309000</v>
      </c>
      <c r="AA40" s="52" t="s">
        <v>558</v>
      </c>
      <c r="AB40" s="52" t="s">
        <v>75</v>
      </c>
      <c r="AC40" s="52" t="s">
        <v>173</v>
      </c>
      <c r="AD40" s="52"/>
      <c r="AE40" s="51" t="str">
        <f t="shared" si="0"/>
        <v/>
      </c>
      <c r="AF40" s="51" t="str">
        <f t="shared" si="1"/>
        <v/>
      </c>
      <c r="AG40" s="74" t="str">
        <f t="shared" si="2"/>
        <v/>
      </c>
      <c r="AH40" s="73" t="str">
        <f t="shared" si="4"/>
        <v/>
      </c>
      <c r="AI40" s="52" t="s">
        <v>107</v>
      </c>
      <c r="AJ40" s="56" t="s">
        <v>78</v>
      </c>
      <c r="AK40" s="59" t="s">
        <v>79</v>
      </c>
      <c r="AL40" s="60" t="s">
        <v>80</v>
      </c>
      <c r="AM40" s="54" t="s">
        <v>80</v>
      </c>
      <c r="AN40" s="14">
        <v>46117</v>
      </c>
      <c r="AO40" s="15">
        <v>46128</v>
      </c>
      <c r="AP40" s="91">
        <v>46132</v>
      </c>
      <c r="AQ40" s="87">
        <v>46150</v>
      </c>
      <c r="AR40" s="26"/>
      <c r="AS40" s="65"/>
      <c r="AT40" s="88" t="s">
        <v>81</v>
      </c>
      <c r="AU40" s="67" t="s">
        <v>82</v>
      </c>
      <c r="BX40" s="1">
        <v>36</v>
      </c>
      <c r="CG40" s="143">
        <v>46234</v>
      </c>
      <c r="CH40" s="143">
        <v>46236</v>
      </c>
      <c r="CI40" s="142" t="s">
        <v>116</v>
      </c>
      <c r="CJ40" s="141"/>
      <c r="CK40" s="141"/>
      <c r="CN40" t="s">
        <v>559</v>
      </c>
      <c r="CU40" t="s">
        <v>92</v>
      </c>
      <c r="CV40" t="s">
        <v>147</v>
      </c>
      <c r="CW40" t="s">
        <v>560</v>
      </c>
      <c r="CX40" s="124" t="s">
        <v>561</v>
      </c>
      <c r="CY40" t="s">
        <v>125</v>
      </c>
      <c r="CZ40" t="s">
        <v>562</v>
      </c>
      <c r="DA40" t="str" cm="1">
        <f t="array" ref="DA40:DZ40">IF(U40&lt;&gt;"", TRANSPOSE(_xlfn._xlws.FILTER(CZ:CZ, CY:CY=U40, "")), "")</f>
        <v>Ex Gwl | Gwl (2N) + Mor - Orc - Pan (2N) - Hjr (1N) - Dat - Son - Gwl (1N)</v>
      </c>
      <c r="DB40" t="str">
        <v>Ex Gwl | GWL (2N) + Mor - Shiv - Chan (2N) - Hjr (1N) - Orc (1N) - Dat - Gwl</v>
      </c>
      <c r="DC40" t="str">
        <v>Gwl (2N) + Mor - Son - Dat - Orc (1N) - Hjr (1N) - Ban (1N) - Jlr (1N)</v>
      </c>
      <c r="DD40" t="str">
        <v>Idr - Ujj (1N) - Omk - Mah (1N) - Man (2N) - Bhp (2N) + Bhim + Bhoj + San</v>
      </c>
      <c r="DE40" t="str">
        <v>Bhp (1N) + Bhim + Bhoj + San - Ujj (1N) - Man (2N) - Mah - Omk (1N) - Idr (1N)</v>
      </c>
      <c r="DF40" t="str">
        <v>Jlr (1N) - Ban (1N) - Hjr (1N) - Orc (1N) - Dat - Son - Gwl (2N) + Mor</v>
      </c>
      <c r="DG40" t="str">
        <v>Bho (1N) + San - Bhoj - Bhim - Tawa (1N) - Mad (1N) - Pch (2N) - Jlr (1N)</v>
      </c>
      <c r="DH40" t="str">
        <v>Bho (1N) + San + Udaygiri - Bhoj - Bhim - Pch (2N) - Kan(2N) - Jlr (1N)</v>
      </c>
      <c r="DI40" t="str">
        <v>Bho (1N) + Bhim + Bhoj - San - Ujj (1N) - Man (2N) - Mah - Omk (1N) - Idr (1N)</v>
      </c>
      <c r="DJ40" t="str">
        <v>Gwl (2N) + Mor - Son - Dat - Orc (1N) - Hjr (1N) - Jab (1N) - Kan (1N) - Nag</v>
      </c>
      <c r="DK40" t="str">
        <v>Bho (2N) + San + Bhoj + Bhim - Ujj (1N) - Omk - Mah (1N) - Man (1N) - Idr (1N)</v>
      </c>
      <c r="DL40" t="str">
        <v>Ex Nag | Nag - Pch (2N) - Bhim - Bhoj - Bho (2N) + San + Udaygiri - Jlr (1N) - Kan (1N) - Nag</v>
      </c>
      <c r="DM40" t="str">
        <v>Bho (1N) - Mad (2N) + Tawa Cruise Safari - Pch (2N) - Jlr (1N) - Nag</v>
      </c>
      <c r="DN40" t="str">
        <v>Idr - Man (2N) - Idr (1N) - Bho (1N) + San - Bhoj - Bhim - Pch (2N) - Bho</v>
      </c>
      <c r="DO40" t="str">
        <v>Rpr - kan (2N) - Ban (1N) - Jlr (1N) - Mad (2N) - Bhim - Bhoj - Bho</v>
      </c>
      <c r="DP40" t="str">
        <v>Jlr - Amar (1 N) - Ban (2 N) - Kan (1N) - Pch (2N) - Ppi</v>
      </c>
      <c r="DQ40" t="str">
        <v>Jlr - (2N) Kan - (1N) Jlr - Bhim - Bhoj - (2N) Bho  (Ex San &amp; Uda)  - (1N) Ujj - Idr</v>
      </c>
      <c r="DR40" t="str">
        <v>Ex Nag | Nag (2 N) Pach - Bhim - Bhij - (2 N) Bho (Ex San &amp; Uad) - (1 N) Jlr - (1 N) Kan - Nag</v>
      </c>
      <c r="DS40" t="str">
        <v>(2 N) Bho (Ex San, Bhoj &amp; Bhim) - (1 N) Ujj - Omk - (1 N) Mah - (1 N) Man - (1 N) Idr</v>
      </c>
      <c r="DT40" t="str">
        <v>(2 N) Gwl (Ex Mor) - Son - Dat - (1 N) Orc - (1 N) Hjr - (1 N) Jlr - (1 N) Kan - Nag</v>
      </c>
      <c r="DU40" t="str">
        <v>(1 N) Jlr - (2 N) Kanha - (2 N Pach) - (1 N) BHo</v>
      </c>
      <c r="DV40" t="str">
        <v>(2 N) Gwl - (1 N) Orc - (1 N) Hjr - (1 N) Ban - (1 N) Jlr</v>
      </c>
      <c r="DW40" t="str">
        <v>(2 N) BHo - (2 N) Madhai - (1 N) Pach - (1 N) Jlr</v>
      </c>
      <c r="DX40" t="str">
        <v>Ex Bhp | Bhp - Bhoj - Bhim - Pach (3N) - Tawa - Mad - Tawa (1N) - Mad (1N) - Bho (1N)</v>
      </c>
      <c r="DY40" t="str">
        <v>Ex Idr I Idr - 2N Ujj - 1N Man - 1N Mah - 1N Omk - 1N Idr</v>
      </c>
      <c r="DZ40" t="str">
        <v>1N Jlr - 1N Kan - 1N Ban - 1N Hjr -2N Gwl</v>
      </c>
    </row>
    <row r="41" spans="2:145" ht="15" customHeight="1">
      <c r="B41" s="34">
        <v>37</v>
      </c>
      <c r="C41" s="36" t="s">
        <v>563</v>
      </c>
      <c r="D41" s="76">
        <v>46116</v>
      </c>
      <c r="E41" s="37" t="str">
        <f>IF(Table5[[#This Row],[Query Date]]&lt;&gt;"", TEXT(Table5[[#This Row],[Query Date]], "dddd"), "")</f>
        <v>Saturday</v>
      </c>
      <c r="F41" s="37" t="str">
        <f>IF(Table5[[#This Row],[Query Date]]&lt;&gt;"", TEXT(Table5[[#This Row],[Query Date]], "mmmm"), "")</f>
        <v>April</v>
      </c>
      <c r="G41" s="28" t="s">
        <v>65</v>
      </c>
      <c r="H41" s="28" t="s">
        <v>120</v>
      </c>
      <c r="I41" s="28" t="s">
        <v>67</v>
      </c>
      <c r="J41" s="28" t="s">
        <v>68</v>
      </c>
      <c r="K41" s="28" t="s">
        <v>178</v>
      </c>
      <c r="L41" s="25" t="s">
        <v>160</v>
      </c>
      <c r="M41" s="112" t="s">
        <v>90</v>
      </c>
      <c r="N41" s="25" t="s">
        <v>564</v>
      </c>
      <c r="O41" s="130"/>
      <c r="P41" s="46"/>
      <c r="Q41" s="77">
        <v>46159</v>
      </c>
      <c r="R41" s="77" t="str">
        <f>IF(Table5[[#This Row],[Tour Starting Date]]&lt;&gt;"", TEXT(Table5[[#This Row],[Tour Starting Date]], "dddd"), "")</f>
        <v>Sunday</v>
      </c>
      <c r="S41" s="77">
        <v>46165</v>
      </c>
      <c r="T41" s="25" t="str">
        <f>IF(Table5[[#This Row],[Tour Ending Date]]&lt;&gt;"", TEXT(Table5[[#This Row],[Tour Ending Date]], "dddd"), "")</f>
        <v>Saturday</v>
      </c>
      <c r="U41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6 Nights &amp; 7 Days</v>
      </c>
      <c r="V41" s="37" t="str">
        <f>IF(Table5[[#This Row],[Tour Starting Date]]&lt;&gt;"", TEXT(Table5[[#This Row],[Tour Starting Date]], "mmmm"), "")</f>
        <v>May</v>
      </c>
      <c r="W41" s="80" t="str" cm="1">
        <f t="array" ref="W41">IF(Q41&lt;&gt;"", INDEX(CI:CI, MATCH(1, (Q41&gt;=CG:CG)*(Q41&lt;=CH:CH), 0)), "")</f>
        <v>Regular Dates - Weekend</v>
      </c>
      <c r="X41" s="39">
        <v>7</v>
      </c>
      <c r="Y41" s="74">
        <f>454500/7</f>
        <v>64928.571428571428</v>
      </c>
      <c r="Z41" s="74">
        <f>IF(OR(Table5[[#This Row],[Per Person Package Cost]]="", Table5[[#This Row],[No. of Pax]]=""), "", Table5[[#This Row],[Per Person Package Cost]] * Table5[[#This Row],[No. of Pax]])</f>
        <v>454500</v>
      </c>
      <c r="AA41" s="52" t="s">
        <v>128</v>
      </c>
      <c r="AB41" s="52" t="s">
        <v>128</v>
      </c>
      <c r="AC41" s="52" t="s">
        <v>134</v>
      </c>
      <c r="AD41" s="52"/>
      <c r="AE41" s="51" t="str">
        <f t="shared" si="0"/>
        <v/>
      </c>
      <c r="AF41" s="51" t="str">
        <f t="shared" si="1"/>
        <v/>
      </c>
      <c r="AG41" s="74" t="str">
        <f t="shared" si="2"/>
        <v/>
      </c>
      <c r="AH41" s="73" t="str">
        <f t="shared" si="4"/>
        <v/>
      </c>
      <c r="AI41" s="52" t="s">
        <v>84</v>
      </c>
      <c r="AJ41" s="56" t="s">
        <v>78</v>
      </c>
      <c r="AK41" s="59" t="s">
        <v>79</v>
      </c>
      <c r="AL41" s="60" t="s">
        <v>80</v>
      </c>
      <c r="AM41" s="54" t="s">
        <v>80</v>
      </c>
      <c r="AN41" s="14"/>
      <c r="AO41" s="15"/>
      <c r="AP41" s="91"/>
      <c r="AQ41" s="87"/>
      <c r="AR41" s="26"/>
      <c r="AS41" s="65"/>
      <c r="AT41" s="88" t="s">
        <v>85</v>
      </c>
      <c r="AU41" s="67"/>
      <c r="BX41" s="1">
        <v>37</v>
      </c>
      <c r="CG41" s="143">
        <v>46237</v>
      </c>
      <c r="CH41" s="143">
        <v>46240</v>
      </c>
      <c r="CI41" s="142" t="s">
        <v>88</v>
      </c>
      <c r="CJ41" s="141"/>
      <c r="CK41" s="141"/>
      <c r="CN41" t="s">
        <v>565</v>
      </c>
      <c r="CU41" t="s">
        <v>92</v>
      </c>
      <c r="CV41" t="s">
        <v>147</v>
      </c>
      <c r="CW41" t="s">
        <v>566</v>
      </c>
      <c r="CX41" s="124" t="s">
        <v>567</v>
      </c>
      <c r="CY41" t="s">
        <v>151</v>
      </c>
      <c r="CZ41" t="s">
        <v>568</v>
      </c>
      <c r="DA41" t="str" cm="1">
        <f t="array" ref="DA41:DZ41">IF(U41&lt;&gt;"", TRANSPOSE(_xlfn._xlws.FILTER(CZ:CZ, CY:CY=U41, "")), "")</f>
        <v>Ex Gwl | Gwl (2N) + Mor - Orc - Pan (2N) - Hjr (1N) - Dat - Son - Gwl (1N)</v>
      </c>
      <c r="DB41" t="str">
        <v>Ex Gwl | GWL (2N) + Mor - Shiv - Chan (2N) - Hjr (1N) - Orc (1N) - Dat - Gwl</v>
      </c>
      <c r="DC41" t="str">
        <v>Gwl (2N) + Mor - Son - Dat - Orc (1N) - Hjr (1N) - Ban (1N) - Jlr (1N)</v>
      </c>
      <c r="DD41" t="str">
        <v>Idr - Ujj (1N) - Omk - Mah (1N) - Man (2N) - Bhp (2N) + Bhim + Bhoj + San</v>
      </c>
      <c r="DE41" t="str">
        <v>Bhp (1N) + Bhim + Bhoj + San - Ujj (1N) - Man (2N) - Mah - Omk (1N) - Idr (1N)</v>
      </c>
      <c r="DF41" t="str">
        <v>Jlr (1N) - Ban (1N) - Hjr (1N) - Orc (1N) - Dat - Son - Gwl (2N) + Mor</v>
      </c>
      <c r="DG41" t="str">
        <v>Bho (1N) + San - Bhoj - Bhim - Tawa (1N) - Mad (1N) - Pch (2N) - Jlr (1N)</v>
      </c>
      <c r="DH41" t="str">
        <v>Bho (1N) + San + Udaygiri - Bhoj - Bhim - Pch (2N) - Kan(2N) - Jlr (1N)</v>
      </c>
      <c r="DI41" t="str">
        <v>Bho (1N) + Bhim + Bhoj - San - Ujj (1N) - Man (2N) - Mah - Omk (1N) - Idr (1N)</v>
      </c>
      <c r="DJ41" t="str">
        <v>Gwl (2N) + Mor - Son - Dat - Orc (1N) - Hjr (1N) - Jab (1N) - Kan (1N) - Nag</v>
      </c>
      <c r="DK41" t="str">
        <v>Bho (2N) + San + Bhoj + Bhim - Ujj (1N) - Omk - Mah (1N) - Man (1N) - Idr (1N)</v>
      </c>
      <c r="DL41" t="str">
        <v>Ex Nag | Nag - Pch (2N) - Bhim - Bhoj - Bho (2N) + San + Udaygiri - Jlr (1N) - Kan (1N) - Nag</v>
      </c>
      <c r="DM41" t="str">
        <v>Bho (1N) - Mad (2N) + Tawa Cruise Safari - Pch (2N) - Jlr (1N) - Nag</v>
      </c>
      <c r="DN41" t="str">
        <v>Idr - Man (2N) - Idr (1N) - Bho (1N) + San - Bhoj - Bhim - Pch (2N) - Bho</v>
      </c>
      <c r="DO41" t="str">
        <v>Rpr - kan (2N) - Ban (1N) - Jlr (1N) - Mad (2N) - Bhim - Bhoj - Bho</v>
      </c>
      <c r="DP41" t="str">
        <v>Jlr - Amar (1 N) - Ban (2 N) - Kan (1N) - Pch (2N) - Ppi</v>
      </c>
      <c r="DQ41" t="str">
        <v>Jlr - (2N) Kan - (1N) Jlr - Bhim - Bhoj - (2N) Bho  (Ex San &amp; Uda)  - (1N) Ujj - Idr</v>
      </c>
      <c r="DR41" t="str">
        <v>Ex Nag | Nag (2 N) Pach - Bhim - Bhij - (2 N) Bho (Ex San &amp; Uad) - (1 N) Jlr - (1 N) Kan - Nag</v>
      </c>
      <c r="DS41" t="str">
        <v>(2 N) Bho (Ex San, Bhoj &amp; Bhim) - (1 N) Ujj - Omk - (1 N) Mah - (1 N) Man - (1 N) Idr</v>
      </c>
      <c r="DT41" t="str">
        <v>(2 N) Gwl (Ex Mor) - Son - Dat - (1 N) Orc - (1 N) Hjr - (1 N) Jlr - (1 N) Kan - Nag</v>
      </c>
      <c r="DU41" t="str">
        <v>(1 N) Jlr - (2 N) Kanha - (2 N Pach) - (1 N) BHo</v>
      </c>
      <c r="DV41" t="str">
        <v>(2 N) Gwl - (1 N) Orc - (1 N) Hjr - (1 N) Ban - (1 N) Jlr</v>
      </c>
      <c r="DW41" t="str">
        <v>(2 N) BHo - (2 N) Madhai - (1 N) Pach - (1 N) Jlr</v>
      </c>
      <c r="DX41" t="str">
        <v>Ex Bhp | Bhp - Bhoj - Bhim - Pach (3N) - Tawa - Mad - Tawa (1N) - Mad (1N) - Bho (1N)</v>
      </c>
      <c r="DY41" t="str">
        <v>Ex Idr I Idr - 2N Ujj - 1N Man - 1N Mah - 1N Omk - 1N Idr</v>
      </c>
      <c r="DZ41" t="str">
        <v>1N Jlr - 1N Kan - 1N Ban - 1N Hjr -2N Gwl</v>
      </c>
    </row>
    <row r="42" spans="2:145" ht="15" customHeight="1">
      <c r="B42" s="35">
        <v>38</v>
      </c>
      <c r="C42" s="36" t="s">
        <v>569</v>
      </c>
      <c r="D42" s="76">
        <v>46118</v>
      </c>
      <c r="E42" s="37" t="str">
        <f>IF(Table5[[#This Row],[Query Date]]&lt;&gt;"", TEXT(Table5[[#This Row],[Query Date]], "dddd"), "")</f>
        <v>Monday</v>
      </c>
      <c r="F42" s="37" t="str">
        <f>IF(Table5[[#This Row],[Query Date]]&lt;&gt;"", TEXT(Table5[[#This Row],[Query Date]], "mmmm"), "")</f>
        <v>April</v>
      </c>
      <c r="G42" s="28" t="s">
        <v>65</v>
      </c>
      <c r="H42" s="28" t="s">
        <v>66</v>
      </c>
      <c r="I42" s="28" t="s">
        <v>67</v>
      </c>
      <c r="J42" s="28" t="s">
        <v>68</v>
      </c>
      <c r="K42" s="28" t="s">
        <v>570</v>
      </c>
      <c r="L42" s="25" t="s">
        <v>70</v>
      </c>
      <c r="M42" s="112" t="s">
        <v>571</v>
      </c>
      <c r="N42" s="25" t="s">
        <v>572</v>
      </c>
      <c r="O42" s="131" t="s">
        <v>573</v>
      </c>
      <c r="P42" s="46" t="s">
        <v>574</v>
      </c>
      <c r="Q42" s="77">
        <v>46128</v>
      </c>
      <c r="R42" s="77" t="str">
        <f>IF(Table5[[#This Row],[Tour Starting Date]]&lt;&gt;"", TEXT(Table5[[#This Row],[Tour Starting Date]], "dddd"), "")</f>
        <v>Thursday</v>
      </c>
      <c r="S42" s="77">
        <v>46131</v>
      </c>
      <c r="T42" s="25" t="str">
        <f>IF(Table5[[#This Row],[Tour Ending Date]]&lt;&gt;"", TEXT(Table5[[#This Row],[Tour Ending Date]], "dddd"), "")</f>
        <v>Sunday</v>
      </c>
      <c r="U42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42" s="37" t="str">
        <f>IF(Table5[[#This Row],[Tour Starting Date]]&lt;&gt;"", TEXT(Table5[[#This Row],[Tour Starting Date]], "mmmm"), "")</f>
        <v>April</v>
      </c>
      <c r="W42" s="80" t="str" cm="1">
        <f t="array" ref="W42">IF(Q42&lt;&gt;"", INDEX(CI:CI, MATCH(1, (Q42&gt;=CG:CG)*(Q42&lt;=CH:CH), 0)), "")</f>
        <v>Regular Dates - Weekday</v>
      </c>
      <c r="X42" s="39">
        <v>4</v>
      </c>
      <c r="Y42" s="74">
        <v>11200</v>
      </c>
      <c r="Z42" s="74">
        <f>IF(OR(Table5[[#This Row],[Per Person Package Cost]]="", Table5[[#This Row],[No. of Pax]]=""), "", Table5[[#This Row],[Per Person Package Cost]] * Table5[[#This Row],[No. of Pax]])</f>
        <v>44800</v>
      </c>
      <c r="AA42" s="52" t="s">
        <v>75</v>
      </c>
      <c r="AB42" s="52" t="s">
        <v>75</v>
      </c>
      <c r="AC42" s="52" t="s">
        <v>76</v>
      </c>
      <c r="AD42" s="52" t="s">
        <v>575</v>
      </c>
      <c r="AE42" s="51" t="str">
        <f t="shared" si="0"/>
        <v>EMPSPR01</v>
      </c>
      <c r="AF42" s="51" t="str">
        <f t="shared" si="1"/>
        <v>A Pilgrimage of Faith and Culture</v>
      </c>
      <c r="AG42" s="74" t="str">
        <f t="shared" si="2"/>
        <v>Special Interest - Spiritual Tours</v>
      </c>
      <c r="AH42" s="73" t="str">
        <f t="shared" si="4"/>
        <v>West MP</v>
      </c>
      <c r="AI42" s="52" t="s">
        <v>159</v>
      </c>
      <c r="AJ42" s="56" t="s">
        <v>78</v>
      </c>
      <c r="AK42" s="59" t="s">
        <v>79</v>
      </c>
      <c r="AL42" s="60" t="s">
        <v>80</v>
      </c>
      <c r="AM42" s="54" t="s">
        <v>80</v>
      </c>
      <c r="AN42" s="14">
        <v>46121</v>
      </c>
      <c r="AO42" s="15"/>
      <c r="AP42" s="91"/>
      <c r="AQ42" s="87"/>
      <c r="AR42" s="26"/>
      <c r="AS42" s="65"/>
      <c r="AT42" s="88" t="s">
        <v>81</v>
      </c>
      <c r="AU42" s="67"/>
      <c r="BX42" s="1">
        <v>38</v>
      </c>
      <c r="CG42" s="143">
        <v>46241</v>
      </c>
      <c r="CH42" s="143">
        <v>46243</v>
      </c>
      <c r="CI42" s="142" t="s">
        <v>116</v>
      </c>
      <c r="CJ42" s="141"/>
      <c r="CK42" s="141"/>
      <c r="CN42" t="s">
        <v>498</v>
      </c>
      <c r="CU42" t="s">
        <v>92</v>
      </c>
      <c r="CV42" t="s">
        <v>147</v>
      </c>
      <c r="CW42" t="s">
        <v>576</v>
      </c>
      <c r="CX42" s="124" t="s">
        <v>577</v>
      </c>
      <c r="CY42" t="s">
        <v>197</v>
      </c>
      <c r="CZ42" t="s">
        <v>578</v>
      </c>
      <c r="DA42" t="str" cm="1">
        <f t="array" ref="DA42:EO42">IF(U42&lt;&gt;"", TRANSPOSE(_xlfn._xlws.FILTER(CZ:CZ, CY:CY=U42, "")), "")</f>
        <v>Gwl (3N) + Mor + Son + Dat + Orc</v>
      </c>
      <c r="DB42" t="str">
        <v>Ex Gwl | Gwl (1N) - Son - Dat - Orc (1N) - Gwl (1N)</v>
      </c>
      <c r="DC42" t="str">
        <v>Ex Idr | Idr - Ujj (1N) - Omk - Mah (1N) - Man (1N) - Idr</v>
      </c>
      <c r="DD42" t="str">
        <v>Ex Jlr | Jlr - Kan (2N) - Jlr (1N)</v>
      </c>
      <c r="DE42" t="str">
        <v>Ex Jlr | Jlr - Ban (2N) - Jlr (1N)</v>
      </c>
      <c r="DF42" t="str">
        <v>Ex Bho | Bho (1N) + San - Bhoj - Bhim - Pch (2N) - Bho</v>
      </c>
      <c r="DG42" t="str">
        <v>Ex Idr | Idr (1N) - Ujj (1N) - Omk (1N) - Mah - Idr</v>
      </c>
      <c r="DH42" t="str">
        <v>Gwl - Orc (1N) - Ckt (1N) - Myr (1N) - Jlr</v>
      </c>
      <c r="DI42" t="str">
        <v>Gwl - Orc (1N) - Ckt (2N) - Ixd</v>
      </c>
      <c r="DJ42" t="str">
        <v>Ex Idr | Idr - Ujj (1N) - Omk - Mah (1N) - Idr (1N)</v>
      </c>
      <c r="DK42" t="str">
        <v>Ex Jlr | Jlr - Kan (3N) - Jlr</v>
      </c>
      <c r="DL42" t="str">
        <v>Ex Bho | Bho (2N) + Bhim + Bhoj + San + Udaygiri + Vidisha + FDCT Bho</v>
      </c>
      <c r="DM42" t="str">
        <v>Bho (1N) + Bhim + Bhoj - HDCT  Bho + Sanchi - Ujj (2N)</v>
      </c>
      <c r="DN42" t="str">
        <v>Bho (1N) + Bhim + Bhoj - HDCT  Bho + Sanchi - Ujj (2N) - Idr</v>
      </c>
      <c r="DO42" t="str">
        <v>Ex Bho | Bho - Bhoj - Bhim - Mad (1N) - Pch (2N) - Bho</v>
      </c>
      <c r="DP42" t="str">
        <v>Ex Bho | Bho - Bhoj - Bhim - Mad (1N) - Pch (3N) - Bho</v>
      </c>
      <c r="DQ42" t="str">
        <v>Ex Bho | Bho - Bhoj - Bhim - Tawa (1N) - Mad (1N) - Bho (1N)</v>
      </c>
      <c r="DR42" t="str">
        <v>Bho (1N) - Bhim - Bhoj - San - Idr (2N) + Ujj</v>
      </c>
      <c r="DS42" t="str">
        <v>Bho (1N) - Bhoj - Bhim - Pch (2N) - Bho</v>
      </c>
      <c r="DT42" t="str">
        <v>Ujj (1N) - Omk - Mah (1N) - Idr (1N)</v>
      </c>
      <c r="DU42" t="str">
        <v>Ujj (1N) - Omk - Mah (1N) - Man (1N) - Idr</v>
      </c>
      <c r="DV42" t="str">
        <v>Ex Idr | Idr (1N) - Ujj (1N) - Omk - Mah (1N)</v>
      </c>
      <c r="DW42" t="str">
        <v>Ex Idr | Idr - Ujj (1N) - Omk (1N) - Mah (1N) - Idr</v>
      </c>
      <c r="DX42" t="str">
        <v>Khandwa - Omk (1N) - Mah (1N) - Ujj (1N) - Idr</v>
      </c>
      <c r="DY42" t="str">
        <v>Ex Idr | Idr - Ujj (1N) - Omk - Mah (1N) - Man - Idr (1N)</v>
      </c>
      <c r="DZ42" t="str">
        <v xml:space="preserve">Idr - Omk (1N) - Mah - Ujj (1N) San - Bho (1N) </v>
      </c>
      <c r="EA42" t="str">
        <v>Ex Idr | Idr - Man (1N) - Mah - Omk (1N) - Ujj (1N) - Idr</v>
      </c>
      <c r="EB42" t="str">
        <v>Khandwa - Omk (1N) - Mah - Ujj (2N)</v>
      </c>
      <c r="EC42" t="str">
        <v>Ex Jlr | Jlr (1N) - Amr (1N) - Ban (1N) - Jlr</v>
      </c>
      <c r="ED42" t="str">
        <v>Ex Jlr | Jlr - (1 N) Ban - (2 N) Amar</v>
      </c>
      <c r="EE42" t="str">
        <v>Jlr - Kan (1N) - Pch (2N)</v>
      </c>
      <c r="EF42" t="str">
        <v>Pi - Pch (2N)  - Kan (1N)</v>
      </c>
      <c r="EG42" t="str">
        <v>Ex Jlr | Jlr - Amr (1 N) - (1 N) Ban - (1 N) Jlr</v>
      </c>
      <c r="EH42" t="str">
        <v>Ppi - (2 N) Pch - (1 N) Pen</v>
      </c>
      <c r="EI42" t="str">
        <v>Bhp - Pch (2N) - Jlr (1N)</v>
      </c>
      <c r="EJ42" t="str">
        <v xml:space="preserve">Arr Jhn - Hjr (1N) - Orc - Gwl (2N) </v>
      </c>
      <c r="EK42" t="str">
        <v>(1 N) Ujj - (1 N) Mah - (1 N) Idr</v>
      </c>
      <c r="EL42" t="str">
        <v>Ex Bhp | Bhp - Bhoj - Bhim - Pch (3N) - Bhp</v>
      </c>
      <c r="EM42" t="str">
        <v>Ex Bhp | Bhp - Bhoj - Bhim - Pch (2N) - Mad (1N) - Bhp</v>
      </c>
      <c r="EN42" t="str">
        <v xml:space="preserve">Ex Nag - 3N Pch + Sat </v>
      </c>
      <c r="EO42" t="str">
        <v>1N Gwl - Son - Dat - 1N Hjr - 1N Orc - Jhn</v>
      </c>
    </row>
    <row r="43" spans="2:145" ht="15" customHeight="1">
      <c r="B43" s="34">
        <v>39</v>
      </c>
      <c r="C43" s="36" t="s">
        <v>579</v>
      </c>
      <c r="D43" s="76">
        <v>46155</v>
      </c>
      <c r="E43" s="37" t="str">
        <f>IF(Table5[[#This Row],[Query Date]]&lt;&gt;"", TEXT(Table5[[#This Row],[Query Date]], "dddd"), "")</f>
        <v>Wednesday</v>
      </c>
      <c r="F43" s="37" t="str">
        <f>IF(Table5[[#This Row],[Query Date]]&lt;&gt;"", TEXT(Table5[[#This Row],[Query Date]], "mmmm"), "")</f>
        <v>May</v>
      </c>
      <c r="G43" s="28" t="s">
        <v>65</v>
      </c>
      <c r="H43" s="28" t="s">
        <v>170</v>
      </c>
      <c r="I43" s="28" t="s">
        <v>100</v>
      </c>
      <c r="J43" s="28" t="s">
        <v>68</v>
      </c>
      <c r="K43" s="28" t="s">
        <v>580</v>
      </c>
      <c r="L43" s="25" t="s">
        <v>70</v>
      </c>
      <c r="M43" s="112" t="s">
        <v>581</v>
      </c>
      <c r="N43" s="25" t="s">
        <v>582</v>
      </c>
      <c r="O43" s="130" t="s">
        <v>583</v>
      </c>
      <c r="P43" s="46" t="s">
        <v>584</v>
      </c>
      <c r="Q43" s="77">
        <v>46323</v>
      </c>
      <c r="R43" s="77" t="str">
        <f>IF(Table5[[#This Row],[Tour Starting Date]]&lt;&gt;"", TEXT(Table5[[#This Row],[Tour Starting Date]], "dddd"), "")</f>
        <v>Wednesday</v>
      </c>
      <c r="S43" s="77">
        <v>46327</v>
      </c>
      <c r="T43" s="25" t="str">
        <f>IF(Table5[[#This Row],[Tour Ending Date]]&lt;&gt;"", TEXT(Table5[[#This Row],[Tour Ending Date]], "dddd"), "")</f>
        <v>Sunday</v>
      </c>
      <c r="U43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4 Nights &amp; 5 Days</v>
      </c>
      <c r="V43" s="37" t="str">
        <f>IF(Table5[[#This Row],[Tour Starting Date]]&lt;&gt;"", TEXT(Table5[[#This Row],[Tour Starting Date]], "mmmm"), "")</f>
        <v>October</v>
      </c>
      <c r="W43" s="80" t="str" cm="1">
        <f t="array" ref="W43">IF(Q43&lt;&gt;"", INDEX(CI:CI, MATCH(1, (Q43&gt;=CG:CG)*(Q43&lt;=CH:CH), 0)), "")</f>
        <v>Regular Dates - Weekday</v>
      </c>
      <c r="X43" s="39">
        <v>16</v>
      </c>
      <c r="Y43" s="74">
        <v>13800</v>
      </c>
      <c r="Z43" s="74">
        <f>IF(OR(Table5[[#This Row],[Per Person Package Cost]]="", Table5[[#This Row],[No. of Pax]]=""), "", Table5[[#This Row],[Per Person Package Cost]] * Table5[[#This Row],[No. of Pax]])</f>
        <v>220800</v>
      </c>
      <c r="AA43" s="52" t="s">
        <v>75</v>
      </c>
      <c r="AB43" s="52" t="s">
        <v>75</v>
      </c>
      <c r="AC43" s="52" t="s">
        <v>76</v>
      </c>
      <c r="AD43" s="52" t="s">
        <v>395</v>
      </c>
      <c r="AE43" s="51" t="str">
        <f t="shared" si="0"/>
        <v>EXIDR06</v>
      </c>
      <c r="AF43" s="51" t="str">
        <f t="shared" si="1"/>
        <v>Jyotirlinga &amp; Heritage Trails of Madhya Pradesh</v>
      </c>
      <c r="AG43" s="74" t="str">
        <f t="shared" si="2"/>
        <v>Quick Getaways</v>
      </c>
      <c r="AH43" s="73" t="str">
        <f t="shared" si="4"/>
        <v>West MP</v>
      </c>
      <c r="AI43" s="52" t="s">
        <v>159</v>
      </c>
      <c r="AJ43" s="56" t="s">
        <v>78</v>
      </c>
      <c r="AK43" s="59" t="s">
        <v>79</v>
      </c>
      <c r="AL43" s="60" t="s">
        <v>80</v>
      </c>
      <c r="AM43" s="54" t="s">
        <v>80</v>
      </c>
      <c r="AN43" s="14">
        <v>46121</v>
      </c>
      <c r="AO43" s="15">
        <v>46158</v>
      </c>
      <c r="AP43" s="91">
        <v>46177</v>
      </c>
      <c r="AQ43" s="87">
        <v>46248</v>
      </c>
      <c r="AR43" s="26"/>
      <c r="AS43" s="65"/>
      <c r="AT43" s="88" t="s">
        <v>81</v>
      </c>
      <c r="AU43" s="67" t="s">
        <v>112</v>
      </c>
      <c r="BX43" s="1">
        <v>39</v>
      </c>
      <c r="CG43" s="143">
        <v>46244</v>
      </c>
      <c r="CH43" s="143">
        <v>46247</v>
      </c>
      <c r="CI43" s="142" t="s">
        <v>88</v>
      </c>
      <c r="CJ43" s="141"/>
      <c r="CK43" s="141"/>
      <c r="CN43" t="s">
        <v>585</v>
      </c>
      <c r="CU43" t="s">
        <v>92</v>
      </c>
      <c r="CV43" t="s">
        <v>147</v>
      </c>
      <c r="CW43" t="s">
        <v>586</v>
      </c>
      <c r="CX43" s="124" t="s">
        <v>587</v>
      </c>
      <c r="CY43" t="s">
        <v>223</v>
      </c>
      <c r="CZ43" t="s">
        <v>588</v>
      </c>
      <c r="DA43" t="str" cm="1">
        <f t="array" ref="DA43:EJ43">IF(U43&lt;&gt;"", TRANSPOSE(_xlfn._xlws.FILTER(CZ:CZ, CY:CY=U43, "")), "")</f>
        <v>Ex Gwl | Gwl (2N) + Mor - Son - Dat - Orc (1N) - Hjr (1N) - Gwl</v>
      </c>
      <c r="DB43" t="str">
        <v>Ex Idr | Idr - Ujj (1N) - Omk - Mah (1N) - Man (1N) - Idr (1N)</v>
      </c>
      <c r="DC43" t="str">
        <v>Ex Idr | Idr - Ujj (1N) - Omk (1N) - Mah (1N) - Man (1N) - Idr</v>
      </c>
      <c r="DD43" t="str">
        <v>Ex Jlr | Jlr - Kan (2N) - Amk (1N) - Jlr (1N)</v>
      </c>
      <c r="DE43" t="str">
        <v>Ex Jlr | Jlr - Ban (2N) - Amk (1N) - Jlr (1N)</v>
      </c>
      <c r="DF43" t="str">
        <v>Ex Jlr | Jlr (1N) - Hjr (1N) - Ban (2N) - Jlr</v>
      </c>
      <c r="DG43" t="str">
        <v>Ex Jlr | Jlr (1N) - Kan (1N) - Ban (2N) - Jlr</v>
      </c>
      <c r="DH43" t="str">
        <v>Ex Bho | Bho (1N) + San + Bhoj + Bhim - Tawa - Mad (1N) - Pch (2N) - Bho</v>
      </c>
      <c r="DI43" t="str">
        <v>Ex Idr | Idr - Ujj (1N) - Omk - Mah (1N) - Man (1N) - Idr (1N)</v>
      </c>
      <c r="DJ43" t="str">
        <v>Ex Bho | Bho (1N) - Bhoj - Bhim - Pch (3N) - Bho</v>
      </c>
      <c r="DK43" t="str">
        <v>Gwl (1N) - Dat (Pitambara Peeth) - Orc (1N) - Ckt (2N) - Ixd</v>
      </c>
      <c r="DL43" t="str">
        <v>Ex Jlr | Jlr - Ban (2N) - Kan (2N) - Jlr</v>
      </c>
      <c r="DM43" t="str">
        <v>Jlr - Ban (1N) - Kan (1N) - Pen (2N) - Nag</v>
      </c>
      <c r="DN43" t="str">
        <v>Ex Bho | Bho (1N) - Bhoj - Bhim - Pch (3N) - Bho</v>
      </c>
      <c r="DO43" t="str">
        <v>Ex Bho | Bho (2N) + Sanchi + Bhoj + Bhim - Tawa - Mad (1N) - Bho (1N)</v>
      </c>
      <c r="DP43" t="str">
        <v>Ex Bho | Bho - Bhoj - Bhim - Tawa (1N) - Mad (1N) - Pch (2N) - Bho</v>
      </c>
      <c r="DQ43" t="str">
        <v>Bho - Bhoj - Bhim - Pch (2N) - Kan (1N) - Jlr (1N)</v>
      </c>
      <c r="DR43" t="str">
        <v>Bho - Bhoj - Bhim - Pch (2N) - Kan (1N) - Amk (1N) - Jlr</v>
      </c>
      <c r="DS43" t="str">
        <v xml:space="preserve">Bho (1N) + Bhim + Bhoj + San - Ujj (1N) - Omk - Mah (1N) - Idr (1N) </v>
      </c>
      <c r="DT43" t="str">
        <v>Ex Gwl | Gwl - Hjr (1N) - Orc (1N) - Dat - Son - Gwl (2N)</v>
      </c>
      <c r="DU43" t="str">
        <v>Ex Gwl | Gwl - Orc (1N) - Hjr (1N) - Chn (1N) - Shiv (1N) - Gwl</v>
      </c>
      <c r="DV43" t="str">
        <v>Gwl - Hjr (1N) - Panna (1N) - Chit (1N) - Mahi (1N) - Sat</v>
      </c>
      <c r="DW43" t="str">
        <v>Jlr - (2 N) Kan - (2 N) Pch - Bhim - Bhoj - Bhp</v>
      </c>
      <c r="DX43" t="str">
        <v>Jlr - (2 N) Kan - (2 N) Pen - Rpr</v>
      </c>
      <c r="DY43" t="str">
        <v>Gwl (2N) (Ex Mor) - Dat -Orc (1N) - Hjr (1N) - Jhn</v>
      </c>
      <c r="DZ43" t="str">
        <v>Ex Gwl | Gwl (1N) - Son - Dat - Orc (1N) - Hjr (2N) (Ex Panna) - Gwl</v>
      </c>
      <c r="EA43" t="str">
        <v>Hjr (1N) - Orc (1N) - Dat - son - Gwl (2N)(Ex Mor)</v>
      </c>
      <c r="EB43" t="str">
        <v>(2 N) Gwl - (1 N) Orch - (1 N) Hjr</v>
      </c>
      <c r="EC43" t="str">
        <v>Ex Bhp | Bhp - Bhoj - Bhim - Pch (2N) - Mad (1N) - Tawa (1N) - Bhp</v>
      </c>
      <c r="ED43" t="str">
        <v>Ex Bhp | Bhp - Bhoj - Bhim - Pch (2N) - Mad (2N) - Bhp</v>
      </c>
      <c r="EE43" t="str">
        <v>Ex Idr | Idr - Ujj (1N) - Omk (1N) - Mah (2N) (Ex Man) - Idr (HDCT)</v>
      </c>
      <c r="EF43" t="str">
        <v>Arr Rpr - Amr (2N) - Par (2N) - IXD</v>
      </c>
      <c r="EG43" t="str">
        <v>1N Gwl - Orc - 2N Hjr - Jhn - 1N Gwl</v>
      </c>
      <c r="EH43" t="str">
        <v>1N Orc - 1N Hjr - 2N Gwl Ex Mor</v>
      </c>
      <c r="EI43" t="str">
        <v>1N Idr - Omk - 1N Mah - 1N Ujj - Seh - 1N Bho</v>
      </c>
      <c r="EJ43" t="str">
        <v>Ex Idr I 1N Idr - 1N Ujj - Omk - 2N Mah - Man - Idr</v>
      </c>
    </row>
    <row r="44" spans="2:145" ht="15" customHeight="1">
      <c r="B44" s="35">
        <v>40</v>
      </c>
      <c r="C44" s="36" t="s">
        <v>589</v>
      </c>
      <c r="D44" s="76">
        <v>46118</v>
      </c>
      <c r="E44" s="37" t="str">
        <f>IF(Table5[[#This Row],[Query Date]]&lt;&gt;"", TEXT(Table5[[#This Row],[Query Date]], "dddd"), "")</f>
        <v>Monday</v>
      </c>
      <c r="F44" s="37" t="str">
        <f>IF(Table5[[#This Row],[Query Date]]&lt;&gt;"", TEXT(Table5[[#This Row],[Query Date]], "mmmm"), "")</f>
        <v>April</v>
      </c>
      <c r="G44" s="28" t="s">
        <v>65</v>
      </c>
      <c r="H44" s="28" t="s">
        <v>66</v>
      </c>
      <c r="I44" s="28" t="s">
        <v>100</v>
      </c>
      <c r="J44" s="28" t="s">
        <v>68</v>
      </c>
      <c r="K44" s="28" t="s">
        <v>590</v>
      </c>
      <c r="L44" s="25" t="s">
        <v>70</v>
      </c>
      <c r="M44" s="112" t="s">
        <v>440</v>
      </c>
      <c r="N44" s="25"/>
      <c r="O44" s="130" t="s">
        <v>591</v>
      </c>
      <c r="P44" s="46" t="s">
        <v>592</v>
      </c>
      <c r="Q44" s="77">
        <v>46313</v>
      </c>
      <c r="R44" s="77" t="str">
        <f>IF(Table5[[#This Row],[Tour Starting Date]]&lt;&gt;"", TEXT(Table5[[#This Row],[Tour Starting Date]], "dddd"), "")</f>
        <v>Sunday</v>
      </c>
      <c r="S44" s="77">
        <v>46316</v>
      </c>
      <c r="T44" s="25" t="str">
        <f>IF(Table5[[#This Row],[Tour Ending Date]]&lt;&gt;"", TEXT(Table5[[#This Row],[Tour Ending Date]], "dddd"), "")</f>
        <v>Wednesday</v>
      </c>
      <c r="U44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44" s="37" t="str">
        <f>IF(Table5[[#This Row],[Tour Starting Date]]&lt;&gt;"", TEXT(Table5[[#This Row],[Tour Starting Date]], "mmmm"), "")</f>
        <v>October</v>
      </c>
      <c r="W44" s="80" t="str" cm="1">
        <f t="array" ref="W44">IF(Q44&lt;&gt;"", INDEX(CI:CI, MATCH(1, (Q44&gt;=CG:CG)*(Q44&lt;=CH:CH), 0)), "")</f>
        <v>Regular Dates - Weekend</v>
      </c>
      <c r="X44" s="39">
        <v>10</v>
      </c>
      <c r="Y44" s="74">
        <v>10200</v>
      </c>
      <c r="Z44" s="74">
        <f>IF(OR(Table5[[#This Row],[Per Person Package Cost]]="", Table5[[#This Row],[No. of Pax]]=""), "", Table5[[#This Row],[Per Person Package Cost]] * Table5[[#This Row],[No. of Pax]])</f>
        <v>102000</v>
      </c>
      <c r="AA44" s="52" t="s">
        <v>205</v>
      </c>
      <c r="AB44" s="52" t="s">
        <v>205</v>
      </c>
      <c r="AC44" s="52" t="s">
        <v>173</v>
      </c>
      <c r="AD44" s="52" t="s">
        <v>593</v>
      </c>
      <c r="AE44" s="51" t="str">
        <f t="shared" si="0"/>
        <v>EXIDR15</v>
      </c>
      <c r="AF44" s="51" t="str">
        <f t="shared" si="1"/>
        <v>Essence Of Faith</v>
      </c>
      <c r="AG44" s="74" t="str">
        <f t="shared" si="2"/>
        <v>Quick Getaways</v>
      </c>
      <c r="AH44" s="73" t="str">
        <f t="shared" si="4"/>
        <v>West MP</v>
      </c>
      <c r="AI44" s="52" t="s">
        <v>159</v>
      </c>
      <c r="AJ44" s="56" t="s">
        <v>78</v>
      </c>
      <c r="AK44" s="59" t="s">
        <v>79</v>
      </c>
      <c r="AL44" s="60" t="s">
        <v>80</v>
      </c>
      <c r="AM44" s="54" t="s">
        <v>80</v>
      </c>
      <c r="AN44" s="32">
        <v>46121</v>
      </c>
      <c r="AO44" s="33">
        <v>46231</v>
      </c>
      <c r="AP44" s="92">
        <v>46248</v>
      </c>
      <c r="AQ44" s="87"/>
      <c r="AR44" s="26"/>
      <c r="AS44" s="65"/>
      <c r="AT44" s="88" t="s">
        <v>81</v>
      </c>
      <c r="AU44" s="67"/>
      <c r="BX44" s="1">
        <v>40</v>
      </c>
      <c r="CG44" s="143">
        <v>46248</v>
      </c>
      <c r="CH44" s="143">
        <v>46251</v>
      </c>
      <c r="CI44" s="142" t="s">
        <v>594</v>
      </c>
      <c r="CJ44" s="141"/>
      <c r="CK44" s="141"/>
      <c r="CN44" t="s">
        <v>595</v>
      </c>
      <c r="CU44" t="s">
        <v>92</v>
      </c>
      <c r="CV44" t="s">
        <v>316</v>
      </c>
      <c r="CW44" t="s">
        <v>596</v>
      </c>
      <c r="CX44" s="124" t="s">
        <v>597</v>
      </c>
      <c r="CY44" t="s">
        <v>243</v>
      </c>
      <c r="CZ44" t="s">
        <v>598</v>
      </c>
      <c r="DA44" t="str" cm="1">
        <f t="array" ref="DA44:EO44">IF(U44&lt;&gt;"", TRANSPOSE(_xlfn._xlws.FILTER(CZ:CZ, CY:CY=U44, "")), "")</f>
        <v>Gwl (3N) + Mor + Son + Dat + Orc</v>
      </c>
      <c r="DB44" t="str">
        <v>Ex Gwl | Gwl (1N) - Son - Dat - Orc (1N) - Gwl (1N)</v>
      </c>
      <c r="DC44" t="str">
        <v>Ex Idr | Idr - Ujj (1N) - Omk - Mah (1N) - Man (1N) - Idr</v>
      </c>
      <c r="DD44" t="str">
        <v>Ex Jlr | Jlr - Kan (2N) - Jlr (1N)</v>
      </c>
      <c r="DE44" t="str">
        <v>Ex Jlr | Jlr - Ban (2N) - Jlr (1N)</v>
      </c>
      <c r="DF44" t="str">
        <v>Ex Bho | Bho (1N) + San - Bhoj - Bhim - Pch (2N) - Bho</v>
      </c>
      <c r="DG44" t="str">
        <v>Ex Idr | Idr (1N) - Ujj (1N) - Omk (1N) - Mah - Idr</v>
      </c>
      <c r="DH44" t="str">
        <v>Gwl - Orc (1N) - Ckt (1N) - Myr (1N) - Jlr</v>
      </c>
      <c r="DI44" t="str">
        <v>Gwl - Orc (1N) - Ckt (2N) - Ixd</v>
      </c>
      <c r="DJ44" t="str">
        <v>Ex Idr | Idr - Ujj (1N) - Omk - Mah (1N) - Idr (1N)</v>
      </c>
      <c r="DK44" t="str">
        <v>Ex Jlr | Jlr - Kan (3N) - Jlr</v>
      </c>
      <c r="DL44" t="str">
        <v>Ex Bho | Bho (2N) + Bhim + Bhoj + San + Udaygiri + Vidisha + FDCT Bho</v>
      </c>
      <c r="DM44" t="str">
        <v>Bho (1N) + Bhim + Bhoj - HDCT  Bho + Sanchi - Ujj (2N)</v>
      </c>
      <c r="DN44" t="str">
        <v>Bho (1N) + Bhim + Bhoj - HDCT  Bho + Sanchi - Ujj (2N) - Idr</v>
      </c>
      <c r="DO44" t="str">
        <v>Ex Bho | Bho - Bhoj - Bhim - Mad (1N) - Pch (2N) - Bho</v>
      </c>
      <c r="DP44" t="str">
        <v>Ex Bho | Bho - Bhoj - Bhim - Mad (1N) - Pch (3N) - Bho</v>
      </c>
      <c r="DQ44" t="str">
        <v>Ex Bho | Bho - Bhoj - Bhim - Tawa (1N) - Mad (1N) - Bho (1N)</v>
      </c>
      <c r="DR44" t="str">
        <v>Bho (1N) - Bhim - Bhoj - San - Idr (2N) + Ujj</v>
      </c>
      <c r="DS44" t="str">
        <v>Bho (1N) - Bhoj - Bhim - Pch (2N) - Bho</v>
      </c>
      <c r="DT44" t="str">
        <v>Ujj (1N) - Omk - Mah (1N) - Idr (1N)</v>
      </c>
      <c r="DU44" t="str">
        <v>Ujj (1N) - Omk - Mah (1N) - Man (1N) - Idr</v>
      </c>
      <c r="DV44" t="str">
        <v>Ex Idr | Idr (1N) - Ujj (1N) - Omk - Mah (1N)</v>
      </c>
      <c r="DW44" t="str">
        <v>Ex Idr | Idr - Ujj (1N) - Omk (1N) - Mah (1N) - Idr</v>
      </c>
      <c r="DX44" t="str">
        <v>Khandwa - Omk (1N) - Mah (1N) - Ujj (1N) - Idr</v>
      </c>
      <c r="DY44" t="str">
        <v>Ex Idr | Idr - Ujj (1N) - Omk - Mah (1N) - Man - Idr (1N)</v>
      </c>
      <c r="DZ44" t="str">
        <v xml:space="preserve">Idr - Omk (1N) - Mah - Ujj (1N) San - Bho (1N) </v>
      </c>
      <c r="EA44" t="str">
        <v>Ex Idr | Idr - Man (1N) - Mah - Omk (1N) - Ujj (1N) - Idr</v>
      </c>
      <c r="EB44" t="str">
        <v>Khandwa - Omk (1N) - Mah - Ujj (2N)</v>
      </c>
      <c r="EC44" t="str">
        <v>Ex Jlr | Jlr (1N) - Amr (1N) - Ban (1N) - Jlr</v>
      </c>
      <c r="ED44" t="str">
        <v>Ex Jlr | Jlr - (1 N) Ban - (2 N) Amar</v>
      </c>
      <c r="EE44" t="str">
        <v>Jlr - Kan (1N) - Pch (2N)</v>
      </c>
      <c r="EF44" t="str">
        <v>Pi - Pch (2N)  - Kan (1N)</v>
      </c>
      <c r="EG44" t="str">
        <v>Ex Jlr | Jlr - Amr (1 N) - (1 N) Ban - (1 N) Jlr</v>
      </c>
      <c r="EH44" t="str">
        <v>Ppi - (2 N) Pch - (1 N) Pen</v>
      </c>
      <c r="EI44" t="str">
        <v>Bhp - Pch (2N) - Jlr (1N)</v>
      </c>
      <c r="EJ44" t="str">
        <v xml:space="preserve">Arr Jhn - Hjr (1N) - Orc - Gwl (2N) </v>
      </c>
      <c r="EK44" t="str">
        <v>(1 N) Ujj - (1 N) Mah - (1 N) Idr</v>
      </c>
      <c r="EL44" t="str">
        <v>Ex Bhp | Bhp - Bhoj - Bhim - Pch (3N) - Bhp</v>
      </c>
      <c r="EM44" t="str">
        <v>Ex Bhp | Bhp - Bhoj - Bhim - Pch (2N) - Mad (1N) - Bhp</v>
      </c>
      <c r="EN44" t="str">
        <v xml:space="preserve">Ex Nag - 3N Pch + Sat </v>
      </c>
      <c r="EO44" t="str">
        <v>1N Gwl - Son - Dat - 1N Hjr - 1N Orc - Jhn</v>
      </c>
    </row>
    <row r="45" spans="2:145" ht="15" customHeight="1">
      <c r="B45" s="34">
        <v>41</v>
      </c>
      <c r="C45" s="36" t="s">
        <v>599</v>
      </c>
      <c r="D45" s="76">
        <v>46119</v>
      </c>
      <c r="E45" s="37" t="str">
        <f>IF(Table5[[#This Row],[Query Date]]&lt;&gt;"", TEXT(Table5[[#This Row],[Query Date]], "dddd"), "")</f>
        <v>Tuesday</v>
      </c>
      <c r="F45" s="37" t="str">
        <f>IF(Table5[[#This Row],[Query Date]]&lt;&gt;"", TEXT(Table5[[#This Row],[Query Date]], "mmmm"), "")</f>
        <v>April</v>
      </c>
      <c r="G45" s="28" t="s">
        <v>65</v>
      </c>
      <c r="H45" s="28" t="s">
        <v>99</v>
      </c>
      <c r="I45" s="28" t="s">
        <v>100</v>
      </c>
      <c r="J45" s="28" t="s">
        <v>68</v>
      </c>
      <c r="K45" s="28" t="s">
        <v>69</v>
      </c>
      <c r="L45" s="25" t="s">
        <v>70</v>
      </c>
      <c r="M45" s="112" t="s">
        <v>600</v>
      </c>
      <c r="N45" s="41" t="s">
        <v>601</v>
      </c>
      <c r="O45" s="132">
        <v>9359154463</v>
      </c>
      <c r="P45" s="46" t="s">
        <v>602</v>
      </c>
      <c r="Q45" s="77">
        <v>46129</v>
      </c>
      <c r="R45" s="77" t="str">
        <f>IF(Table5[[#This Row],[Tour Starting Date]]&lt;&gt;"", TEXT(Table5[[#This Row],[Tour Starting Date]], "dddd"), "")</f>
        <v>Friday</v>
      </c>
      <c r="S45" s="77">
        <v>46133</v>
      </c>
      <c r="T45" s="25" t="str">
        <f>IF(Table5[[#This Row],[Tour Ending Date]]&lt;&gt;"", TEXT(Table5[[#This Row],[Tour Ending Date]], "dddd"), "")</f>
        <v>Tuesday</v>
      </c>
      <c r="U45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4 Nights &amp; 5 Days</v>
      </c>
      <c r="V45" s="37" t="str">
        <f>IF(Table5[[#This Row],[Tour Starting Date]]&lt;&gt;"", TEXT(Table5[[#This Row],[Tour Starting Date]], "mmmm"), "")</f>
        <v>April</v>
      </c>
      <c r="W45" s="80" t="str" cm="1">
        <f t="array" ref="W45">IF(Q45&lt;&gt;"", INDEX(CI:CI, MATCH(1, (Q45&gt;=CG:CG)*(Q45&lt;=CH:CH), 0)), "")</f>
        <v>Regular Dates - Weekend</v>
      </c>
      <c r="X45" s="39">
        <v>2</v>
      </c>
      <c r="Y45" s="74">
        <v>17600</v>
      </c>
      <c r="Z45" s="74">
        <f>IF(OR(Table5[[#This Row],[Per Person Package Cost]]="", Table5[[#This Row],[No. of Pax]]=""), "", Table5[[#This Row],[Per Person Package Cost]] * Table5[[#This Row],[No. of Pax]])</f>
        <v>35200</v>
      </c>
      <c r="AA45" s="52" t="s">
        <v>75</v>
      </c>
      <c r="AB45" s="52" t="s">
        <v>75</v>
      </c>
      <c r="AC45" s="52" t="s">
        <v>173</v>
      </c>
      <c r="AD45" s="52" t="s">
        <v>395</v>
      </c>
      <c r="AE45" s="51" t="str">
        <f t="shared" si="0"/>
        <v>EXIDR06</v>
      </c>
      <c r="AF45" s="51" t="str">
        <f t="shared" si="1"/>
        <v>Jyotirlinga &amp; Heritage Trails of Madhya Pradesh</v>
      </c>
      <c r="AG45" s="74" t="str">
        <f t="shared" si="2"/>
        <v>Quick Getaways</v>
      </c>
      <c r="AH45" s="73" t="str">
        <f t="shared" si="4"/>
        <v>West MP</v>
      </c>
      <c r="AI45" s="52" t="s">
        <v>159</v>
      </c>
      <c r="AJ45" s="56" t="s">
        <v>78</v>
      </c>
      <c r="AK45" s="59" t="s">
        <v>79</v>
      </c>
      <c r="AL45" s="60" t="s">
        <v>80</v>
      </c>
      <c r="AM45" s="54" t="s">
        <v>80</v>
      </c>
      <c r="AN45" s="26">
        <v>46122</v>
      </c>
      <c r="AO45" s="26"/>
      <c r="AP45" s="93"/>
      <c r="AQ45" s="87"/>
      <c r="AR45" s="26"/>
      <c r="AS45" s="26"/>
      <c r="AT45" s="89" t="s">
        <v>81</v>
      </c>
      <c r="AU45" s="97" t="s">
        <v>82</v>
      </c>
      <c r="BX45" s="1">
        <v>41</v>
      </c>
      <c r="CG45" s="143">
        <v>46252</v>
      </c>
      <c r="CH45" s="143">
        <v>46254</v>
      </c>
      <c r="CI45" s="142" t="s">
        <v>88</v>
      </c>
      <c r="CJ45" s="141"/>
      <c r="CK45" s="141"/>
      <c r="CN45" t="s">
        <v>603</v>
      </c>
      <c r="CU45" t="s">
        <v>92</v>
      </c>
      <c r="CV45" t="s">
        <v>316</v>
      </c>
      <c r="CW45" t="s">
        <v>604</v>
      </c>
      <c r="CX45" s="124" t="s">
        <v>605</v>
      </c>
      <c r="CY45" t="s">
        <v>450</v>
      </c>
      <c r="CZ45" t="s">
        <v>606</v>
      </c>
      <c r="DA45" t="str" cm="1">
        <f t="array" ref="DA45:EJ45">IF(U45&lt;&gt;"", TRANSPOSE(_xlfn._xlws.FILTER(CZ:CZ, CY:CY=U45, "")), "")</f>
        <v>Ex Gwl | Gwl (2N) + Mor - Son - Dat - Orc (1N) - Hjr (1N) - Gwl</v>
      </c>
      <c r="DB45" t="str">
        <v>Ex Idr | Idr - Ujj (1N) - Omk - Mah (1N) - Man (1N) - Idr (1N)</v>
      </c>
      <c r="DC45" t="str">
        <v>Ex Idr | Idr - Ujj (1N) - Omk (1N) - Mah (1N) - Man (1N) - Idr</v>
      </c>
      <c r="DD45" t="str">
        <v>Ex Jlr | Jlr - Kan (2N) - Amk (1N) - Jlr (1N)</v>
      </c>
      <c r="DE45" t="str">
        <v>Ex Jlr | Jlr - Ban (2N) - Amk (1N) - Jlr (1N)</v>
      </c>
      <c r="DF45" t="str">
        <v>Ex Jlr | Jlr (1N) - Hjr (1N) - Ban (2N) - Jlr</v>
      </c>
      <c r="DG45" t="str">
        <v>Ex Jlr | Jlr (1N) - Kan (1N) - Ban (2N) - Jlr</v>
      </c>
      <c r="DH45" t="str">
        <v>Ex Bho | Bho (1N) + San + Bhoj + Bhim - Tawa - Mad (1N) - Pch (2N) - Bho</v>
      </c>
      <c r="DI45" t="str">
        <v>Ex Idr | Idr - Ujj (1N) - Omk - Mah (1N) - Man (1N) - Idr (1N)</v>
      </c>
      <c r="DJ45" t="str">
        <v>Ex Bho | Bho (1N) - Bhoj - Bhim - Pch (3N) - Bho</v>
      </c>
      <c r="DK45" t="str">
        <v>Gwl (1N) - Dat (Pitambara Peeth) - Orc (1N) - Ckt (2N) - Ixd</v>
      </c>
      <c r="DL45" t="str">
        <v>Ex Jlr | Jlr - Ban (2N) - Kan (2N) - Jlr</v>
      </c>
      <c r="DM45" t="str">
        <v>Jlr - Ban (1N) - Kan (1N) - Pen (2N) - Nag</v>
      </c>
      <c r="DN45" t="str">
        <v>Ex Bho | Bho (1N) - Bhoj - Bhim - Pch (3N) - Bho</v>
      </c>
      <c r="DO45" t="str">
        <v>Ex Bho | Bho (2N) + Sanchi + Bhoj + Bhim - Tawa - Mad (1N) - Bho (1N)</v>
      </c>
      <c r="DP45" t="str">
        <v>Ex Bho | Bho - Bhoj - Bhim - Tawa (1N) - Mad (1N) - Pch (2N) - Bho</v>
      </c>
      <c r="DQ45" t="str">
        <v>Bho - Bhoj - Bhim - Pch (2N) - Kan (1N) - Jlr (1N)</v>
      </c>
      <c r="DR45" t="str">
        <v>Bho - Bhoj - Bhim - Pch (2N) - Kan (1N) - Amk (1N) - Jlr</v>
      </c>
      <c r="DS45" t="str">
        <v xml:space="preserve">Bho (1N) + Bhim + Bhoj + San - Ujj (1N) - Omk - Mah (1N) - Idr (1N) </v>
      </c>
      <c r="DT45" t="str">
        <v>Ex Gwl | Gwl - Hjr (1N) - Orc (1N) - Dat - Son - Gwl (2N)</v>
      </c>
      <c r="DU45" t="str">
        <v>Ex Gwl | Gwl - Orc (1N) - Hjr (1N) - Chn (1N) - Shiv (1N) - Gwl</v>
      </c>
      <c r="DV45" t="str">
        <v>Gwl - Hjr (1N) - Panna (1N) - Chit (1N) - Mahi (1N) - Sat</v>
      </c>
      <c r="DW45" t="str">
        <v>Jlr - (2 N) Kan - (2 N) Pch - Bhim - Bhoj - Bhp</v>
      </c>
      <c r="DX45" t="str">
        <v>Jlr - (2 N) Kan - (2 N) Pen - Rpr</v>
      </c>
      <c r="DY45" t="str">
        <v>Gwl (2N) (Ex Mor) - Dat -Orc (1N) - Hjr (1N) - Jhn</v>
      </c>
      <c r="DZ45" t="str">
        <v>Ex Gwl | Gwl (1N) - Son - Dat - Orc (1N) - Hjr (2N) (Ex Panna) - Gwl</v>
      </c>
      <c r="EA45" t="str">
        <v>Hjr (1N) - Orc (1N) - Dat - son - Gwl (2N)(Ex Mor)</v>
      </c>
      <c r="EB45" t="str">
        <v>(2 N) Gwl - (1 N) Orch - (1 N) Hjr</v>
      </c>
      <c r="EC45" t="str">
        <v>Ex Bhp | Bhp - Bhoj - Bhim - Pch (2N) - Mad (1N) - Tawa (1N) - Bhp</v>
      </c>
      <c r="ED45" t="str">
        <v>Ex Bhp | Bhp - Bhoj - Bhim - Pch (2N) - Mad (2N) - Bhp</v>
      </c>
      <c r="EE45" t="str">
        <v>Ex Idr | Idr - Ujj (1N) - Omk (1N) - Mah (2N) (Ex Man) - Idr (HDCT)</v>
      </c>
      <c r="EF45" t="str">
        <v>Arr Rpr - Amr (2N) - Par (2N) - IXD</v>
      </c>
      <c r="EG45" t="str">
        <v>1N Gwl - Orc - 2N Hjr - Jhn - 1N Gwl</v>
      </c>
      <c r="EH45" t="str">
        <v>1N Orc - 1N Hjr - 2N Gwl Ex Mor</v>
      </c>
      <c r="EI45" t="str">
        <v>1N Idr - Omk - 1N Mah - 1N Ujj - Seh - 1N Bho</v>
      </c>
      <c r="EJ45" t="str">
        <v>Ex Idr I 1N Idr - 1N Ujj - Omk - 2N Mah - Man - Idr</v>
      </c>
    </row>
    <row r="46" spans="2:145" ht="15" customHeight="1">
      <c r="B46" s="35">
        <v>42</v>
      </c>
      <c r="C46" s="36" t="s">
        <v>607</v>
      </c>
      <c r="D46" s="76">
        <v>46119</v>
      </c>
      <c r="E46" s="37" t="str">
        <f>IF(Table5[[#This Row],[Query Date]]&lt;&gt;"", TEXT(Table5[[#This Row],[Query Date]], "dddd"), "")</f>
        <v>Tuesday</v>
      </c>
      <c r="F46" s="37" t="str">
        <f>IF(Table5[[#This Row],[Query Date]]&lt;&gt;"", TEXT(Table5[[#This Row],[Query Date]], "mmmm"), "")</f>
        <v>April</v>
      </c>
      <c r="G46" s="28" t="s">
        <v>65</v>
      </c>
      <c r="H46" s="28" t="s">
        <v>99</v>
      </c>
      <c r="I46" s="28" t="s">
        <v>67</v>
      </c>
      <c r="J46" s="28" t="s">
        <v>68</v>
      </c>
      <c r="K46" s="28" t="s">
        <v>178</v>
      </c>
      <c r="L46" s="25" t="s">
        <v>70</v>
      </c>
      <c r="M46" s="112" t="s">
        <v>454</v>
      </c>
      <c r="N46" s="25" t="s">
        <v>455</v>
      </c>
      <c r="O46" s="130">
        <v>8150899970</v>
      </c>
      <c r="P46" s="31" t="s">
        <v>457</v>
      </c>
      <c r="Q46" s="77">
        <v>46167</v>
      </c>
      <c r="R46" s="77" t="str">
        <f>IF(Table5[[#This Row],[Tour Starting Date]]&lt;&gt;"", TEXT(Table5[[#This Row],[Tour Starting Date]], "dddd"), "")</f>
        <v>Monday</v>
      </c>
      <c r="S46" s="77">
        <v>46169</v>
      </c>
      <c r="T46" s="25" t="str">
        <f>IF(Table5[[#This Row],[Tour Ending Date]]&lt;&gt;"", TEXT(Table5[[#This Row],[Tour Ending Date]], "dddd"), "")</f>
        <v>Wednesday</v>
      </c>
      <c r="U46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46" s="37" t="str">
        <f>IF(Table5[[#This Row],[Tour Starting Date]]&lt;&gt;"", TEXT(Table5[[#This Row],[Tour Starting Date]], "mmmm"), "")</f>
        <v>May</v>
      </c>
      <c r="W46" s="80" t="str" cm="1">
        <f t="array" ref="W46">IF(Q46&lt;&gt;"", INDEX(CI:CI, MATCH(1, (Q46&gt;=CG:CG)*(Q46&lt;=CH:CH), 0)), "")</f>
        <v>Regular Dates - Weekday</v>
      </c>
      <c r="X46" s="39">
        <v>4</v>
      </c>
      <c r="Y46" s="74">
        <v>8600</v>
      </c>
      <c r="Z46" s="74">
        <f>IF(OR(Table5[[#This Row],[Per Person Package Cost]]="", Table5[[#This Row],[No. of Pax]]=""), "", Table5[[#This Row],[Per Person Package Cost]] * Table5[[#This Row],[No. of Pax]])</f>
        <v>34400</v>
      </c>
      <c r="AA46" s="52" t="s">
        <v>75</v>
      </c>
      <c r="AB46" s="52" t="s">
        <v>75</v>
      </c>
      <c r="AC46" s="52" t="s">
        <v>76</v>
      </c>
      <c r="AD46" s="52" t="s">
        <v>608</v>
      </c>
      <c r="AE46" s="51" t="str">
        <f t="shared" si="0"/>
        <v>EXIDR20</v>
      </c>
      <c r="AF46" s="51" t="str">
        <f t="shared" si="1"/>
        <v>Sacred &amp; Scenic Trail</v>
      </c>
      <c r="AG46" s="74" t="str">
        <f t="shared" si="2"/>
        <v>Quick Getaways</v>
      </c>
      <c r="AH46" s="73" t="str">
        <f t="shared" si="4"/>
        <v>West MP</v>
      </c>
      <c r="AI46" s="52" t="s">
        <v>159</v>
      </c>
      <c r="AJ46" s="56" t="s">
        <v>78</v>
      </c>
      <c r="AK46" s="59" t="s">
        <v>79</v>
      </c>
      <c r="AL46" s="60" t="s">
        <v>80</v>
      </c>
      <c r="AM46" s="54" t="s">
        <v>80</v>
      </c>
      <c r="AN46" s="14">
        <v>46122</v>
      </c>
      <c r="AO46" s="15">
        <v>46151</v>
      </c>
      <c r="AP46" s="94">
        <v>46158</v>
      </c>
      <c r="AQ46" s="87"/>
      <c r="AR46" s="26"/>
      <c r="AS46" s="65"/>
      <c r="AT46" s="88" t="s">
        <v>81</v>
      </c>
      <c r="AU46" s="67" t="s">
        <v>82</v>
      </c>
      <c r="BX46" s="1">
        <v>42</v>
      </c>
      <c r="CG46" s="143">
        <v>46255</v>
      </c>
      <c r="CH46" s="143">
        <v>46257</v>
      </c>
      <c r="CI46" s="142" t="s">
        <v>116</v>
      </c>
      <c r="CJ46" s="141"/>
      <c r="CK46" s="141"/>
      <c r="CN46" t="s">
        <v>609</v>
      </c>
      <c r="CU46" t="s">
        <v>92</v>
      </c>
      <c r="CV46" t="s">
        <v>316</v>
      </c>
      <c r="CW46" t="s">
        <v>610</v>
      </c>
      <c r="CX46" s="124" t="s">
        <v>611</v>
      </c>
      <c r="CY46" t="s">
        <v>223</v>
      </c>
      <c r="CZ46" t="s">
        <v>612</v>
      </c>
      <c r="DA46" t="str" cm="1">
        <f t="array" ref="DA46:DY46">IF(U46&lt;&gt;"", TRANSPOSE(_xlfn._xlws.FILTER(CZ:CZ, CY:CY=U46, "")), "")</f>
        <v>Gwl (2N) + Mor</v>
      </c>
      <c r="DB46" t="str">
        <v>Ex Idr | Idr - Ujj (1N) - Omk - Mah (1N) - Man - Idr</v>
      </c>
      <c r="DC46" t="str">
        <v>Ujj (1N) - Omk - Idr (1N)</v>
      </c>
      <c r="DD46" t="str">
        <v>Ex Jlr | Jlr - Kan (2N) - Jlr</v>
      </c>
      <c r="DE46" t="str">
        <v>Ex Jlr | Jlr - Ban (2N) - Jlr</v>
      </c>
      <c r="DF46" t="str">
        <v>Ex Bho | Bho (2N) + Bhim + Bhoj + San</v>
      </c>
      <c r="DG46" t="str">
        <v>Ex Idr | Idr - Man (2N) - Idr</v>
      </c>
      <c r="DH46" t="str">
        <v>Ex Jlr | Jlr - Kan (2N) - Jlr</v>
      </c>
      <c r="DI46" t="str">
        <v>Ex Bho | Bho (2N) + Bhim + Bhoj + San + HDCT Bho</v>
      </c>
      <c r="DJ46" t="str">
        <v>Ex Bho | Bho - Bhim - Tawa (1N) - Mad (1N) - Bho</v>
      </c>
      <c r="DK46" t="str">
        <v>Ujj (1N) - Omk - Mah (1N) - Idr</v>
      </c>
      <c r="DL46" t="str">
        <v>Ujj (1N) -  Idr (1N)</v>
      </c>
      <c r="DM46" t="str">
        <v>Ex Idr | Idr (2N) + Ujj + Omk + Mah</v>
      </c>
      <c r="DN46" t="str">
        <v>Idr - Mah - Omk (1N) - Ujj (1N)</v>
      </c>
      <c r="DO46" t="str">
        <v>Idr - Ujj (1N) - Mah - Omk (1N) - Khandwa</v>
      </c>
      <c r="DP46" t="str">
        <v>Ex Idr | Idr (EX Ujj) (1N) - Mah - Omk (1N) - Idr HDCT</v>
      </c>
      <c r="DQ46" t="str">
        <v>Ujj (1N) - Sehor - Bho (1N) HDCT</v>
      </c>
      <c r="DR46" t="str">
        <v>Ex Jlr | Jlr (1N) - Ban (1N)</v>
      </c>
      <c r="DS46" t="str">
        <v>Ex Jlr | Ban (1N)</v>
      </c>
      <c r="DT46" t="str">
        <v>Ex Jlr | Jlr (2 N) Kan</v>
      </c>
      <c r="DU46" t="str">
        <v>Ex Jlr | Jlr - Amr (1 N) - (1 N) Ban</v>
      </c>
      <c r="DV46" t="str">
        <v>Ex Rpr | Rpr - (2N) Kan</v>
      </c>
      <c r="DW46" t="str">
        <v>Hjr (1N) - Mahi (1N) - Sat</v>
      </c>
      <c r="DX46" t="str">
        <v>Ex Bhp | Bhp - Bhim - Pch (2N) - Bhp</v>
      </c>
      <c r="DY46" t="str">
        <v xml:space="preserve">Ex Ujj I 2N Ujj </v>
      </c>
    </row>
    <row r="47" spans="2:145" ht="15" customHeight="1">
      <c r="B47" s="34">
        <v>43</v>
      </c>
      <c r="C47" s="36" t="s">
        <v>613</v>
      </c>
      <c r="D47" s="76">
        <v>46120</v>
      </c>
      <c r="E47" s="37" t="str">
        <f>IF(Table5[[#This Row],[Query Date]]&lt;&gt;"", TEXT(Table5[[#This Row],[Query Date]], "dddd"), "")</f>
        <v>Wednesday</v>
      </c>
      <c r="F47" s="37" t="str">
        <f>IF(Table5[[#This Row],[Query Date]]&lt;&gt;"", TEXT(Table5[[#This Row],[Query Date]], "mmmm"), "")</f>
        <v>April</v>
      </c>
      <c r="G47" s="28" t="s">
        <v>65</v>
      </c>
      <c r="H47" s="28" t="s">
        <v>99</v>
      </c>
      <c r="I47" s="28" t="s">
        <v>100</v>
      </c>
      <c r="J47" s="28" t="s">
        <v>68</v>
      </c>
      <c r="K47" s="28" t="s">
        <v>614</v>
      </c>
      <c r="L47" s="25" t="s">
        <v>70</v>
      </c>
      <c r="M47" s="112" t="s">
        <v>615</v>
      </c>
      <c r="N47" s="25" t="s">
        <v>616</v>
      </c>
      <c r="O47" s="130" t="s">
        <v>617</v>
      </c>
      <c r="P47" s="46" t="s">
        <v>618</v>
      </c>
      <c r="Q47" s="77">
        <v>46143</v>
      </c>
      <c r="R47" s="77" t="str">
        <f>IF(Table5[[#This Row],[Tour Starting Date]]&lt;&gt;"", TEXT(Table5[[#This Row],[Tour Starting Date]], "dddd"), "")</f>
        <v>Friday</v>
      </c>
      <c r="S47" s="77">
        <v>46145</v>
      </c>
      <c r="T47" s="25" t="str">
        <f>IF(Table5[[#This Row],[Tour Ending Date]]&lt;&gt;"", TEXT(Table5[[#This Row],[Tour Ending Date]], "dddd"), "")</f>
        <v>Sunday</v>
      </c>
      <c r="U47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47" s="37" t="str">
        <f>IF(Table5[[#This Row],[Tour Starting Date]]&lt;&gt;"", TEXT(Table5[[#This Row],[Tour Starting Date]], "mmmm"), "")</f>
        <v>May</v>
      </c>
      <c r="W47" s="80" t="str" cm="1">
        <f t="array" ref="W47">IF(Q47&lt;&gt;"", INDEX(CI:CI, MATCH(1, (Q47&gt;=CG:CG)*(Q47&lt;=CH:CH), 0)), "")</f>
        <v>Long Weekend - Labour Day / Buddha Purnima</v>
      </c>
      <c r="X47" s="39">
        <v>13</v>
      </c>
      <c r="Y47" s="74">
        <v>17000</v>
      </c>
      <c r="Z47" s="74">
        <f>IF(OR(Table5[[#This Row],[Per Person Package Cost]]="", Table5[[#This Row],[No. of Pax]]=""), "", Table5[[#This Row],[Per Person Package Cost]] * Table5[[#This Row],[No. of Pax]])</f>
        <v>221000</v>
      </c>
      <c r="AA47" s="52" t="s">
        <v>270</v>
      </c>
      <c r="AB47" s="52" t="s">
        <v>270</v>
      </c>
      <c r="AC47" s="52" t="s">
        <v>134</v>
      </c>
      <c r="AD47" s="52"/>
      <c r="AE47" s="51" t="str">
        <f t="shared" si="0"/>
        <v/>
      </c>
      <c r="AF47" s="51" t="str">
        <f t="shared" si="1"/>
        <v/>
      </c>
      <c r="AG47" s="74" t="str">
        <f t="shared" si="2"/>
        <v/>
      </c>
      <c r="AH47" s="73" t="str">
        <f t="shared" si="4"/>
        <v/>
      </c>
      <c r="AI47" s="52" t="s">
        <v>159</v>
      </c>
      <c r="AJ47" s="56" t="s">
        <v>78</v>
      </c>
      <c r="AK47" s="59" t="s">
        <v>79</v>
      </c>
      <c r="AL47" s="60" t="s">
        <v>80</v>
      </c>
      <c r="AM47" s="54" t="s">
        <v>80</v>
      </c>
      <c r="AN47" s="14">
        <v>46123</v>
      </c>
      <c r="AO47" s="15"/>
      <c r="AP47" s="91"/>
      <c r="AQ47" s="87"/>
      <c r="AR47" s="26"/>
      <c r="AS47" s="65"/>
      <c r="AT47" s="88" t="s">
        <v>81</v>
      </c>
      <c r="AU47" s="67"/>
      <c r="BX47" s="1">
        <v>43</v>
      </c>
      <c r="CG47" s="143">
        <v>46258</v>
      </c>
      <c r="CH47" s="143">
        <v>46261</v>
      </c>
      <c r="CI47" s="142" t="s">
        <v>88</v>
      </c>
      <c r="CJ47" s="141"/>
      <c r="CK47" s="141"/>
      <c r="CN47" t="s">
        <v>619</v>
      </c>
      <c r="CU47" t="s">
        <v>92</v>
      </c>
      <c r="CV47" t="s">
        <v>316</v>
      </c>
      <c r="CW47" t="s">
        <v>620</v>
      </c>
      <c r="CX47" s="124" t="s">
        <v>621</v>
      </c>
      <c r="CY47" t="s">
        <v>243</v>
      </c>
      <c r="CZ47" t="s">
        <v>622</v>
      </c>
      <c r="DA47" t="str" cm="1">
        <f t="array" ref="DA47:DY47">IF(U47&lt;&gt;"", TRANSPOSE(_xlfn._xlws.FILTER(CZ:CZ, CY:CY=U47, "")), "")</f>
        <v>Gwl (2N) + Mor</v>
      </c>
      <c r="DB47" t="str">
        <v>Ex Idr | Idr - Ujj (1N) - Omk - Mah (1N) - Man - Idr</v>
      </c>
      <c r="DC47" t="str">
        <v>Ujj (1N) - Omk - Idr (1N)</v>
      </c>
      <c r="DD47" t="str">
        <v>Ex Jlr | Jlr - Kan (2N) - Jlr</v>
      </c>
      <c r="DE47" t="str">
        <v>Ex Jlr | Jlr - Ban (2N) - Jlr</v>
      </c>
      <c r="DF47" t="str">
        <v>Ex Bho | Bho (2N) + Bhim + Bhoj + San</v>
      </c>
      <c r="DG47" t="str">
        <v>Ex Idr | Idr - Man (2N) - Idr</v>
      </c>
      <c r="DH47" t="str">
        <v>Ex Jlr | Jlr - Kan (2N) - Jlr</v>
      </c>
      <c r="DI47" t="str">
        <v>Ex Bho | Bho (2N) + Bhim + Bhoj + San + HDCT Bho</v>
      </c>
      <c r="DJ47" t="str">
        <v>Ex Bho | Bho - Bhim - Tawa (1N) - Mad (1N) - Bho</v>
      </c>
      <c r="DK47" t="str">
        <v>Ujj (1N) - Omk - Mah (1N) - Idr</v>
      </c>
      <c r="DL47" t="str">
        <v>Ujj (1N) -  Idr (1N)</v>
      </c>
      <c r="DM47" t="str">
        <v>Ex Idr | Idr (2N) + Ujj + Omk + Mah</v>
      </c>
      <c r="DN47" t="str">
        <v>Idr - Mah - Omk (1N) - Ujj (1N)</v>
      </c>
      <c r="DO47" t="str">
        <v>Idr - Ujj (1N) - Mah - Omk (1N) - Khandwa</v>
      </c>
      <c r="DP47" t="str">
        <v>Ex Idr | Idr (EX Ujj) (1N) - Mah - Omk (1N) - Idr HDCT</v>
      </c>
      <c r="DQ47" t="str">
        <v>Ujj (1N) - Sehor - Bho (1N) HDCT</v>
      </c>
      <c r="DR47" t="str">
        <v>Ex Jlr | Jlr (1N) - Ban (1N)</v>
      </c>
      <c r="DS47" t="str">
        <v>Ex Jlr | Ban (1N)</v>
      </c>
      <c r="DT47" t="str">
        <v>Ex Jlr | Jlr (2 N) Kan</v>
      </c>
      <c r="DU47" t="str">
        <v>Ex Jlr | Jlr - Amr (1 N) - (1 N) Ban</v>
      </c>
      <c r="DV47" t="str">
        <v>Ex Rpr | Rpr - (2N) Kan</v>
      </c>
      <c r="DW47" t="str">
        <v>Hjr (1N) - Mahi (1N) - Sat</v>
      </c>
      <c r="DX47" t="str">
        <v>Ex Bhp | Bhp - Bhim - Pch (2N) - Bhp</v>
      </c>
      <c r="DY47" t="str">
        <v xml:space="preserve">Ex Ujj I 2N Ujj </v>
      </c>
    </row>
    <row r="48" spans="2:145" ht="15" customHeight="1">
      <c r="B48" s="35">
        <v>44</v>
      </c>
      <c r="C48" s="36" t="s">
        <v>623</v>
      </c>
      <c r="D48" s="76">
        <v>46121</v>
      </c>
      <c r="E48" s="37" t="str">
        <f>IF(Table5[[#This Row],[Query Date]]&lt;&gt;"", TEXT(Table5[[#This Row],[Query Date]], "dddd"), "")</f>
        <v>Thursday</v>
      </c>
      <c r="F48" s="37" t="str">
        <f>IF(Table5[[#This Row],[Query Date]]&lt;&gt;"", TEXT(Table5[[#This Row],[Query Date]], "mmmm"), "")</f>
        <v>April</v>
      </c>
      <c r="G48" s="28" t="s">
        <v>65</v>
      </c>
      <c r="H48" s="28" t="s">
        <v>120</v>
      </c>
      <c r="I48" s="28" t="s">
        <v>67</v>
      </c>
      <c r="J48" s="28" t="s">
        <v>68</v>
      </c>
      <c r="K48" s="28" t="s">
        <v>488</v>
      </c>
      <c r="L48" s="25" t="s">
        <v>70</v>
      </c>
      <c r="M48" s="112" t="s">
        <v>516</v>
      </c>
      <c r="N48" s="25" t="s">
        <v>517</v>
      </c>
      <c r="O48" s="130" t="s">
        <v>518</v>
      </c>
      <c r="P48" s="46" t="s">
        <v>519</v>
      </c>
      <c r="Q48" s="77">
        <v>46143</v>
      </c>
      <c r="R48" s="77" t="str">
        <f>IF(Table5[[#This Row],[Tour Starting Date]]&lt;&gt;"", TEXT(Table5[[#This Row],[Tour Starting Date]], "dddd"), "")</f>
        <v>Friday</v>
      </c>
      <c r="S48" s="77">
        <v>46145</v>
      </c>
      <c r="T48" s="25" t="str">
        <f>IF(Table5[[#This Row],[Tour Ending Date]]&lt;&gt;"", TEXT(Table5[[#This Row],[Tour Ending Date]], "dddd"), "")</f>
        <v>Sunday</v>
      </c>
      <c r="U48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48" s="37" t="str">
        <f>IF(Table5[[#This Row],[Tour Starting Date]]&lt;&gt;"", TEXT(Table5[[#This Row],[Tour Starting Date]], "mmmm"), "")</f>
        <v>May</v>
      </c>
      <c r="W48" s="80" t="str" cm="1">
        <f t="array" ref="W48">IF(Q48&lt;&gt;"", INDEX(CI:CI, MATCH(1, (Q48&gt;=CG:CG)*(Q48&lt;=CH:CH), 0)), "")</f>
        <v>Long Weekend - Labour Day / Buddha Purnima</v>
      </c>
      <c r="X48" s="39">
        <v>12</v>
      </c>
      <c r="Y48" s="74">
        <v>17700</v>
      </c>
      <c r="Z48" s="74">
        <f>IF(OR(Table5[[#This Row],[Per Person Package Cost]]="", Table5[[#This Row],[No. of Pax]]=""), "", Table5[[#This Row],[Per Person Package Cost]] * Table5[[#This Row],[No. of Pax]])</f>
        <v>212400</v>
      </c>
      <c r="AA48" s="52" t="s">
        <v>624</v>
      </c>
      <c r="AB48" s="52" t="s">
        <v>624</v>
      </c>
      <c r="AC48" s="52" t="s">
        <v>134</v>
      </c>
      <c r="AD48" s="52"/>
      <c r="AE48" s="51" t="str">
        <f t="shared" si="0"/>
        <v/>
      </c>
      <c r="AF48" s="51" t="str">
        <f t="shared" si="1"/>
        <v/>
      </c>
      <c r="AG48" s="74" t="str">
        <f t="shared" si="2"/>
        <v/>
      </c>
      <c r="AH48" s="73" t="str">
        <f t="shared" si="4"/>
        <v/>
      </c>
      <c r="AI48" s="52" t="s">
        <v>159</v>
      </c>
      <c r="AJ48" s="56" t="s">
        <v>78</v>
      </c>
      <c r="AK48" s="59" t="s">
        <v>79</v>
      </c>
      <c r="AL48" s="60" t="s">
        <v>80</v>
      </c>
      <c r="AM48" s="54" t="s">
        <v>80</v>
      </c>
      <c r="AN48" s="14">
        <v>46123</v>
      </c>
      <c r="AO48" s="15"/>
      <c r="AP48" s="91"/>
      <c r="AQ48" s="87"/>
      <c r="AR48" s="26"/>
      <c r="AS48" s="65"/>
      <c r="AT48" s="88" t="s">
        <v>81</v>
      </c>
      <c r="AU48" s="67"/>
      <c r="BX48" s="1">
        <v>44</v>
      </c>
      <c r="CG48" s="143">
        <v>46262</v>
      </c>
      <c r="CH48" s="143">
        <v>46264</v>
      </c>
      <c r="CI48" s="142" t="s">
        <v>116</v>
      </c>
      <c r="CJ48" s="141"/>
      <c r="CK48" s="141"/>
      <c r="CN48" t="s">
        <v>625</v>
      </c>
      <c r="CU48" t="s">
        <v>92</v>
      </c>
      <c r="CV48" t="s">
        <v>316</v>
      </c>
      <c r="CW48" t="s">
        <v>626</v>
      </c>
      <c r="CX48" s="124" t="s">
        <v>627</v>
      </c>
      <c r="CY48" t="s">
        <v>450</v>
      </c>
      <c r="CZ48" t="s">
        <v>628</v>
      </c>
      <c r="DA48" t="str" cm="1">
        <f t="array" ref="DA48:DY48">IF(U48&lt;&gt;"", TRANSPOSE(_xlfn._xlws.FILTER(CZ:CZ, CY:CY=U48, "")), "")</f>
        <v>Gwl (2N) + Mor</v>
      </c>
      <c r="DB48" t="str">
        <v>Ex Idr | Idr - Ujj (1N) - Omk - Mah (1N) - Man - Idr</v>
      </c>
      <c r="DC48" t="str">
        <v>Ujj (1N) - Omk - Idr (1N)</v>
      </c>
      <c r="DD48" t="str">
        <v>Ex Jlr | Jlr - Kan (2N) - Jlr</v>
      </c>
      <c r="DE48" t="str">
        <v>Ex Jlr | Jlr - Ban (2N) - Jlr</v>
      </c>
      <c r="DF48" t="str">
        <v>Ex Bho | Bho (2N) + Bhim + Bhoj + San</v>
      </c>
      <c r="DG48" t="str">
        <v>Ex Idr | Idr - Man (2N) - Idr</v>
      </c>
      <c r="DH48" t="str">
        <v>Ex Jlr | Jlr - Kan (2N) - Jlr</v>
      </c>
      <c r="DI48" t="str">
        <v>Ex Bho | Bho (2N) + Bhim + Bhoj + San + HDCT Bho</v>
      </c>
      <c r="DJ48" t="str">
        <v>Ex Bho | Bho - Bhim - Tawa (1N) - Mad (1N) - Bho</v>
      </c>
      <c r="DK48" t="str">
        <v>Ujj (1N) - Omk - Mah (1N) - Idr</v>
      </c>
      <c r="DL48" t="str">
        <v>Ujj (1N) -  Idr (1N)</v>
      </c>
      <c r="DM48" t="str">
        <v>Ex Idr | Idr (2N) + Ujj + Omk + Mah</v>
      </c>
      <c r="DN48" t="str">
        <v>Idr - Mah - Omk (1N) - Ujj (1N)</v>
      </c>
      <c r="DO48" t="str">
        <v>Idr - Ujj (1N) - Mah - Omk (1N) - Khandwa</v>
      </c>
      <c r="DP48" t="str">
        <v>Ex Idr | Idr (EX Ujj) (1N) - Mah - Omk (1N) - Idr HDCT</v>
      </c>
      <c r="DQ48" t="str">
        <v>Ujj (1N) - Sehor - Bho (1N) HDCT</v>
      </c>
      <c r="DR48" t="str">
        <v>Ex Jlr | Jlr (1N) - Ban (1N)</v>
      </c>
      <c r="DS48" t="str">
        <v>Ex Jlr | Ban (1N)</v>
      </c>
      <c r="DT48" t="str">
        <v>Ex Jlr | Jlr (2 N) Kan</v>
      </c>
      <c r="DU48" t="str">
        <v>Ex Jlr | Jlr - Amr (1 N) - (1 N) Ban</v>
      </c>
      <c r="DV48" t="str">
        <v>Ex Rpr | Rpr - (2N) Kan</v>
      </c>
      <c r="DW48" t="str">
        <v>Hjr (1N) - Mahi (1N) - Sat</v>
      </c>
      <c r="DX48" t="str">
        <v>Ex Bhp | Bhp - Bhim - Pch (2N) - Bhp</v>
      </c>
      <c r="DY48" t="str">
        <v xml:space="preserve">Ex Ujj I 2N Ujj </v>
      </c>
    </row>
    <row r="49" spans="2:145" ht="15" customHeight="1">
      <c r="B49" s="34">
        <v>45</v>
      </c>
      <c r="C49" s="36" t="s">
        <v>629</v>
      </c>
      <c r="D49" s="76">
        <v>46121</v>
      </c>
      <c r="E49" s="37" t="str">
        <f>IF(Table5[[#This Row],[Query Date]]&lt;&gt;"", TEXT(Table5[[#This Row],[Query Date]], "dddd"), "")</f>
        <v>Thursday</v>
      </c>
      <c r="F49" s="37" t="str">
        <f>IF(Table5[[#This Row],[Query Date]]&lt;&gt;"", TEXT(Table5[[#This Row],[Query Date]], "mmmm"), "")</f>
        <v>April</v>
      </c>
      <c r="G49" s="28" t="s">
        <v>65</v>
      </c>
      <c r="H49" s="28" t="s">
        <v>66</v>
      </c>
      <c r="I49" s="28" t="s">
        <v>67</v>
      </c>
      <c r="J49" s="28" t="s">
        <v>68</v>
      </c>
      <c r="K49" s="28" t="s">
        <v>178</v>
      </c>
      <c r="L49" s="25" t="s">
        <v>70</v>
      </c>
      <c r="M49" s="112" t="s">
        <v>417</v>
      </c>
      <c r="N49" s="41" t="s">
        <v>418</v>
      </c>
      <c r="O49" s="132" t="s">
        <v>419</v>
      </c>
      <c r="P49" s="46" t="s">
        <v>420</v>
      </c>
      <c r="Q49" s="77">
        <v>46135</v>
      </c>
      <c r="R49" s="77" t="str">
        <f>IF(Table5[[#This Row],[Tour Starting Date]]&lt;&gt;"", TEXT(Table5[[#This Row],[Tour Starting Date]], "dddd"), "")</f>
        <v>Thursday</v>
      </c>
      <c r="S49" s="77">
        <v>46137</v>
      </c>
      <c r="T49" s="25" t="str">
        <f>IF(Table5[[#This Row],[Tour Ending Date]]&lt;&gt;"", TEXT(Table5[[#This Row],[Tour Ending Date]], "dddd"), "")</f>
        <v>Saturday</v>
      </c>
      <c r="U49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49" s="37" t="str">
        <f>IF(Table5[[#This Row],[Tour Starting Date]]&lt;&gt;"", TEXT(Table5[[#This Row],[Tour Starting Date]], "mmmm"), "")</f>
        <v>April</v>
      </c>
      <c r="W49" s="80" t="str" cm="1">
        <f t="array" ref="W49">IF(Q49&lt;&gt;"", INDEX(CI:CI, MATCH(1, (Q49&gt;=CG:CG)*(Q49&lt;=CH:CH), 0)), "")</f>
        <v>Regular Dates - Weekday</v>
      </c>
      <c r="X49" s="39">
        <v>2</v>
      </c>
      <c r="Y49" s="74">
        <v>10100</v>
      </c>
      <c r="Z49" s="74">
        <f>IF(OR(Table5[[#This Row],[Per Person Package Cost]]="", Table5[[#This Row],[No. of Pax]]=""), "", Table5[[#This Row],[Per Person Package Cost]] * Table5[[#This Row],[No. of Pax]])</f>
        <v>20200</v>
      </c>
      <c r="AA49" s="52" t="s">
        <v>75</v>
      </c>
      <c r="AB49" s="52" t="s">
        <v>75</v>
      </c>
      <c r="AC49" s="52" t="s">
        <v>76</v>
      </c>
      <c r="AD49" s="52" t="s">
        <v>608</v>
      </c>
      <c r="AE49" s="51" t="str">
        <f t="shared" si="0"/>
        <v>EXIDR20</v>
      </c>
      <c r="AF49" s="51" t="str">
        <f t="shared" si="1"/>
        <v>Sacred &amp; Scenic Trail</v>
      </c>
      <c r="AG49" s="74" t="str">
        <f t="shared" si="2"/>
        <v>Quick Getaways</v>
      </c>
      <c r="AH49" s="73" t="str">
        <f t="shared" si="4"/>
        <v>West MP</v>
      </c>
      <c r="AI49" s="52" t="s">
        <v>77</v>
      </c>
      <c r="AJ49" s="56" t="s">
        <v>78</v>
      </c>
      <c r="AK49" s="59" t="s">
        <v>79</v>
      </c>
      <c r="AL49" s="60" t="s">
        <v>80</v>
      </c>
      <c r="AM49" s="54" t="s">
        <v>80</v>
      </c>
      <c r="AN49" s="14">
        <v>46123</v>
      </c>
      <c r="AO49" s="15"/>
      <c r="AP49" s="91"/>
      <c r="AQ49" s="87"/>
      <c r="AR49" s="26"/>
      <c r="AS49" s="65"/>
      <c r="AT49" s="88" t="s">
        <v>81</v>
      </c>
      <c r="AU49" s="67" t="s">
        <v>82</v>
      </c>
      <c r="BX49" s="1">
        <v>45</v>
      </c>
      <c r="CG49" s="143">
        <v>46265</v>
      </c>
      <c r="CH49" s="143">
        <v>46268</v>
      </c>
      <c r="CI49" s="142" t="s">
        <v>88</v>
      </c>
      <c r="CJ49" s="141"/>
      <c r="CK49" s="141"/>
      <c r="CN49" t="s">
        <v>630</v>
      </c>
      <c r="CU49" t="s">
        <v>92</v>
      </c>
      <c r="CV49" t="s">
        <v>299</v>
      </c>
      <c r="CW49" t="s">
        <v>631</v>
      </c>
      <c r="CX49" s="124" t="s">
        <v>632</v>
      </c>
      <c r="CY49" t="s">
        <v>223</v>
      </c>
      <c r="CZ49" t="s">
        <v>633</v>
      </c>
      <c r="DA49" t="str" cm="1">
        <f t="array" ref="DA49:DY49">IF(U49&lt;&gt;"", TRANSPOSE(_xlfn._xlws.FILTER(CZ:CZ, CY:CY=U49, "")), "")</f>
        <v>Gwl (2N) + Mor</v>
      </c>
      <c r="DB49" t="str">
        <v>Ex Idr | Idr - Ujj (1N) - Omk - Mah (1N) - Man - Idr</v>
      </c>
      <c r="DC49" t="str">
        <v>Ujj (1N) - Omk - Idr (1N)</v>
      </c>
      <c r="DD49" t="str">
        <v>Ex Jlr | Jlr - Kan (2N) - Jlr</v>
      </c>
      <c r="DE49" t="str">
        <v>Ex Jlr | Jlr - Ban (2N) - Jlr</v>
      </c>
      <c r="DF49" t="str">
        <v>Ex Bho | Bho (2N) + Bhim + Bhoj + San</v>
      </c>
      <c r="DG49" t="str">
        <v>Ex Idr | Idr - Man (2N) - Idr</v>
      </c>
      <c r="DH49" t="str">
        <v>Ex Jlr | Jlr - Kan (2N) - Jlr</v>
      </c>
      <c r="DI49" t="str">
        <v>Ex Bho | Bho (2N) + Bhim + Bhoj + San + HDCT Bho</v>
      </c>
      <c r="DJ49" t="str">
        <v>Ex Bho | Bho - Bhim - Tawa (1N) - Mad (1N) - Bho</v>
      </c>
      <c r="DK49" t="str">
        <v>Ujj (1N) - Omk - Mah (1N) - Idr</v>
      </c>
      <c r="DL49" t="str">
        <v>Ujj (1N) -  Idr (1N)</v>
      </c>
      <c r="DM49" t="str">
        <v>Ex Idr | Idr (2N) + Ujj + Omk + Mah</v>
      </c>
      <c r="DN49" t="str">
        <v>Idr - Mah - Omk (1N) - Ujj (1N)</v>
      </c>
      <c r="DO49" t="str">
        <v>Idr - Ujj (1N) - Mah - Omk (1N) - Khandwa</v>
      </c>
      <c r="DP49" t="str">
        <v>Ex Idr | Idr (EX Ujj) (1N) - Mah - Omk (1N) - Idr HDCT</v>
      </c>
      <c r="DQ49" t="str">
        <v>Ujj (1N) - Sehor - Bho (1N) HDCT</v>
      </c>
      <c r="DR49" t="str">
        <v>Ex Jlr | Jlr (1N) - Ban (1N)</v>
      </c>
      <c r="DS49" t="str">
        <v>Ex Jlr | Ban (1N)</v>
      </c>
      <c r="DT49" t="str">
        <v>Ex Jlr | Jlr (2 N) Kan</v>
      </c>
      <c r="DU49" t="str">
        <v>Ex Jlr | Jlr - Amr (1 N) - (1 N) Ban</v>
      </c>
      <c r="DV49" t="str">
        <v>Ex Rpr | Rpr - (2N) Kan</v>
      </c>
      <c r="DW49" t="str">
        <v>Hjr (1N) - Mahi (1N) - Sat</v>
      </c>
      <c r="DX49" t="str">
        <v>Ex Bhp | Bhp - Bhim - Pch (2N) - Bhp</v>
      </c>
      <c r="DY49" t="str">
        <v xml:space="preserve">Ex Ujj I 2N Ujj </v>
      </c>
    </row>
    <row r="50" spans="2:145" ht="15" customHeight="1">
      <c r="B50" s="35">
        <v>46</v>
      </c>
      <c r="C50" s="36" t="s">
        <v>634</v>
      </c>
      <c r="D50" s="76">
        <v>46121</v>
      </c>
      <c r="E50" s="37" t="str">
        <f>IF(Table5[[#This Row],[Query Date]]&lt;&gt;"", TEXT(Table5[[#This Row],[Query Date]], "dddd"), "")</f>
        <v>Thursday</v>
      </c>
      <c r="F50" s="37" t="str">
        <f>IF(Table5[[#This Row],[Query Date]]&lt;&gt;"", TEXT(Table5[[#This Row],[Query Date]], "mmmm"), "")</f>
        <v>April</v>
      </c>
      <c r="G50" s="28" t="s">
        <v>65</v>
      </c>
      <c r="H50" s="28" t="s">
        <v>99</v>
      </c>
      <c r="I50" s="28" t="s">
        <v>67</v>
      </c>
      <c r="J50" s="28" t="s">
        <v>68</v>
      </c>
      <c r="K50" s="28" t="s">
        <v>69</v>
      </c>
      <c r="L50" s="25" t="s">
        <v>70</v>
      </c>
      <c r="M50" s="112" t="s">
        <v>266</v>
      </c>
      <c r="N50" s="25" t="s">
        <v>635</v>
      </c>
      <c r="O50" s="130" t="s">
        <v>636</v>
      </c>
      <c r="P50" s="31" t="s">
        <v>637</v>
      </c>
      <c r="Q50" s="77">
        <v>46165</v>
      </c>
      <c r="R50" s="77" t="str">
        <f>IF(Table5[[#This Row],[Tour Starting Date]]&lt;&gt;"", TEXT(Table5[[#This Row],[Tour Starting Date]], "dddd"), "")</f>
        <v>Saturday</v>
      </c>
      <c r="S50" s="77">
        <v>46170</v>
      </c>
      <c r="T50" s="25" t="str">
        <f>IF(Table5[[#This Row],[Tour Ending Date]]&lt;&gt;"", TEXT(Table5[[#This Row],[Tour Ending Date]], "dddd"), "")</f>
        <v>Thursday</v>
      </c>
      <c r="U50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5 Nights &amp; 6 Days</v>
      </c>
      <c r="V50" s="37" t="str">
        <f>IF(Table5[[#This Row],[Tour Starting Date]]&lt;&gt;"", TEXT(Table5[[#This Row],[Tour Starting Date]], "mmmm"), "")</f>
        <v>May</v>
      </c>
      <c r="W50" s="80" t="str" cm="1">
        <f t="array" ref="W50">IF(Q50&lt;&gt;"", INDEX(CI:CI, MATCH(1, (Q50&gt;=CG:CG)*(Q50&lt;=CH:CH), 0)), "")</f>
        <v>Regular Dates - Weekend</v>
      </c>
      <c r="X50" s="39">
        <v>2</v>
      </c>
      <c r="Y50" s="74">
        <v>65200</v>
      </c>
      <c r="Z50" s="74">
        <f>IF(OR(Table5[[#This Row],[Per Person Package Cost]]="", Table5[[#This Row],[No. of Pax]]=""), "", Table5[[#This Row],[Per Person Package Cost]] * Table5[[#This Row],[No. of Pax]])</f>
        <v>130400</v>
      </c>
      <c r="AA50" s="52" t="s">
        <v>270</v>
      </c>
      <c r="AB50" s="52" t="s">
        <v>270</v>
      </c>
      <c r="AC50" s="52" t="s">
        <v>134</v>
      </c>
      <c r="AD50" s="52"/>
      <c r="AE50" s="51" t="str">
        <f t="shared" si="0"/>
        <v/>
      </c>
      <c r="AF50" s="51" t="str">
        <f t="shared" si="1"/>
        <v/>
      </c>
      <c r="AG50" s="74" t="str">
        <f t="shared" si="2"/>
        <v/>
      </c>
      <c r="AH50" s="73" t="str">
        <f t="shared" si="4"/>
        <v/>
      </c>
      <c r="AI50" s="52" t="s">
        <v>77</v>
      </c>
      <c r="AJ50" s="56" t="s">
        <v>78</v>
      </c>
      <c r="AK50" s="59" t="s">
        <v>79</v>
      </c>
      <c r="AL50" s="60" t="s">
        <v>80</v>
      </c>
      <c r="AM50" s="54" t="s">
        <v>80</v>
      </c>
      <c r="AN50" s="14">
        <v>46125</v>
      </c>
      <c r="AO50" s="15"/>
      <c r="AP50" s="91"/>
      <c r="AQ50" s="87"/>
      <c r="AR50" s="26"/>
      <c r="AS50" s="65"/>
      <c r="AT50" s="88" t="s">
        <v>81</v>
      </c>
      <c r="AU50" s="67" t="s">
        <v>82</v>
      </c>
      <c r="BX50" s="1">
        <v>46</v>
      </c>
      <c r="CG50" s="143">
        <v>46269</v>
      </c>
      <c r="CH50" s="143">
        <v>46271</v>
      </c>
      <c r="CI50" s="142" t="s">
        <v>638</v>
      </c>
      <c r="CJ50" s="141"/>
      <c r="CK50" s="141"/>
      <c r="CN50" t="s">
        <v>639</v>
      </c>
      <c r="CU50" t="s">
        <v>92</v>
      </c>
      <c r="CV50" t="s">
        <v>299</v>
      </c>
      <c r="CW50" t="s">
        <v>640</v>
      </c>
      <c r="CX50" s="124" t="s">
        <v>641</v>
      </c>
      <c r="CY50" t="s">
        <v>243</v>
      </c>
      <c r="CZ50" t="s">
        <v>642</v>
      </c>
      <c r="DA50" t="str" cm="1">
        <f t="array" ref="DA50:DW50">IF(U50&lt;&gt;"", TRANSPOSE(_xlfn._xlws.FILTER(CZ:CZ, CY:CY=U50, "")), "")</f>
        <v>Gwl (2N) + Mor - Son - Dat - Orc (1N) - Hjr (2N) + Panna</v>
      </c>
      <c r="DB50" t="str">
        <v>Ex Gwl | Gwl (2N) + Mor - Shiv - Chan (2N) - Orc (1N) - Dat - Son - Gwl</v>
      </c>
      <c r="DC50" t="str">
        <v>Gwl (2N) + Mor - Son - Dat - Orc (1N) - Hjr (1N) - Jlr (1N)</v>
      </c>
      <c r="DD50" t="str">
        <v>Ex Idr | Idr - Ujj (1N) - Omk (1N) - Mah (1N) - Man (1N) - Idr (1N)</v>
      </c>
      <c r="DE50" t="str">
        <v>Bhp (1N) + Bhim + Bhoj + San - Ujj (1N) - Man (2N) - Mah - Omk (1N) - Idr</v>
      </c>
      <c r="DF50" t="str">
        <v>Jlr (1N) - Hjr (1N) - Orc (1N) - Dat - Son - Gwl (2N) + Mor</v>
      </c>
      <c r="DG50" t="str">
        <v>Jlr (1N) - Kan (1N) - Pch (2N) - Bhim - Bhoj - Bho (1N) + Sanchi</v>
      </c>
      <c r="DH50" t="str">
        <v>Ex Bho | Bho (1N) + San - Bhoj - Bhim - Tawa (1N) - Mad (1N) - Pch (2N) - Bho</v>
      </c>
      <c r="DI50" t="str">
        <v>Bho (1N) + San + Udaygiri - Bhoj - Bhim - Pch (2N) - Kan(1N) - Jlr (1N)</v>
      </c>
      <c r="DJ50" t="str">
        <v>Bho (1N) + Bhim + Bhoj - San - Ujj (1N) - Man (2N) - Mah - Omk (1N) - Idr</v>
      </c>
      <c r="DK50" t="str">
        <v>Idr - Man (2N) - Idr (1N) - Bho (2N) + Bhim + Bhoj + Sanchi</v>
      </c>
      <c r="DL50" t="str">
        <v>Ex Bho | Bho (2N) + San + Udaygiri - Bhoj - Bhim - Pch (2N) - Tawa (1N) - Bho</v>
      </c>
      <c r="DM50" t="str">
        <v>Rpr - Kan (2N) - Pen (1N) - Pch (2N) - Bho</v>
      </c>
      <c r="DN50" t="str">
        <v>Nag - Pen (2N) - Pch (2N) - Bhim - Bhoj - Bho (1N) + San</v>
      </c>
      <c r="DO50" t="str">
        <v>Gwl (2N) (Ex Mor) - Orc (1N) - Chn (1N) - Shiv (1N) - Jhn</v>
      </c>
      <c r="DP50" t="str">
        <v>Gwl (2N) (Ex Mor) - Dat - Orc (1N) - Chn (1N) - Shiv (1N) - Jhn</v>
      </c>
      <c r="DQ50" t="str">
        <v>Nag - Pen (2N) - Kan (2N) - Jlr (1N)</v>
      </c>
      <c r="DR50" t="str">
        <v>Rpr - (2 N) Amr - (1 N) Ban - (1 N) Hjr - (1 N) Jlr</v>
      </c>
      <c r="DS50" t="str">
        <v>Gwl (2N) (Ex Mor) -Orc  - Hjr (1N) - Chn (1N) - Shiv (1N) - Jhn</v>
      </c>
      <c r="DT50" t="str">
        <v>(2 N) Gwl - (1 N) Orch - (1 N) Hjr - (1 N) Jlr</v>
      </c>
      <c r="DU50" t="str">
        <v xml:space="preserve">Arr Rpr - Amr (2N) - Par (2N) - Jlr (1N) </v>
      </c>
      <c r="DV50" t="str">
        <v>3N Idr (Ex Ujj - Man) - Bhim - Bhoj - San - 2N Bho</v>
      </c>
      <c r="DW50" t="str">
        <v>1N Jlr - 1N Kan - 3N Pch - Ppi</v>
      </c>
    </row>
    <row r="51" spans="2:145" ht="15" customHeight="1">
      <c r="B51" s="34">
        <v>47</v>
      </c>
      <c r="C51" s="36" t="s">
        <v>643</v>
      </c>
      <c r="D51" s="76">
        <v>46121</v>
      </c>
      <c r="E51" s="37" t="str">
        <f>IF(Table5[[#This Row],[Query Date]]&lt;&gt;"", TEXT(Table5[[#This Row],[Query Date]], "dddd"), "")</f>
        <v>Thursday</v>
      </c>
      <c r="F51" s="37" t="str">
        <f>IF(Table5[[#This Row],[Query Date]]&lt;&gt;"", TEXT(Table5[[#This Row],[Query Date]], "mmmm"), "")</f>
        <v>April</v>
      </c>
      <c r="G51" s="28" t="s">
        <v>65</v>
      </c>
      <c r="H51" s="28"/>
      <c r="I51" s="28" t="s">
        <v>67</v>
      </c>
      <c r="J51" s="28" t="s">
        <v>68</v>
      </c>
      <c r="K51" s="28" t="s">
        <v>644</v>
      </c>
      <c r="L51" s="25" t="s">
        <v>70</v>
      </c>
      <c r="M51" s="112" t="s">
        <v>645</v>
      </c>
      <c r="N51" s="41" t="s">
        <v>646</v>
      </c>
      <c r="O51" s="132" t="s">
        <v>647</v>
      </c>
      <c r="P51" s="46" t="s">
        <v>648</v>
      </c>
      <c r="Q51" s="77">
        <v>46124</v>
      </c>
      <c r="R51" s="77" t="str">
        <f>IF(Table5[[#This Row],[Tour Starting Date]]&lt;&gt;"", TEXT(Table5[[#This Row],[Tour Starting Date]], "dddd"), "")</f>
        <v>Sunday</v>
      </c>
      <c r="S51" s="77">
        <v>46126</v>
      </c>
      <c r="T51" s="25" t="str">
        <f>IF(Table5[[#This Row],[Tour Ending Date]]&lt;&gt;"", TEXT(Table5[[#This Row],[Tour Ending Date]], "dddd"), "")</f>
        <v>Tuesday</v>
      </c>
      <c r="U51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51" s="37" t="str">
        <f>IF(Table5[[#This Row],[Tour Starting Date]]&lt;&gt;"", TEXT(Table5[[#This Row],[Tour Starting Date]], "mmmm"), "")</f>
        <v>April</v>
      </c>
      <c r="W51" s="80" t="str" cm="1">
        <f t="array" ref="W51">IF(Q51&lt;&gt;"", INDEX(CI:CI, MATCH(1, (Q51&gt;=CG:CG)*(Q51&lt;=CH:CH), 0)), "")</f>
        <v>Regular Dates - Weekend</v>
      </c>
      <c r="X51" s="39">
        <v>3</v>
      </c>
      <c r="Y51" s="74">
        <v>8500</v>
      </c>
      <c r="Z51" s="74">
        <f>IF(OR(Table5[[#This Row],[Per Person Package Cost]]="", Table5[[#This Row],[No. of Pax]]=""), "", Table5[[#This Row],[Per Person Package Cost]] * Table5[[#This Row],[No. of Pax]])</f>
        <v>25500</v>
      </c>
      <c r="AA51" s="52" t="s">
        <v>75</v>
      </c>
      <c r="AB51" s="52" t="s">
        <v>75</v>
      </c>
      <c r="AC51" s="52" t="s">
        <v>76</v>
      </c>
      <c r="AD51" s="52"/>
      <c r="AE51" s="51" t="str">
        <f t="shared" si="0"/>
        <v/>
      </c>
      <c r="AF51" s="51" t="str">
        <f t="shared" si="1"/>
        <v/>
      </c>
      <c r="AG51" s="74" t="str">
        <f t="shared" si="2"/>
        <v/>
      </c>
      <c r="AH51" s="73" t="str">
        <f t="shared" si="4"/>
        <v/>
      </c>
      <c r="AI51" s="52" t="s">
        <v>107</v>
      </c>
      <c r="AJ51" s="56" t="s">
        <v>78</v>
      </c>
      <c r="AK51" s="59" t="s">
        <v>79</v>
      </c>
      <c r="AL51" s="60" t="s">
        <v>80</v>
      </c>
      <c r="AM51" s="54" t="s">
        <v>80</v>
      </c>
      <c r="AN51" s="14"/>
      <c r="AO51" s="15"/>
      <c r="AP51" s="91"/>
      <c r="AQ51" s="87"/>
      <c r="AR51" s="26"/>
      <c r="AS51" s="65"/>
      <c r="AT51" s="88" t="s">
        <v>85</v>
      </c>
      <c r="AU51" s="67"/>
      <c r="BX51" s="1">
        <v>47</v>
      </c>
      <c r="CG51" s="143">
        <v>46272</v>
      </c>
      <c r="CH51" s="143">
        <v>46275</v>
      </c>
      <c r="CI51" s="142" t="s">
        <v>88</v>
      </c>
      <c r="CJ51" s="141"/>
      <c r="CK51" s="141"/>
      <c r="CN51" t="s">
        <v>649</v>
      </c>
      <c r="CU51" t="s">
        <v>122</v>
      </c>
      <c r="CV51" t="s">
        <v>279</v>
      </c>
      <c r="CW51" t="s">
        <v>650</v>
      </c>
      <c r="CX51" t="s">
        <v>89</v>
      </c>
      <c r="CY51" t="s">
        <v>651</v>
      </c>
      <c r="CZ51" t="s">
        <v>510</v>
      </c>
      <c r="DA51" t="str" cm="1">
        <f t="array" ref="DA51:DY51">IF(U51&lt;&gt;"", TRANSPOSE(_xlfn._xlws.FILTER(CZ:CZ, CY:CY=U51, "")), "")</f>
        <v>Gwl (2N) + Mor</v>
      </c>
      <c r="DB51" t="str">
        <v>Ex Idr | Idr - Ujj (1N) - Omk - Mah (1N) - Man - Idr</v>
      </c>
      <c r="DC51" t="str">
        <v>Ujj (1N) - Omk - Idr (1N)</v>
      </c>
      <c r="DD51" t="str">
        <v>Ex Jlr | Jlr - Kan (2N) - Jlr</v>
      </c>
      <c r="DE51" t="str">
        <v>Ex Jlr | Jlr - Ban (2N) - Jlr</v>
      </c>
      <c r="DF51" t="str">
        <v>Ex Bho | Bho (2N) + Bhim + Bhoj + San</v>
      </c>
      <c r="DG51" t="str">
        <v>Ex Idr | Idr - Man (2N) - Idr</v>
      </c>
      <c r="DH51" t="str">
        <v>Ex Jlr | Jlr - Kan (2N) - Jlr</v>
      </c>
      <c r="DI51" t="str">
        <v>Ex Bho | Bho (2N) + Bhim + Bhoj + San + HDCT Bho</v>
      </c>
      <c r="DJ51" t="str">
        <v>Ex Bho | Bho - Bhim - Tawa (1N) - Mad (1N) - Bho</v>
      </c>
      <c r="DK51" t="str">
        <v>Ujj (1N) - Omk - Mah (1N) - Idr</v>
      </c>
      <c r="DL51" t="str">
        <v>Ujj (1N) -  Idr (1N)</v>
      </c>
      <c r="DM51" t="str">
        <v>Ex Idr | Idr (2N) + Ujj + Omk + Mah</v>
      </c>
      <c r="DN51" t="str">
        <v>Idr - Mah - Omk (1N) - Ujj (1N)</v>
      </c>
      <c r="DO51" t="str">
        <v>Idr - Ujj (1N) - Mah - Omk (1N) - Khandwa</v>
      </c>
      <c r="DP51" t="str">
        <v>Ex Idr | Idr (EX Ujj) (1N) - Mah - Omk (1N) - Idr HDCT</v>
      </c>
      <c r="DQ51" t="str">
        <v>Ujj (1N) - Sehor - Bho (1N) HDCT</v>
      </c>
      <c r="DR51" t="str">
        <v>Ex Jlr | Jlr (1N) - Ban (1N)</v>
      </c>
      <c r="DS51" t="str">
        <v>Ex Jlr | Ban (1N)</v>
      </c>
      <c r="DT51" t="str">
        <v>Ex Jlr | Jlr (2 N) Kan</v>
      </c>
      <c r="DU51" t="str">
        <v>Ex Jlr | Jlr - Amr (1 N) - (1 N) Ban</v>
      </c>
      <c r="DV51" t="str">
        <v>Ex Rpr | Rpr - (2N) Kan</v>
      </c>
      <c r="DW51" t="str">
        <v>Hjr (1N) - Mahi (1N) - Sat</v>
      </c>
      <c r="DX51" t="str">
        <v>Ex Bhp | Bhp - Bhim - Pch (2N) - Bhp</v>
      </c>
      <c r="DY51" t="str">
        <v xml:space="preserve">Ex Ujj I 2N Ujj </v>
      </c>
    </row>
    <row r="52" spans="2:145" ht="15" customHeight="1">
      <c r="B52" s="35">
        <v>48</v>
      </c>
      <c r="C52" s="36" t="s">
        <v>652</v>
      </c>
      <c r="D52" s="76">
        <v>46119</v>
      </c>
      <c r="E52" s="37" t="str">
        <f>IF(Table5[[#This Row],[Query Date]]&lt;&gt;"", TEXT(Table5[[#This Row],[Query Date]], "dddd"), "")</f>
        <v>Tuesday</v>
      </c>
      <c r="F52" s="37" t="str">
        <f>IF(Table5[[#This Row],[Query Date]]&lt;&gt;"", TEXT(Table5[[#This Row],[Query Date]], "mmmm"), "")</f>
        <v>April</v>
      </c>
      <c r="G52" s="28" t="s">
        <v>65</v>
      </c>
      <c r="H52" s="28" t="s">
        <v>66</v>
      </c>
      <c r="I52" s="28" t="s">
        <v>67</v>
      </c>
      <c r="J52" s="28" t="s">
        <v>119</v>
      </c>
      <c r="K52" s="28" t="s">
        <v>128</v>
      </c>
      <c r="L52" s="25" t="s">
        <v>160</v>
      </c>
      <c r="M52" s="112" t="s">
        <v>90</v>
      </c>
      <c r="N52" s="25" t="s">
        <v>653</v>
      </c>
      <c r="O52" s="130"/>
      <c r="P52" s="46"/>
      <c r="Q52" s="77">
        <v>46120</v>
      </c>
      <c r="R52" s="77" t="str">
        <f>IF(Table5[[#This Row],[Tour Starting Date]]&lt;&gt;"", TEXT(Table5[[#This Row],[Tour Starting Date]], "dddd"), "")</f>
        <v>Wednesday</v>
      </c>
      <c r="S52" s="77">
        <v>46123</v>
      </c>
      <c r="T52" s="25" t="str">
        <f>IF(Table5[[#This Row],[Tour Ending Date]]&lt;&gt;"", TEXT(Table5[[#This Row],[Tour Ending Date]], "dddd"), "")</f>
        <v>Saturday</v>
      </c>
      <c r="U52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52" s="37" t="str">
        <f>IF(Table5[[#This Row],[Tour Starting Date]]&lt;&gt;"", TEXT(Table5[[#This Row],[Tour Starting Date]], "mmmm"), "")</f>
        <v>April</v>
      </c>
      <c r="W52" s="80" t="str" cm="1">
        <f t="array" ref="W52">IF(Q52&lt;&gt;"", INDEX(CI:CI, MATCH(1, (Q52&gt;=CG:CG)*(Q52&lt;=CH:CH), 0)), "")</f>
        <v>Regular Dates - Weekday</v>
      </c>
      <c r="X52" s="39">
        <v>1</v>
      </c>
      <c r="Y52" s="74">
        <v>21735</v>
      </c>
      <c r="Z52" s="74">
        <f>IF(OR(Table5[[#This Row],[Per Person Package Cost]]="", Table5[[#This Row],[No. of Pax]]=""), "", Table5[[#This Row],[Per Person Package Cost]] * Table5[[#This Row],[No. of Pax]])</f>
        <v>21735</v>
      </c>
      <c r="AA52" s="52" t="s">
        <v>509</v>
      </c>
      <c r="AB52" s="52" t="s">
        <v>509</v>
      </c>
      <c r="AC52" s="52" t="s">
        <v>134</v>
      </c>
      <c r="AD52" s="52" t="s">
        <v>152</v>
      </c>
      <c r="AE52" s="51" t="str">
        <f t="shared" si="0"/>
        <v>EXGWL03</v>
      </c>
      <c r="AF52" s="51" t="str">
        <f t="shared" si="1"/>
        <v>Gems of Gwalior</v>
      </c>
      <c r="AG52" s="74" t="str">
        <f t="shared" si="2"/>
        <v>Quick Getaways</v>
      </c>
      <c r="AH52" s="73" t="str">
        <f t="shared" si="4"/>
        <v>North MP</v>
      </c>
      <c r="AI52" s="52" t="s">
        <v>84</v>
      </c>
      <c r="AJ52" s="56" t="s">
        <v>78</v>
      </c>
      <c r="AK52" s="59" t="s">
        <v>79</v>
      </c>
      <c r="AL52" s="60" t="s">
        <v>80</v>
      </c>
      <c r="AM52" s="54" t="s">
        <v>80</v>
      </c>
      <c r="AN52" s="14"/>
      <c r="AO52" s="15"/>
      <c r="AP52" s="91"/>
      <c r="AQ52" s="87"/>
      <c r="AR52" s="26"/>
      <c r="AS52" s="65"/>
      <c r="AT52" s="88" t="s">
        <v>85</v>
      </c>
      <c r="AU52" s="67"/>
      <c r="BX52" s="1">
        <v>48</v>
      </c>
      <c r="CG52" s="143">
        <v>46276</v>
      </c>
      <c r="CH52" s="143">
        <v>46278</v>
      </c>
      <c r="CI52" s="142" t="s">
        <v>116</v>
      </c>
      <c r="CJ52" s="141"/>
      <c r="CK52" s="141"/>
      <c r="CN52" t="s">
        <v>536</v>
      </c>
      <c r="CU52" t="s">
        <v>122</v>
      </c>
      <c r="CV52" t="s">
        <v>193</v>
      </c>
      <c r="CW52" t="s">
        <v>654</v>
      </c>
      <c r="CX52" t="s">
        <v>117</v>
      </c>
      <c r="CY52" t="s">
        <v>243</v>
      </c>
      <c r="CZ52" t="s">
        <v>655</v>
      </c>
      <c r="DA52" t="str" cm="1">
        <f t="array" ref="DA52:EO52">IF(U52&lt;&gt;"", TRANSPOSE(_xlfn._xlws.FILTER(CZ:CZ, CY:CY=U52, "")), "")</f>
        <v>Gwl (3N) + Mor + Son + Dat + Orc</v>
      </c>
      <c r="DB52" t="str">
        <v>Ex Gwl | Gwl (1N) - Son - Dat - Orc (1N) - Gwl (1N)</v>
      </c>
      <c r="DC52" t="str">
        <v>Ex Idr | Idr - Ujj (1N) - Omk - Mah (1N) - Man (1N) - Idr</v>
      </c>
      <c r="DD52" t="str">
        <v>Ex Jlr | Jlr - Kan (2N) - Jlr (1N)</v>
      </c>
      <c r="DE52" t="str">
        <v>Ex Jlr | Jlr - Ban (2N) - Jlr (1N)</v>
      </c>
      <c r="DF52" t="str">
        <v>Ex Bho | Bho (1N) + San - Bhoj - Bhim - Pch (2N) - Bho</v>
      </c>
      <c r="DG52" t="str">
        <v>Ex Idr | Idr (1N) - Ujj (1N) - Omk (1N) - Mah - Idr</v>
      </c>
      <c r="DH52" t="str">
        <v>Gwl - Orc (1N) - Ckt (1N) - Myr (1N) - Jlr</v>
      </c>
      <c r="DI52" t="str">
        <v>Gwl - Orc (1N) - Ckt (2N) - Ixd</v>
      </c>
      <c r="DJ52" t="str">
        <v>Ex Idr | Idr - Ujj (1N) - Omk - Mah (1N) - Idr (1N)</v>
      </c>
      <c r="DK52" t="str">
        <v>Ex Jlr | Jlr - Kan (3N) - Jlr</v>
      </c>
      <c r="DL52" t="str">
        <v>Ex Bho | Bho (2N) + Bhim + Bhoj + San + Udaygiri + Vidisha + FDCT Bho</v>
      </c>
      <c r="DM52" t="str">
        <v>Bho (1N) + Bhim + Bhoj - HDCT  Bho + Sanchi - Ujj (2N)</v>
      </c>
      <c r="DN52" t="str">
        <v>Bho (1N) + Bhim + Bhoj - HDCT  Bho + Sanchi - Ujj (2N) - Idr</v>
      </c>
      <c r="DO52" t="str">
        <v>Ex Bho | Bho - Bhoj - Bhim - Mad (1N) - Pch (2N) - Bho</v>
      </c>
      <c r="DP52" t="str">
        <v>Ex Bho | Bho - Bhoj - Bhim - Mad (1N) - Pch (3N) - Bho</v>
      </c>
      <c r="DQ52" t="str">
        <v>Ex Bho | Bho - Bhoj - Bhim - Tawa (1N) - Mad (1N) - Bho (1N)</v>
      </c>
      <c r="DR52" t="str">
        <v>Bho (1N) - Bhim - Bhoj - San - Idr (2N) + Ujj</v>
      </c>
      <c r="DS52" t="str">
        <v>Bho (1N) - Bhoj - Bhim - Pch (2N) - Bho</v>
      </c>
      <c r="DT52" t="str">
        <v>Ujj (1N) - Omk - Mah (1N) - Idr (1N)</v>
      </c>
      <c r="DU52" t="str">
        <v>Ujj (1N) - Omk - Mah (1N) - Man (1N) - Idr</v>
      </c>
      <c r="DV52" t="str">
        <v>Ex Idr | Idr (1N) - Ujj (1N) - Omk - Mah (1N)</v>
      </c>
      <c r="DW52" t="str">
        <v>Ex Idr | Idr - Ujj (1N) - Omk (1N) - Mah (1N) - Idr</v>
      </c>
      <c r="DX52" t="str">
        <v>Khandwa - Omk (1N) - Mah (1N) - Ujj (1N) - Idr</v>
      </c>
      <c r="DY52" t="str">
        <v>Ex Idr | Idr - Ujj (1N) - Omk - Mah (1N) - Man - Idr (1N)</v>
      </c>
      <c r="DZ52" t="str">
        <v xml:space="preserve">Idr - Omk (1N) - Mah - Ujj (1N) San - Bho (1N) </v>
      </c>
      <c r="EA52" t="str">
        <v>Ex Idr | Idr - Man (1N) - Mah - Omk (1N) - Ujj (1N) - Idr</v>
      </c>
      <c r="EB52" t="str">
        <v>Khandwa - Omk (1N) - Mah - Ujj (2N)</v>
      </c>
      <c r="EC52" t="str">
        <v>Ex Jlr | Jlr (1N) - Amr (1N) - Ban (1N) - Jlr</v>
      </c>
      <c r="ED52" t="str">
        <v>Ex Jlr | Jlr - (1 N) Ban - (2 N) Amar</v>
      </c>
      <c r="EE52" t="str">
        <v>Jlr - Kan (1N) - Pch (2N)</v>
      </c>
      <c r="EF52" t="str">
        <v>Pi - Pch (2N)  - Kan (1N)</v>
      </c>
      <c r="EG52" t="str">
        <v>Ex Jlr | Jlr - Amr (1 N) - (1 N) Ban - (1 N) Jlr</v>
      </c>
      <c r="EH52" t="str">
        <v>Ppi - (2 N) Pch - (1 N) Pen</v>
      </c>
      <c r="EI52" t="str">
        <v>Bhp - Pch (2N) - Jlr (1N)</v>
      </c>
      <c r="EJ52" t="str">
        <v xml:space="preserve">Arr Jhn - Hjr (1N) - Orc - Gwl (2N) </v>
      </c>
      <c r="EK52" t="str">
        <v>(1 N) Ujj - (1 N) Mah - (1 N) Idr</v>
      </c>
      <c r="EL52" t="str">
        <v>Ex Bhp | Bhp - Bhoj - Bhim - Pch (3N) - Bhp</v>
      </c>
      <c r="EM52" t="str">
        <v>Ex Bhp | Bhp - Bhoj - Bhim - Pch (2N) - Mad (1N) - Bhp</v>
      </c>
      <c r="EN52" t="str">
        <v xml:space="preserve">Ex Nag - 3N Pch + Sat </v>
      </c>
      <c r="EO52" t="str">
        <v>1N Gwl - Son - Dat - 1N Hjr - 1N Orc - Jhn</v>
      </c>
    </row>
    <row r="53" spans="2:145" ht="15" customHeight="1">
      <c r="B53" s="34">
        <v>49</v>
      </c>
      <c r="C53" s="36" t="s">
        <v>656</v>
      </c>
      <c r="D53" s="76">
        <v>46119</v>
      </c>
      <c r="E53" s="37" t="str">
        <f>IF(Table5[[#This Row],[Query Date]]&lt;&gt;"", TEXT(Table5[[#This Row],[Query Date]], "dddd"), "")</f>
        <v>Tuesday</v>
      </c>
      <c r="F53" s="37" t="str">
        <f>IF(Table5[[#This Row],[Query Date]]&lt;&gt;"", TEXT(Table5[[#This Row],[Query Date]], "mmmm"), "")</f>
        <v>April</v>
      </c>
      <c r="G53" s="28" t="s">
        <v>65</v>
      </c>
      <c r="H53" s="28" t="s">
        <v>66</v>
      </c>
      <c r="I53" s="28" t="s">
        <v>67</v>
      </c>
      <c r="J53" s="28" t="s">
        <v>119</v>
      </c>
      <c r="K53" s="28" t="s">
        <v>128</v>
      </c>
      <c r="L53" s="25" t="s">
        <v>160</v>
      </c>
      <c r="M53" s="112" t="s">
        <v>90</v>
      </c>
      <c r="N53" s="25" t="s">
        <v>657</v>
      </c>
      <c r="O53" s="130"/>
      <c r="P53" s="46"/>
      <c r="Q53" s="77">
        <v>46120</v>
      </c>
      <c r="R53" s="77" t="str">
        <f>IF(Table5[[#This Row],[Tour Starting Date]]&lt;&gt;"", TEXT(Table5[[#This Row],[Tour Starting Date]], "dddd"), "")</f>
        <v>Wednesday</v>
      </c>
      <c r="S53" s="77">
        <v>46123</v>
      </c>
      <c r="T53" s="25" t="str">
        <f>IF(Table5[[#This Row],[Tour Ending Date]]&lt;&gt;"", TEXT(Table5[[#This Row],[Tour Ending Date]], "dddd"), "")</f>
        <v>Saturday</v>
      </c>
      <c r="U53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53" s="37" t="str">
        <f>IF(Table5[[#This Row],[Tour Starting Date]]&lt;&gt;"", TEXT(Table5[[#This Row],[Tour Starting Date]], "mmmm"), "")</f>
        <v>April</v>
      </c>
      <c r="W53" s="80" t="str" cm="1">
        <f t="array" ref="W53">IF(Q53&lt;&gt;"", INDEX(CI:CI, MATCH(1, (Q53&gt;=CG:CG)*(Q53&lt;=CH:CH), 0)), "")</f>
        <v>Regular Dates - Weekday</v>
      </c>
      <c r="X53" s="39">
        <v>1</v>
      </c>
      <c r="Y53" s="74">
        <v>21735</v>
      </c>
      <c r="Z53" s="74">
        <f>IF(OR(Table5[[#This Row],[Per Person Package Cost]]="", Table5[[#This Row],[No. of Pax]]=""), "", Table5[[#This Row],[Per Person Package Cost]] * Table5[[#This Row],[No. of Pax]])</f>
        <v>21735</v>
      </c>
      <c r="AA53" s="52" t="s">
        <v>509</v>
      </c>
      <c r="AB53" s="52" t="s">
        <v>509</v>
      </c>
      <c r="AC53" s="52" t="s">
        <v>134</v>
      </c>
      <c r="AD53" s="52" t="s">
        <v>152</v>
      </c>
      <c r="AE53" s="51" t="str">
        <f t="shared" si="0"/>
        <v>EXGWL03</v>
      </c>
      <c r="AF53" s="51" t="str">
        <f t="shared" si="1"/>
        <v>Gems of Gwalior</v>
      </c>
      <c r="AG53" s="74" t="str">
        <f t="shared" si="2"/>
        <v>Quick Getaways</v>
      </c>
      <c r="AH53" s="73" t="str">
        <f t="shared" si="4"/>
        <v>North MP</v>
      </c>
      <c r="AI53" s="52" t="s">
        <v>84</v>
      </c>
      <c r="AJ53" s="56" t="s">
        <v>78</v>
      </c>
      <c r="AK53" s="59" t="s">
        <v>79</v>
      </c>
      <c r="AL53" s="60" t="s">
        <v>80</v>
      </c>
      <c r="AM53" s="54" t="s">
        <v>80</v>
      </c>
      <c r="AN53" s="14"/>
      <c r="AO53" s="15"/>
      <c r="AP53" s="91"/>
      <c r="AQ53" s="87"/>
      <c r="AR53" s="26"/>
      <c r="AS53" s="65"/>
      <c r="AT53" s="88" t="s">
        <v>85</v>
      </c>
      <c r="AU53" s="67"/>
      <c r="BX53" s="1">
        <v>49</v>
      </c>
      <c r="CG53" s="143">
        <v>46279</v>
      </c>
      <c r="CH53" s="143">
        <v>46282</v>
      </c>
      <c r="CI53" s="142" t="s">
        <v>88</v>
      </c>
      <c r="CJ53" s="141"/>
      <c r="CK53" s="141"/>
      <c r="CN53" t="s">
        <v>658</v>
      </c>
      <c r="CU53" t="s">
        <v>122</v>
      </c>
      <c r="CV53" t="s">
        <v>279</v>
      </c>
      <c r="CW53" t="s">
        <v>659</v>
      </c>
      <c r="CX53" t="s">
        <v>143</v>
      </c>
      <c r="CY53" t="s">
        <v>660</v>
      </c>
      <c r="CZ53" t="s">
        <v>661</v>
      </c>
      <c r="DA53" t="str" cm="1">
        <f t="array" ref="DA53:EO53">IF(U53&lt;&gt;"", TRANSPOSE(_xlfn._xlws.FILTER(CZ:CZ, CY:CY=U53, "")), "")</f>
        <v>Gwl (3N) + Mor + Son + Dat + Orc</v>
      </c>
      <c r="DB53" t="str">
        <v>Ex Gwl | Gwl (1N) - Son - Dat - Orc (1N) - Gwl (1N)</v>
      </c>
      <c r="DC53" t="str">
        <v>Ex Idr | Idr - Ujj (1N) - Omk - Mah (1N) - Man (1N) - Idr</v>
      </c>
      <c r="DD53" t="str">
        <v>Ex Jlr | Jlr - Kan (2N) - Jlr (1N)</v>
      </c>
      <c r="DE53" t="str">
        <v>Ex Jlr | Jlr - Ban (2N) - Jlr (1N)</v>
      </c>
      <c r="DF53" t="str">
        <v>Ex Bho | Bho (1N) + San - Bhoj - Bhim - Pch (2N) - Bho</v>
      </c>
      <c r="DG53" t="str">
        <v>Ex Idr | Idr (1N) - Ujj (1N) - Omk (1N) - Mah - Idr</v>
      </c>
      <c r="DH53" t="str">
        <v>Gwl - Orc (1N) - Ckt (1N) - Myr (1N) - Jlr</v>
      </c>
      <c r="DI53" t="str">
        <v>Gwl - Orc (1N) - Ckt (2N) - Ixd</v>
      </c>
      <c r="DJ53" t="str">
        <v>Ex Idr | Idr - Ujj (1N) - Omk - Mah (1N) - Idr (1N)</v>
      </c>
      <c r="DK53" t="str">
        <v>Ex Jlr | Jlr - Kan (3N) - Jlr</v>
      </c>
      <c r="DL53" t="str">
        <v>Ex Bho | Bho (2N) + Bhim + Bhoj + San + Udaygiri + Vidisha + FDCT Bho</v>
      </c>
      <c r="DM53" t="str">
        <v>Bho (1N) + Bhim + Bhoj - HDCT  Bho + Sanchi - Ujj (2N)</v>
      </c>
      <c r="DN53" t="str">
        <v>Bho (1N) + Bhim + Bhoj - HDCT  Bho + Sanchi - Ujj (2N) - Idr</v>
      </c>
      <c r="DO53" t="str">
        <v>Ex Bho | Bho - Bhoj - Bhim - Mad (1N) - Pch (2N) - Bho</v>
      </c>
      <c r="DP53" t="str">
        <v>Ex Bho | Bho - Bhoj - Bhim - Mad (1N) - Pch (3N) - Bho</v>
      </c>
      <c r="DQ53" t="str">
        <v>Ex Bho | Bho - Bhoj - Bhim - Tawa (1N) - Mad (1N) - Bho (1N)</v>
      </c>
      <c r="DR53" t="str">
        <v>Bho (1N) - Bhim - Bhoj - San - Idr (2N) + Ujj</v>
      </c>
      <c r="DS53" t="str">
        <v>Bho (1N) - Bhoj - Bhim - Pch (2N) - Bho</v>
      </c>
      <c r="DT53" t="str">
        <v>Ujj (1N) - Omk - Mah (1N) - Idr (1N)</v>
      </c>
      <c r="DU53" t="str">
        <v>Ujj (1N) - Omk - Mah (1N) - Man (1N) - Idr</v>
      </c>
      <c r="DV53" t="str">
        <v>Ex Idr | Idr (1N) - Ujj (1N) - Omk - Mah (1N)</v>
      </c>
      <c r="DW53" t="str">
        <v>Ex Idr | Idr - Ujj (1N) - Omk (1N) - Mah (1N) - Idr</v>
      </c>
      <c r="DX53" t="str">
        <v>Khandwa - Omk (1N) - Mah (1N) - Ujj (1N) - Idr</v>
      </c>
      <c r="DY53" t="str">
        <v>Ex Idr | Idr - Ujj (1N) - Omk - Mah (1N) - Man - Idr (1N)</v>
      </c>
      <c r="DZ53" t="str">
        <v xml:space="preserve">Idr - Omk (1N) - Mah - Ujj (1N) San - Bho (1N) </v>
      </c>
      <c r="EA53" t="str">
        <v>Ex Idr | Idr - Man (1N) - Mah - Omk (1N) - Ujj (1N) - Idr</v>
      </c>
      <c r="EB53" t="str">
        <v>Khandwa - Omk (1N) - Mah - Ujj (2N)</v>
      </c>
      <c r="EC53" t="str">
        <v>Ex Jlr | Jlr (1N) - Amr (1N) - Ban (1N) - Jlr</v>
      </c>
      <c r="ED53" t="str">
        <v>Ex Jlr | Jlr - (1 N) Ban - (2 N) Amar</v>
      </c>
      <c r="EE53" t="str">
        <v>Jlr - Kan (1N) - Pch (2N)</v>
      </c>
      <c r="EF53" t="str">
        <v>Pi - Pch (2N)  - Kan (1N)</v>
      </c>
      <c r="EG53" t="str">
        <v>Ex Jlr | Jlr - Amr (1 N) - (1 N) Ban - (1 N) Jlr</v>
      </c>
      <c r="EH53" t="str">
        <v>Ppi - (2 N) Pch - (1 N) Pen</v>
      </c>
      <c r="EI53" t="str">
        <v>Bhp - Pch (2N) - Jlr (1N)</v>
      </c>
      <c r="EJ53" t="str">
        <v xml:space="preserve">Arr Jhn - Hjr (1N) - Orc - Gwl (2N) </v>
      </c>
      <c r="EK53" t="str">
        <v>(1 N) Ujj - (1 N) Mah - (1 N) Idr</v>
      </c>
      <c r="EL53" t="str">
        <v>Ex Bhp | Bhp - Bhoj - Bhim - Pch (3N) - Bhp</v>
      </c>
      <c r="EM53" t="str">
        <v>Ex Bhp | Bhp - Bhoj - Bhim - Pch (2N) - Mad (1N) - Bhp</v>
      </c>
      <c r="EN53" t="str">
        <v xml:space="preserve">Ex Nag - 3N Pch + Sat </v>
      </c>
      <c r="EO53" t="str">
        <v>1N Gwl - Son - Dat - 1N Hjr - 1N Orc - Jhn</v>
      </c>
    </row>
    <row r="54" spans="2:145" ht="15" customHeight="1">
      <c r="B54" s="35">
        <v>50</v>
      </c>
      <c r="C54" s="36" t="s">
        <v>662</v>
      </c>
      <c r="D54" s="76">
        <v>46119</v>
      </c>
      <c r="E54" s="37" t="str">
        <f>IF(Table5[[#This Row],[Query Date]]&lt;&gt;"", TEXT(Table5[[#This Row],[Query Date]], "dddd"), "")</f>
        <v>Tuesday</v>
      </c>
      <c r="F54" s="37" t="str">
        <f>IF(Table5[[#This Row],[Query Date]]&lt;&gt;"", TEXT(Table5[[#This Row],[Query Date]], "mmmm"), "")</f>
        <v>April</v>
      </c>
      <c r="G54" s="28" t="s">
        <v>65</v>
      </c>
      <c r="H54" s="28" t="s">
        <v>66</v>
      </c>
      <c r="I54" s="28" t="s">
        <v>67</v>
      </c>
      <c r="J54" s="28" t="s">
        <v>119</v>
      </c>
      <c r="K54" s="28" t="s">
        <v>128</v>
      </c>
      <c r="L54" s="25" t="s">
        <v>160</v>
      </c>
      <c r="M54" s="112" t="s">
        <v>90</v>
      </c>
      <c r="N54" s="25" t="s">
        <v>663</v>
      </c>
      <c r="O54" s="130"/>
      <c r="P54" s="46"/>
      <c r="Q54" s="77">
        <v>46120</v>
      </c>
      <c r="R54" s="77" t="str">
        <f>IF(Table5[[#This Row],[Tour Starting Date]]&lt;&gt;"", TEXT(Table5[[#This Row],[Tour Starting Date]], "dddd"), "")</f>
        <v>Wednesday</v>
      </c>
      <c r="S54" s="77">
        <v>46123</v>
      </c>
      <c r="T54" s="25" t="str">
        <f>IF(Table5[[#This Row],[Tour Ending Date]]&lt;&gt;"", TEXT(Table5[[#This Row],[Tour Ending Date]], "dddd"), "")</f>
        <v>Saturday</v>
      </c>
      <c r="U54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54" s="37" t="str">
        <f>IF(Table5[[#This Row],[Tour Starting Date]]&lt;&gt;"", TEXT(Table5[[#This Row],[Tour Starting Date]], "mmmm"), "")</f>
        <v>April</v>
      </c>
      <c r="W54" s="80" t="str" cm="1">
        <f t="array" ref="W54">IF(Q54&lt;&gt;"", INDEX(CI:CI, MATCH(1, (Q54&gt;=CG:CG)*(Q54&lt;=CH:CH), 0)), "")</f>
        <v>Regular Dates - Weekday</v>
      </c>
      <c r="X54" s="39">
        <v>1</v>
      </c>
      <c r="Y54" s="74">
        <v>14175</v>
      </c>
      <c r="Z54" s="74">
        <f>IF(OR(Table5[[#This Row],[Per Person Package Cost]]="", Table5[[#This Row],[No. of Pax]]=""), "", Table5[[#This Row],[Per Person Package Cost]] * Table5[[#This Row],[No. of Pax]])</f>
        <v>14175</v>
      </c>
      <c r="AA54" s="52" t="s">
        <v>509</v>
      </c>
      <c r="AB54" s="52" t="s">
        <v>509</v>
      </c>
      <c r="AC54" s="52" t="s">
        <v>134</v>
      </c>
      <c r="AD54" s="52" t="s">
        <v>152</v>
      </c>
      <c r="AE54" s="51" t="str">
        <f t="shared" si="0"/>
        <v>EXGWL03</v>
      </c>
      <c r="AF54" s="51" t="str">
        <f t="shared" si="1"/>
        <v>Gems of Gwalior</v>
      </c>
      <c r="AG54" s="74" t="str">
        <f t="shared" si="2"/>
        <v>Quick Getaways</v>
      </c>
      <c r="AH54" s="73" t="str">
        <f t="shared" si="4"/>
        <v>North MP</v>
      </c>
      <c r="AI54" s="52" t="s">
        <v>84</v>
      </c>
      <c r="AJ54" s="56" t="s">
        <v>78</v>
      </c>
      <c r="AK54" s="59" t="s">
        <v>79</v>
      </c>
      <c r="AL54" s="60" t="s">
        <v>80</v>
      </c>
      <c r="AM54" s="54" t="s">
        <v>80</v>
      </c>
      <c r="AN54" s="14"/>
      <c r="AO54" s="15"/>
      <c r="AP54" s="91"/>
      <c r="AQ54" s="87"/>
      <c r="AR54" s="26"/>
      <c r="AS54" s="65"/>
      <c r="AT54" s="88" t="s">
        <v>85</v>
      </c>
      <c r="AU54" s="67"/>
      <c r="BX54" s="1">
        <v>50</v>
      </c>
      <c r="CG54" s="143">
        <v>46283</v>
      </c>
      <c r="CH54" s="143">
        <v>46285</v>
      </c>
      <c r="CI54" s="142" t="s">
        <v>116</v>
      </c>
      <c r="CJ54" s="141"/>
      <c r="CK54" s="141"/>
      <c r="CN54" t="s">
        <v>664</v>
      </c>
      <c r="CU54" t="s">
        <v>122</v>
      </c>
      <c r="CV54" t="s">
        <v>299</v>
      </c>
      <c r="CW54" t="s">
        <v>665</v>
      </c>
      <c r="CX54" t="s">
        <v>213</v>
      </c>
      <c r="CY54" t="s">
        <v>243</v>
      </c>
      <c r="CZ54" t="s">
        <v>666</v>
      </c>
      <c r="DA54" t="str" cm="1">
        <f t="array" ref="DA54:EO54">IF(U54&lt;&gt;"", TRANSPOSE(_xlfn._xlws.FILTER(CZ:CZ, CY:CY=U54, "")), "")</f>
        <v>Gwl (3N) + Mor + Son + Dat + Orc</v>
      </c>
      <c r="DB54" t="str">
        <v>Ex Gwl | Gwl (1N) - Son - Dat - Orc (1N) - Gwl (1N)</v>
      </c>
      <c r="DC54" t="str">
        <v>Ex Idr | Idr - Ujj (1N) - Omk - Mah (1N) - Man (1N) - Idr</v>
      </c>
      <c r="DD54" t="str">
        <v>Ex Jlr | Jlr - Kan (2N) - Jlr (1N)</v>
      </c>
      <c r="DE54" t="str">
        <v>Ex Jlr | Jlr - Ban (2N) - Jlr (1N)</v>
      </c>
      <c r="DF54" t="str">
        <v>Ex Bho | Bho (1N) + San - Bhoj - Bhim - Pch (2N) - Bho</v>
      </c>
      <c r="DG54" t="str">
        <v>Ex Idr | Idr (1N) - Ujj (1N) - Omk (1N) - Mah - Idr</v>
      </c>
      <c r="DH54" t="str">
        <v>Gwl - Orc (1N) - Ckt (1N) - Myr (1N) - Jlr</v>
      </c>
      <c r="DI54" t="str">
        <v>Gwl - Orc (1N) - Ckt (2N) - Ixd</v>
      </c>
      <c r="DJ54" t="str">
        <v>Ex Idr | Idr - Ujj (1N) - Omk - Mah (1N) - Idr (1N)</v>
      </c>
      <c r="DK54" t="str">
        <v>Ex Jlr | Jlr - Kan (3N) - Jlr</v>
      </c>
      <c r="DL54" t="str">
        <v>Ex Bho | Bho (2N) + Bhim + Bhoj + San + Udaygiri + Vidisha + FDCT Bho</v>
      </c>
      <c r="DM54" t="str">
        <v>Bho (1N) + Bhim + Bhoj - HDCT  Bho + Sanchi - Ujj (2N)</v>
      </c>
      <c r="DN54" t="str">
        <v>Bho (1N) + Bhim + Bhoj - HDCT  Bho + Sanchi - Ujj (2N) - Idr</v>
      </c>
      <c r="DO54" t="str">
        <v>Ex Bho | Bho - Bhoj - Bhim - Mad (1N) - Pch (2N) - Bho</v>
      </c>
      <c r="DP54" t="str">
        <v>Ex Bho | Bho - Bhoj - Bhim - Mad (1N) - Pch (3N) - Bho</v>
      </c>
      <c r="DQ54" t="str">
        <v>Ex Bho | Bho - Bhoj - Bhim - Tawa (1N) - Mad (1N) - Bho (1N)</v>
      </c>
      <c r="DR54" t="str">
        <v>Bho (1N) - Bhim - Bhoj - San - Idr (2N) + Ujj</v>
      </c>
      <c r="DS54" t="str">
        <v>Bho (1N) - Bhoj - Bhim - Pch (2N) - Bho</v>
      </c>
      <c r="DT54" t="str">
        <v>Ujj (1N) - Omk - Mah (1N) - Idr (1N)</v>
      </c>
      <c r="DU54" t="str">
        <v>Ujj (1N) - Omk - Mah (1N) - Man (1N) - Idr</v>
      </c>
      <c r="DV54" t="str">
        <v>Ex Idr | Idr (1N) - Ujj (1N) - Omk - Mah (1N)</v>
      </c>
      <c r="DW54" t="str">
        <v>Ex Idr | Idr - Ujj (1N) - Omk (1N) - Mah (1N) - Idr</v>
      </c>
      <c r="DX54" t="str">
        <v>Khandwa - Omk (1N) - Mah (1N) - Ujj (1N) - Idr</v>
      </c>
      <c r="DY54" t="str">
        <v>Ex Idr | Idr - Ujj (1N) - Omk - Mah (1N) - Man - Idr (1N)</v>
      </c>
      <c r="DZ54" t="str">
        <v xml:space="preserve">Idr - Omk (1N) - Mah - Ujj (1N) San - Bho (1N) </v>
      </c>
      <c r="EA54" t="str">
        <v>Ex Idr | Idr - Man (1N) - Mah - Omk (1N) - Ujj (1N) - Idr</v>
      </c>
      <c r="EB54" t="str">
        <v>Khandwa - Omk (1N) - Mah - Ujj (2N)</v>
      </c>
      <c r="EC54" t="str">
        <v>Ex Jlr | Jlr (1N) - Amr (1N) - Ban (1N) - Jlr</v>
      </c>
      <c r="ED54" t="str">
        <v>Ex Jlr | Jlr - (1 N) Ban - (2 N) Amar</v>
      </c>
      <c r="EE54" t="str">
        <v>Jlr - Kan (1N) - Pch (2N)</v>
      </c>
      <c r="EF54" t="str">
        <v>Pi - Pch (2N)  - Kan (1N)</v>
      </c>
      <c r="EG54" t="str">
        <v>Ex Jlr | Jlr - Amr (1 N) - (1 N) Ban - (1 N) Jlr</v>
      </c>
      <c r="EH54" t="str">
        <v>Ppi - (2 N) Pch - (1 N) Pen</v>
      </c>
      <c r="EI54" t="str">
        <v>Bhp - Pch (2N) - Jlr (1N)</v>
      </c>
      <c r="EJ54" t="str">
        <v xml:space="preserve">Arr Jhn - Hjr (1N) - Orc - Gwl (2N) </v>
      </c>
      <c r="EK54" t="str">
        <v>(1 N) Ujj - (1 N) Mah - (1 N) Idr</v>
      </c>
      <c r="EL54" t="str">
        <v>Ex Bhp | Bhp - Bhoj - Bhim - Pch (3N) - Bhp</v>
      </c>
      <c r="EM54" t="str">
        <v>Ex Bhp | Bhp - Bhoj - Bhim - Pch (2N) - Mad (1N) - Bhp</v>
      </c>
      <c r="EN54" t="str">
        <v xml:space="preserve">Ex Nag - 3N Pch + Sat </v>
      </c>
      <c r="EO54" t="str">
        <v>1N Gwl - Son - Dat - 1N Hjr - 1N Orc - Jhn</v>
      </c>
    </row>
    <row r="55" spans="2:145" ht="15" customHeight="1">
      <c r="B55" s="34">
        <v>51</v>
      </c>
      <c r="C55" s="36" t="s">
        <v>667</v>
      </c>
      <c r="D55" s="76">
        <v>46119</v>
      </c>
      <c r="E55" s="37" t="str">
        <f>IF(Table5[[#This Row],[Query Date]]&lt;&gt;"", TEXT(Table5[[#This Row],[Query Date]], "dddd"), "")</f>
        <v>Tuesday</v>
      </c>
      <c r="F55" s="37" t="str">
        <f>IF(Table5[[#This Row],[Query Date]]&lt;&gt;"", TEXT(Table5[[#This Row],[Query Date]], "mmmm"), "")</f>
        <v>April</v>
      </c>
      <c r="G55" s="28" t="s">
        <v>65</v>
      </c>
      <c r="H55" s="28" t="s">
        <v>66</v>
      </c>
      <c r="I55" s="28" t="s">
        <v>67</v>
      </c>
      <c r="J55" s="28" t="s">
        <v>119</v>
      </c>
      <c r="K55" s="28" t="s">
        <v>128</v>
      </c>
      <c r="L55" s="25" t="s">
        <v>160</v>
      </c>
      <c r="M55" s="112" t="s">
        <v>90</v>
      </c>
      <c r="N55" s="25" t="s">
        <v>668</v>
      </c>
      <c r="O55" s="130"/>
      <c r="P55" s="46"/>
      <c r="Q55" s="77">
        <v>46120</v>
      </c>
      <c r="R55" s="77" t="str">
        <f>IF(Table5[[#This Row],[Tour Starting Date]]&lt;&gt;"", TEXT(Table5[[#This Row],[Tour Starting Date]], "dddd"), "")</f>
        <v>Wednesday</v>
      </c>
      <c r="S55" s="77">
        <v>46123</v>
      </c>
      <c r="T55" s="25" t="str">
        <f>IF(Table5[[#This Row],[Tour Ending Date]]&lt;&gt;"", TEXT(Table5[[#This Row],[Tour Ending Date]], "dddd"), "")</f>
        <v>Saturday</v>
      </c>
      <c r="U55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55" s="37" t="str">
        <f>IF(Table5[[#This Row],[Tour Starting Date]]&lt;&gt;"", TEXT(Table5[[#This Row],[Tour Starting Date]], "mmmm"), "")</f>
        <v>April</v>
      </c>
      <c r="W55" s="80" t="str" cm="1">
        <f t="array" ref="W55">IF(Q55&lt;&gt;"", INDEX(CI:CI, MATCH(1, (Q55&gt;=CG:CG)*(Q55&lt;=CH:CH), 0)), "")</f>
        <v>Regular Dates - Weekday</v>
      </c>
      <c r="X55" s="39">
        <v>1</v>
      </c>
      <c r="Y55" s="74">
        <v>14175</v>
      </c>
      <c r="Z55" s="74">
        <f>IF(OR(Table5[[#This Row],[Per Person Package Cost]]="", Table5[[#This Row],[No. of Pax]]=""), "", Table5[[#This Row],[Per Person Package Cost]] * Table5[[#This Row],[No. of Pax]])</f>
        <v>14175</v>
      </c>
      <c r="AA55" s="52" t="s">
        <v>509</v>
      </c>
      <c r="AB55" s="52" t="s">
        <v>509</v>
      </c>
      <c r="AC55" s="52" t="s">
        <v>134</v>
      </c>
      <c r="AD55" s="52" t="s">
        <v>152</v>
      </c>
      <c r="AE55" s="51" t="str">
        <f t="shared" si="0"/>
        <v>EXGWL03</v>
      </c>
      <c r="AF55" s="51" t="str">
        <f t="shared" si="1"/>
        <v>Gems of Gwalior</v>
      </c>
      <c r="AG55" s="74" t="str">
        <f t="shared" si="2"/>
        <v>Quick Getaways</v>
      </c>
      <c r="AH55" s="73" t="str">
        <f t="shared" si="4"/>
        <v>North MP</v>
      </c>
      <c r="AI55" s="52" t="s">
        <v>84</v>
      </c>
      <c r="AJ55" s="56" t="s">
        <v>78</v>
      </c>
      <c r="AK55" s="59" t="s">
        <v>79</v>
      </c>
      <c r="AL55" s="60" t="s">
        <v>80</v>
      </c>
      <c r="AM55" s="54" t="s">
        <v>80</v>
      </c>
      <c r="AN55" s="14"/>
      <c r="AO55" s="15"/>
      <c r="AP55" s="91"/>
      <c r="AQ55" s="87"/>
      <c r="AR55" s="26"/>
      <c r="AS55" s="65"/>
      <c r="AT55" s="88" t="s">
        <v>85</v>
      </c>
      <c r="AU55" s="67"/>
      <c r="BX55" s="1">
        <v>51</v>
      </c>
      <c r="CG55" s="143">
        <v>46286</v>
      </c>
      <c r="CH55" s="143">
        <v>46289</v>
      </c>
      <c r="CI55" s="142" t="s">
        <v>88</v>
      </c>
      <c r="CJ55" s="141"/>
      <c r="CK55" s="141"/>
      <c r="CN55" t="s">
        <v>669</v>
      </c>
      <c r="CU55" t="s">
        <v>122</v>
      </c>
      <c r="CV55" t="s">
        <v>171</v>
      </c>
      <c r="CW55" t="s">
        <v>670</v>
      </c>
      <c r="CX55" t="s">
        <v>233</v>
      </c>
      <c r="CY55" t="s">
        <v>197</v>
      </c>
      <c r="CZ55" t="s">
        <v>395</v>
      </c>
      <c r="DA55" t="str" cm="1">
        <f t="array" ref="DA55:EO55">IF(U55&lt;&gt;"", TRANSPOSE(_xlfn._xlws.FILTER(CZ:CZ, CY:CY=U55, "")), "")</f>
        <v>Gwl (3N) + Mor + Son + Dat + Orc</v>
      </c>
      <c r="DB55" t="str">
        <v>Ex Gwl | Gwl (1N) - Son - Dat - Orc (1N) - Gwl (1N)</v>
      </c>
      <c r="DC55" t="str">
        <v>Ex Idr | Idr - Ujj (1N) - Omk - Mah (1N) - Man (1N) - Idr</v>
      </c>
      <c r="DD55" t="str">
        <v>Ex Jlr | Jlr - Kan (2N) - Jlr (1N)</v>
      </c>
      <c r="DE55" t="str">
        <v>Ex Jlr | Jlr - Ban (2N) - Jlr (1N)</v>
      </c>
      <c r="DF55" t="str">
        <v>Ex Bho | Bho (1N) + San - Bhoj - Bhim - Pch (2N) - Bho</v>
      </c>
      <c r="DG55" t="str">
        <v>Ex Idr | Idr (1N) - Ujj (1N) - Omk (1N) - Mah - Idr</v>
      </c>
      <c r="DH55" t="str">
        <v>Gwl - Orc (1N) - Ckt (1N) - Myr (1N) - Jlr</v>
      </c>
      <c r="DI55" t="str">
        <v>Gwl - Orc (1N) - Ckt (2N) - Ixd</v>
      </c>
      <c r="DJ55" t="str">
        <v>Ex Idr | Idr - Ujj (1N) - Omk - Mah (1N) - Idr (1N)</v>
      </c>
      <c r="DK55" t="str">
        <v>Ex Jlr | Jlr - Kan (3N) - Jlr</v>
      </c>
      <c r="DL55" t="str">
        <v>Ex Bho | Bho (2N) + Bhim + Bhoj + San + Udaygiri + Vidisha + FDCT Bho</v>
      </c>
      <c r="DM55" t="str">
        <v>Bho (1N) + Bhim + Bhoj - HDCT  Bho + Sanchi - Ujj (2N)</v>
      </c>
      <c r="DN55" t="str">
        <v>Bho (1N) + Bhim + Bhoj - HDCT  Bho + Sanchi - Ujj (2N) - Idr</v>
      </c>
      <c r="DO55" t="str">
        <v>Ex Bho | Bho - Bhoj - Bhim - Mad (1N) - Pch (2N) - Bho</v>
      </c>
      <c r="DP55" t="str">
        <v>Ex Bho | Bho - Bhoj - Bhim - Mad (1N) - Pch (3N) - Bho</v>
      </c>
      <c r="DQ55" t="str">
        <v>Ex Bho | Bho - Bhoj - Bhim - Tawa (1N) - Mad (1N) - Bho (1N)</v>
      </c>
      <c r="DR55" t="str">
        <v>Bho (1N) - Bhim - Bhoj - San - Idr (2N) + Ujj</v>
      </c>
      <c r="DS55" t="str">
        <v>Bho (1N) - Bhoj - Bhim - Pch (2N) - Bho</v>
      </c>
      <c r="DT55" t="str">
        <v>Ujj (1N) - Omk - Mah (1N) - Idr (1N)</v>
      </c>
      <c r="DU55" t="str">
        <v>Ujj (1N) - Omk - Mah (1N) - Man (1N) - Idr</v>
      </c>
      <c r="DV55" t="str">
        <v>Ex Idr | Idr (1N) - Ujj (1N) - Omk - Mah (1N)</v>
      </c>
      <c r="DW55" t="str">
        <v>Ex Idr | Idr - Ujj (1N) - Omk (1N) - Mah (1N) - Idr</v>
      </c>
      <c r="DX55" t="str">
        <v>Khandwa - Omk (1N) - Mah (1N) - Ujj (1N) - Idr</v>
      </c>
      <c r="DY55" t="str">
        <v>Ex Idr | Idr - Ujj (1N) - Omk - Mah (1N) - Man - Idr (1N)</v>
      </c>
      <c r="DZ55" t="str">
        <v xml:space="preserve">Idr - Omk (1N) - Mah - Ujj (1N) San - Bho (1N) </v>
      </c>
      <c r="EA55" t="str">
        <v>Ex Idr | Idr - Man (1N) - Mah - Omk (1N) - Ujj (1N) - Idr</v>
      </c>
      <c r="EB55" t="str">
        <v>Khandwa - Omk (1N) - Mah - Ujj (2N)</v>
      </c>
      <c r="EC55" t="str">
        <v>Ex Jlr | Jlr (1N) - Amr (1N) - Ban (1N) - Jlr</v>
      </c>
      <c r="ED55" t="str">
        <v>Ex Jlr | Jlr - (1 N) Ban - (2 N) Amar</v>
      </c>
      <c r="EE55" t="str">
        <v>Jlr - Kan (1N) - Pch (2N)</v>
      </c>
      <c r="EF55" t="str">
        <v>Pi - Pch (2N)  - Kan (1N)</v>
      </c>
      <c r="EG55" t="str">
        <v>Ex Jlr | Jlr - Amr (1 N) - (1 N) Ban - (1 N) Jlr</v>
      </c>
      <c r="EH55" t="str">
        <v>Ppi - (2 N) Pch - (1 N) Pen</v>
      </c>
      <c r="EI55" t="str">
        <v>Bhp - Pch (2N) - Jlr (1N)</v>
      </c>
      <c r="EJ55" t="str">
        <v xml:space="preserve">Arr Jhn - Hjr (1N) - Orc - Gwl (2N) </v>
      </c>
      <c r="EK55" t="str">
        <v>(1 N) Ujj - (1 N) Mah - (1 N) Idr</v>
      </c>
      <c r="EL55" t="str">
        <v>Ex Bhp | Bhp - Bhoj - Bhim - Pch (3N) - Bhp</v>
      </c>
      <c r="EM55" t="str">
        <v>Ex Bhp | Bhp - Bhoj - Bhim - Pch (2N) - Mad (1N) - Bhp</v>
      </c>
      <c r="EN55" t="str">
        <v xml:space="preserve">Ex Nag - 3N Pch + Sat </v>
      </c>
      <c r="EO55" t="str">
        <v>1N Gwl - Son - Dat - 1N Hjr - 1N Orc - Jhn</v>
      </c>
    </row>
    <row r="56" spans="2:145" ht="15" customHeight="1">
      <c r="B56" s="35">
        <v>52</v>
      </c>
      <c r="C56" s="36" t="s">
        <v>671</v>
      </c>
      <c r="D56" s="76">
        <v>46119</v>
      </c>
      <c r="E56" s="37" t="str">
        <f>IF(Table5[[#This Row],[Query Date]]&lt;&gt;"", TEXT(Table5[[#This Row],[Query Date]], "dddd"), "")</f>
        <v>Tuesday</v>
      </c>
      <c r="F56" s="37" t="str">
        <f>IF(Table5[[#This Row],[Query Date]]&lt;&gt;"", TEXT(Table5[[#This Row],[Query Date]], "mmmm"), "")</f>
        <v>April</v>
      </c>
      <c r="G56" s="28" t="s">
        <v>65</v>
      </c>
      <c r="H56" s="28" t="s">
        <v>66</v>
      </c>
      <c r="I56" s="28" t="s">
        <v>67</v>
      </c>
      <c r="J56" s="28" t="s">
        <v>119</v>
      </c>
      <c r="K56" s="28" t="s">
        <v>128</v>
      </c>
      <c r="L56" s="25" t="s">
        <v>160</v>
      </c>
      <c r="M56" s="112" t="s">
        <v>90</v>
      </c>
      <c r="N56" s="25" t="s">
        <v>672</v>
      </c>
      <c r="O56" s="130"/>
      <c r="P56" s="31"/>
      <c r="Q56" s="77">
        <v>46120</v>
      </c>
      <c r="R56" s="77" t="str">
        <f>IF(Table5[[#This Row],[Tour Starting Date]]&lt;&gt;"", TEXT(Table5[[#This Row],[Tour Starting Date]], "dddd"), "")</f>
        <v>Wednesday</v>
      </c>
      <c r="S56" s="77">
        <v>46123</v>
      </c>
      <c r="T56" s="25" t="str">
        <f>IF(Table5[[#This Row],[Tour Ending Date]]&lt;&gt;"", TEXT(Table5[[#This Row],[Tour Ending Date]], "dddd"), "")</f>
        <v>Saturday</v>
      </c>
      <c r="U56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56" s="37" t="str">
        <f>IF(Table5[[#This Row],[Tour Starting Date]]&lt;&gt;"", TEXT(Table5[[#This Row],[Tour Starting Date]], "mmmm"), "")</f>
        <v>April</v>
      </c>
      <c r="W56" s="80" t="str" cm="1">
        <f t="array" ref="W56">IF(Q56&lt;&gt;"", INDEX(CI:CI, MATCH(1, (Q56&gt;=CG:CG)*(Q56&lt;=CH:CH), 0)), "")</f>
        <v>Regular Dates - Weekday</v>
      </c>
      <c r="X56" s="39">
        <v>1</v>
      </c>
      <c r="Y56" s="74">
        <v>14175</v>
      </c>
      <c r="Z56" s="74">
        <f>IF(OR(Table5[[#This Row],[Per Person Package Cost]]="", Table5[[#This Row],[No. of Pax]]=""), "", Table5[[#This Row],[Per Person Package Cost]] * Table5[[#This Row],[No. of Pax]])</f>
        <v>14175</v>
      </c>
      <c r="AA56" s="52" t="s">
        <v>509</v>
      </c>
      <c r="AB56" s="52" t="s">
        <v>509</v>
      </c>
      <c r="AC56" s="52" t="s">
        <v>134</v>
      </c>
      <c r="AD56" s="52" t="s">
        <v>152</v>
      </c>
      <c r="AE56" s="51" t="str">
        <f t="shared" si="0"/>
        <v>EXGWL03</v>
      </c>
      <c r="AF56" s="51" t="str">
        <f t="shared" si="1"/>
        <v>Gems of Gwalior</v>
      </c>
      <c r="AG56" s="74" t="str">
        <f t="shared" si="2"/>
        <v>Quick Getaways</v>
      </c>
      <c r="AH56" s="73" t="str">
        <f t="shared" si="4"/>
        <v>North MP</v>
      </c>
      <c r="AI56" s="52" t="s">
        <v>84</v>
      </c>
      <c r="AJ56" s="56" t="s">
        <v>78</v>
      </c>
      <c r="AK56" s="59" t="s">
        <v>79</v>
      </c>
      <c r="AL56" s="60" t="s">
        <v>80</v>
      </c>
      <c r="AM56" s="54" t="s">
        <v>80</v>
      </c>
      <c r="AN56" s="14"/>
      <c r="AO56" s="15"/>
      <c r="AP56" s="91"/>
      <c r="AQ56" s="87"/>
      <c r="AR56" s="26"/>
      <c r="AS56" s="65"/>
      <c r="AT56" s="88" t="s">
        <v>85</v>
      </c>
      <c r="AU56" s="67"/>
      <c r="BX56" s="1">
        <v>52</v>
      </c>
      <c r="CG56" s="143">
        <v>46290</v>
      </c>
      <c r="CH56" s="143">
        <v>46292</v>
      </c>
      <c r="CI56" s="142" t="s">
        <v>116</v>
      </c>
      <c r="CJ56" s="141"/>
      <c r="CK56" s="141"/>
      <c r="CN56" t="s">
        <v>673</v>
      </c>
      <c r="CU56" t="s">
        <v>122</v>
      </c>
      <c r="CV56" t="s">
        <v>299</v>
      </c>
      <c r="CW56" t="s">
        <v>674</v>
      </c>
      <c r="CX56" t="s">
        <v>675</v>
      </c>
      <c r="CY56" t="s">
        <v>450</v>
      </c>
      <c r="CZ56" t="s">
        <v>676</v>
      </c>
      <c r="DA56" t="str" cm="1">
        <f t="array" ref="DA56:EO56">IF(U56&lt;&gt;"", TRANSPOSE(_xlfn._xlws.FILTER(CZ:CZ, CY:CY=U56, "")), "")</f>
        <v>Gwl (3N) + Mor + Son + Dat + Orc</v>
      </c>
      <c r="DB56" t="str">
        <v>Ex Gwl | Gwl (1N) - Son - Dat - Orc (1N) - Gwl (1N)</v>
      </c>
      <c r="DC56" t="str">
        <v>Ex Idr | Idr - Ujj (1N) - Omk - Mah (1N) - Man (1N) - Idr</v>
      </c>
      <c r="DD56" t="str">
        <v>Ex Jlr | Jlr - Kan (2N) - Jlr (1N)</v>
      </c>
      <c r="DE56" t="str">
        <v>Ex Jlr | Jlr - Ban (2N) - Jlr (1N)</v>
      </c>
      <c r="DF56" t="str">
        <v>Ex Bho | Bho (1N) + San - Bhoj - Bhim - Pch (2N) - Bho</v>
      </c>
      <c r="DG56" t="str">
        <v>Ex Idr | Idr (1N) - Ujj (1N) - Omk (1N) - Mah - Idr</v>
      </c>
      <c r="DH56" t="str">
        <v>Gwl - Orc (1N) - Ckt (1N) - Myr (1N) - Jlr</v>
      </c>
      <c r="DI56" t="str">
        <v>Gwl - Orc (1N) - Ckt (2N) - Ixd</v>
      </c>
      <c r="DJ56" t="str">
        <v>Ex Idr | Idr - Ujj (1N) - Omk - Mah (1N) - Idr (1N)</v>
      </c>
      <c r="DK56" t="str">
        <v>Ex Jlr | Jlr - Kan (3N) - Jlr</v>
      </c>
      <c r="DL56" t="str">
        <v>Ex Bho | Bho (2N) + Bhim + Bhoj + San + Udaygiri + Vidisha + FDCT Bho</v>
      </c>
      <c r="DM56" t="str">
        <v>Bho (1N) + Bhim + Bhoj - HDCT  Bho + Sanchi - Ujj (2N)</v>
      </c>
      <c r="DN56" t="str">
        <v>Bho (1N) + Bhim + Bhoj - HDCT  Bho + Sanchi - Ujj (2N) - Idr</v>
      </c>
      <c r="DO56" t="str">
        <v>Ex Bho | Bho - Bhoj - Bhim - Mad (1N) - Pch (2N) - Bho</v>
      </c>
      <c r="DP56" t="str">
        <v>Ex Bho | Bho - Bhoj - Bhim - Mad (1N) - Pch (3N) - Bho</v>
      </c>
      <c r="DQ56" t="str">
        <v>Ex Bho | Bho - Bhoj - Bhim - Tawa (1N) - Mad (1N) - Bho (1N)</v>
      </c>
      <c r="DR56" t="str">
        <v>Bho (1N) - Bhim - Bhoj - San - Idr (2N) + Ujj</v>
      </c>
      <c r="DS56" t="str">
        <v>Bho (1N) - Bhoj - Bhim - Pch (2N) - Bho</v>
      </c>
      <c r="DT56" t="str">
        <v>Ujj (1N) - Omk - Mah (1N) - Idr (1N)</v>
      </c>
      <c r="DU56" t="str">
        <v>Ujj (1N) - Omk - Mah (1N) - Man (1N) - Idr</v>
      </c>
      <c r="DV56" t="str">
        <v>Ex Idr | Idr (1N) - Ujj (1N) - Omk - Mah (1N)</v>
      </c>
      <c r="DW56" t="str">
        <v>Ex Idr | Idr - Ujj (1N) - Omk (1N) - Mah (1N) - Idr</v>
      </c>
      <c r="DX56" t="str">
        <v>Khandwa - Omk (1N) - Mah (1N) - Ujj (1N) - Idr</v>
      </c>
      <c r="DY56" t="str">
        <v>Ex Idr | Idr - Ujj (1N) - Omk - Mah (1N) - Man - Idr (1N)</v>
      </c>
      <c r="DZ56" t="str">
        <v xml:space="preserve">Idr - Omk (1N) - Mah - Ujj (1N) San - Bho (1N) </v>
      </c>
      <c r="EA56" t="str">
        <v>Ex Idr | Idr - Man (1N) - Mah - Omk (1N) - Ujj (1N) - Idr</v>
      </c>
      <c r="EB56" t="str">
        <v>Khandwa - Omk (1N) - Mah - Ujj (2N)</v>
      </c>
      <c r="EC56" t="str">
        <v>Ex Jlr | Jlr (1N) - Amr (1N) - Ban (1N) - Jlr</v>
      </c>
      <c r="ED56" t="str">
        <v>Ex Jlr | Jlr - (1 N) Ban - (2 N) Amar</v>
      </c>
      <c r="EE56" t="str">
        <v>Jlr - Kan (1N) - Pch (2N)</v>
      </c>
      <c r="EF56" t="str">
        <v>Pi - Pch (2N)  - Kan (1N)</v>
      </c>
      <c r="EG56" t="str">
        <v>Ex Jlr | Jlr - Amr (1 N) - (1 N) Ban - (1 N) Jlr</v>
      </c>
      <c r="EH56" t="str">
        <v>Ppi - (2 N) Pch - (1 N) Pen</v>
      </c>
      <c r="EI56" t="str">
        <v>Bhp - Pch (2N) - Jlr (1N)</v>
      </c>
      <c r="EJ56" t="str">
        <v xml:space="preserve">Arr Jhn - Hjr (1N) - Orc - Gwl (2N) </v>
      </c>
      <c r="EK56" t="str">
        <v>(1 N) Ujj - (1 N) Mah - (1 N) Idr</v>
      </c>
      <c r="EL56" t="str">
        <v>Ex Bhp | Bhp - Bhoj - Bhim - Pch (3N) - Bhp</v>
      </c>
      <c r="EM56" t="str">
        <v>Ex Bhp | Bhp - Bhoj - Bhim - Pch (2N) - Mad (1N) - Bhp</v>
      </c>
      <c r="EN56" t="str">
        <v xml:space="preserve">Ex Nag - 3N Pch + Sat </v>
      </c>
      <c r="EO56" t="str">
        <v>1N Gwl - Son - Dat - 1N Hjr - 1N Orc - Jhn</v>
      </c>
    </row>
    <row r="57" spans="2:145" ht="15" customHeight="1">
      <c r="B57" s="34">
        <v>53</v>
      </c>
      <c r="C57" s="36" t="s">
        <v>677</v>
      </c>
      <c r="D57" s="76">
        <v>46119</v>
      </c>
      <c r="E57" s="37" t="str">
        <f>IF(Table5[[#This Row],[Query Date]]&lt;&gt;"", TEXT(Table5[[#This Row],[Query Date]], "dddd"), "")</f>
        <v>Tuesday</v>
      </c>
      <c r="F57" s="37" t="str">
        <f>IF(Table5[[#This Row],[Query Date]]&lt;&gt;"", TEXT(Table5[[#This Row],[Query Date]], "mmmm"), "")</f>
        <v>April</v>
      </c>
      <c r="G57" s="28" t="s">
        <v>65</v>
      </c>
      <c r="H57" s="28" t="s">
        <v>66</v>
      </c>
      <c r="I57" s="28" t="s">
        <v>67</v>
      </c>
      <c r="J57" s="28" t="s">
        <v>119</v>
      </c>
      <c r="K57" s="28" t="s">
        <v>128</v>
      </c>
      <c r="L57" s="25" t="s">
        <v>160</v>
      </c>
      <c r="M57" s="112" t="s">
        <v>90</v>
      </c>
      <c r="N57" s="25" t="s">
        <v>678</v>
      </c>
      <c r="O57" s="130"/>
      <c r="P57" s="31"/>
      <c r="Q57" s="77">
        <v>46120</v>
      </c>
      <c r="R57" s="77" t="str">
        <f>IF(Table5[[#This Row],[Tour Starting Date]]&lt;&gt;"", TEXT(Table5[[#This Row],[Tour Starting Date]], "dddd"), "")</f>
        <v>Wednesday</v>
      </c>
      <c r="S57" s="77">
        <v>46123</v>
      </c>
      <c r="T57" s="25" t="str">
        <f>IF(Table5[[#This Row],[Tour Ending Date]]&lt;&gt;"", TEXT(Table5[[#This Row],[Tour Ending Date]], "dddd"), "")</f>
        <v>Saturday</v>
      </c>
      <c r="U57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57" s="37" t="str">
        <f>IF(Table5[[#This Row],[Tour Starting Date]]&lt;&gt;"", TEXT(Table5[[#This Row],[Tour Starting Date]], "mmmm"), "")</f>
        <v>April</v>
      </c>
      <c r="W57" s="80" t="str" cm="1">
        <f t="array" ref="W57">IF(Q57&lt;&gt;"", INDEX(CI:CI, MATCH(1, (Q57&gt;=CG:CG)*(Q57&lt;=CH:CH), 0)), "")</f>
        <v>Regular Dates - Weekday</v>
      </c>
      <c r="X57" s="39">
        <v>1</v>
      </c>
      <c r="Y57" s="74">
        <v>14175</v>
      </c>
      <c r="Z57" s="74">
        <f>IF(OR(Table5[[#This Row],[Per Person Package Cost]]="", Table5[[#This Row],[No. of Pax]]=""), "", Table5[[#This Row],[Per Person Package Cost]] * Table5[[#This Row],[No. of Pax]])</f>
        <v>14175</v>
      </c>
      <c r="AA57" s="52" t="s">
        <v>509</v>
      </c>
      <c r="AB57" s="52" t="s">
        <v>509</v>
      </c>
      <c r="AC57" s="52" t="s">
        <v>134</v>
      </c>
      <c r="AD57" s="52" t="s">
        <v>152</v>
      </c>
      <c r="AE57" s="51" t="str">
        <f t="shared" si="0"/>
        <v>EXGWL03</v>
      </c>
      <c r="AF57" s="51" t="str">
        <f t="shared" si="1"/>
        <v>Gems of Gwalior</v>
      </c>
      <c r="AG57" s="74" t="str">
        <f t="shared" si="2"/>
        <v>Quick Getaways</v>
      </c>
      <c r="AH57" s="73" t="str">
        <f t="shared" si="4"/>
        <v>North MP</v>
      </c>
      <c r="AI57" s="52" t="s">
        <v>84</v>
      </c>
      <c r="AJ57" s="56" t="s">
        <v>78</v>
      </c>
      <c r="AK57" s="59" t="s">
        <v>79</v>
      </c>
      <c r="AL57" s="60" t="s">
        <v>80</v>
      </c>
      <c r="AM57" s="54" t="s">
        <v>80</v>
      </c>
      <c r="AN57" s="14"/>
      <c r="AO57" s="15"/>
      <c r="AP57" s="91"/>
      <c r="AQ57" s="87"/>
      <c r="AR57" s="26"/>
      <c r="AS57" s="65"/>
      <c r="AT57" s="88" t="s">
        <v>85</v>
      </c>
      <c r="AU57" s="67"/>
      <c r="BX57" s="1">
        <v>53</v>
      </c>
      <c r="CG57" s="143">
        <v>46293</v>
      </c>
      <c r="CH57" s="143">
        <v>46296</v>
      </c>
      <c r="CI57" s="142" t="s">
        <v>88</v>
      </c>
      <c r="CJ57" s="141"/>
      <c r="CK57" s="141"/>
      <c r="CN57" t="s">
        <v>679</v>
      </c>
      <c r="CU57" t="s">
        <v>122</v>
      </c>
      <c r="CV57" t="s">
        <v>316</v>
      </c>
      <c r="CW57" t="s">
        <v>680</v>
      </c>
      <c r="CX57" t="s">
        <v>166</v>
      </c>
      <c r="CY57" t="s">
        <v>243</v>
      </c>
      <c r="CZ57" t="s">
        <v>681</v>
      </c>
      <c r="DA57" t="str" cm="1">
        <f t="array" ref="DA57:EO57">IF(U57&lt;&gt;"", TRANSPOSE(_xlfn._xlws.FILTER(CZ:CZ, CY:CY=U57, "")), "")</f>
        <v>Gwl (3N) + Mor + Son + Dat + Orc</v>
      </c>
      <c r="DB57" t="str">
        <v>Ex Gwl | Gwl (1N) - Son - Dat - Orc (1N) - Gwl (1N)</v>
      </c>
      <c r="DC57" t="str">
        <v>Ex Idr | Idr - Ujj (1N) - Omk - Mah (1N) - Man (1N) - Idr</v>
      </c>
      <c r="DD57" t="str">
        <v>Ex Jlr | Jlr - Kan (2N) - Jlr (1N)</v>
      </c>
      <c r="DE57" t="str">
        <v>Ex Jlr | Jlr - Ban (2N) - Jlr (1N)</v>
      </c>
      <c r="DF57" t="str">
        <v>Ex Bho | Bho (1N) + San - Bhoj - Bhim - Pch (2N) - Bho</v>
      </c>
      <c r="DG57" t="str">
        <v>Ex Idr | Idr (1N) - Ujj (1N) - Omk (1N) - Mah - Idr</v>
      </c>
      <c r="DH57" t="str">
        <v>Gwl - Orc (1N) - Ckt (1N) - Myr (1N) - Jlr</v>
      </c>
      <c r="DI57" t="str">
        <v>Gwl - Orc (1N) - Ckt (2N) - Ixd</v>
      </c>
      <c r="DJ57" t="str">
        <v>Ex Idr | Idr - Ujj (1N) - Omk - Mah (1N) - Idr (1N)</v>
      </c>
      <c r="DK57" t="str">
        <v>Ex Jlr | Jlr - Kan (3N) - Jlr</v>
      </c>
      <c r="DL57" t="str">
        <v>Ex Bho | Bho (2N) + Bhim + Bhoj + San + Udaygiri + Vidisha + FDCT Bho</v>
      </c>
      <c r="DM57" t="str">
        <v>Bho (1N) + Bhim + Bhoj - HDCT  Bho + Sanchi - Ujj (2N)</v>
      </c>
      <c r="DN57" t="str">
        <v>Bho (1N) + Bhim + Bhoj - HDCT  Bho + Sanchi - Ujj (2N) - Idr</v>
      </c>
      <c r="DO57" t="str">
        <v>Ex Bho | Bho - Bhoj - Bhim - Mad (1N) - Pch (2N) - Bho</v>
      </c>
      <c r="DP57" t="str">
        <v>Ex Bho | Bho - Bhoj - Bhim - Mad (1N) - Pch (3N) - Bho</v>
      </c>
      <c r="DQ57" t="str">
        <v>Ex Bho | Bho - Bhoj - Bhim - Tawa (1N) - Mad (1N) - Bho (1N)</v>
      </c>
      <c r="DR57" t="str">
        <v>Bho (1N) - Bhim - Bhoj - San - Idr (2N) + Ujj</v>
      </c>
      <c r="DS57" t="str">
        <v>Bho (1N) - Bhoj - Bhim - Pch (2N) - Bho</v>
      </c>
      <c r="DT57" t="str">
        <v>Ujj (1N) - Omk - Mah (1N) - Idr (1N)</v>
      </c>
      <c r="DU57" t="str">
        <v>Ujj (1N) - Omk - Mah (1N) - Man (1N) - Idr</v>
      </c>
      <c r="DV57" t="str">
        <v>Ex Idr | Idr (1N) - Ujj (1N) - Omk - Mah (1N)</v>
      </c>
      <c r="DW57" t="str">
        <v>Ex Idr | Idr - Ujj (1N) - Omk (1N) - Mah (1N) - Idr</v>
      </c>
      <c r="DX57" t="str">
        <v>Khandwa - Omk (1N) - Mah (1N) - Ujj (1N) - Idr</v>
      </c>
      <c r="DY57" t="str">
        <v>Ex Idr | Idr - Ujj (1N) - Omk - Mah (1N) - Man - Idr (1N)</v>
      </c>
      <c r="DZ57" t="str">
        <v xml:space="preserve">Idr - Omk (1N) - Mah - Ujj (1N) San - Bho (1N) </v>
      </c>
      <c r="EA57" t="str">
        <v>Ex Idr | Idr - Man (1N) - Mah - Omk (1N) - Ujj (1N) - Idr</v>
      </c>
      <c r="EB57" t="str">
        <v>Khandwa - Omk (1N) - Mah - Ujj (2N)</v>
      </c>
      <c r="EC57" t="str">
        <v>Ex Jlr | Jlr (1N) - Amr (1N) - Ban (1N) - Jlr</v>
      </c>
      <c r="ED57" t="str">
        <v>Ex Jlr | Jlr - (1 N) Ban - (2 N) Amar</v>
      </c>
      <c r="EE57" t="str">
        <v>Jlr - Kan (1N) - Pch (2N)</v>
      </c>
      <c r="EF57" t="str">
        <v>Pi - Pch (2N)  - Kan (1N)</v>
      </c>
      <c r="EG57" t="str">
        <v>Ex Jlr | Jlr - Amr (1 N) - (1 N) Ban - (1 N) Jlr</v>
      </c>
      <c r="EH57" t="str">
        <v>Ppi - (2 N) Pch - (1 N) Pen</v>
      </c>
      <c r="EI57" t="str">
        <v>Bhp - Pch (2N) - Jlr (1N)</v>
      </c>
      <c r="EJ57" t="str">
        <v xml:space="preserve">Arr Jhn - Hjr (1N) - Orc - Gwl (2N) </v>
      </c>
      <c r="EK57" t="str">
        <v>(1 N) Ujj - (1 N) Mah - (1 N) Idr</v>
      </c>
      <c r="EL57" t="str">
        <v>Ex Bhp | Bhp - Bhoj - Bhim - Pch (3N) - Bhp</v>
      </c>
      <c r="EM57" t="str">
        <v>Ex Bhp | Bhp - Bhoj - Bhim - Pch (2N) - Mad (1N) - Bhp</v>
      </c>
      <c r="EN57" t="str">
        <v xml:space="preserve">Ex Nag - 3N Pch + Sat </v>
      </c>
      <c r="EO57" t="str">
        <v>1N Gwl - Son - Dat - 1N Hjr - 1N Orc - Jhn</v>
      </c>
    </row>
    <row r="58" spans="2:145" ht="15" customHeight="1">
      <c r="B58" s="35">
        <v>54</v>
      </c>
      <c r="C58" s="36" t="s">
        <v>682</v>
      </c>
      <c r="D58" s="76">
        <v>46123</v>
      </c>
      <c r="E58" s="37" t="str">
        <f>IF(Table5[[#This Row],[Query Date]]&lt;&gt;"", TEXT(Table5[[#This Row],[Query Date]], "dddd"), "")</f>
        <v>Saturday</v>
      </c>
      <c r="F58" s="37" t="str">
        <f>IF(Table5[[#This Row],[Query Date]]&lt;&gt;"", TEXT(Table5[[#This Row],[Query Date]], "mmmm"), "")</f>
        <v>April</v>
      </c>
      <c r="G58" s="28" t="s">
        <v>65</v>
      </c>
      <c r="H58" s="28" t="s">
        <v>99</v>
      </c>
      <c r="I58" s="28" t="s">
        <v>67</v>
      </c>
      <c r="J58" s="28" t="s">
        <v>119</v>
      </c>
      <c r="K58" s="28" t="s">
        <v>683</v>
      </c>
      <c r="L58" s="25" t="s">
        <v>70</v>
      </c>
      <c r="M58" s="112"/>
      <c r="N58" s="25"/>
      <c r="O58" s="130"/>
      <c r="P58" s="46"/>
      <c r="Q58" s="77">
        <v>46126</v>
      </c>
      <c r="R58" s="77" t="str">
        <f>IF(Table5[[#This Row],[Tour Starting Date]]&lt;&gt;"", TEXT(Table5[[#This Row],[Tour Starting Date]], "dddd"), "")</f>
        <v>Tuesday</v>
      </c>
      <c r="S58" s="77">
        <v>46127</v>
      </c>
      <c r="T58" s="25" t="str">
        <f>IF(Table5[[#This Row],[Tour Ending Date]]&lt;&gt;"", TEXT(Table5[[#This Row],[Tour Ending Date]], "dddd"), "")</f>
        <v>Wednesday</v>
      </c>
      <c r="U58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1 Night &amp; 2 Days</v>
      </c>
      <c r="V58" s="37" t="str">
        <f>IF(Table5[[#This Row],[Tour Starting Date]]&lt;&gt;"", TEXT(Table5[[#This Row],[Tour Starting Date]], "mmmm"), "")</f>
        <v>April</v>
      </c>
      <c r="W58" s="80" t="str" cm="1">
        <f t="array" ref="W58">IF(Q58&lt;&gt;"", INDEX(CI:CI, MATCH(1, (Q58&gt;=CG:CG)*(Q58&lt;=CH:CH), 0)), "")</f>
        <v>Regular Dates - Weekday</v>
      </c>
      <c r="X58" s="39">
        <v>12</v>
      </c>
      <c r="Y58" s="74">
        <v>1200</v>
      </c>
      <c r="Z58" s="74">
        <f>IF(OR(Table5[[#This Row],[Per Person Package Cost]]="", Table5[[#This Row],[No. of Pax]]=""), "", Table5[[#This Row],[Per Person Package Cost]] * Table5[[#This Row],[No. of Pax]])</f>
        <v>14400</v>
      </c>
      <c r="AA58" s="52" t="s">
        <v>133</v>
      </c>
      <c r="AB58" s="52" t="s">
        <v>133</v>
      </c>
      <c r="AC58" s="52" t="s">
        <v>173</v>
      </c>
      <c r="AD58" s="52"/>
      <c r="AE58" s="51" t="str">
        <f t="shared" si="0"/>
        <v/>
      </c>
      <c r="AF58" s="51" t="str">
        <f t="shared" si="1"/>
        <v/>
      </c>
      <c r="AG58" s="74" t="str">
        <f t="shared" si="2"/>
        <v/>
      </c>
      <c r="AH58" s="73" t="str">
        <f t="shared" si="4"/>
        <v/>
      </c>
      <c r="AI58" s="52" t="s">
        <v>107</v>
      </c>
      <c r="AJ58" s="56" t="s">
        <v>78</v>
      </c>
      <c r="AK58" s="59" t="s">
        <v>79</v>
      </c>
      <c r="AL58" s="60" t="s">
        <v>80</v>
      </c>
      <c r="AM58" s="54" t="s">
        <v>80</v>
      </c>
      <c r="AN58" s="14"/>
      <c r="AO58" s="15"/>
      <c r="AP58" s="91"/>
      <c r="AQ58" s="87"/>
      <c r="AR58" s="26"/>
      <c r="AS58" s="65"/>
      <c r="AT58" s="88" t="s">
        <v>81</v>
      </c>
      <c r="AU58" s="67"/>
      <c r="BX58" s="1">
        <v>54</v>
      </c>
      <c r="CG58" s="143">
        <v>46297</v>
      </c>
      <c r="CH58" s="143">
        <v>46299</v>
      </c>
      <c r="CI58" s="142" t="s">
        <v>684</v>
      </c>
      <c r="CJ58" s="141"/>
      <c r="CK58" s="141"/>
      <c r="CN58" t="s">
        <v>685</v>
      </c>
      <c r="CU58" t="s">
        <v>122</v>
      </c>
      <c r="CV58" t="s">
        <v>238</v>
      </c>
      <c r="CW58" t="s">
        <v>686</v>
      </c>
      <c r="CX58" t="s">
        <v>687</v>
      </c>
      <c r="CY58" t="s">
        <v>450</v>
      </c>
      <c r="CZ58" t="s">
        <v>688</v>
      </c>
      <c r="DA58" t="str" cm="1">
        <f t="array" ref="DA58:DH58">IF(U58&lt;&gt;"", TRANSPOSE(_xlfn._xlws.FILTER(CZ:CZ, CY:CY=U58, "")), "")</f>
        <v>Gwl (1N)</v>
      </c>
      <c r="DB58" t="str">
        <v>Ex Idr | Idr - Ujj (1N) - Idr</v>
      </c>
      <c r="DC58" t="str">
        <v>Ex Idr | Idr - Ujj (1N) - Omk - Idr</v>
      </c>
      <c r="DD58" t="str">
        <v>Ex Idr | Idr - Ujj (1N) - Omk - Mah - Idr</v>
      </c>
      <c r="DE58" t="str">
        <v>Ex Idr | Ujj (1N) - Idr + HDCT</v>
      </c>
      <c r="DF58" t="str">
        <v>Ex Idr | Idr (1N)</v>
      </c>
      <c r="DG58" t="str">
        <v>Khandwa - Omk (1N) - Idr HDCT</v>
      </c>
      <c r="DH58" t="str">
        <v>Ex Ujj | Ujj (1N)</v>
      </c>
    </row>
    <row r="59" spans="2:145" ht="15" customHeight="1">
      <c r="B59" s="34">
        <v>55</v>
      </c>
      <c r="C59" s="36" t="s">
        <v>689</v>
      </c>
      <c r="D59" s="76">
        <v>46125</v>
      </c>
      <c r="E59" s="37" t="str">
        <f>IF(Table5[[#This Row],[Query Date]]&lt;&gt;"", TEXT(Table5[[#This Row],[Query Date]], "dddd"), "")</f>
        <v>Monday</v>
      </c>
      <c r="F59" s="37" t="str">
        <f>IF(Table5[[#This Row],[Query Date]]&lt;&gt;"", TEXT(Table5[[#This Row],[Query Date]], "mmmm"), "")</f>
        <v>April</v>
      </c>
      <c r="G59" s="28" t="s">
        <v>65</v>
      </c>
      <c r="H59" s="28" t="s">
        <v>99</v>
      </c>
      <c r="I59" s="28" t="s">
        <v>67</v>
      </c>
      <c r="J59" s="28" t="s">
        <v>68</v>
      </c>
      <c r="K59" s="28" t="s">
        <v>246</v>
      </c>
      <c r="L59" s="25" t="s">
        <v>70</v>
      </c>
      <c r="M59" s="112" t="s">
        <v>690</v>
      </c>
      <c r="N59" s="25" t="s">
        <v>691</v>
      </c>
      <c r="O59" s="130" t="s">
        <v>692</v>
      </c>
      <c r="P59" s="46" t="s">
        <v>693</v>
      </c>
      <c r="Q59" s="77">
        <v>46311</v>
      </c>
      <c r="R59" s="77" t="str">
        <f>IF(Table5[[#This Row],[Tour Starting Date]]&lt;&gt;"", TEXT(Table5[[#This Row],[Tour Starting Date]], "dddd"), "")</f>
        <v>Friday</v>
      </c>
      <c r="S59" s="77">
        <v>46325</v>
      </c>
      <c r="T59" s="25" t="str">
        <f>IF(Table5[[#This Row],[Tour Ending Date]]&lt;&gt;"", TEXT(Table5[[#This Row],[Tour Ending Date]], "dddd"), "")</f>
        <v>Friday</v>
      </c>
      <c r="U59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14 Nights &amp; 15 Days</v>
      </c>
      <c r="V59" s="37" t="str">
        <f>IF(Table5[[#This Row],[Tour Starting Date]]&lt;&gt;"", TEXT(Table5[[#This Row],[Tour Starting Date]], "mmmm"), "")</f>
        <v>October</v>
      </c>
      <c r="W59" s="80" t="str" cm="1">
        <f t="array" ref="W59">IF(Q59&lt;&gt;"", INDEX(CI:CI, MATCH(1, (Q59&gt;=CG:CG)*(Q59&lt;=CH:CH), 0)), "")</f>
        <v>Regular Dates - Weekend</v>
      </c>
      <c r="X59" s="39">
        <v>8</v>
      </c>
      <c r="Y59" s="74">
        <v>52200</v>
      </c>
      <c r="Z59" s="74">
        <f>IF(OR(Table5[[#This Row],[Per Person Package Cost]]="", Table5[[#This Row],[No. of Pax]]=""), "", Table5[[#This Row],[Per Person Package Cost]] * Table5[[#This Row],[No. of Pax]])</f>
        <v>417600</v>
      </c>
      <c r="AA59" s="52" t="s">
        <v>75</v>
      </c>
      <c r="AB59" s="52" t="s">
        <v>509</v>
      </c>
      <c r="AC59" s="52" t="s">
        <v>76</v>
      </c>
      <c r="AD59" s="52"/>
      <c r="AE59" s="51" t="str">
        <f t="shared" si="0"/>
        <v/>
      </c>
      <c r="AF59" s="51" t="str">
        <f t="shared" si="1"/>
        <v/>
      </c>
      <c r="AG59" s="74" t="str">
        <f t="shared" si="2"/>
        <v/>
      </c>
      <c r="AH59" s="73" t="str">
        <f t="shared" si="4"/>
        <v/>
      </c>
      <c r="AI59" s="52" t="s">
        <v>159</v>
      </c>
      <c r="AJ59" s="56" t="s">
        <v>78</v>
      </c>
      <c r="AK59" s="59" t="s">
        <v>79</v>
      </c>
      <c r="AL59" s="60" t="s">
        <v>80</v>
      </c>
      <c r="AM59" s="54" t="s">
        <v>80</v>
      </c>
      <c r="AN59" s="14">
        <v>46177</v>
      </c>
      <c r="AO59" s="15">
        <v>46248</v>
      </c>
      <c r="AP59" s="91">
        <v>46265</v>
      </c>
      <c r="AQ59" s="87"/>
      <c r="AR59" s="26"/>
      <c r="AS59" s="65"/>
      <c r="AT59" s="88" t="s">
        <v>81</v>
      </c>
      <c r="AU59" s="67" t="s">
        <v>82</v>
      </c>
      <c r="BX59" s="1">
        <v>55</v>
      </c>
      <c r="CG59" s="143">
        <v>46300</v>
      </c>
      <c r="CH59" s="143">
        <v>46303</v>
      </c>
      <c r="CI59" s="142" t="s">
        <v>88</v>
      </c>
      <c r="CJ59" s="141"/>
      <c r="CK59" s="141"/>
      <c r="CN59" t="s">
        <v>694</v>
      </c>
      <c r="CU59" t="s">
        <v>122</v>
      </c>
      <c r="CV59" t="s">
        <v>316</v>
      </c>
      <c r="CW59" t="s">
        <v>695</v>
      </c>
      <c r="CX59" t="s">
        <v>188</v>
      </c>
      <c r="CY59" t="s">
        <v>243</v>
      </c>
      <c r="CZ59" t="s">
        <v>696</v>
      </c>
      <c r="DA59" t="str" cm="1">
        <f t="array" ref="DA59">IF(U59&lt;&gt;"", TRANSPOSE(_xlfn._xlws.FILTER(CZ:CZ, CY:CY=U59, "")), "")</f>
        <v/>
      </c>
    </row>
    <row r="60" spans="2:145" ht="15" customHeight="1">
      <c r="B60" s="35">
        <v>56</v>
      </c>
      <c r="C60" s="36" t="s">
        <v>697</v>
      </c>
      <c r="D60" s="76">
        <v>46128</v>
      </c>
      <c r="E60" s="37" t="str">
        <f>IF(Table5[[#This Row],[Query Date]]&lt;&gt;"", TEXT(Table5[[#This Row],[Query Date]], "dddd"), "")</f>
        <v>Thursday</v>
      </c>
      <c r="F60" s="37" t="str">
        <f>IF(Table5[[#This Row],[Query Date]]&lt;&gt;"", TEXT(Table5[[#This Row],[Query Date]], "mmmm"), "")</f>
        <v>April</v>
      </c>
      <c r="G60" s="28" t="s">
        <v>65</v>
      </c>
      <c r="H60" s="28" t="s">
        <v>66</v>
      </c>
      <c r="I60" s="28" t="s">
        <v>67</v>
      </c>
      <c r="J60" s="28" t="s">
        <v>145</v>
      </c>
      <c r="K60" s="28" t="s">
        <v>698</v>
      </c>
      <c r="L60" s="25" t="s">
        <v>70</v>
      </c>
      <c r="M60" s="112" t="s">
        <v>522</v>
      </c>
      <c r="N60" s="25" t="s">
        <v>699</v>
      </c>
      <c r="O60" s="130">
        <v>9897115379</v>
      </c>
      <c r="P60" s="46" t="s">
        <v>700</v>
      </c>
      <c r="Q60" s="77">
        <v>46130</v>
      </c>
      <c r="R60" s="77" t="str">
        <f>IF(Table5[[#This Row],[Tour Starting Date]]&lt;&gt;"", TEXT(Table5[[#This Row],[Tour Starting Date]], "dddd"), "")</f>
        <v>Saturday</v>
      </c>
      <c r="S60" s="77">
        <v>46132</v>
      </c>
      <c r="T60" s="25" t="str">
        <f>IF(Table5[[#This Row],[Tour Ending Date]]&lt;&gt;"", TEXT(Table5[[#This Row],[Tour Ending Date]], "dddd"), "")</f>
        <v>Monday</v>
      </c>
      <c r="U60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60" s="37" t="str">
        <f>IF(Table5[[#This Row],[Tour Starting Date]]&lt;&gt;"", TEXT(Table5[[#This Row],[Tour Starting Date]], "mmmm"), "")</f>
        <v>April</v>
      </c>
      <c r="W60" s="80" t="str" cm="1">
        <f t="array" ref="W60">IF(Q60&lt;&gt;"", INDEX(CI:CI, MATCH(1, (Q60&gt;=CG:CG)*(Q60&lt;=CH:CH), 0)), "")</f>
        <v>Regular Dates - Weekend</v>
      </c>
      <c r="X60" s="39">
        <v>3</v>
      </c>
      <c r="Y60" s="74">
        <v>12000</v>
      </c>
      <c r="Z60" s="74">
        <f>IF(OR(Table5[[#This Row],[Per Person Package Cost]]="", Table5[[#This Row],[No. of Pax]]=""), "", Table5[[#This Row],[Per Person Package Cost]] * Table5[[#This Row],[No. of Pax]])</f>
        <v>36000</v>
      </c>
      <c r="AA60" s="52" t="s">
        <v>75</v>
      </c>
      <c r="AB60" s="52" t="s">
        <v>75</v>
      </c>
      <c r="AC60" s="52" t="s">
        <v>134</v>
      </c>
      <c r="AD60" s="52" t="s">
        <v>106</v>
      </c>
      <c r="AE60" s="51" t="str">
        <f t="shared" si="0"/>
        <v>EXIDR04</v>
      </c>
      <c r="AF60" s="51" t="str">
        <f t="shared" si="1"/>
        <v>Heritage Pilgrimage</v>
      </c>
      <c r="AG60" s="74" t="str">
        <f t="shared" si="2"/>
        <v>Quick Getaways</v>
      </c>
      <c r="AH60" s="73" t="str">
        <f t="shared" si="4"/>
        <v>West MP</v>
      </c>
      <c r="AI60" s="52" t="s">
        <v>107</v>
      </c>
      <c r="AJ60" s="56" t="s">
        <v>78</v>
      </c>
      <c r="AK60" s="59" t="s">
        <v>79</v>
      </c>
      <c r="AL60" s="60" t="s">
        <v>80</v>
      </c>
      <c r="AM60" s="54" t="s">
        <v>80</v>
      </c>
      <c r="AN60" s="14">
        <v>46131</v>
      </c>
      <c r="AO60" s="15"/>
      <c r="AP60" s="91"/>
      <c r="AQ60" s="87"/>
      <c r="AR60" s="26"/>
      <c r="AS60" s="65"/>
      <c r="AT60" s="88" t="s">
        <v>85</v>
      </c>
      <c r="AU60" s="67"/>
      <c r="BX60" s="1">
        <v>56</v>
      </c>
      <c r="CG60" s="143">
        <v>46304</v>
      </c>
      <c r="CH60" s="143">
        <v>46306</v>
      </c>
      <c r="CI60" s="142" t="s">
        <v>116</v>
      </c>
      <c r="CJ60" s="141"/>
      <c r="CK60" s="141"/>
      <c r="CN60" t="s">
        <v>701</v>
      </c>
      <c r="CU60" t="s">
        <v>349</v>
      </c>
      <c r="CV60" t="s">
        <v>171</v>
      </c>
      <c r="CW60" t="s">
        <v>702</v>
      </c>
      <c r="CX60" t="s">
        <v>703</v>
      </c>
      <c r="CY60" t="s">
        <v>125</v>
      </c>
      <c r="CZ60" t="s">
        <v>704</v>
      </c>
      <c r="DA60" t="str" cm="1">
        <f t="array" ref="DA60:DY60">IF(U60&lt;&gt;"", TRANSPOSE(_xlfn._xlws.FILTER(CZ:CZ, CY:CY=U60, "")), "")</f>
        <v>Gwl (2N) + Mor</v>
      </c>
      <c r="DB60" t="str">
        <v>Ex Idr | Idr - Ujj (1N) - Omk - Mah (1N) - Man - Idr</v>
      </c>
      <c r="DC60" t="str">
        <v>Ujj (1N) - Omk - Idr (1N)</v>
      </c>
      <c r="DD60" t="str">
        <v>Ex Jlr | Jlr - Kan (2N) - Jlr</v>
      </c>
      <c r="DE60" t="str">
        <v>Ex Jlr | Jlr - Ban (2N) - Jlr</v>
      </c>
      <c r="DF60" t="str">
        <v>Ex Bho | Bho (2N) + Bhim + Bhoj + San</v>
      </c>
      <c r="DG60" t="str">
        <v>Ex Idr | Idr - Man (2N) - Idr</v>
      </c>
      <c r="DH60" t="str">
        <v>Ex Jlr | Jlr - Kan (2N) - Jlr</v>
      </c>
      <c r="DI60" t="str">
        <v>Ex Bho | Bho (2N) + Bhim + Bhoj + San + HDCT Bho</v>
      </c>
      <c r="DJ60" t="str">
        <v>Ex Bho | Bho - Bhim - Tawa (1N) - Mad (1N) - Bho</v>
      </c>
      <c r="DK60" t="str">
        <v>Ujj (1N) - Omk - Mah (1N) - Idr</v>
      </c>
      <c r="DL60" t="str">
        <v>Ujj (1N) -  Idr (1N)</v>
      </c>
      <c r="DM60" t="str">
        <v>Ex Idr | Idr (2N) + Ujj + Omk + Mah</v>
      </c>
      <c r="DN60" t="str">
        <v>Idr - Mah - Omk (1N) - Ujj (1N)</v>
      </c>
      <c r="DO60" t="str">
        <v>Idr - Ujj (1N) - Mah - Omk (1N) - Khandwa</v>
      </c>
      <c r="DP60" t="str">
        <v>Ex Idr | Idr (EX Ujj) (1N) - Mah - Omk (1N) - Idr HDCT</v>
      </c>
      <c r="DQ60" t="str">
        <v>Ujj (1N) - Sehor - Bho (1N) HDCT</v>
      </c>
      <c r="DR60" t="str">
        <v>Ex Jlr | Jlr (1N) - Ban (1N)</v>
      </c>
      <c r="DS60" t="str">
        <v>Ex Jlr | Ban (1N)</v>
      </c>
      <c r="DT60" t="str">
        <v>Ex Jlr | Jlr (2 N) Kan</v>
      </c>
      <c r="DU60" t="str">
        <v>Ex Jlr | Jlr - Amr (1 N) - (1 N) Ban</v>
      </c>
      <c r="DV60" t="str">
        <v>Ex Rpr | Rpr - (2N) Kan</v>
      </c>
      <c r="DW60" t="str">
        <v>Hjr (1N) - Mahi (1N) - Sat</v>
      </c>
      <c r="DX60" t="str">
        <v>Ex Bhp | Bhp - Bhim - Pch (2N) - Bhp</v>
      </c>
      <c r="DY60" t="str">
        <v xml:space="preserve">Ex Ujj I 2N Ujj </v>
      </c>
    </row>
    <row r="61" spans="2:145" ht="15" customHeight="1">
      <c r="B61" s="34">
        <v>57</v>
      </c>
      <c r="C61" s="36" t="s">
        <v>705</v>
      </c>
      <c r="D61" s="76">
        <v>46128</v>
      </c>
      <c r="E61" s="37" t="str">
        <f>IF(Table5[[#This Row],[Query Date]]&lt;&gt;"", TEXT(Table5[[#This Row],[Query Date]], "dddd"), "")</f>
        <v>Thursday</v>
      </c>
      <c r="F61" s="37" t="str">
        <f>IF(Table5[[#This Row],[Query Date]]&lt;&gt;"", TEXT(Table5[[#This Row],[Query Date]], "mmmm"), "")</f>
        <v>April</v>
      </c>
      <c r="G61" s="28" t="s">
        <v>65</v>
      </c>
      <c r="H61" s="28" t="s">
        <v>99</v>
      </c>
      <c r="I61" s="28" t="s">
        <v>67</v>
      </c>
      <c r="J61" s="28" t="s">
        <v>68</v>
      </c>
      <c r="K61" s="28" t="s">
        <v>69</v>
      </c>
      <c r="L61" s="25" t="s">
        <v>70</v>
      </c>
      <c r="M61" s="112" t="s">
        <v>101</v>
      </c>
      <c r="N61" s="25" t="s">
        <v>546</v>
      </c>
      <c r="O61" s="130">
        <v>9987720222</v>
      </c>
      <c r="P61" s="31" t="s">
        <v>547</v>
      </c>
      <c r="Q61" s="77">
        <v>46156</v>
      </c>
      <c r="R61" s="77" t="str">
        <f>IF(Table5[[#This Row],[Tour Starting Date]]&lt;&gt;"", TEXT(Table5[[#This Row],[Tour Starting Date]], "dddd"), "")</f>
        <v>Thursday</v>
      </c>
      <c r="S61" s="77">
        <v>46159</v>
      </c>
      <c r="T61" s="25" t="str">
        <f>IF(Table5[[#This Row],[Tour Ending Date]]&lt;&gt;"", TEXT(Table5[[#This Row],[Tour Ending Date]], "dddd"), "")</f>
        <v>Sunday</v>
      </c>
      <c r="U61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61" s="37" t="str">
        <f>IF(Table5[[#This Row],[Tour Starting Date]]&lt;&gt;"", TEXT(Table5[[#This Row],[Tour Starting Date]], "mmmm"), "")</f>
        <v>May</v>
      </c>
      <c r="W61" s="80" t="str" cm="1">
        <f t="array" ref="W61">IF(Q61&lt;&gt;"", INDEX(CI:CI, MATCH(1, (Q61&gt;=CG:CG)*(Q61&lt;=CH:CH), 0)), "")</f>
        <v>Regular Dates - Weekday</v>
      </c>
      <c r="X61" s="39">
        <v>3</v>
      </c>
      <c r="Y61" s="74">
        <v>10200</v>
      </c>
      <c r="Z61" s="74">
        <f>IF(OR(Table5[[#This Row],[Per Person Package Cost]]="", Table5[[#This Row],[No. of Pax]]=""), "", Table5[[#This Row],[Per Person Package Cost]] * Table5[[#This Row],[No. of Pax]])</f>
        <v>30600</v>
      </c>
      <c r="AA61" s="52" t="s">
        <v>75</v>
      </c>
      <c r="AB61" s="52" t="s">
        <v>75</v>
      </c>
      <c r="AC61" s="52" t="s">
        <v>76</v>
      </c>
      <c r="AD61" s="52" t="s">
        <v>106</v>
      </c>
      <c r="AE61" s="51" t="str">
        <f t="shared" si="0"/>
        <v>EXIDR04</v>
      </c>
      <c r="AF61" s="51" t="str">
        <f t="shared" si="1"/>
        <v>Heritage Pilgrimage</v>
      </c>
      <c r="AG61" s="74" t="str">
        <f t="shared" si="2"/>
        <v>Quick Getaways</v>
      </c>
      <c r="AH61" s="73" t="str">
        <f t="shared" si="4"/>
        <v>West MP</v>
      </c>
      <c r="AI61" s="52" t="s">
        <v>159</v>
      </c>
      <c r="AJ61" s="56" t="s">
        <v>78</v>
      </c>
      <c r="AK61" s="59" t="s">
        <v>79</v>
      </c>
      <c r="AL61" s="60" t="s">
        <v>80</v>
      </c>
      <c r="AM61" s="54" t="s">
        <v>80</v>
      </c>
      <c r="AN61" s="14">
        <v>46132</v>
      </c>
      <c r="AO61" s="15">
        <v>46150</v>
      </c>
      <c r="AP61" s="91"/>
      <c r="AQ61" s="87"/>
      <c r="AR61" s="26"/>
      <c r="AS61" s="65"/>
      <c r="AT61" s="88" t="s">
        <v>81</v>
      </c>
      <c r="AU61" s="67" t="s">
        <v>82</v>
      </c>
      <c r="BX61" s="1">
        <v>57</v>
      </c>
      <c r="CG61" s="143">
        <v>46307</v>
      </c>
      <c r="CH61" s="143">
        <v>46310</v>
      </c>
      <c r="CI61" s="142" t="s">
        <v>88</v>
      </c>
      <c r="CJ61" s="141"/>
      <c r="CK61" s="141"/>
      <c r="CN61" t="s">
        <v>706</v>
      </c>
      <c r="CU61" t="s">
        <v>349</v>
      </c>
      <c r="CV61" t="s">
        <v>299</v>
      </c>
      <c r="CW61" t="s">
        <v>707</v>
      </c>
      <c r="CX61" t="s">
        <v>708</v>
      </c>
      <c r="CY61" t="s">
        <v>223</v>
      </c>
      <c r="CZ61" t="s">
        <v>709</v>
      </c>
      <c r="DA61" t="str" cm="1">
        <f t="array" ref="DA61:EO61">IF(U61&lt;&gt;"", TRANSPOSE(_xlfn._xlws.FILTER(CZ:CZ, CY:CY=U61, "")), "")</f>
        <v>Gwl (3N) + Mor + Son + Dat + Orc</v>
      </c>
      <c r="DB61" t="str">
        <v>Ex Gwl | Gwl (1N) - Son - Dat - Orc (1N) - Gwl (1N)</v>
      </c>
      <c r="DC61" t="str">
        <v>Ex Idr | Idr - Ujj (1N) - Omk - Mah (1N) - Man (1N) - Idr</v>
      </c>
      <c r="DD61" t="str">
        <v>Ex Jlr | Jlr - Kan (2N) - Jlr (1N)</v>
      </c>
      <c r="DE61" t="str">
        <v>Ex Jlr | Jlr - Ban (2N) - Jlr (1N)</v>
      </c>
      <c r="DF61" t="str">
        <v>Ex Bho | Bho (1N) + San - Bhoj - Bhim - Pch (2N) - Bho</v>
      </c>
      <c r="DG61" t="str">
        <v>Ex Idr | Idr (1N) - Ujj (1N) - Omk (1N) - Mah - Idr</v>
      </c>
      <c r="DH61" t="str">
        <v>Gwl - Orc (1N) - Ckt (1N) - Myr (1N) - Jlr</v>
      </c>
      <c r="DI61" t="str">
        <v>Gwl - Orc (1N) - Ckt (2N) - Ixd</v>
      </c>
      <c r="DJ61" t="str">
        <v>Ex Idr | Idr - Ujj (1N) - Omk - Mah (1N) - Idr (1N)</v>
      </c>
      <c r="DK61" t="str">
        <v>Ex Jlr | Jlr - Kan (3N) - Jlr</v>
      </c>
      <c r="DL61" t="str">
        <v>Ex Bho | Bho (2N) + Bhim + Bhoj + San + Udaygiri + Vidisha + FDCT Bho</v>
      </c>
      <c r="DM61" t="str">
        <v>Bho (1N) + Bhim + Bhoj - HDCT  Bho + Sanchi - Ujj (2N)</v>
      </c>
      <c r="DN61" t="str">
        <v>Bho (1N) + Bhim + Bhoj - HDCT  Bho + Sanchi - Ujj (2N) - Idr</v>
      </c>
      <c r="DO61" t="str">
        <v>Ex Bho | Bho - Bhoj - Bhim - Mad (1N) - Pch (2N) - Bho</v>
      </c>
      <c r="DP61" t="str">
        <v>Ex Bho | Bho - Bhoj - Bhim - Mad (1N) - Pch (3N) - Bho</v>
      </c>
      <c r="DQ61" t="str">
        <v>Ex Bho | Bho - Bhoj - Bhim - Tawa (1N) - Mad (1N) - Bho (1N)</v>
      </c>
      <c r="DR61" t="str">
        <v>Bho (1N) - Bhim - Bhoj - San - Idr (2N) + Ujj</v>
      </c>
      <c r="DS61" t="str">
        <v>Bho (1N) - Bhoj - Bhim - Pch (2N) - Bho</v>
      </c>
      <c r="DT61" t="str">
        <v>Ujj (1N) - Omk - Mah (1N) - Idr (1N)</v>
      </c>
      <c r="DU61" t="str">
        <v>Ujj (1N) - Omk - Mah (1N) - Man (1N) - Idr</v>
      </c>
      <c r="DV61" t="str">
        <v>Ex Idr | Idr (1N) - Ujj (1N) - Omk - Mah (1N)</v>
      </c>
      <c r="DW61" t="str">
        <v>Ex Idr | Idr - Ujj (1N) - Omk (1N) - Mah (1N) - Idr</v>
      </c>
      <c r="DX61" t="str">
        <v>Khandwa - Omk (1N) - Mah (1N) - Ujj (1N) - Idr</v>
      </c>
      <c r="DY61" t="str">
        <v>Ex Idr | Idr - Ujj (1N) - Omk - Mah (1N) - Man - Idr (1N)</v>
      </c>
      <c r="DZ61" t="str">
        <v xml:space="preserve">Idr - Omk (1N) - Mah - Ujj (1N) San - Bho (1N) </v>
      </c>
      <c r="EA61" t="str">
        <v>Ex Idr | Idr - Man (1N) - Mah - Omk (1N) - Ujj (1N) - Idr</v>
      </c>
      <c r="EB61" t="str">
        <v>Khandwa - Omk (1N) - Mah - Ujj (2N)</v>
      </c>
      <c r="EC61" t="str">
        <v>Ex Jlr | Jlr (1N) - Amr (1N) - Ban (1N) - Jlr</v>
      </c>
      <c r="ED61" t="str">
        <v>Ex Jlr | Jlr - (1 N) Ban - (2 N) Amar</v>
      </c>
      <c r="EE61" t="str">
        <v>Jlr - Kan (1N) - Pch (2N)</v>
      </c>
      <c r="EF61" t="str">
        <v>Pi - Pch (2N)  - Kan (1N)</v>
      </c>
      <c r="EG61" t="str">
        <v>Ex Jlr | Jlr - Amr (1 N) - (1 N) Ban - (1 N) Jlr</v>
      </c>
      <c r="EH61" t="str">
        <v>Ppi - (2 N) Pch - (1 N) Pen</v>
      </c>
      <c r="EI61" t="str">
        <v>Bhp - Pch (2N) - Jlr (1N)</v>
      </c>
      <c r="EJ61" t="str">
        <v xml:space="preserve">Arr Jhn - Hjr (1N) - Orc - Gwl (2N) </v>
      </c>
      <c r="EK61" t="str">
        <v>(1 N) Ujj - (1 N) Mah - (1 N) Idr</v>
      </c>
      <c r="EL61" t="str">
        <v>Ex Bhp | Bhp - Bhoj - Bhim - Pch (3N) - Bhp</v>
      </c>
      <c r="EM61" t="str">
        <v>Ex Bhp | Bhp - Bhoj - Bhim - Pch (2N) - Mad (1N) - Bhp</v>
      </c>
      <c r="EN61" t="str">
        <v xml:space="preserve">Ex Nag - 3N Pch + Sat </v>
      </c>
      <c r="EO61" t="str">
        <v>1N Gwl - Son - Dat - 1N Hjr - 1N Orc - Jhn</v>
      </c>
    </row>
    <row r="62" spans="2:145" ht="15" customHeight="1">
      <c r="B62" s="35">
        <v>58</v>
      </c>
      <c r="C62" s="36" t="s">
        <v>710</v>
      </c>
      <c r="D62" s="76">
        <v>46132</v>
      </c>
      <c r="E62" s="37" t="str">
        <f>IF(Table5[[#This Row],[Query Date]]&lt;&gt;"", TEXT(Table5[[#This Row],[Query Date]], "dddd"), "")</f>
        <v>Monday</v>
      </c>
      <c r="F62" s="37" t="str">
        <f>IF(Table5[[#This Row],[Query Date]]&lt;&gt;"", TEXT(Table5[[#This Row],[Query Date]], "mmmm"), "")</f>
        <v>April</v>
      </c>
      <c r="G62" s="28" t="s">
        <v>65</v>
      </c>
      <c r="H62" s="28" t="s">
        <v>66</v>
      </c>
      <c r="I62" s="28" t="s">
        <v>100</v>
      </c>
      <c r="J62" s="28" t="s">
        <v>68</v>
      </c>
      <c r="K62" s="28" t="s">
        <v>178</v>
      </c>
      <c r="L62" s="25" t="s">
        <v>70</v>
      </c>
      <c r="M62" s="112" t="s">
        <v>179</v>
      </c>
      <c r="N62" s="25" t="s">
        <v>711</v>
      </c>
      <c r="O62" s="130">
        <v>9880079644</v>
      </c>
      <c r="P62" s="46" t="s">
        <v>712</v>
      </c>
      <c r="Q62" s="77">
        <v>46149</v>
      </c>
      <c r="R62" s="77" t="str">
        <f>IF(Table5[[#This Row],[Tour Starting Date]]&lt;&gt;"", TEXT(Table5[[#This Row],[Tour Starting Date]], "dddd"), "")</f>
        <v>Thursday</v>
      </c>
      <c r="S62" s="77">
        <v>46152</v>
      </c>
      <c r="T62" s="25" t="str">
        <f>IF(Table5[[#This Row],[Tour Ending Date]]&lt;&gt;"", TEXT(Table5[[#This Row],[Tour Ending Date]], "dddd"), "")</f>
        <v>Sunday</v>
      </c>
      <c r="U62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62" s="37" t="str">
        <f>IF(Table5[[#This Row],[Tour Starting Date]]&lt;&gt;"", TEXT(Table5[[#This Row],[Tour Starting Date]], "mmmm"), "")</f>
        <v>May</v>
      </c>
      <c r="W62" s="80" t="str" cm="1">
        <f t="array" ref="W62">IF(Q62&lt;&gt;"", INDEX(CI:CI, MATCH(1, (Q62&gt;=CG:CG)*(Q62&lt;=CH:CH), 0)), "")</f>
        <v>Regular Dates - Weekday</v>
      </c>
      <c r="X62" s="39">
        <v>2</v>
      </c>
      <c r="Y62" s="74">
        <v>17400</v>
      </c>
      <c r="Z62" s="74">
        <f>IF(OR(Table5[[#This Row],[Per Person Package Cost]]="", Table5[[#This Row],[No. of Pax]]=""), "", Table5[[#This Row],[Per Person Package Cost]] * Table5[[#This Row],[No. of Pax]])</f>
        <v>34800</v>
      </c>
      <c r="AA62" s="52" t="s">
        <v>75</v>
      </c>
      <c r="AB62" s="52" t="s">
        <v>75</v>
      </c>
      <c r="AC62" s="52" t="s">
        <v>134</v>
      </c>
      <c r="AD62" s="52" t="s">
        <v>106</v>
      </c>
      <c r="AE62" s="51" t="str">
        <f t="shared" si="0"/>
        <v>EXIDR04</v>
      </c>
      <c r="AF62" s="51" t="str">
        <f t="shared" si="1"/>
        <v>Heritage Pilgrimage</v>
      </c>
      <c r="AG62" s="74" t="str">
        <f t="shared" si="2"/>
        <v>Quick Getaways</v>
      </c>
      <c r="AH62" s="73" t="str">
        <f t="shared" si="4"/>
        <v>West MP</v>
      </c>
      <c r="AI62" s="52" t="s">
        <v>159</v>
      </c>
      <c r="AJ62" s="56" t="s">
        <v>78</v>
      </c>
      <c r="AK62" s="59" t="s">
        <v>79</v>
      </c>
      <c r="AL62" s="60" t="s">
        <v>80</v>
      </c>
      <c r="AM62" s="54" t="s">
        <v>80</v>
      </c>
      <c r="AN62" s="14">
        <v>46141</v>
      </c>
      <c r="AO62" s="15"/>
      <c r="AP62" s="91"/>
      <c r="AQ62" s="87"/>
      <c r="AR62" s="26"/>
      <c r="AS62" s="65"/>
      <c r="AT62" s="88" t="s">
        <v>81</v>
      </c>
      <c r="AU62" s="67"/>
      <c r="BX62" s="1">
        <v>58</v>
      </c>
      <c r="CG62" s="143">
        <v>46311</v>
      </c>
      <c r="CH62" s="143">
        <v>46313</v>
      </c>
      <c r="CI62" s="142" t="s">
        <v>116</v>
      </c>
      <c r="CJ62" s="141"/>
      <c r="CK62" s="141"/>
      <c r="CN62" t="s">
        <v>713</v>
      </c>
      <c r="CU62" t="s">
        <v>349</v>
      </c>
      <c r="CV62" t="s">
        <v>147</v>
      </c>
      <c r="CW62" t="s">
        <v>714</v>
      </c>
      <c r="CX62" t="s">
        <v>715</v>
      </c>
      <c r="CY62" t="s">
        <v>223</v>
      </c>
      <c r="CZ62" t="s">
        <v>716</v>
      </c>
      <c r="DA62" t="str" cm="1">
        <f t="array" ref="DA62:EO62">IF(U62&lt;&gt;"", TRANSPOSE(_xlfn._xlws.FILTER(CZ:CZ, CY:CY=U62, "")), "")</f>
        <v>Gwl (3N) + Mor + Son + Dat + Orc</v>
      </c>
      <c r="DB62" t="str">
        <v>Ex Gwl | Gwl (1N) - Son - Dat - Orc (1N) - Gwl (1N)</v>
      </c>
      <c r="DC62" t="str">
        <v>Ex Idr | Idr - Ujj (1N) - Omk - Mah (1N) - Man (1N) - Idr</v>
      </c>
      <c r="DD62" t="str">
        <v>Ex Jlr | Jlr - Kan (2N) - Jlr (1N)</v>
      </c>
      <c r="DE62" t="str">
        <v>Ex Jlr | Jlr - Ban (2N) - Jlr (1N)</v>
      </c>
      <c r="DF62" t="str">
        <v>Ex Bho | Bho (1N) + San - Bhoj - Bhim - Pch (2N) - Bho</v>
      </c>
      <c r="DG62" t="str">
        <v>Ex Idr | Idr (1N) - Ujj (1N) - Omk (1N) - Mah - Idr</v>
      </c>
      <c r="DH62" t="str">
        <v>Gwl - Orc (1N) - Ckt (1N) - Myr (1N) - Jlr</v>
      </c>
      <c r="DI62" t="str">
        <v>Gwl - Orc (1N) - Ckt (2N) - Ixd</v>
      </c>
      <c r="DJ62" t="str">
        <v>Ex Idr | Idr - Ujj (1N) - Omk - Mah (1N) - Idr (1N)</v>
      </c>
      <c r="DK62" t="str">
        <v>Ex Jlr | Jlr - Kan (3N) - Jlr</v>
      </c>
      <c r="DL62" t="str">
        <v>Ex Bho | Bho (2N) + Bhim + Bhoj + San + Udaygiri + Vidisha + FDCT Bho</v>
      </c>
      <c r="DM62" t="str">
        <v>Bho (1N) + Bhim + Bhoj - HDCT  Bho + Sanchi - Ujj (2N)</v>
      </c>
      <c r="DN62" t="str">
        <v>Bho (1N) + Bhim + Bhoj - HDCT  Bho + Sanchi - Ujj (2N) - Idr</v>
      </c>
      <c r="DO62" t="str">
        <v>Ex Bho | Bho - Bhoj - Bhim - Mad (1N) - Pch (2N) - Bho</v>
      </c>
      <c r="DP62" t="str">
        <v>Ex Bho | Bho - Bhoj - Bhim - Mad (1N) - Pch (3N) - Bho</v>
      </c>
      <c r="DQ62" t="str">
        <v>Ex Bho | Bho - Bhoj - Bhim - Tawa (1N) - Mad (1N) - Bho (1N)</v>
      </c>
      <c r="DR62" t="str">
        <v>Bho (1N) - Bhim - Bhoj - San - Idr (2N) + Ujj</v>
      </c>
      <c r="DS62" t="str">
        <v>Bho (1N) - Bhoj - Bhim - Pch (2N) - Bho</v>
      </c>
      <c r="DT62" t="str">
        <v>Ujj (1N) - Omk - Mah (1N) - Idr (1N)</v>
      </c>
      <c r="DU62" t="str">
        <v>Ujj (1N) - Omk - Mah (1N) - Man (1N) - Idr</v>
      </c>
      <c r="DV62" t="str">
        <v>Ex Idr | Idr (1N) - Ujj (1N) - Omk - Mah (1N)</v>
      </c>
      <c r="DW62" t="str">
        <v>Ex Idr | Idr - Ujj (1N) - Omk (1N) - Mah (1N) - Idr</v>
      </c>
      <c r="DX62" t="str">
        <v>Khandwa - Omk (1N) - Mah (1N) - Ujj (1N) - Idr</v>
      </c>
      <c r="DY62" t="str">
        <v>Ex Idr | Idr - Ujj (1N) - Omk - Mah (1N) - Man - Idr (1N)</v>
      </c>
      <c r="DZ62" t="str">
        <v xml:space="preserve">Idr - Omk (1N) - Mah - Ujj (1N) San - Bho (1N) </v>
      </c>
      <c r="EA62" t="str">
        <v>Ex Idr | Idr - Man (1N) - Mah - Omk (1N) - Ujj (1N) - Idr</v>
      </c>
      <c r="EB62" t="str">
        <v>Khandwa - Omk (1N) - Mah - Ujj (2N)</v>
      </c>
      <c r="EC62" t="str">
        <v>Ex Jlr | Jlr (1N) - Amr (1N) - Ban (1N) - Jlr</v>
      </c>
      <c r="ED62" t="str">
        <v>Ex Jlr | Jlr - (1 N) Ban - (2 N) Amar</v>
      </c>
      <c r="EE62" t="str">
        <v>Jlr - Kan (1N) - Pch (2N)</v>
      </c>
      <c r="EF62" t="str">
        <v>Pi - Pch (2N)  - Kan (1N)</v>
      </c>
      <c r="EG62" t="str">
        <v>Ex Jlr | Jlr - Amr (1 N) - (1 N) Ban - (1 N) Jlr</v>
      </c>
      <c r="EH62" t="str">
        <v>Ppi - (2 N) Pch - (1 N) Pen</v>
      </c>
      <c r="EI62" t="str">
        <v>Bhp - Pch (2N) - Jlr (1N)</v>
      </c>
      <c r="EJ62" t="str">
        <v xml:space="preserve">Arr Jhn - Hjr (1N) - Orc - Gwl (2N) </v>
      </c>
      <c r="EK62" t="str">
        <v>(1 N) Ujj - (1 N) Mah - (1 N) Idr</v>
      </c>
      <c r="EL62" t="str">
        <v>Ex Bhp | Bhp - Bhoj - Bhim - Pch (3N) - Bhp</v>
      </c>
      <c r="EM62" t="str">
        <v>Ex Bhp | Bhp - Bhoj - Bhim - Pch (2N) - Mad (1N) - Bhp</v>
      </c>
      <c r="EN62" t="str">
        <v xml:space="preserve">Ex Nag - 3N Pch + Sat </v>
      </c>
      <c r="EO62" t="str">
        <v>1N Gwl - Son - Dat - 1N Hjr - 1N Orc - Jhn</v>
      </c>
    </row>
    <row r="63" spans="2:145" ht="15" customHeight="1">
      <c r="B63" s="34">
        <v>59</v>
      </c>
      <c r="C63" s="36" t="s">
        <v>717</v>
      </c>
      <c r="D63" s="76">
        <v>46135</v>
      </c>
      <c r="E63" s="37" t="str">
        <f>IF(Table5[[#This Row],[Query Date]]&lt;&gt;"", TEXT(Table5[[#This Row],[Query Date]], "dddd"), "")</f>
        <v>Thursday</v>
      </c>
      <c r="F63" s="37" t="str">
        <f>IF(Table5[[#This Row],[Query Date]]&lt;&gt;"", TEXT(Table5[[#This Row],[Query Date]], "mmmm"), "")</f>
        <v>April</v>
      </c>
      <c r="G63" s="28" t="s">
        <v>65</v>
      </c>
      <c r="H63" s="28" t="s">
        <v>66</v>
      </c>
      <c r="I63" s="28" t="s">
        <v>67</v>
      </c>
      <c r="J63" s="28" t="s">
        <v>68</v>
      </c>
      <c r="K63" s="28" t="s">
        <v>718</v>
      </c>
      <c r="L63" s="25" t="s">
        <v>70</v>
      </c>
      <c r="M63" s="112" t="s">
        <v>247</v>
      </c>
      <c r="N63" s="25" t="s">
        <v>248</v>
      </c>
      <c r="O63" s="130" t="s">
        <v>249</v>
      </c>
      <c r="P63" s="106" t="s">
        <v>719</v>
      </c>
      <c r="Q63" s="77">
        <v>46193</v>
      </c>
      <c r="R63" s="77" t="str">
        <f>IF(Table5[[#This Row],[Tour Starting Date]]&lt;&gt;"", TEXT(Table5[[#This Row],[Tour Starting Date]], "dddd"), "")</f>
        <v>Saturday</v>
      </c>
      <c r="S63" s="77">
        <v>46196</v>
      </c>
      <c r="T63" s="25" t="str">
        <f>IF(Table5[[#This Row],[Tour Ending Date]]&lt;&gt;"", TEXT(Table5[[#This Row],[Tour Ending Date]], "dddd"), "")</f>
        <v>Tuesday</v>
      </c>
      <c r="U63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63" s="37" t="str">
        <f>IF(Table5[[#This Row],[Tour Starting Date]]&lt;&gt;"", TEXT(Table5[[#This Row],[Tour Starting Date]], "mmmm"), "")</f>
        <v>June</v>
      </c>
      <c r="W63" s="80" t="str" cm="1">
        <f t="array" ref="W63">IF(Q63&lt;&gt;"", INDEX(CI:CI, MATCH(1, (Q63&gt;=CG:CG)*(Q63&lt;=CH:CH), 0)), "")</f>
        <v>Regular Dates - Weekend</v>
      </c>
      <c r="X63" s="39">
        <v>5</v>
      </c>
      <c r="Y63" s="74">
        <v>9800</v>
      </c>
      <c r="Z63" s="74">
        <f>IF(OR(Table5[[#This Row],[Per Person Package Cost]]="", Table5[[#This Row],[No. of Pax]]=""), "", Table5[[#This Row],[Per Person Package Cost]] * Table5[[#This Row],[No. of Pax]])</f>
        <v>49000</v>
      </c>
      <c r="AA63" s="52" t="s">
        <v>205</v>
      </c>
      <c r="AB63" s="52" t="s">
        <v>75</v>
      </c>
      <c r="AC63" s="52" t="s">
        <v>76</v>
      </c>
      <c r="AD63" s="52" t="s">
        <v>421</v>
      </c>
      <c r="AE63" s="51" t="str">
        <f t="shared" si="0"/>
        <v>EMPSPR08</v>
      </c>
      <c r="AF63" s="51" t="str">
        <f t="shared" si="1"/>
        <v>Sacred Journey of Central India</v>
      </c>
      <c r="AG63" s="74" t="str">
        <f t="shared" si="2"/>
        <v>Special Interest - Spiritual Tours</v>
      </c>
      <c r="AH63" s="73" t="str">
        <f t="shared" si="4"/>
        <v>West MP</v>
      </c>
      <c r="AI63" s="52" t="s">
        <v>107</v>
      </c>
      <c r="AJ63" s="56" t="s">
        <v>78</v>
      </c>
      <c r="AK63" s="59" t="s">
        <v>79</v>
      </c>
      <c r="AL63" s="60" t="s">
        <v>80</v>
      </c>
      <c r="AM63" s="54" t="s">
        <v>80</v>
      </c>
      <c r="AN63" s="14">
        <v>46141</v>
      </c>
      <c r="AO63" s="15">
        <v>46158</v>
      </c>
      <c r="AP63" s="91">
        <v>46162</v>
      </c>
      <c r="AQ63" s="87"/>
      <c r="AR63" s="26"/>
      <c r="AS63" s="65"/>
      <c r="AT63" s="88" t="s">
        <v>81</v>
      </c>
      <c r="AU63" s="67"/>
      <c r="BX63" s="1">
        <v>59</v>
      </c>
      <c r="CG63" s="143">
        <v>46314</v>
      </c>
      <c r="CH63" s="143">
        <v>46317</v>
      </c>
      <c r="CI63" s="142" t="s">
        <v>88</v>
      </c>
      <c r="CJ63" s="141"/>
      <c r="CK63" s="141"/>
      <c r="CN63" t="s">
        <v>720</v>
      </c>
      <c r="CU63" t="s">
        <v>349</v>
      </c>
      <c r="CV63" t="s">
        <v>299</v>
      </c>
      <c r="CW63" t="s">
        <v>721</v>
      </c>
      <c r="CX63" t="s">
        <v>722</v>
      </c>
      <c r="CY63" t="s">
        <v>450</v>
      </c>
      <c r="CZ63" t="s">
        <v>723</v>
      </c>
      <c r="DA63" t="str" cm="1">
        <f t="array" ref="DA63:EO63">IF(U63&lt;&gt;"", TRANSPOSE(_xlfn._xlws.FILTER(CZ:CZ, CY:CY=U63, "")), "")</f>
        <v>Gwl (3N) + Mor + Son + Dat + Orc</v>
      </c>
      <c r="DB63" t="str">
        <v>Ex Gwl | Gwl (1N) - Son - Dat - Orc (1N) - Gwl (1N)</v>
      </c>
      <c r="DC63" t="str">
        <v>Ex Idr | Idr - Ujj (1N) - Omk - Mah (1N) - Man (1N) - Idr</v>
      </c>
      <c r="DD63" t="str">
        <v>Ex Jlr | Jlr - Kan (2N) - Jlr (1N)</v>
      </c>
      <c r="DE63" t="str">
        <v>Ex Jlr | Jlr - Ban (2N) - Jlr (1N)</v>
      </c>
      <c r="DF63" t="str">
        <v>Ex Bho | Bho (1N) + San - Bhoj - Bhim - Pch (2N) - Bho</v>
      </c>
      <c r="DG63" t="str">
        <v>Ex Idr | Idr (1N) - Ujj (1N) - Omk (1N) - Mah - Idr</v>
      </c>
      <c r="DH63" t="str">
        <v>Gwl - Orc (1N) - Ckt (1N) - Myr (1N) - Jlr</v>
      </c>
      <c r="DI63" t="str">
        <v>Gwl - Orc (1N) - Ckt (2N) - Ixd</v>
      </c>
      <c r="DJ63" t="str">
        <v>Ex Idr | Idr - Ujj (1N) - Omk - Mah (1N) - Idr (1N)</v>
      </c>
      <c r="DK63" t="str">
        <v>Ex Jlr | Jlr - Kan (3N) - Jlr</v>
      </c>
      <c r="DL63" t="str">
        <v>Ex Bho | Bho (2N) + Bhim + Bhoj + San + Udaygiri + Vidisha + FDCT Bho</v>
      </c>
      <c r="DM63" t="str">
        <v>Bho (1N) + Bhim + Bhoj - HDCT  Bho + Sanchi - Ujj (2N)</v>
      </c>
      <c r="DN63" t="str">
        <v>Bho (1N) + Bhim + Bhoj - HDCT  Bho + Sanchi - Ujj (2N) - Idr</v>
      </c>
      <c r="DO63" t="str">
        <v>Ex Bho | Bho - Bhoj - Bhim - Mad (1N) - Pch (2N) - Bho</v>
      </c>
      <c r="DP63" t="str">
        <v>Ex Bho | Bho - Bhoj - Bhim - Mad (1N) - Pch (3N) - Bho</v>
      </c>
      <c r="DQ63" t="str">
        <v>Ex Bho | Bho - Bhoj - Bhim - Tawa (1N) - Mad (1N) - Bho (1N)</v>
      </c>
      <c r="DR63" t="str">
        <v>Bho (1N) - Bhim - Bhoj - San - Idr (2N) + Ujj</v>
      </c>
      <c r="DS63" t="str">
        <v>Bho (1N) - Bhoj - Bhim - Pch (2N) - Bho</v>
      </c>
      <c r="DT63" t="str">
        <v>Ujj (1N) - Omk - Mah (1N) - Idr (1N)</v>
      </c>
      <c r="DU63" t="str">
        <v>Ujj (1N) - Omk - Mah (1N) - Man (1N) - Idr</v>
      </c>
      <c r="DV63" t="str">
        <v>Ex Idr | Idr (1N) - Ujj (1N) - Omk - Mah (1N)</v>
      </c>
      <c r="DW63" t="str">
        <v>Ex Idr | Idr - Ujj (1N) - Omk (1N) - Mah (1N) - Idr</v>
      </c>
      <c r="DX63" t="str">
        <v>Khandwa - Omk (1N) - Mah (1N) - Ujj (1N) - Idr</v>
      </c>
      <c r="DY63" t="str">
        <v>Ex Idr | Idr - Ujj (1N) - Omk - Mah (1N) - Man - Idr (1N)</v>
      </c>
      <c r="DZ63" t="str">
        <v xml:space="preserve">Idr - Omk (1N) - Mah - Ujj (1N) San - Bho (1N) </v>
      </c>
      <c r="EA63" t="str">
        <v>Ex Idr | Idr - Man (1N) - Mah - Omk (1N) - Ujj (1N) - Idr</v>
      </c>
      <c r="EB63" t="str">
        <v>Khandwa - Omk (1N) - Mah - Ujj (2N)</v>
      </c>
      <c r="EC63" t="str">
        <v>Ex Jlr | Jlr (1N) - Amr (1N) - Ban (1N) - Jlr</v>
      </c>
      <c r="ED63" t="str">
        <v>Ex Jlr | Jlr - (1 N) Ban - (2 N) Amar</v>
      </c>
      <c r="EE63" t="str">
        <v>Jlr - Kan (1N) - Pch (2N)</v>
      </c>
      <c r="EF63" t="str">
        <v>Pi - Pch (2N)  - Kan (1N)</v>
      </c>
      <c r="EG63" t="str">
        <v>Ex Jlr | Jlr - Amr (1 N) - (1 N) Ban - (1 N) Jlr</v>
      </c>
      <c r="EH63" t="str">
        <v>Ppi - (2 N) Pch - (1 N) Pen</v>
      </c>
      <c r="EI63" t="str">
        <v>Bhp - Pch (2N) - Jlr (1N)</v>
      </c>
      <c r="EJ63" t="str">
        <v xml:space="preserve">Arr Jhn - Hjr (1N) - Orc - Gwl (2N) </v>
      </c>
      <c r="EK63" t="str">
        <v>(1 N) Ujj - (1 N) Mah - (1 N) Idr</v>
      </c>
      <c r="EL63" t="str">
        <v>Ex Bhp | Bhp - Bhoj - Bhim - Pch (3N) - Bhp</v>
      </c>
      <c r="EM63" t="str">
        <v>Ex Bhp | Bhp - Bhoj - Bhim - Pch (2N) - Mad (1N) - Bhp</v>
      </c>
      <c r="EN63" t="str">
        <v xml:space="preserve">Ex Nag - 3N Pch + Sat </v>
      </c>
      <c r="EO63" t="str">
        <v>1N Gwl - Son - Dat - 1N Hjr - 1N Orc - Jhn</v>
      </c>
    </row>
    <row r="64" spans="2:145" ht="15" customHeight="1">
      <c r="B64" s="35">
        <v>60</v>
      </c>
      <c r="C64" s="36" t="s">
        <v>724</v>
      </c>
      <c r="D64" s="76">
        <v>46135</v>
      </c>
      <c r="E64" s="37" t="str">
        <f>IF(Table5[[#This Row],[Query Date]]&lt;&gt;"", TEXT(Table5[[#This Row],[Query Date]], "dddd"), "")</f>
        <v>Thursday</v>
      </c>
      <c r="F64" s="37" t="str">
        <f>IF(Table5[[#This Row],[Query Date]]&lt;&gt;"", TEXT(Table5[[#This Row],[Query Date]], "mmmm"), "")</f>
        <v>April</v>
      </c>
      <c r="G64" s="28" t="s">
        <v>65</v>
      </c>
      <c r="H64" s="28" t="s">
        <v>66</v>
      </c>
      <c r="I64" s="28" t="s">
        <v>67</v>
      </c>
      <c r="J64" s="28" t="s">
        <v>68</v>
      </c>
      <c r="K64" s="28" t="s">
        <v>69</v>
      </c>
      <c r="L64" s="25" t="s">
        <v>70</v>
      </c>
      <c r="M64" s="112" t="s">
        <v>101</v>
      </c>
      <c r="N64" s="25" t="s">
        <v>102</v>
      </c>
      <c r="O64" s="130" t="s">
        <v>725</v>
      </c>
      <c r="P64" s="46" t="s">
        <v>104</v>
      </c>
      <c r="Q64" s="77">
        <v>46171</v>
      </c>
      <c r="R64" s="77" t="str">
        <f>IF(Table5[[#This Row],[Tour Starting Date]]&lt;&gt;"", TEXT(Table5[[#This Row],[Tour Starting Date]], "dddd"), "")</f>
        <v>Friday</v>
      </c>
      <c r="S64" s="77">
        <v>46174</v>
      </c>
      <c r="T64" s="25" t="str">
        <f>IF(Table5[[#This Row],[Tour Ending Date]]&lt;&gt;"", TEXT(Table5[[#This Row],[Tour Ending Date]], "dddd"), "")</f>
        <v>Monday</v>
      </c>
      <c r="U64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64" s="37" t="str">
        <f>IF(Table5[[#This Row],[Tour Starting Date]]&lt;&gt;"", TEXT(Table5[[#This Row],[Tour Starting Date]], "mmmm"), "")</f>
        <v>May</v>
      </c>
      <c r="W64" s="80" t="str" cm="1">
        <f t="array" ref="W64">IF(Q64&lt;&gt;"", INDEX(CI:CI, MATCH(1, (Q64&gt;=CG:CG)*(Q64&lt;=CH:CH), 0)), "")</f>
        <v>Regular Dates - Weekend</v>
      </c>
      <c r="X64" s="39">
        <v>8</v>
      </c>
      <c r="Y64" s="74">
        <v>34000</v>
      </c>
      <c r="Z64" s="74">
        <f>IF(OR(Table5[[#This Row],[Per Person Package Cost]]="", Table5[[#This Row],[No. of Pax]]=""), "", Table5[[#This Row],[Per Person Package Cost]] * Table5[[#This Row],[No. of Pax]])</f>
        <v>272000</v>
      </c>
      <c r="AA64" s="52" t="s">
        <v>520</v>
      </c>
      <c r="AB64" s="52" t="s">
        <v>520</v>
      </c>
      <c r="AC64" s="52" t="s">
        <v>134</v>
      </c>
      <c r="AD64" s="52"/>
      <c r="AE64" s="51" t="str">
        <f t="shared" si="0"/>
        <v/>
      </c>
      <c r="AF64" s="51" t="str">
        <f t="shared" si="1"/>
        <v/>
      </c>
      <c r="AG64" s="74" t="str">
        <f t="shared" si="2"/>
        <v/>
      </c>
      <c r="AH64" s="73" t="str">
        <f t="shared" si="4"/>
        <v/>
      </c>
      <c r="AI64" s="52" t="s">
        <v>77</v>
      </c>
      <c r="AJ64" s="56" t="s">
        <v>78</v>
      </c>
      <c r="AK64" s="59" t="s">
        <v>79</v>
      </c>
      <c r="AL64" s="60" t="s">
        <v>80</v>
      </c>
      <c r="AM64" s="54" t="s">
        <v>80</v>
      </c>
      <c r="AN64" s="14">
        <v>46141</v>
      </c>
      <c r="AO64" s="15"/>
      <c r="AP64" s="91"/>
      <c r="AQ64" s="87"/>
      <c r="AR64" s="26"/>
      <c r="AS64" s="65"/>
      <c r="AT64" s="88" t="s">
        <v>81</v>
      </c>
      <c r="AU64" s="67"/>
      <c r="BX64" s="1">
        <v>60</v>
      </c>
      <c r="CG64" s="143">
        <v>46318</v>
      </c>
      <c r="CH64" s="143">
        <v>46320</v>
      </c>
      <c r="CI64" s="142" t="s">
        <v>116</v>
      </c>
      <c r="CJ64" s="141"/>
      <c r="CK64" s="141"/>
      <c r="CN64" t="s">
        <v>726</v>
      </c>
      <c r="CU64" t="s">
        <v>349</v>
      </c>
      <c r="CV64" t="s">
        <v>299</v>
      </c>
      <c r="CW64" t="s">
        <v>727</v>
      </c>
      <c r="CX64" t="s">
        <v>728</v>
      </c>
      <c r="CY64" t="s">
        <v>243</v>
      </c>
      <c r="CZ64" t="s">
        <v>729</v>
      </c>
      <c r="DA64" t="str" cm="1">
        <f t="array" ref="DA64:EO64">IF(U64&lt;&gt;"", TRANSPOSE(_xlfn._xlws.FILTER(CZ:CZ, CY:CY=U64, "")), "")</f>
        <v>Gwl (3N) + Mor + Son + Dat + Orc</v>
      </c>
      <c r="DB64" t="str">
        <v>Ex Gwl | Gwl (1N) - Son - Dat - Orc (1N) - Gwl (1N)</v>
      </c>
      <c r="DC64" t="str">
        <v>Ex Idr | Idr - Ujj (1N) - Omk - Mah (1N) - Man (1N) - Idr</v>
      </c>
      <c r="DD64" t="str">
        <v>Ex Jlr | Jlr - Kan (2N) - Jlr (1N)</v>
      </c>
      <c r="DE64" t="str">
        <v>Ex Jlr | Jlr - Ban (2N) - Jlr (1N)</v>
      </c>
      <c r="DF64" t="str">
        <v>Ex Bho | Bho (1N) + San - Bhoj - Bhim - Pch (2N) - Bho</v>
      </c>
      <c r="DG64" t="str">
        <v>Ex Idr | Idr (1N) - Ujj (1N) - Omk (1N) - Mah - Idr</v>
      </c>
      <c r="DH64" t="str">
        <v>Gwl - Orc (1N) - Ckt (1N) - Myr (1N) - Jlr</v>
      </c>
      <c r="DI64" t="str">
        <v>Gwl - Orc (1N) - Ckt (2N) - Ixd</v>
      </c>
      <c r="DJ64" t="str">
        <v>Ex Idr | Idr - Ujj (1N) - Omk - Mah (1N) - Idr (1N)</v>
      </c>
      <c r="DK64" t="str">
        <v>Ex Jlr | Jlr - Kan (3N) - Jlr</v>
      </c>
      <c r="DL64" t="str">
        <v>Ex Bho | Bho (2N) + Bhim + Bhoj + San + Udaygiri + Vidisha + FDCT Bho</v>
      </c>
      <c r="DM64" t="str">
        <v>Bho (1N) + Bhim + Bhoj - HDCT  Bho + Sanchi - Ujj (2N)</v>
      </c>
      <c r="DN64" t="str">
        <v>Bho (1N) + Bhim + Bhoj - HDCT  Bho + Sanchi - Ujj (2N) - Idr</v>
      </c>
      <c r="DO64" t="str">
        <v>Ex Bho | Bho - Bhoj - Bhim - Mad (1N) - Pch (2N) - Bho</v>
      </c>
      <c r="DP64" t="str">
        <v>Ex Bho | Bho - Bhoj - Bhim - Mad (1N) - Pch (3N) - Bho</v>
      </c>
      <c r="DQ64" t="str">
        <v>Ex Bho | Bho - Bhoj - Bhim - Tawa (1N) - Mad (1N) - Bho (1N)</v>
      </c>
      <c r="DR64" t="str">
        <v>Bho (1N) - Bhim - Bhoj - San - Idr (2N) + Ujj</v>
      </c>
      <c r="DS64" t="str">
        <v>Bho (1N) - Bhoj - Bhim - Pch (2N) - Bho</v>
      </c>
      <c r="DT64" t="str">
        <v>Ujj (1N) - Omk - Mah (1N) - Idr (1N)</v>
      </c>
      <c r="DU64" t="str">
        <v>Ujj (1N) - Omk - Mah (1N) - Man (1N) - Idr</v>
      </c>
      <c r="DV64" t="str">
        <v>Ex Idr | Idr (1N) - Ujj (1N) - Omk - Mah (1N)</v>
      </c>
      <c r="DW64" t="str">
        <v>Ex Idr | Idr - Ujj (1N) - Omk (1N) - Mah (1N) - Idr</v>
      </c>
      <c r="DX64" t="str">
        <v>Khandwa - Omk (1N) - Mah (1N) - Ujj (1N) - Idr</v>
      </c>
      <c r="DY64" t="str">
        <v>Ex Idr | Idr - Ujj (1N) - Omk - Mah (1N) - Man - Idr (1N)</v>
      </c>
      <c r="DZ64" t="str">
        <v xml:space="preserve">Idr - Omk (1N) - Mah - Ujj (1N) San - Bho (1N) </v>
      </c>
      <c r="EA64" t="str">
        <v>Ex Idr | Idr - Man (1N) - Mah - Omk (1N) - Ujj (1N) - Idr</v>
      </c>
      <c r="EB64" t="str">
        <v>Khandwa - Omk (1N) - Mah - Ujj (2N)</v>
      </c>
      <c r="EC64" t="str">
        <v>Ex Jlr | Jlr (1N) - Amr (1N) - Ban (1N) - Jlr</v>
      </c>
      <c r="ED64" t="str">
        <v>Ex Jlr | Jlr - (1 N) Ban - (2 N) Amar</v>
      </c>
      <c r="EE64" t="str">
        <v>Jlr - Kan (1N) - Pch (2N)</v>
      </c>
      <c r="EF64" t="str">
        <v>Pi - Pch (2N)  - Kan (1N)</v>
      </c>
      <c r="EG64" t="str">
        <v>Ex Jlr | Jlr - Amr (1 N) - (1 N) Ban - (1 N) Jlr</v>
      </c>
      <c r="EH64" t="str">
        <v>Ppi - (2 N) Pch - (1 N) Pen</v>
      </c>
      <c r="EI64" t="str">
        <v>Bhp - Pch (2N) - Jlr (1N)</v>
      </c>
      <c r="EJ64" t="str">
        <v xml:space="preserve">Arr Jhn - Hjr (1N) - Orc - Gwl (2N) </v>
      </c>
      <c r="EK64" t="str">
        <v>(1 N) Ujj - (1 N) Mah - (1 N) Idr</v>
      </c>
      <c r="EL64" t="str">
        <v>Ex Bhp | Bhp - Bhoj - Bhim - Pch (3N) - Bhp</v>
      </c>
      <c r="EM64" t="str">
        <v>Ex Bhp | Bhp - Bhoj - Bhim - Pch (2N) - Mad (1N) - Bhp</v>
      </c>
      <c r="EN64" t="str">
        <v xml:space="preserve">Ex Nag - 3N Pch + Sat </v>
      </c>
      <c r="EO64" t="str">
        <v>1N Gwl - Son - Dat - 1N Hjr - 1N Orc - Jhn</v>
      </c>
    </row>
    <row r="65" spans="2:145" ht="15" customHeight="1">
      <c r="B65" s="34">
        <v>61</v>
      </c>
      <c r="C65" s="36" t="s">
        <v>730</v>
      </c>
      <c r="D65" s="76">
        <v>46135</v>
      </c>
      <c r="E65" s="37" t="str">
        <f>IF(Table5[[#This Row],[Query Date]]&lt;&gt;"", TEXT(Table5[[#This Row],[Query Date]], "dddd"), "")</f>
        <v>Thursday</v>
      </c>
      <c r="F65" s="37" t="str">
        <f>IF(Table5[[#This Row],[Query Date]]&lt;&gt;"", TEXT(Table5[[#This Row],[Query Date]], "mmmm"), "")</f>
        <v>April</v>
      </c>
      <c r="G65" s="28" t="s">
        <v>65</v>
      </c>
      <c r="H65" s="28" t="s">
        <v>66</v>
      </c>
      <c r="I65" s="28" t="s">
        <v>67</v>
      </c>
      <c r="J65" s="28" t="s">
        <v>68</v>
      </c>
      <c r="K65" s="28" t="s">
        <v>590</v>
      </c>
      <c r="L65" s="25" t="s">
        <v>70</v>
      </c>
      <c r="M65" s="112" t="s">
        <v>731</v>
      </c>
      <c r="N65" s="25" t="s">
        <v>732</v>
      </c>
      <c r="O65" s="130" t="s">
        <v>733</v>
      </c>
      <c r="P65" s="46" t="s">
        <v>734</v>
      </c>
      <c r="Q65" s="77">
        <v>46165</v>
      </c>
      <c r="R65" s="77" t="str">
        <f>IF(Table5[[#This Row],[Tour Starting Date]]&lt;&gt;"", TEXT(Table5[[#This Row],[Tour Starting Date]], "dddd"), "")</f>
        <v>Saturday</v>
      </c>
      <c r="S65" s="77">
        <v>46171</v>
      </c>
      <c r="T65" s="25" t="str">
        <f>IF(Table5[[#This Row],[Tour Ending Date]]&lt;&gt;"", TEXT(Table5[[#This Row],[Tour Ending Date]], "dddd"), "")</f>
        <v>Friday</v>
      </c>
      <c r="U65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6 Nights &amp; 7 Days</v>
      </c>
      <c r="V65" s="37" t="str">
        <f>IF(Table5[[#This Row],[Tour Starting Date]]&lt;&gt;"", TEXT(Table5[[#This Row],[Tour Starting Date]], "mmmm"), "")</f>
        <v>May</v>
      </c>
      <c r="W65" s="80" t="str" cm="1">
        <f t="array" ref="W65">IF(Q65&lt;&gt;"", INDEX(CI:CI, MATCH(1, (Q65&gt;=CG:CG)*(Q65&lt;=CH:CH), 0)), "")</f>
        <v>Regular Dates - Weekend</v>
      </c>
      <c r="X65" s="39">
        <v>13</v>
      </c>
      <c r="Y65" s="74">
        <v>25500</v>
      </c>
      <c r="Z65" s="74">
        <f>IF(OR(Table5[[#This Row],[Per Person Package Cost]]="", Table5[[#This Row],[No. of Pax]]=""), "", Table5[[#This Row],[Per Person Package Cost]] * Table5[[#This Row],[No. of Pax]])</f>
        <v>331500</v>
      </c>
      <c r="AA65" s="52" t="s">
        <v>520</v>
      </c>
      <c r="AB65" s="52" t="s">
        <v>133</v>
      </c>
      <c r="AC65" s="52" t="s">
        <v>76</v>
      </c>
      <c r="AD65" s="52" t="s">
        <v>681</v>
      </c>
      <c r="AE65" s="51" t="str">
        <f t="shared" si="0"/>
        <v>EMPRT07</v>
      </c>
      <c r="AF65" s="51" t="str">
        <f t="shared" si="1"/>
        <v>Thrilling Madhya Pradesh</v>
      </c>
      <c r="AG65" s="74" t="str">
        <f t="shared" si="2"/>
        <v>Regular Tours</v>
      </c>
      <c r="AH65" s="73" t="str">
        <f t="shared" si="4"/>
        <v>South + East MP</v>
      </c>
      <c r="AI65" s="52" t="s">
        <v>107</v>
      </c>
      <c r="AJ65" s="56" t="s">
        <v>78</v>
      </c>
      <c r="AK65" s="59" t="s">
        <v>79</v>
      </c>
      <c r="AL65" s="60" t="s">
        <v>80</v>
      </c>
      <c r="AM65" s="54" t="s">
        <v>80</v>
      </c>
      <c r="AN65" s="14">
        <v>46141</v>
      </c>
      <c r="AO65" s="15">
        <v>46151</v>
      </c>
      <c r="AP65" s="91">
        <v>46158</v>
      </c>
      <c r="AQ65" s="87"/>
      <c r="AR65" s="26"/>
      <c r="AS65" s="65"/>
      <c r="AT65" s="88" t="s">
        <v>81</v>
      </c>
      <c r="AU65" s="67" t="s">
        <v>82</v>
      </c>
      <c r="BX65" s="1">
        <v>61</v>
      </c>
      <c r="CG65" s="143">
        <v>46321</v>
      </c>
      <c r="CH65" s="143">
        <v>46321</v>
      </c>
      <c r="CI65" s="142" t="s">
        <v>735</v>
      </c>
      <c r="CJ65" s="141"/>
      <c r="CK65" s="141"/>
      <c r="CN65" t="s">
        <v>736</v>
      </c>
      <c r="CU65" t="s">
        <v>349</v>
      </c>
      <c r="CV65" t="s">
        <v>147</v>
      </c>
      <c r="CW65" t="s">
        <v>737</v>
      </c>
      <c r="CX65" t="s">
        <v>738</v>
      </c>
      <c r="CY65" t="s">
        <v>197</v>
      </c>
      <c r="CZ65" t="s">
        <v>739</v>
      </c>
      <c r="DA65" t="str" cm="1">
        <f t="array" ref="DA65:DZ65">IF(U65&lt;&gt;"", TRANSPOSE(_xlfn._xlws.FILTER(CZ:CZ, CY:CY=U65, "")), "")</f>
        <v>Ex Gwl | Gwl (2N) + Mor - Orc - Pan (2N) - Hjr (1N) - Dat - Son - Gwl (1N)</v>
      </c>
      <c r="DB65" t="str">
        <v>Ex Gwl | GWL (2N) + Mor - Shiv - Chan (2N) - Hjr (1N) - Orc (1N) - Dat - Gwl</v>
      </c>
      <c r="DC65" t="str">
        <v>Gwl (2N) + Mor - Son - Dat - Orc (1N) - Hjr (1N) - Ban (1N) - Jlr (1N)</v>
      </c>
      <c r="DD65" t="str">
        <v>Idr - Ujj (1N) - Omk - Mah (1N) - Man (2N) - Bhp (2N) + Bhim + Bhoj + San</v>
      </c>
      <c r="DE65" t="str">
        <v>Bhp (1N) + Bhim + Bhoj + San - Ujj (1N) - Man (2N) - Mah - Omk (1N) - Idr (1N)</v>
      </c>
      <c r="DF65" t="str">
        <v>Jlr (1N) - Ban (1N) - Hjr (1N) - Orc (1N) - Dat - Son - Gwl (2N) + Mor</v>
      </c>
      <c r="DG65" t="str">
        <v>Bho (1N) + San - Bhoj - Bhim - Tawa (1N) - Mad (1N) - Pch (2N) - Jlr (1N)</v>
      </c>
      <c r="DH65" t="str">
        <v>Bho (1N) + San + Udaygiri - Bhoj - Bhim - Pch (2N) - Kan(2N) - Jlr (1N)</v>
      </c>
      <c r="DI65" t="str">
        <v>Bho (1N) + Bhim + Bhoj - San - Ujj (1N) - Man (2N) - Mah - Omk (1N) - Idr (1N)</v>
      </c>
      <c r="DJ65" t="str">
        <v>Gwl (2N) + Mor - Son - Dat - Orc (1N) - Hjr (1N) - Jab (1N) - Kan (1N) - Nag</v>
      </c>
      <c r="DK65" t="str">
        <v>Bho (2N) + San + Bhoj + Bhim - Ujj (1N) - Omk - Mah (1N) - Man (1N) - Idr (1N)</v>
      </c>
      <c r="DL65" t="str">
        <v>Ex Nag | Nag - Pch (2N) - Bhim - Bhoj - Bho (2N) + San + Udaygiri - Jlr (1N) - Kan (1N) - Nag</v>
      </c>
      <c r="DM65" t="str">
        <v>Bho (1N) - Mad (2N) + Tawa Cruise Safari - Pch (2N) - Jlr (1N) - Nag</v>
      </c>
      <c r="DN65" t="str">
        <v>Idr - Man (2N) - Idr (1N) - Bho (1N) + San - Bhoj - Bhim - Pch (2N) - Bho</v>
      </c>
      <c r="DO65" t="str">
        <v>Rpr - kan (2N) - Ban (1N) - Jlr (1N) - Mad (2N) - Bhim - Bhoj - Bho</v>
      </c>
      <c r="DP65" t="str">
        <v>Jlr - Amar (1 N) - Ban (2 N) - Kan (1N) - Pch (2N) - Ppi</v>
      </c>
      <c r="DQ65" t="str">
        <v>Jlr - (2N) Kan - (1N) Jlr - Bhim - Bhoj - (2N) Bho  (Ex San &amp; Uda)  - (1N) Ujj - Idr</v>
      </c>
      <c r="DR65" t="str">
        <v>Ex Nag | Nag (2 N) Pach - Bhim - Bhij - (2 N) Bho (Ex San &amp; Uad) - (1 N) Jlr - (1 N) Kan - Nag</v>
      </c>
      <c r="DS65" t="str">
        <v>(2 N) Bho (Ex San, Bhoj &amp; Bhim) - (1 N) Ujj - Omk - (1 N) Mah - (1 N) Man - (1 N) Idr</v>
      </c>
      <c r="DT65" t="str">
        <v>(2 N) Gwl (Ex Mor) - Son - Dat - (1 N) Orc - (1 N) Hjr - (1 N) Jlr - (1 N) Kan - Nag</v>
      </c>
      <c r="DU65" t="str">
        <v>(1 N) Jlr - (2 N) Kanha - (2 N Pach) - (1 N) BHo</v>
      </c>
      <c r="DV65" t="str">
        <v>(2 N) Gwl - (1 N) Orc - (1 N) Hjr - (1 N) Ban - (1 N) Jlr</v>
      </c>
      <c r="DW65" t="str">
        <v>(2 N) BHo - (2 N) Madhai - (1 N) Pach - (1 N) Jlr</v>
      </c>
      <c r="DX65" t="str">
        <v>Ex Bhp | Bhp - Bhoj - Bhim - Pach (3N) - Tawa - Mad - Tawa (1N) - Mad (1N) - Bho (1N)</v>
      </c>
      <c r="DY65" t="str">
        <v>Ex Idr I Idr - 2N Ujj - 1N Man - 1N Mah - 1N Omk - 1N Idr</v>
      </c>
      <c r="DZ65" t="str">
        <v>1N Jlr - 1N Kan - 1N Ban - 1N Hjr -2N Gwl</v>
      </c>
    </row>
    <row r="66" spans="2:145" ht="15" customHeight="1">
      <c r="B66" s="35">
        <v>62</v>
      </c>
      <c r="C66" s="36" t="s">
        <v>740</v>
      </c>
      <c r="D66" s="76">
        <v>46137</v>
      </c>
      <c r="E66" s="37" t="str">
        <f>IF(Table5[[#This Row],[Query Date]]&lt;&gt;"", TEXT(Table5[[#This Row],[Query Date]], "dddd"), "")</f>
        <v>Saturday</v>
      </c>
      <c r="F66" s="37" t="str">
        <f>IF(Table5[[#This Row],[Query Date]]&lt;&gt;"", TEXT(Table5[[#This Row],[Query Date]], "mmmm"), "")</f>
        <v>April</v>
      </c>
      <c r="G66" s="28" t="s">
        <v>65</v>
      </c>
      <c r="H66" s="28" t="s">
        <v>66</v>
      </c>
      <c r="I66" s="28" t="s">
        <v>67</v>
      </c>
      <c r="J66" s="28" t="s">
        <v>68</v>
      </c>
      <c r="K66" s="28" t="s">
        <v>69</v>
      </c>
      <c r="L66" s="25" t="s">
        <v>70</v>
      </c>
      <c r="M66" s="112" t="s">
        <v>741</v>
      </c>
      <c r="N66" s="25" t="s">
        <v>742</v>
      </c>
      <c r="O66" s="130" t="s">
        <v>743</v>
      </c>
      <c r="P66" s="46" t="s">
        <v>744</v>
      </c>
      <c r="Q66" s="77">
        <v>46202</v>
      </c>
      <c r="R66" s="77" t="str">
        <f>IF(Table5[[#This Row],[Tour Starting Date]]&lt;&gt;"", TEXT(Table5[[#This Row],[Tour Starting Date]], "dddd"), "")</f>
        <v>Monday</v>
      </c>
      <c r="S66" s="77">
        <v>46207</v>
      </c>
      <c r="T66" s="25" t="str">
        <f>IF(Table5[[#This Row],[Tour Ending Date]]&lt;&gt;"", TEXT(Table5[[#This Row],[Tour Ending Date]], "dddd"), "")</f>
        <v>Saturday</v>
      </c>
      <c r="U66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5 Nights &amp; 6 Days</v>
      </c>
      <c r="V66" s="37" t="str">
        <f>IF(Table5[[#This Row],[Tour Starting Date]]&lt;&gt;"", TEXT(Table5[[#This Row],[Tour Starting Date]], "mmmm"), "")</f>
        <v>June</v>
      </c>
      <c r="W66" s="80" t="str" cm="1">
        <f t="array" ref="W66">IF(Q66&lt;&gt;"", INDEX(CI:CI, MATCH(1, (Q66&gt;=CG:CG)*(Q66&lt;=CH:CH), 0)), "")</f>
        <v>Regular Dates - Weekday</v>
      </c>
      <c r="X66" s="39">
        <v>1</v>
      </c>
      <c r="Y66" s="74">
        <v>58700</v>
      </c>
      <c r="Z66" s="74">
        <f>IF(OR(Table5[[#This Row],[Per Person Package Cost]]="", Table5[[#This Row],[No. of Pax]]=""), "", Table5[[#This Row],[Per Person Package Cost]] * Table5[[#This Row],[No. of Pax]])</f>
        <v>58700</v>
      </c>
      <c r="AA66" s="52" t="s">
        <v>205</v>
      </c>
      <c r="AB66" s="52" t="s">
        <v>75</v>
      </c>
      <c r="AC66" s="52" t="s">
        <v>134</v>
      </c>
      <c r="AD66" s="52" t="s">
        <v>451</v>
      </c>
      <c r="AE66" s="51" t="str">
        <f t="shared" si="0"/>
        <v>EXIDR12</v>
      </c>
      <c r="AF66" s="51" t="str">
        <f t="shared" si="1"/>
        <v>Cultural &amp; Heritage Extravaganza</v>
      </c>
      <c r="AG66" s="74" t="str">
        <f t="shared" si="2"/>
        <v>Quick Getaways</v>
      </c>
      <c r="AH66" s="73" t="str">
        <f t="shared" si="4"/>
        <v>South + West MP</v>
      </c>
      <c r="AI66" s="52" t="s">
        <v>107</v>
      </c>
      <c r="AJ66" s="56" t="s">
        <v>78</v>
      </c>
      <c r="AK66" s="59" t="s">
        <v>79</v>
      </c>
      <c r="AL66" s="60" t="s">
        <v>80</v>
      </c>
      <c r="AM66" s="54" t="s">
        <v>80</v>
      </c>
      <c r="AN66" s="14">
        <v>46140</v>
      </c>
      <c r="AO66" s="15"/>
      <c r="AP66" s="91"/>
      <c r="AQ66" s="87"/>
      <c r="AR66" s="26"/>
      <c r="AS66" s="65"/>
      <c r="AT66" s="88" t="s">
        <v>85</v>
      </c>
      <c r="AU66" s="67"/>
      <c r="BX66" s="1">
        <v>62</v>
      </c>
      <c r="CG66" s="143">
        <v>46322</v>
      </c>
      <c r="CH66" s="143">
        <v>46324</v>
      </c>
      <c r="CI66" s="142" t="s">
        <v>88</v>
      </c>
      <c r="CJ66" s="141"/>
      <c r="CK66" s="141"/>
      <c r="CN66" t="s">
        <v>745</v>
      </c>
      <c r="CU66" t="s">
        <v>239</v>
      </c>
      <c r="CV66" t="s">
        <v>171</v>
      </c>
      <c r="CW66" t="s">
        <v>746</v>
      </c>
      <c r="CX66" s="124" t="s">
        <v>747</v>
      </c>
      <c r="CY66" t="s">
        <v>151</v>
      </c>
      <c r="CZ66" t="s">
        <v>575</v>
      </c>
      <c r="DA66" t="str" cm="1">
        <f t="array" ref="DA66:DW66">IF(U66&lt;&gt;"", TRANSPOSE(_xlfn._xlws.FILTER(CZ:CZ, CY:CY=U66, "")), "")</f>
        <v>Gwl (2N) + Mor - Son - Dat - Orc (1N) - Hjr (2N) + Panna</v>
      </c>
      <c r="DB66" t="str">
        <v>Ex Gwl | Gwl (2N) + Mor - Shiv - Chan (2N) - Orc (1N) - Dat - Son - Gwl</v>
      </c>
      <c r="DC66" t="str">
        <v>Gwl (2N) + Mor - Son - Dat - Orc (1N) - Hjr (1N) - Jlr (1N)</v>
      </c>
      <c r="DD66" t="str">
        <v>Ex Idr | Idr - Ujj (1N) - Omk (1N) - Mah (1N) - Man (1N) - Idr (1N)</v>
      </c>
      <c r="DE66" t="str">
        <v>Bhp (1N) + Bhim + Bhoj + San - Ujj (1N) - Man (2N) - Mah - Omk (1N) - Idr</v>
      </c>
      <c r="DF66" t="str">
        <v>Jlr (1N) - Hjr (1N) - Orc (1N) - Dat - Son - Gwl (2N) + Mor</v>
      </c>
      <c r="DG66" t="str">
        <v>Jlr (1N) - Kan (1N) - Pch (2N) - Bhim - Bhoj - Bho (1N) + Sanchi</v>
      </c>
      <c r="DH66" t="str">
        <v>Ex Bho | Bho (1N) + San - Bhoj - Bhim - Tawa (1N) - Mad (1N) - Pch (2N) - Bho</v>
      </c>
      <c r="DI66" t="str">
        <v>Bho (1N) + San + Udaygiri - Bhoj - Bhim - Pch (2N) - Kan(1N) - Jlr (1N)</v>
      </c>
      <c r="DJ66" t="str">
        <v>Bho (1N) + Bhim + Bhoj - San - Ujj (1N) - Man (2N) - Mah - Omk (1N) - Idr</v>
      </c>
      <c r="DK66" t="str">
        <v>Idr - Man (2N) - Idr (1N) - Bho (2N) + Bhim + Bhoj + Sanchi</v>
      </c>
      <c r="DL66" t="str">
        <v>Ex Bho | Bho (2N) + San + Udaygiri - Bhoj - Bhim - Pch (2N) - Tawa (1N) - Bho</v>
      </c>
      <c r="DM66" t="str">
        <v>Rpr - Kan (2N) - Pen (1N) - Pch (2N) - Bho</v>
      </c>
      <c r="DN66" t="str">
        <v>Nag - Pen (2N) - Pch (2N) - Bhim - Bhoj - Bho (1N) + San</v>
      </c>
      <c r="DO66" t="str">
        <v>Gwl (2N) (Ex Mor) - Orc (1N) - Chn (1N) - Shiv (1N) - Jhn</v>
      </c>
      <c r="DP66" t="str">
        <v>Gwl (2N) (Ex Mor) - Dat - Orc (1N) - Chn (1N) - Shiv (1N) - Jhn</v>
      </c>
      <c r="DQ66" t="str">
        <v>Nag - Pen (2N) - Kan (2N) - Jlr (1N)</v>
      </c>
      <c r="DR66" t="str">
        <v>Rpr - (2 N) Amr - (1 N) Ban - (1 N) Hjr - (1 N) Jlr</v>
      </c>
      <c r="DS66" t="str">
        <v>Gwl (2N) (Ex Mor) -Orc  - Hjr (1N) - Chn (1N) - Shiv (1N) - Jhn</v>
      </c>
      <c r="DT66" t="str">
        <v>(2 N) Gwl - (1 N) Orch - (1 N) Hjr - (1 N) Jlr</v>
      </c>
      <c r="DU66" t="str">
        <v xml:space="preserve">Arr Rpr - Amr (2N) - Par (2N) - Jlr (1N) </v>
      </c>
      <c r="DV66" t="str">
        <v>3N Idr (Ex Ujj - Man) - Bhim - Bhoj - San - 2N Bho</v>
      </c>
      <c r="DW66" t="str">
        <v>1N Jlr - 1N Kan - 3N Pch - Ppi</v>
      </c>
    </row>
    <row r="67" spans="2:145" ht="15" customHeight="1">
      <c r="B67" s="34">
        <v>63</v>
      </c>
      <c r="C67" s="36" t="s">
        <v>748</v>
      </c>
      <c r="D67" s="76">
        <v>46140</v>
      </c>
      <c r="E67" s="37" t="str">
        <f>IF(Table5[[#This Row],[Query Date]]&lt;&gt;"", TEXT(Table5[[#This Row],[Query Date]], "dddd"), "")</f>
        <v>Tuesday</v>
      </c>
      <c r="F67" s="37" t="str">
        <f>IF(Table5[[#This Row],[Query Date]]&lt;&gt;"", TEXT(Table5[[#This Row],[Query Date]], "mmmm"), "")</f>
        <v>April</v>
      </c>
      <c r="G67" s="28" t="s">
        <v>65</v>
      </c>
      <c r="H67" s="28" t="s">
        <v>66</v>
      </c>
      <c r="I67" s="28" t="s">
        <v>67</v>
      </c>
      <c r="J67" s="28" t="s">
        <v>68</v>
      </c>
      <c r="K67" s="28" t="s">
        <v>226</v>
      </c>
      <c r="L67" s="25" t="s">
        <v>70</v>
      </c>
      <c r="M67" s="112" t="s">
        <v>749</v>
      </c>
      <c r="N67" s="25" t="s">
        <v>750</v>
      </c>
      <c r="O67" s="130" t="s">
        <v>751</v>
      </c>
      <c r="P67" s="46" t="s">
        <v>752</v>
      </c>
      <c r="Q67" s="77">
        <v>46149</v>
      </c>
      <c r="R67" s="77" t="str">
        <f>IF(Table5[[#This Row],[Tour Starting Date]]&lt;&gt;"", TEXT(Table5[[#This Row],[Tour Starting Date]], "dddd"), "")</f>
        <v>Thursday</v>
      </c>
      <c r="S67" s="77">
        <v>46150</v>
      </c>
      <c r="T67" s="25" t="str">
        <f>IF(Table5[[#This Row],[Tour Ending Date]]&lt;&gt;"", TEXT(Table5[[#This Row],[Tour Ending Date]], "dddd"), "")</f>
        <v>Friday</v>
      </c>
      <c r="U67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1 Night &amp; 2 Days</v>
      </c>
      <c r="V67" s="37" t="str">
        <f>IF(Table5[[#This Row],[Tour Starting Date]]&lt;&gt;"", TEXT(Table5[[#This Row],[Tour Starting Date]], "mmmm"), "")</f>
        <v>May</v>
      </c>
      <c r="W67" s="80" t="str" cm="1">
        <f t="array" ref="W67">IF(Q67&lt;&gt;"", INDEX(CI:CI, MATCH(1, (Q67&gt;=CG:CG)*(Q67&lt;=CH:CH), 0)), "")</f>
        <v>Regular Dates - Weekday</v>
      </c>
      <c r="X67" s="39">
        <v>2</v>
      </c>
      <c r="Y67" s="74">
        <v>14200</v>
      </c>
      <c r="Z67" s="74">
        <f>IF(OR(Table5[[#This Row],[Per Person Package Cost]]="", Table5[[#This Row],[No. of Pax]]=""), "", Table5[[#This Row],[Per Person Package Cost]] * Table5[[#This Row],[No. of Pax]])</f>
        <v>28400</v>
      </c>
      <c r="AA67" s="52" t="s">
        <v>75</v>
      </c>
      <c r="AB67" s="52" t="s">
        <v>75</v>
      </c>
      <c r="AC67" s="52" t="s">
        <v>134</v>
      </c>
      <c r="AD67" s="52" t="s">
        <v>461</v>
      </c>
      <c r="AE67" s="51" t="str">
        <f t="shared" si="0"/>
        <v>EXIDR13</v>
      </c>
      <c r="AF67" s="51" t="str">
        <f t="shared" si="1"/>
        <v>A Spiritual Odyssey of Madhya Pradesh</v>
      </c>
      <c r="AG67" s="74" t="str">
        <f t="shared" si="2"/>
        <v>Quick Getaways</v>
      </c>
      <c r="AH67" s="73" t="str">
        <f t="shared" si="4"/>
        <v>West MP</v>
      </c>
      <c r="AI67" s="52" t="s">
        <v>159</v>
      </c>
      <c r="AJ67" s="56" t="s">
        <v>78</v>
      </c>
      <c r="AK67" s="59" t="s">
        <v>79</v>
      </c>
      <c r="AL67" s="60" t="s">
        <v>80</v>
      </c>
      <c r="AM67" s="54" t="s">
        <v>80</v>
      </c>
      <c r="AN67" s="14">
        <v>46142</v>
      </c>
      <c r="AO67" s="15"/>
      <c r="AP67" s="91"/>
      <c r="AQ67" s="87"/>
      <c r="AR67" s="26"/>
      <c r="AS67" s="65"/>
      <c r="AT67" s="88" t="s">
        <v>85</v>
      </c>
      <c r="AU67" s="67"/>
      <c r="BX67" s="1">
        <v>63</v>
      </c>
      <c r="CG67" s="143">
        <v>46325</v>
      </c>
      <c r="CH67" s="143">
        <v>46327</v>
      </c>
      <c r="CI67" s="142" t="s">
        <v>116</v>
      </c>
      <c r="CJ67" s="141"/>
      <c r="CK67" s="141"/>
      <c r="CN67" t="s">
        <v>753</v>
      </c>
      <c r="CU67" t="s">
        <v>239</v>
      </c>
      <c r="CV67" t="s">
        <v>193</v>
      </c>
      <c r="CW67" t="s">
        <v>754</v>
      </c>
      <c r="CX67" s="124" t="s">
        <v>755</v>
      </c>
      <c r="CY67" t="s">
        <v>151</v>
      </c>
      <c r="CZ67" t="s">
        <v>756</v>
      </c>
      <c r="DA67" t="str" cm="1">
        <f t="array" ref="DA67:DH67">IF(U67&lt;&gt;"", TRANSPOSE(_xlfn._xlws.FILTER(CZ:CZ, CY:CY=U67, "")), "")</f>
        <v>Gwl (1N)</v>
      </c>
      <c r="DB67" t="str">
        <v>Ex Idr | Idr - Ujj (1N) - Idr</v>
      </c>
      <c r="DC67" t="str">
        <v>Ex Idr | Idr - Ujj (1N) - Omk - Idr</v>
      </c>
      <c r="DD67" t="str">
        <v>Ex Idr | Idr - Ujj (1N) - Omk - Mah - Idr</v>
      </c>
      <c r="DE67" t="str">
        <v>Ex Idr | Ujj (1N) - Idr + HDCT</v>
      </c>
      <c r="DF67" t="str">
        <v>Ex Idr | Idr (1N)</v>
      </c>
      <c r="DG67" t="str">
        <v>Khandwa - Omk (1N) - Idr HDCT</v>
      </c>
      <c r="DH67" t="str">
        <v>Ex Ujj | Ujj (1N)</v>
      </c>
    </row>
    <row r="68" spans="2:145" ht="15" customHeight="1">
      <c r="B68" s="35">
        <v>64</v>
      </c>
      <c r="C68" s="36" t="s">
        <v>757</v>
      </c>
      <c r="D68" s="76">
        <v>46140</v>
      </c>
      <c r="E68" s="37" t="str">
        <f>IF(Table5[[#This Row],[Query Date]]&lt;&gt;"", TEXT(Table5[[#This Row],[Query Date]], "dddd"), "")</f>
        <v>Tuesday</v>
      </c>
      <c r="F68" s="37" t="str">
        <f>IF(Table5[[#This Row],[Query Date]]&lt;&gt;"", TEXT(Table5[[#This Row],[Query Date]], "mmmm"), "")</f>
        <v>April</v>
      </c>
      <c r="G68" s="28" t="s">
        <v>65</v>
      </c>
      <c r="H68" s="28" t="s">
        <v>258</v>
      </c>
      <c r="I68" s="28" t="s">
        <v>67</v>
      </c>
      <c r="J68" s="28" t="s">
        <v>313</v>
      </c>
      <c r="K68" s="28" t="s">
        <v>69</v>
      </c>
      <c r="L68" s="25" t="s">
        <v>70</v>
      </c>
      <c r="M68" s="112" t="s">
        <v>266</v>
      </c>
      <c r="N68" s="25" t="s">
        <v>267</v>
      </c>
      <c r="O68" s="130" t="s">
        <v>636</v>
      </c>
      <c r="P68" s="46" t="s">
        <v>269</v>
      </c>
      <c r="Q68" s="77">
        <v>46435</v>
      </c>
      <c r="R68" s="77" t="str">
        <f>IF(Table5[[#This Row],[Tour Starting Date]]&lt;&gt;"", TEXT(Table5[[#This Row],[Tour Starting Date]], "dddd"), "")</f>
        <v>Wednesday</v>
      </c>
      <c r="S68" s="77">
        <v>46443</v>
      </c>
      <c r="T68" s="25" t="str">
        <f>IF(Table5[[#This Row],[Tour Ending Date]]&lt;&gt;"", TEXT(Table5[[#This Row],[Tour Ending Date]], "dddd"), "")</f>
        <v>Thursday</v>
      </c>
      <c r="U68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8 Nights &amp; 9 Days</v>
      </c>
      <c r="V68" s="37" t="str">
        <f>IF(Table5[[#This Row],[Tour Starting Date]]&lt;&gt;"", TEXT(Table5[[#This Row],[Tour Starting Date]], "mmmm"), "")</f>
        <v>February</v>
      </c>
      <c r="W68" s="80" t="str" cm="1">
        <f t="array" ref="W68">IF(Q68&lt;&gt;"", INDEX(CI:CI, MATCH(1, (Q68&gt;=CG:CG)*(Q68&lt;=CH:CH), 0)), "")</f>
        <v>Regular Dates - Weekday</v>
      </c>
      <c r="X68" s="39">
        <v>10</v>
      </c>
      <c r="Y68" s="74">
        <v>36070</v>
      </c>
      <c r="Z68" s="74">
        <f>IF(OR(Table5[[#This Row],[Per Person Package Cost]]="", Table5[[#This Row],[No. of Pax]]=""), "", Table5[[#This Row],[Per Person Package Cost]] * Table5[[#This Row],[No. of Pax]])</f>
        <v>360700</v>
      </c>
      <c r="AA68" s="52" t="s">
        <v>758</v>
      </c>
      <c r="AB68" s="52" t="s">
        <v>624</v>
      </c>
      <c r="AC68" s="52" t="s">
        <v>281</v>
      </c>
      <c r="AD68" s="52"/>
      <c r="AE68" s="51" t="str">
        <f t="shared" si="0"/>
        <v/>
      </c>
      <c r="AF68" s="51" t="str">
        <f t="shared" si="1"/>
        <v/>
      </c>
      <c r="AG68" s="74" t="str">
        <f t="shared" si="2"/>
        <v/>
      </c>
      <c r="AH68" s="73" t="str">
        <f t="shared" si="4"/>
        <v/>
      </c>
      <c r="AI68" s="52" t="s">
        <v>77</v>
      </c>
      <c r="AJ68" s="56" t="s">
        <v>78</v>
      </c>
      <c r="AK68" s="59" t="s">
        <v>79</v>
      </c>
      <c r="AL68" s="60" t="s">
        <v>80</v>
      </c>
      <c r="AM68" s="54" t="s">
        <v>80</v>
      </c>
      <c r="AN68" s="14"/>
      <c r="AO68" s="15"/>
      <c r="AP68" s="91"/>
      <c r="AQ68" s="87"/>
      <c r="AR68" s="26"/>
      <c r="AS68" s="65"/>
      <c r="AT68" s="88" t="s">
        <v>85</v>
      </c>
      <c r="AU68" s="67"/>
      <c r="BX68" s="1">
        <v>64</v>
      </c>
      <c r="CG68" s="143">
        <v>46328</v>
      </c>
      <c r="CH68" s="143">
        <v>46331</v>
      </c>
      <c r="CI68" s="142" t="s">
        <v>88</v>
      </c>
      <c r="CJ68" s="141"/>
      <c r="CK68" s="141"/>
      <c r="CN68" t="s">
        <v>759</v>
      </c>
      <c r="CU68" t="s">
        <v>239</v>
      </c>
      <c r="CV68" t="s">
        <v>193</v>
      </c>
      <c r="CW68" t="s">
        <v>760</v>
      </c>
      <c r="CX68" s="124" t="s">
        <v>761</v>
      </c>
      <c r="CY68" t="s">
        <v>450</v>
      </c>
      <c r="CZ68" t="s">
        <v>762</v>
      </c>
      <c r="DA68" t="str" cm="1">
        <f t="array" ref="DA68:DC68">IF(U68&lt;&gt;"", TRANSPOSE(_xlfn._xlws.FILTER(CZ:CZ, CY:CY=U68, "")), "")</f>
        <v>Gwl (1N) - Dat - Orc (1N) - Hjr (1N) - San - Bho (2N) + Bhim + Bhoj - Ujj (1N) - Omk - Mah (1N) - Man (1N) - Idr</v>
      </c>
      <c r="DB68" t="str">
        <v>Bho - Bhoj - Bhim - Mad (1N) - Pen (1N) - Kan (2N) - Ban (2N) - Pan (1N) - Gwl (1N)</v>
      </c>
      <c r="DC68" t="str">
        <v>(1 N) Ujj - (2 N) Mah - (1 N) Idr - (1 N) Bho - (2 N) Pach - (1 N) Pench</v>
      </c>
    </row>
    <row r="69" spans="2:145" ht="15" customHeight="1">
      <c r="B69" s="34">
        <v>65</v>
      </c>
      <c r="C69" s="36" t="s">
        <v>763</v>
      </c>
      <c r="D69" s="76">
        <v>46137</v>
      </c>
      <c r="E69" s="37" t="str">
        <f>IF(Table5[[#This Row],[Query Date]]&lt;&gt;"", TEXT(Table5[[#This Row],[Query Date]], "dddd"), "")</f>
        <v>Saturday</v>
      </c>
      <c r="F69" s="37" t="str">
        <f>IF(Table5[[#This Row],[Query Date]]&lt;&gt;"", TEXT(Table5[[#This Row],[Query Date]], "mmmm"), "")</f>
        <v>April</v>
      </c>
      <c r="G69" s="28" t="s">
        <v>113</v>
      </c>
      <c r="H69" s="28" t="s">
        <v>66</v>
      </c>
      <c r="I69" s="28" t="s">
        <v>67</v>
      </c>
      <c r="J69" s="28" t="s">
        <v>119</v>
      </c>
      <c r="K69" s="28" t="s">
        <v>128</v>
      </c>
      <c r="L69" s="25" t="s">
        <v>160</v>
      </c>
      <c r="M69" s="112" t="s">
        <v>90</v>
      </c>
      <c r="N69" s="25" t="s">
        <v>764</v>
      </c>
      <c r="O69" s="130"/>
      <c r="P69" s="46"/>
      <c r="Q69" s="77">
        <v>46120</v>
      </c>
      <c r="R69" s="77" t="str">
        <f>IF(Table5[[#This Row],[Tour Starting Date]]&lt;&gt;"", TEXT(Table5[[#This Row],[Tour Starting Date]], "dddd"), "")</f>
        <v>Wednesday</v>
      </c>
      <c r="S69" s="77">
        <v>46122</v>
      </c>
      <c r="T69" s="25" t="str">
        <f>IF(Table5[[#This Row],[Tour Ending Date]]&lt;&gt;"", TEXT(Table5[[#This Row],[Tour Ending Date]], "dddd"), "")</f>
        <v>Friday</v>
      </c>
      <c r="U69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69" s="37" t="str">
        <f>IF(Table5[[#This Row],[Tour Starting Date]]&lt;&gt;"", TEXT(Table5[[#This Row],[Tour Starting Date]], "mmmm"), "")</f>
        <v>April</v>
      </c>
      <c r="W69" s="80" t="str" cm="1">
        <f t="array" ref="W69">IF(Q69&lt;&gt;"", INDEX(CI:CI, MATCH(1, (Q69&gt;=CG:CG)*(Q69&lt;=CH:CH), 0)), "")</f>
        <v>Regular Dates - Weekday</v>
      </c>
      <c r="X69" s="39">
        <v>1</v>
      </c>
      <c r="Y69" s="74">
        <v>22125</v>
      </c>
      <c r="Z69" s="74">
        <f>IF(OR(Table5[[#This Row],[Per Person Package Cost]]="", Table5[[#This Row],[No. of Pax]]=""), "", Table5[[#This Row],[Per Person Package Cost]] * Table5[[#This Row],[No. of Pax]])</f>
        <v>22125</v>
      </c>
      <c r="AA69" s="52" t="s">
        <v>509</v>
      </c>
      <c r="AB69" s="52" t="s">
        <v>509</v>
      </c>
      <c r="AC69" s="52" t="s">
        <v>240</v>
      </c>
      <c r="AD69" s="52" t="s">
        <v>126</v>
      </c>
      <c r="AE69" s="51" t="str">
        <f t="shared" ref="AE69:AE132" si="5">IF(AD69&lt;&gt;"", INDEX(CW:CW, MATCH(AD69, CZ:CZ, 0)), "")</f>
        <v>EXGWL02</v>
      </c>
      <c r="AF69" s="51" t="str">
        <f t="shared" ref="AF69:AF132" si="6">IF(AD69&lt;&gt;"", INDEX(CX:CX, MATCH(AD69, CZ:CZ, 0)), "")</f>
        <v>Timeless Treasures of Gwalior</v>
      </c>
      <c r="AG69" s="74" t="str">
        <f t="shared" ref="AG69:AG132" si="7">IF(AE69&lt;&gt;"", INDEX(CU:CU, MATCH(AE69, CW:CW, 0)), "")</f>
        <v>Quick Getaways</v>
      </c>
      <c r="AH69" s="73" t="str">
        <f t="shared" si="4"/>
        <v>North MP</v>
      </c>
      <c r="AI69" s="52" t="s">
        <v>84</v>
      </c>
      <c r="AJ69" s="56" t="s">
        <v>78</v>
      </c>
      <c r="AK69" s="59" t="s">
        <v>79</v>
      </c>
      <c r="AL69" s="60" t="s">
        <v>80</v>
      </c>
      <c r="AM69" s="54" t="s">
        <v>80</v>
      </c>
      <c r="AN69" s="14"/>
      <c r="AO69" s="15"/>
      <c r="AP69" s="91"/>
      <c r="AQ69" s="87"/>
      <c r="AR69" s="26"/>
      <c r="AS69" s="65"/>
      <c r="AT69" s="88" t="s">
        <v>85</v>
      </c>
      <c r="AU69" s="67"/>
      <c r="BX69" s="1">
        <v>65</v>
      </c>
      <c r="CG69" s="143">
        <v>46332</v>
      </c>
      <c r="CH69" s="143">
        <v>46337</v>
      </c>
      <c r="CI69" s="142" t="s">
        <v>765</v>
      </c>
      <c r="CJ69" s="141"/>
      <c r="CK69" s="141"/>
      <c r="CN69" t="s">
        <v>766</v>
      </c>
      <c r="CU69" t="s">
        <v>239</v>
      </c>
      <c r="CV69" t="s">
        <v>259</v>
      </c>
      <c r="CW69" t="s">
        <v>767</v>
      </c>
      <c r="CX69" s="124" t="s">
        <v>768</v>
      </c>
      <c r="CY69" t="s">
        <v>660</v>
      </c>
      <c r="CZ69" t="s">
        <v>769</v>
      </c>
      <c r="DA69" t="str" cm="1">
        <f t="array" ref="DA69:DY69">IF(U69&lt;&gt;"", TRANSPOSE(_xlfn._xlws.FILTER(CZ:CZ, CY:CY=U69, "")), "")</f>
        <v>Gwl (2N) + Mor</v>
      </c>
      <c r="DB69" t="str">
        <v>Ex Idr | Idr - Ujj (1N) - Omk - Mah (1N) - Man - Idr</v>
      </c>
      <c r="DC69" t="str">
        <v>Ujj (1N) - Omk - Idr (1N)</v>
      </c>
      <c r="DD69" t="str">
        <v>Ex Jlr | Jlr - Kan (2N) - Jlr</v>
      </c>
      <c r="DE69" t="str">
        <v>Ex Jlr | Jlr - Ban (2N) - Jlr</v>
      </c>
      <c r="DF69" t="str">
        <v>Ex Bho | Bho (2N) + Bhim + Bhoj + San</v>
      </c>
      <c r="DG69" t="str">
        <v>Ex Idr | Idr - Man (2N) - Idr</v>
      </c>
      <c r="DH69" t="str">
        <v>Ex Jlr | Jlr - Kan (2N) - Jlr</v>
      </c>
      <c r="DI69" t="str">
        <v>Ex Bho | Bho (2N) + Bhim + Bhoj + San + HDCT Bho</v>
      </c>
      <c r="DJ69" t="str">
        <v>Ex Bho | Bho - Bhim - Tawa (1N) - Mad (1N) - Bho</v>
      </c>
      <c r="DK69" t="str">
        <v>Ujj (1N) - Omk - Mah (1N) - Idr</v>
      </c>
      <c r="DL69" t="str">
        <v>Ujj (1N) -  Idr (1N)</v>
      </c>
      <c r="DM69" t="str">
        <v>Ex Idr | Idr (2N) + Ujj + Omk + Mah</v>
      </c>
      <c r="DN69" t="str">
        <v>Idr - Mah - Omk (1N) - Ujj (1N)</v>
      </c>
      <c r="DO69" t="str">
        <v>Idr - Ujj (1N) - Mah - Omk (1N) - Khandwa</v>
      </c>
      <c r="DP69" t="str">
        <v>Ex Idr | Idr (EX Ujj) (1N) - Mah - Omk (1N) - Idr HDCT</v>
      </c>
      <c r="DQ69" t="str">
        <v>Ujj (1N) - Sehor - Bho (1N) HDCT</v>
      </c>
      <c r="DR69" t="str">
        <v>Ex Jlr | Jlr (1N) - Ban (1N)</v>
      </c>
      <c r="DS69" t="str">
        <v>Ex Jlr | Ban (1N)</v>
      </c>
      <c r="DT69" t="str">
        <v>Ex Jlr | Jlr (2 N) Kan</v>
      </c>
      <c r="DU69" t="str">
        <v>Ex Jlr | Jlr - Amr (1 N) - (1 N) Ban</v>
      </c>
      <c r="DV69" t="str">
        <v>Ex Rpr | Rpr - (2N) Kan</v>
      </c>
      <c r="DW69" t="str">
        <v>Hjr (1N) - Mahi (1N) - Sat</v>
      </c>
      <c r="DX69" t="str">
        <v>Ex Bhp | Bhp - Bhim - Pch (2N) - Bhp</v>
      </c>
      <c r="DY69" t="str">
        <v xml:space="preserve">Ex Ujj I 2N Ujj </v>
      </c>
    </row>
    <row r="70" spans="2:145" ht="15" customHeight="1">
      <c r="B70" s="35">
        <v>66</v>
      </c>
      <c r="C70" s="36" t="s">
        <v>770</v>
      </c>
      <c r="D70" s="76">
        <v>46137</v>
      </c>
      <c r="E70" s="37" t="str">
        <f>IF(Table5[[#This Row],[Query Date]]&lt;&gt;"", TEXT(Table5[[#This Row],[Query Date]], "dddd"), "")</f>
        <v>Saturday</v>
      </c>
      <c r="F70" s="37" t="str">
        <f>IF(Table5[[#This Row],[Query Date]]&lt;&gt;"", TEXT(Table5[[#This Row],[Query Date]], "mmmm"), "")</f>
        <v>April</v>
      </c>
      <c r="G70" s="28" t="s">
        <v>113</v>
      </c>
      <c r="H70" s="28" t="s">
        <v>66</v>
      </c>
      <c r="I70" s="28" t="s">
        <v>100</v>
      </c>
      <c r="J70" s="28" t="s">
        <v>119</v>
      </c>
      <c r="K70" s="28" t="s">
        <v>128</v>
      </c>
      <c r="L70" s="25" t="s">
        <v>160</v>
      </c>
      <c r="M70" s="112" t="s">
        <v>90</v>
      </c>
      <c r="N70" s="25" t="s">
        <v>771</v>
      </c>
      <c r="O70" s="130"/>
      <c r="P70" s="46"/>
      <c r="Q70" s="77">
        <v>46120</v>
      </c>
      <c r="R70" s="77" t="str">
        <f>IF(Table5[[#This Row],[Tour Starting Date]]&lt;&gt;"", TEXT(Table5[[#This Row],[Tour Starting Date]], "dddd"), "")</f>
        <v>Wednesday</v>
      </c>
      <c r="S70" s="77">
        <v>46122</v>
      </c>
      <c r="T70" s="25" t="str">
        <f>IF(Table5[[#This Row],[Tour Ending Date]]&lt;&gt;"", TEXT(Table5[[#This Row],[Tour Ending Date]], "dddd"), "")</f>
        <v>Friday</v>
      </c>
      <c r="U70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70" s="37" t="str">
        <f>IF(Table5[[#This Row],[Tour Starting Date]]&lt;&gt;"", TEXT(Table5[[#This Row],[Tour Starting Date]], "mmmm"), "")</f>
        <v>April</v>
      </c>
      <c r="W70" s="80" t="str" cm="1">
        <f t="array" ref="W70">IF(Q70&lt;&gt;"", INDEX(CI:CI, MATCH(1, (Q70&gt;=CG:CG)*(Q70&lt;=CH:CH), 0)), "")</f>
        <v>Regular Dates - Weekday</v>
      </c>
      <c r="X70" s="39">
        <v>95</v>
      </c>
      <c r="Y70" s="74">
        <f>565692/95</f>
        <v>5954.652631578947</v>
      </c>
      <c r="Z70" s="74">
        <f>IF(OR(Table5[[#This Row],[Per Person Package Cost]]="", Table5[[#This Row],[No. of Pax]]=""), "", Table5[[#This Row],[Per Person Package Cost]] * Table5[[#This Row],[No. of Pax]])</f>
        <v>565692</v>
      </c>
      <c r="AA70" s="52" t="s">
        <v>509</v>
      </c>
      <c r="AB70" s="52" t="s">
        <v>509</v>
      </c>
      <c r="AC70" s="52" t="s">
        <v>220</v>
      </c>
      <c r="AD70" s="52" t="s">
        <v>126</v>
      </c>
      <c r="AE70" s="51" t="str">
        <f t="shared" si="5"/>
        <v>EXGWL02</v>
      </c>
      <c r="AF70" s="51" t="str">
        <f t="shared" si="6"/>
        <v>Timeless Treasures of Gwalior</v>
      </c>
      <c r="AG70" s="74" t="str">
        <f t="shared" si="7"/>
        <v>Quick Getaways</v>
      </c>
      <c r="AH70" s="73" t="str">
        <f t="shared" si="4"/>
        <v>North MP</v>
      </c>
      <c r="AI70" s="52" t="s">
        <v>84</v>
      </c>
      <c r="AJ70" s="56" t="s">
        <v>78</v>
      </c>
      <c r="AK70" s="59" t="s">
        <v>79</v>
      </c>
      <c r="AL70" s="60" t="s">
        <v>80</v>
      </c>
      <c r="AM70" s="54" t="s">
        <v>80</v>
      </c>
      <c r="AN70" s="14"/>
      <c r="AO70" s="15"/>
      <c r="AP70" s="91"/>
      <c r="AQ70" s="87"/>
      <c r="AR70" s="26"/>
      <c r="AS70" s="65"/>
      <c r="AT70" s="88" t="s">
        <v>85</v>
      </c>
      <c r="AU70" s="67"/>
      <c r="BX70" s="1">
        <v>66</v>
      </c>
      <c r="CG70" s="143">
        <v>46338</v>
      </c>
      <c r="CH70" s="143">
        <v>46341</v>
      </c>
      <c r="CI70" s="142" t="s">
        <v>116</v>
      </c>
      <c r="CJ70" s="141"/>
      <c r="CK70" s="141"/>
      <c r="CN70" t="s">
        <v>772</v>
      </c>
      <c r="CU70" t="s">
        <v>239</v>
      </c>
      <c r="CV70" t="s">
        <v>193</v>
      </c>
      <c r="CW70" t="s">
        <v>773</v>
      </c>
      <c r="CX70" s="124" t="s">
        <v>774</v>
      </c>
      <c r="CY70" t="s">
        <v>450</v>
      </c>
      <c r="CZ70" t="s">
        <v>775</v>
      </c>
      <c r="DA70" t="str" cm="1">
        <f t="array" ref="DA70:DY70">IF(U70&lt;&gt;"", TRANSPOSE(_xlfn._xlws.FILTER(CZ:CZ, CY:CY=U70, "")), "")</f>
        <v>Gwl (2N) + Mor</v>
      </c>
      <c r="DB70" t="str">
        <v>Ex Idr | Idr - Ujj (1N) - Omk - Mah (1N) - Man - Idr</v>
      </c>
      <c r="DC70" t="str">
        <v>Ujj (1N) - Omk - Idr (1N)</v>
      </c>
      <c r="DD70" t="str">
        <v>Ex Jlr | Jlr - Kan (2N) - Jlr</v>
      </c>
      <c r="DE70" t="str">
        <v>Ex Jlr | Jlr - Ban (2N) - Jlr</v>
      </c>
      <c r="DF70" t="str">
        <v>Ex Bho | Bho (2N) + Bhim + Bhoj + San</v>
      </c>
      <c r="DG70" t="str">
        <v>Ex Idr | Idr - Man (2N) - Idr</v>
      </c>
      <c r="DH70" t="str">
        <v>Ex Jlr | Jlr - Kan (2N) - Jlr</v>
      </c>
      <c r="DI70" t="str">
        <v>Ex Bho | Bho (2N) + Bhim + Bhoj + San + HDCT Bho</v>
      </c>
      <c r="DJ70" t="str">
        <v>Ex Bho | Bho - Bhim - Tawa (1N) - Mad (1N) - Bho</v>
      </c>
      <c r="DK70" t="str">
        <v>Ujj (1N) - Omk - Mah (1N) - Idr</v>
      </c>
      <c r="DL70" t="str">
        <v>Ujj (1N) -  Idr (1N)</v>
      </c>
      <c r="DM70" t="str">
        <v>Ex Idr | Idr (2N) + Ujj + Omk + Mah</v>
      </c>
      <c r="DN70" t="str">
        <v>Idr - Mah - Omk (1N) - Ujj (1N)</v>
      </c>
      <c r="DO70" t="str">
        <v>Idr - Ujj (1N) - Mah - Omk (1N) - Khandwa</v>
      </c>
      <c r="DP70" t="str">
        <v>Ex Idr | Idr (EX Ujj) (1N) - Mah - Omk (1N) - Idr HDCT</v>
      </c>
      <c r="DQ70" t="str">
        <v>Ujj (1N) - Sehor - Bho (1N) HDCT</v>
      </c>
      <c r="DR70" t="str">
        <v>Ex Jlr | Jlr (1N) - Ban (1N)</v>
      </c>
      <c r="DS70" t="str">
        <v>Ex Jlr | Ban (1N)</v>
      </c>
      <c r="DT70" t="str">
        <v>Ex Jlr | Jlr (2 N) Kan</v>
      </c>
      <c r="DU70" t="str">
        <v>Ex Jlr | Jlr - Amr (1 N) - (1 N) Ban</v>
      </c>
      <c r="DV70" t="str">
        <v>Ex Rpr | Rpr - (2N) Kan</v>
      </c>
      <c r="DW70" t="str">
        <v>Hjr (1N) - Mahi (1N) - Sat</v>
      </c>
      <c r="DX70" t="str">
        <v>Ex Bhp | Bhp - Bhim - Pch (2N) - Bhp</v>
      </c>
      <c r="DY70" t="str">
        <v xml:space="preserve">Ex Ujj I 2N Ujj </v>
      </c>
    </row>
    <row r="71" spans="2:145" ht="15" customHeight="1">
      <c r="B71" s="34">
        <v>67</v>
      </c>
      <c r="C71" s="36" t="s">
        <v>776</v>
      </c>
      <c r="D71" s="76">
        <v>46137</v>
      </c>
      <c r="E71" s="37" t="str">
        <f>IF(Table5[[#This Row],[Query Date]]&lt;&gt;"", TEXT(Table5[[#This Row],[Query Date]], "dddd"), "")</f>
        <v>Saturday</v>
      </c>
      <c r="F71" s="37" t="str">
        <f>IF(Table5[[#This Row],[Query Date]]&lt;&gt;"", TEXT(Table5[[#This Row],[Query Date]], "mmmm"), "")</f>
        <v>April</v>
      </c>
      <c r="G71" s="28" t="s">
        <v>65</v>
      </c>
      <c r="H71" s="28" t="s">
        <v>66</v>
      </c>
      <c r="I71" s="28" t="s">
        <v>67</v>
      </c>
      <c r="J71" s="28" t="s">
        <v>68</v>
      </c>
      <c r="K71" s="28" t="s">
        <v>128</v>
      </c>
      <c r="L71" s="25" t="s">
        <v>70</v>
      </c>
      <c r="M71" s="112" t="s">
        <v>777</v>
      </c>
      <c r="N71" s="25" t="s">
        <v>778</v>
      </c>
      <c r="O71" s="130" t="s">
        <v>779</v>
      </c>
      <c r="P71" s="46" t="s">
        <v>780</v>
      </c>
      <c r="Q71" s="77">
        <v>46182</v>
      </c>
      <c r="R71" s="77" t="str">
        <f>IF(Table5[[#This Row],[Tour Starting Date]]&lt;&gt;"", TEXT(Table5[[#This Row],[Tour Starting Date]], "dddd"), "")</f>
        <v>Tuesday</v>
      </c>
      <c r="S71" s="77">
        <v>46187</v>
      </c>
      <c r="T71" s="25" t="str">
        <f>IF(Table5[[#This Row],[Tour Ending Date]]&lt;&gt;"", TEXT(Table5[[#This Row],[Tour Ending Date]], "dddd"), "")</f>
        <v>Sunday</v>
      </c>
      <c r="U71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5 Nights &amp; 6 Days</v>
      </c>
      <c r="V71" s="37" t="str">
        <f>IF(Table5[[#This Row],[Tour Starting Date]]&lt;&gt;"", TEXT(Table5[[#This Row],[Tour Starting Date]], "mmmm"), "")</f>
        <v>June</v>
      </c>
      <c r="W71" s="80" t="str" cm="1">
        <f t="array" ref="W71">IF(Q71&lt;&gt;"", INDEX(CI:CI, MATCH(1, (Q71&gt;=CG:CG)*(Q71&lt;=CH:CH), 0)), "")</f>
        <v>Regular Dates - Weekday</v>
      </c>
      <c r="X71" s="39">
        <v>2</v>
      </c>
      <c r="Y71" s="74">
        <v>54500</v>
      </c>
      <c r="Z71" s="74">
        <f>IF(OR(Table5[[#This Row],[Per Person Package Cost]]="", Table5[[#This Row],[No. of Pax]]=""), "", Table5[[#This Row],[Per Person Package Cost]] * Table5[[#This Row],[No. of Pax]])</f>
        <v>109000</v>
      </c>
      <c r="AA71" s="52" t="s">
        <v>133</v>
      </c>
      <c r="AB71" s="52" t="s">
        <v>133</v>
      </c>
      <c r="AC71" s="52" t="s">
        <v>134</v>
      </c>
      <c r="AD71" s="52" t="s">
        <v>781</v>
      </c>
      <c r="AE71" s="51" t="str">
        <f t="shared" si="5"/>
        <v>EXJBP14</v>
      </c>
      <c r="AF71" s="51" t="str">
        <f t="shared" si="6"/>
        <v>Wilderness and Spiritual Elevations</v>
      </c>
      <c r="AG71" s="74" t="str">
        <f t="shared" si="7"/>
        <v>Quick Getaways</v>
      </c>
      <c r="AH71" s="73" t="str">
        <f t="shared" si="4"/>
        <v>South + East MP</v>
      </c>
      <c r="AI71" s="52" t="s">
        <v>107</v>
      </c>
      <c r="AJ71" s="56" t="s">
        <v>78</v>
      </c>
      <c r="AK71" s="59" t="s">
        <v>79</v>
      </c>
      <c r="AL71" s="60" t="s">
        <v>80</v>
      </c>
      <c r="AM71" s="54" t="s">
        <v>80</v>
      </c>
      <c r="AN71" s="14">
        <v>46147</v>
      </c>
      <c r="AO71" s="15">
        <v>46150</v>
      </c>
      <c r="AP71" s="91">
        <v>46158</v>
      </c>
      <c r="AQ71" s="87"/>
      <c r="AR71" s="26"/>
      <c r="AS71" s="65"/>
      <c r="AT71" s="88" t="s">
        <v>81</v>
      </c>
      <c r="AU71" s="67"/>
      <c r="BX71" s="1">
        <v>67</v>
      </c>
      <c r="CG71" s="143">
        <v>46342</v>
      </c>
      <c r="CH71" s="143">
        <v>46345</v>
      </c>
      <c r="CI71" s="142" t="s">
        <v>88</v>
      </c>
      <c r="CJ71" s="141"/>
      <c r="CK71" s="141"/>
      <c r="CN71" t="s">
        <v>782</v>
      </c>
      <c r="CU71" t="s">
        <v>239</v>
      </c>
      <c r="CV71" t="s">
        <v>193</v>
      </c>
      <c r="CW71" t="s">
        <v>783</v>
      </c>
      <c r="CX71" s="124" t="s">
        <v>784</v>
      </c>
      <c r="CY71" t="s">
        <v>197</v>
      </c>
      <c r="CZ71" t="s">
        <v>785</v>
      </c>
      <c r="DA71" t="str" cm="1">
        <f t="array" ref="DA71:DW71">IF(U71&lt;&gt;"", TRANSPOSE(_xlfn._xlws.FILTER(CZ:CZ, CY:CY=U71, "")), "")</f>
        <v>Gwl (2N) + Mor - Son - Dat - Orc (1N) - Hjr (2N) + Panna</v>
      </c>
      <c r="DB71" t="str">
        <v>Ex Gwl | Gwl (2N) + Mor - Shiv - Chan (2N) - Orc (1N) - Dat - Son - Gwl</v>
      </c>
      <c r="DC71" t="str">
        <v>Gwl (2N) + Mor - Son - Dat - Orc (1N) - Hjr (1N) - Jlr (1N)</v>
      </c>
      <c r="DD71" t="str">
        <v>Ex Idr | Idr - Ujj (1N) - Omk (1N) - Mah (1N) - Man (1N) - Idr (1N)</v>
      </c>
      <c r="DE71" t="str">
        <v>Bhp (1N) + Bhim + Bhoj + San - Ujj (1N) - Man (2N) - Mah - Omk (1N) - Idr</v>
      </c>
      <c r="DF71" t="str">
        <v>Jlr (1N) - Hjr (1N) - Orc (1N) - Dat - Son - Gwl (2N) + Mor</v>
      </c>
      <c r="DG71" t="str">
        <v>Jlr (1N) - Kan (1N) - Pch (2N) - Bhim - Bhoj - Bho (1N) + Sanchi</v>
      </c>
      <c r="DH71" t="str">
        <v>Ex Bho | Bho (1N) + San - Bhoj - Bhim - Tawa (1N) - Mad (1N) - Pch (2N) - Bho</v>
      </c>
      <c r="DI71" t="str">
        <v>Bho (1N) + San + Udaygiri - Bhoj - Bhim - Pch (2N) - Kan(1N) - Jlr (1N)</v>
      </c>
      <c r="DJ71" t="str">
        <v>Bho (1N) + Bhim + Bhoj - San - Ujj (1N) - Man (2N) - Mah - Omk (1N) - Idr</v>
      </c>
      <c r="DK71" t="str">
        <v>Idr - Man (2N) - Idr (1N) - Bho (2N) + Bhim + Bhoj + Sanchi</v>
      </c>
      <c r="DL71" t="str">
        <v>Ex Bho | Bho (2N) + San + Udaygiri - Bhoj - Bhim - Pch (2N) - Tawa (1N) - Bho</v>
      </c>
      <c r="DM71" t="str">
        <v>Rpr - Kan (2N) - Pen (1N) - Pch (2N) - Bho</v>
      </c>
      <c r="DN71" t="str">
        <v>Nag - Pen (2N) - Pch (2N) - Bhim - Bhoj - Bho (1N) + San</v>
      </c>
      <c r="DO71" t="str">
        <v>Gwl (2N) (Ex Mor) - Orc (1N) - Chn (1N) - Shiv (1N) - Jhn</v>
      </c>
      <c r="DP71" t="str">
        <v>Gwl (2N) (Ex Mor) - Dat - Orc (1N) - Chn (1N) - Shiv (1N) - Jhn</v>
      </c>
      <c r="DQ71" t="str">
        <v>Nag - Pen (2N) - Kan (2N) - Jlr (1N)</v>
      </c>
      <c r="DR71" t="str">
        <v>Rpr - (2 N) Amr - (1 N) Ban - (1 N) Hjr - (1 N) Jlr</v>
      </c>
      <c r="DS71" t="str">
        <v>Gwl (2N) (Ex Mor) -Orc  - Hjr (1N) - Chn (1N) - Shiv (1N) - Jhn</v>
      </c>
      <c r="DT71" t="str">
        <v>(2 N) Gwl - (1 N) Orch - (1 N) Hjr - (1 N) Jlr</v>
      </c>
      <c r="DU71" t="str">
        <v xml:space="preserve">Arr Rpr - Amr (2N) - Par (2N) - Jlr (1N) </v>
      </c>
      <c r="DV71" t="str">
        <v>3N Idr (Ex Ujj - Man) - Bhim - Bhoj - San - 2N Bho</v>
      </c>
      <c r="DW71" t="str">
        <v>1N Jlr - 1N Kan - 3N Pch - Ppi</v>
      </c>
    </row>
    <row r="72" spans="2:145" ht="15" customHeight="1">
      <c r="B72" s="35">
        <v>68</v>
      </c>
      <c r="C72" s="36" t="s">
        <v>786</v>
      </c>
      <c r="D72" s="76">
        <v>46146</v>
      </c>
      <c r="E72" s="37" t="str">
        <f>IF(Table5[[#This Row],[Query Date]]&lt;&gt;"", TEXT(Table5[[#This Row],[Query Date]], "dddd"), "")</f>
        <v>Monday</v>
      </c>
      <c r="F72" s="37" t="str">
        <f>IF(Table5[[#This Row],[Query Date]]&lt;&gt;"", TEXT(Table5[[#This Row],[Query Date]], "mmmm"), "")</f>
        <v>May</v>
      </c>
      <c r="G72" s="28" t="s">
        <v>65</v>
      </c>
      <c r="H72" s="28" t="s">
        <v>66</v>
      </c>
      <c r="I72" s="28" t="s">
        <v>67</v>
      </c>
      <c r="J72" s="28" t="s">
        <v>68</v>
      </c>
      <c r="K72" s="28" t="s">
        <v>246</v>
      </c>
      <c r="L72" s="25" t="s">
        <v>70</v>
      </c>
      <c r="M72" s="112" t="s">
        <v>247</v>
      </c>
      <c r="N72" s="25" t="s">
        <v>248</v>
      </c>
      <c r="O72" s="130">
        <v>9330469599</v>
      </c>
      <c r="P72" s="46" t="s">
        <v>719</v>
      </c>
      <c r="Q72" s="77">
        <v>46201</v>
      </c>
      <c r="R72" s="77" t="str">
        <f>IF(Table5[[#This Row],[Tour Starting Date]]&lt;&gt;"", TEXT(Table5[[#This Row],[Tour Starting Date]], "dddd"), "")</f>
        <v>Sunday</v>
      </c>
      <c r="S72" s="77">
        <v>46204</v>
      </c>
      <c r="T72" s="25" t="str">
        <f>IF(Table5[[#This Row],[Tour Ending Date]]&lt;&gt;"", TEXT(Table5[[#This Row],[Tour Ending Date]], "dddd"), "")</f>
        <v>Wednesday</v>
      </c>
      <c r="U72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72" s="37" t="str">
        <f>IF(Table5[[#This Row],[Tour Starting Date]]&lt;&gt;"", TEXT(Table5[[#This Row],[Tour Starting Date]], "mmmm"), "")</f>
        <v>June</v>
      </c>
      <c r="W72" s="80" t="str" cm="1">
        <f t="array" ref="W72">IF(Q72&lt;&gt;"", INDEX(CI:CI, MATCH(1, (Q72&gt;=CG:CG)*(Q72&lt;=CH:CH), 0)), "")</f>
        <v>Long Weekend - Eid-ul-Fitr</v>
      </c>
      <c r="X72" s="39">
        <v>4</v>
      </c>
      <c r="Y72" s="74">
        <v>12200</v>
      </c>
      <c r="Z72" s="74">
        <f>IF(OR(Table5[[#This Row],[Per Person Package Cost]]="", Table5[[#This Row],[No. of Pax]]=""), "", Table5[[#This Row],[Per Person Package Cost]] * Table5[[#This Row],[No. of Pax]])</f>
        <v>48800</v>
      </c>
      <c r="AA72" s="52" t="s">
        <v>75</v>
      </c>
      <c r="AB72" s="52" t="s">
        <v>787</v>
      </c>
      <c r="AC72" s="52" t="s">
        <v>76</v>
      </c>
      <c r="AD72" s="52" t="s">
        <v>575</v>
      </c>
      <c r="AE72" s="51" t="str">
        <f t="shared" si="5"/>
        <v>EMPSPR01</v>
      </c>
      <c r="AF72" s="51" t="str">
        <f t="shared" si="6"/>
        <v>A Pilgrimage of Faith and Culture</v>
      </c>
      <c r="AG72" s="74" t="str">
        <f t="shared" si="7"/>
        <v>Special Interest - Spiritual Tours</v>
      </c>
      <c r="AH72" s="73" t="str">
        <f t="shared" si="4"/>
        <v>West MP</v>
      </c>
      <c r="AI72" s="52" t="s">
        <v>159</v>
      </c>
      <c r="AJ72" s="56" t="s">
        <v>78</v>
      </c>
      <c r="AK72" s="59" t="s">
        <v>79</v>
      </c>
      <c r="AL72" s="60" t="s">
        <v>80</v>
      </c>
      <c r="AM72" s="54" t="s">
        <v>80</v>
      </c>
      <c r="AN72" s="14">
        <v>46147</v>
      </c>
      <c r="AO72" s="15">
        <v>46153</v>
      </c>
      <c r="AP72" s="91"/>
      <c r="AQ72" s="87"/>
      <c r="AR72" s="26"/>
      <c r="AS72" s="65"/>
      <c r="AT72" s="88" t="s">
        <v>81</v>
      </c>
      <c r="AU72" s="67"/>
      <c r="BX72" s="1">
        <v>68</v>
      </c>
      <c r="CG72" s="143">
        <v>46346</v>
      </c>
      <c r="CH72" s="143">
        <v>46348</v>
      </c>
      <c r="CI72" s="142" t="s">
        <v>116</v>
      </c>
      <c r="CJ72" s="141"/>
      <c r="CK72" s="141"/>
      <c r="CN72" t="s">
        <v>788</v>
      </c>
      <c r="CU72" t="s">
        <v>239</v>
      </c>
      <c r="CV72" t="s">
        <v>193</v>
      </c>
      <c r="CW72" t="s">
        <v>789</v>
      </c>
      <c r="CX72" s="124" t="s">
        <v>790</v>
      </c>
      <c r="CY72" t="s">
        <v>151</v>
      </c>
      <c r="CZ72" t="s">
        <v>791</v>
      </c>
      <c r="DA72" t="str" cm="1">
        <f t="array" ref="DA72:EO72">IF(U72&lt;&gt;"", TRANSPOSE(_xlfn._xlws.FILTER(CZ:CZ, CY:CY=U72, "")), "")</f>
        <v>Gwl (3N) + Mor + Son + Dat + Orc</v>
      </c>
      <c r="DB72" t="str">
        <v>Ex Gwl | Gwl (1N) - Son - Dat - Orc (1N) - Gwl (1N)</v>
      </c>
      <c r="DC72" t="str">
        <v>Ex Idr | Idr - Ujj (1N) - Omk - Mah (1N) - Man (1N) - Idr</v>
      </c>
      <c r="DD72" t="str">
        <v>Ex Jlr | Jlr - Kan (2N) - Jlr (1N)</v>
      </c>
      <c r="DE72" t="str">
        <v>Ex Jlr | Jlr - Ban (2N) - Jlr (1N)</v>
      </c>
      <c r="DF72" t="str">
        <v>Ex Bho | Bho (1N) + San - Bhoj - Bhim - Pch (2N) - Bho</v>
      </c>
      <c r="DG72" t="str">
        <v>Ex Idr | Idr (1N) - Ujj (1N) - Omk (1N) - Mah - Idr</v>
      </c>
      <c r="DH72" t="str">
        <v>Gwl - Orc (1N) - Ckt (1N) - Myr (1N) - Jlr</v>
      </c>
      <c r="DI72" t="str">
        <v>Gwl - Orc (1N) - Ckt (2N) - Ixd</v>
      </c>
      <c r="DJ72" t="str">
        <v>Ex Idr | Idr - Ujj (1N) - Omk - Mah (1N) - Idr (1N)</v>
      </c>
      <c r="DK72" t="str">
        <v>Ex Jlr | Jlr - Kan (3N) - Jlr</v>
      </c>
      <c r="DL72" t="str">
        <v>Ex Bho | Bho (2N) + Bhim + Bhoj + San + Udaygiri + Vidisha + FDCT Bho</v>
      </c>
      <c r="DM72" t="str">
        <v>Bho (1N) + Bhim + Bhoj - HDCT  Bho + Sanchi - Ujj (2N)</v>
      </c>
      <c r="DN72" t="str">
        <v>Bho (1N) + Bhim + Bhoj - HDCT  Bho + Sanchi - Ujj (2N) - Idr</v>
      </c>
      <c r="DO72" t="str">
        <v>Ex Bho | Bho - Bhoj - Bhim - Mad (1N) - Pch (2N) - Bho</v>
      </c>
      <c r="DP72" t="str">
        <v>Ex Bho | Bho - Bhoj - Bhim - Mad (1N) - Pch (3N) - Bho</v>
      </c>
      <c r="DQ72" t="str">
        <v>Ex Bho | Bho - Bhoj - Bhim - Tawa (1N) - Mad (1N) - Bho (1N)</v>
      </c>
      <c r="DR72" t="str">
        <v>Bho (1N) - Bhim - Bhoj - San - Idr (2N) + Ujj</v>
      </c>
      <c r="DS72" t="str">
        <v>Bho (1N) - Bhoj - Bhim - Pch (2N) - Bho</v>
      </c>
      <c r="DT72" t="str">
        <v>Ujj (1N) - Omk - Mah (1N) - Idr (1N)</v>
      </c>
      <c r="DU72" t="str">
        <v>Ujj (1N) - Omk - Mah (1N) - Man (1N) - Idr</v>
      </c>
      <c r="DV72" t="str">
        <v>Ex Idr | Idr (1N) - Ujj (1N) - Omk - Mah (1N)</v>
      </c>
      <c r="DW72" t="str">
        <v>Ex Idr | Idr - Ujj (1N) - Omk (1N) - Mah (1N) - Idr</v>
      </c>
      <c r="DX72" t="str">
        <v>Khandwa - Omk (1N) - Mah (1N) - Ujj (1N) - Idr</v>
      </c>
      <c r="DY72" t="str">
        <v>Ex Idr | Idr - Ujj (1N) - Omk - Mah (1N) - Man - Idr (1N)</v>
      </c>
      <c r="DZ72" t="str">
        <v xml:space="preserve">Idr - Omk (1N) - Mah - Ujj (1N) San - Bho (1N) </v>
      </c>
      <c r="EA72" t="str">
        <v>Ex Idr | Idr - Man (1N) - Mah - Omk (1N) - Ujj (1N) - Idr</v>
      </c>
      <c r="EB72" t="str">
        <v>Khandwa - Omk (1N) - Mah - Ujj (2N)</v>
      </c>
      <c r="EC72" t="str">
        <v>Ex Jlr | Jlr (1N) - Amr (1N) - Ban (1N) - Jlr</v>
      </c>
      <c r="ED72" t="str">
        <v>Ex Jlr | Jlr - (1 N) Ban - (2 N) Amar</v>
      </c>
      <c r="EE72" t="str">
        <v>Jlr - Kan (1N) - Pch (2N)</v>
      </c>
      <c r="EF72" t="str">
        <v>Pi - Pch (2N)  - Kan (1N)</v>
      </c>
      <c r="EG72" t="str">
        <v>Ex Jlr | Jlr - Amr (1 N) - (1 N) Ban - (1 N) Jlr</v>
      </c>
      <c r="EH72" t="str">
        <v>Ppi - (2 N) Pch - (1 N) Pen</v>
      </c>
      <c r="EI72" t="str">
        <v>Bhp - Pch (2N) - Jlr (1N)</v>
      </c>
      <c r="EJ72" t="str">
        <v xml:space="preserve">Arr Jhn - Hjr (1N) - Orc - Gwl (2N) </v>
      </c>
      <c r="EK72" t="str">
        <v>(1 N) Ujj - (1 N) Mah - (1 N) Idr</v>
      </c>
      <c r="EL72" t="str">
        <v>Ex Bhp | Bhp - Bhoj - Bhim - Pch (3N) - Bhp</v>
      </c>
      <c r="EM72" t="str">
        <v>Ex Bhp | Bhp - Bhoj - Bhim - Pch (2N) - Mad (1N) - Bhp</v>
      </c>
      <c r="EN72" t="str">
        <v xml:space="preserve">Ex Nag - 3N Pch + Sat </v>
      </c>
      <c r="EO72" t="str">
        <v>1N Gwl - Son - Dat - 1N Hjr - 1N Orc - Jhn</v>
      </c>
    </row>
    <row r="73" spans="2:145" ht="15" customHeight="1">
      <c r="B73" s="34">
        <v>69</v>
      </c>
      <c r="C73" s="36" t="s">
        <v>792</v>
      </c>
      <c r="D73" s="76">
        <v>46144</v>
      </c>
      <c r="E73" s="37" t="str">
        <f>IF(Table5[[#This Row],[Query Date]]&lt;&gt;"", TEXT(Table5[[#This Row],[Query Date]], "dddd"), "")</f>
        <v>Saturday</v>
      </c>
      <c r="F73" s="37" t="str">
        <f>IF(Table5[[#This Row],[Query Date]]&lt;&gt;"", TEXT(Table5[[#This Row],[Query Date]], "mmmm"), "")</f>
        <v>May</v>
      </c>
      <c r="G73" s="28" t="s">
        <v>65</v>
      </c>
      <c r="H73" s="28" t="s">
        <v>66</v>
      </c>
      <c r="I73" s="28" t="s">
        <v>67</v>
      </c>
      <c r="J73" s="28" t="s">
        <v>68</v>
      </c>
      <c r="K73" s="28" t="s">
        <v>226</v>
      </c>
      <c r="L73" s="25" t="s">
        <v>70</v>
      </c>
      <c r="M73" s="112" t="s">
        <v>793</v>
      </c>
      <c r="N73" s="25"/>
      <c r="O73" s="130" t="s">
        <v>794</v>
      </c>
      <c r="P73" s="46" t="s">
        <v>795</v>
      </c>
      <c r="Q73" s="77">
        <v>46193</v>
      </c>
      <c r="R73" s="77" t="str">
        <f>IF(Table5[[#This Row],[Tour Starting Date]]&lt;&gt;"", TEXT(Table5[[#This Row],[Tour Starting Date]], "dddd"), "")</f>
        <v>Saturday</v>
      </c>
      <c r="S73" s="77">
        <v>46200</v>
      </c>
      <c r="T73" s="25" t="str">
        <f>IF(Table5[[#This Row],[Tour Ending Date]]&lt;&gt;"", TEXT(Table5[[#This Row],[Tour Ending Date]], "dddd"), "")</f>
        <v>Saturday</v>
      </c>
      <c r="U73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7 Nights &amp; 8 Days</v>
      </c>
      <c r="V73" s="37" t="str">
        <f>IF(Table5[[#This Row],[Tour Starting Date]]&lt;&gt;"", TEXT(Table5[[#This Row],[Tour Starting Date]], "mmmm"), "")</f>
        <v>June</v>
      </c>
      <c r="W73" s="80" t="str" cm="1">
        <f t="array" ref="W73">IF(Q73&lt;&gt;"", INDEX(CI:CI, MATCH(1, (Q73&gt;=CG:CG)*(Q73&lt;=CH:CH), 0)), "")</f>
        <v>Regular Dates - Weekend</v>
      </c>
      <c r="X73" s="39">
        <v>3</v>
      </c>
      <c r="Y73" s="74"/>
      <c r="Z73" s="74" t="str">
        <f>IF(OR(Table5[[#This Row],[Per Person Package Cost]]="", Table5[[#This Row],[No. of Pax]]=""), "", Table5[[#This Row],[Per Person Package Cost]] * Table5[[#This Row],[No. of Pax]])</f>
        <v/>
      </c>
      <c r="AA73" s="52" t="s">
        <v>796</v>
      </c>
      <c r="AB73" s="52" t="s">
        <v>796</v>
      </c>
      <c r="AC73" s="52" t="s">
        <v>134</v>
      </c>
      <c r="AD73" s="52"/>
      <c r="AE73" s="51" t="str">
        <f t="shared" si="5"/>
        <v/>
      </c>
      <c r="AF73" s="51" t="str">
        <f t="shared" si="6"/>
        <v/>
      </c>
      <c r="AG73" s="74" t="str">
        <f t="shared" si="7"/>
        <v/>
      </c>
      <c r="AH73" s="73" t="str">
        <f t="shared" si="4"/>
        <v/>
      </c>
      <c r="AI73" s="52" t="s">
        <v>107</v>
      </c>
      <c r="AJ73" s="56" t="s">
        <v>78</v>
      </c>
      <c r="AK73" s="59" t="s">
        <v>79</v>
      </c>
      <c r="AL73" s="60" t="s">
        <v>80</v>
      </c>
      <c r="AM73" s="54" t="s">
        <v>80</v>
      </c>
      <c r="AN73" s="14">
        <v>46158</v>
      </c>
      <c r="AO73" s="15">
        <v>46190</v>
      </c>
      <c r="AP73" s="91"/>
      <c r="AQ73" s="87"/>
      <c r="AR73" s="26"/>
      <c r="AS73" s="65"/>
      <c r="AT73" s="88" t="s">
        <v>81</v>
      </c>
      <c r="AU73" s="67"/>
      <c r="BX73" s="1">
        <v>69</v>
      </c>
      <c r="CG73" s="143">
        <v>46349</v>
      </c>
      <c r="CH73" s="143">
        <v>46352</v>
      </c>
      <c r="CI73" s="142" t="s">
        <v>88</v>
      </c>
      <c r="CJ73" s="141"/>
      <c r="CK73" s="141"/>
      <c r="CN73" t="s">
        <v>417</v>
      </c>
      <c r="CU73" t="s">
        <v>239</v>
      </c>
      <c r="CV73" t="s">
        <v>171</v>
      </c>
      <c r="CW73" t="s">
        <v>797</v>
      </c>
      <c r="CX73" s="124" t="s">
        <v>798</v>
      </c>
      <c r="CY73" t="s">
        <v>151</v>
      </c>
      <c r="CZ73" t="s">
        <v>421</v>
      </c>
      <c r="DA73" t="str" cm="1">
        <f t="array" ref="DA73:DJ73">IF(U73&lt;&gt;"", TRANSPOSE(_xlfn._xlws.FILTER(CZ:CZ, CY:CY=U73, "")), "")</f>
        <v>Ex Idr | Idr (1N) - Ujj (1N) - Omk - Mah (1N) - Man (2N) - Bhp (2N) + Bhim + Bhoj + Sanchi - Idr</v>
      </c>
      <c r="DB73" t="str">
        <v>Bho (1N) + San + Udaygiri - Bhoj - Bhim - Tawa (1N) - Mad (1N) - Pch (2N) - Kan(1N) - Jlr (1N)</v>
      </c>
      <c r="DC73" t="str">
        <v>Bho (1N) + San + Udaygiri - Bhoj - Bhim - Pch (2N) - Kan(1N) - Amk (2N) - Jlr (1N)</v>
      </c>
      <c r="DD73" t="str">
        <v>Bho (2N) + San + Bhoj + Bhim - Ujj (1N) - Omk (1N) - Mah (1N) - Man (1N) - Idr (1N)</v>
      </c>
      <c r="DE73" t="str">
        <v>Gwl (2N) + Mor - Son - Dat - Orc (1N) - Hjr (2N) - San - Bho (2N) + Bhoj + Bhim</v>
      </c>
      <c r="DF73" t="str">
        <v>Idr - Man (2N) - Bho (2N) + San - Bhoj - Bhim - Pch (2N) - Tawa (1N) - Bho</v>
      </c>
      <c r="DG73" t="str">
        <v>Jlr (1N) - Amk (1N) - Myr (1N) - Ckt (1N) - Orc (1N) - Dat - Son - Gwl (2N) + Mor + Shanichara</v>
      </c>
      <c r="DH73" t="str">
        <v>Gwl (2N) + Mor + Sanchichara - Dat (Pitambara Peeth) - Orc (1N) - Ckt (2N) - Amk (1N) - Jlr (1N)</v>
      </c>
      <c r="DI73" t="str">
        <v>Jlr - (1 N) Kan - (2 N) Pch - Bhim - Bhoj - (1 N) Bho - (1 N) Ujj - (1 N) Mah - Man -  (1 N) Idr</v>
      </c>
      <c r="DJ73" t="str">
        <v>Ex Nag - 2N Tado - 2N Pen - 3N Nag</v>
      </c>
    </row>
    <row r="74" spans="2:145" ht="15" customHeight="1">
      <c r="B74" s="35">
        <v>70</v>
      </c>
      <c r="C74" s="36" t="s">
        <v>799</v>
      </c>
      <c r="D74" s="76">
        <v>46146</v>
      </c>
      <c r="E74" s="37" t="str">
        <f>IF(Table5[[#This Row],[Query Date]]&lt;&gt;"", TEXT(Table5[[#This Row],[Query Date]], "dddd"), "")</f>
        <v>Monday</v>
      </c>
      <c r="F74" s="37" t="str">
        <f>IF(Table5[[#This Row],[Query Date]]&lt;&gt;"", TEXT(Table5[[#This Row],[Query Date]], "mmmm"), "")</f>
        <v>May</v>
      </c>
      <c r="G74" s="28" t="s">
        <v>65</v>
      </c>
      <c r="H74" s="28" t="s">
        <v>99</v>
      </c>
      <c r="I74" s="28" t="s">
        <v>67</v>
      </c>
      <c r="J74" s="28" t="s">
        <v>68</v>
      </c>
      <c r="K74" s="28" t="s">
        <v>69</v>
      </c>
      <c r="L74" s="25" t="s">
        <v>70</v>
      </c>
      <c r="M74" s="112" t="s">
        <v>266</v>
      </c>
      <c r="N74" s="25" t="s">
        <v>635</v>
      </c>
      <c r="O74" s="130" t="s">
        <v>636</v>
      </c>
      <c r="P74" s="46" t="s">
        <v>637</v>
      </c>
      <c r="Q74" s="77">
        <v>46151</v>
      </c>
      <c r="R74" s="77" t="str">
        <f>IF(Table5[[#This Row],[Tour Starting Date]]&lt;&gt;"", TEXT(Table5[[#This Row],[Tour Starting Date]], "dddd"), "")</f>
        <v>Saturday</v>
      </c>
      <c r="S74" s="77">
        <v>46155</v>
      </c>
      <c r="T74" s="25" t="str">
        <f>IF(Table5[[#This Row],[Tour Ending Date]]&lt;&gt;"", TEXT(Table5[[#This Row],[Tour Ending Date]], "dddd"), "")</f>
        <v>Wednesday</v>
      </c>
      <c r="U74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4 Nights &amp; 5 Days</v>
      </c>
      <c r="V74" s="37" t="str">
        <f>IF(Table5[[#This Row],[Tour Starting Date]]&lt;&gt;"", TEXT(Table5[[#This Row],[Tour Starting Date]], "mmmm"), "")</f>
        <v>May</v>
      </c>
      <c r="W74" s="80" t="str" cm="1">
        <f t="array" ref="W74">IF(Q74&lt;&gt;"", INDEX(CI:CI, MATCH(1, (Q74&gt;=CG:CG)*(Q74&lt;=CH:CH), 0)), "")</f>
        <v>Regular Dates - Weekend</v>
      </c>
      <c r="X74" s="39">
        <v>2</v>
      </c>
      <c r="Y74" s="74">
        <v>37000</v>
      </c>
      <c r="Z74" s="74">
        <f>IF(OR(Table5[[#This Row],[Per Person Package Cost]]="", Table5[[#This Row],[No. of Pax]]=""), "", Table5[[#This Row],[Per Person Package Cost]] * Table5[[#This Row],[No. of Pax]])</f>
        <v>74000</v>
      </c>
      <c r="AA74" s="52" t="s">
        <v>75</v>
      </c>
      <c r="AB74" s="52" t="s">
        <v>75</v>
      </c>
      <c r="AC74" s="52" t="s">
        <v>134</v>
      </c>
      <c r="AD74" s="52" t="s">
        <v>158</v>
      </c>
      <c r="AE74" s="51" t="str">
        <f t="shared" si="5"/>
        <v>EXIDR07</v>
      </c>
      <c r="AF74" s="51" t="str">
        <f t="shared" si="6"/>
        <v>Heritage Trails &amp; Sacred Wonders</v>
      </c>
      <c r="AG74" s="74" t="str">
        <f t="shared" si="7"/>
        <v>Quick Getaways</v>
      </c>
      <c r="AH74" s="73" t="str">
        <f t="shared" si="4"/>
        <v>West MP</v>
      </c>
      <c r="AI74" s="52" t="s">
        <v>159</v>
      </c>
      <c r="AJ74" s="56" t="s">
        <v>78</v>
      </c>
      <c r="AK74" s="59" t="s">
        <v>79</v>
      </c>
      <c r="AL74" s="60" t="s">
        <v>80</v>
      </c>
      <c r="AM74" s="54" t="s">
        <v>80</v>
      </c>
      <c r="AN74" s="14">
        <v>46149</v>
      </c>
      <c r="AO74" s="15"/>
      <c r="AP74" s="91"/>
      <c r="AQ74" s="87"/>
      <c r="AR74" s="26"/>
      <c r="AS74" s="65"/>
      <c r="AT74" s="88" t="s">
        <v>81</v>
      </c>
      <c r="AU74" s="67"/>
      <c r="BX74" s="1">
        <v>70</v>
      </c>
      <c r="CG74" s="143">
        <v>46353</v>
      </c>
      <c r="CH74" s="143">
        <v>46355</v>
      </c>
      <c r="CI74" s="142" t="s">
        <v>116</v>
      </c>
      <c r="CJ74" s="141"/>
      <c r="CK74" s="141"/>
      <c r="CN74" t="s">
        <v>800</v>
      </c>
      <c r="CU74" t="s">
        <v>260</v>
      </c>
      <c r="CV74" t="s">
        <v>121</v>
      </c>
      <c r="CW74" t="s">
        <v>801</v>
      </c>
      <c r="CX74" s="124" t="s">
        <v>802</v>
      </c>
      <c r="CY74" t="s">
        <v>125</v>
      </c>
      <c r="CZ74" t="s">
        <v>471</v>
      </c>
      <c r="DA74" t="str" cm="1">
        <f t="array" ref="DA74:EJ74">IF(U74&lt;&gt;"", TRANSPOSE(_xlfn._xlws.FILTER(CZ:CZ, CY:CY=U74, "")), "")</f>
        <v>Ex Gwl | Gwl (2N) + Mor - Son - Dat - Orc (1N) - Hjr (1N) - Gwl</v>
      </c>
      <c r="DB74" t="str">
        <v>Ex Idr | Idr - Ujj (1N) - Omk - Mah (1N) - Man (1N) - Idr (1N)</v>
      </c>
      <c r="DC74" t="str">
        <v>Ex Idr | Idr - Ujj (1N) - Omk (1N) - Mah (1N) - Man (1N) - Idr</v>
      </c>
      <c r="DD74" t="str">
        <v>Ex Jlr | Jlr - Kan (2N) - Amk (1N) - Jlr (1N)</v>
      </c>
      <c r="DE74" t="str">
        <v>Ex Jlr | Jlr - Ban (2N) - Amk (1N) - Jlr (1N)</v>
      </c>
      <c r="DF74" t="str">
        <v>Ex Jlr | Jlr (1N) - Hjr (1N) - Ban (2N) - Jlr</v>
      </c>
      <c r="DG74" t="str">
        <v>Ex Jlr | Jlr (1N) - Kan (1N) - Ban (2N) - Jlr</v>
      </c>
      <c r="DH74" t="str">
        <v>Ex Bho | Bho (1N) + San + Bhoj + Bhim - Tawa - Mad (1N) - Pch (2N) - Bho</v>
      </c>
      <c r="DI74" t="str">
        <v>Ex Idr | Idr - Ujj (1N) - Omk - Mah (1N) - Man (1N) - Idr (1N)</v>
      </c>
      <c r="DJ74" t="str">
        <v>Ex Bho | Bho (1N) - Bhoj - Bhim - Pch (3N) - Bho</v>
      </c>
      <c r="DK74" t="str">
        <v>Gwl (1N) - Dat (Pitambara Peeth) - Orc (1N) - Ckt (2N) - Ixd</v>
      </c>
      <c r="DL74" t="str">
        <v>Ex Jlr | Jlr - Ban (2N) - Kan (2N) - Jlr</v>
      </c>
      <c r="DM74" t="str">
        <v>Jlr - Ban (1N) - Kan (1N) - Pen (2N) - Nag</v>
      </c>
      <c r="DN74" t="str">
        <v>Ex Bho | Bho (1N) - Bhoj - Bhim - Pch (3N) - Bho</v>
      </c>
      <c r="DO74" t="str">
        <v>Ex Bho | Bho (2N) + Sanchi + Bhoj + Bhim - Tawa - Mad (1N) - Bho (1N)</v>
      </c>
      <c r="DP74" t="str">
        <v>Ex Bho | Bho - Bhoj - Bhim - Tawa (1N) - Mad (1N) - Pch (2N) - Bho</v>
      </c>
      <c r="DQ74" t="str">
        <v>Bho - Bhoj - Bhim - Pch (2N) - Kan (1N) - Jlr (1N)</v>
      </c>
      <c r="DR74" t="str">
        <v>Bho - Bhoj - Bhim - Pch (2N) - Kan (1N) - Amk (1N) - Jlr</v>
      </c>
      <c r="DS74" t="str">
        <v xml:space="preserve">Bho (1N) + Bhim + Bhoj + San - Ujj (1N) - Omk - Mah (1N) - Idr (1N) </v>
      </c>
      <c r="DT74" t="str">
        <v>Ex Gwl | Gwl - Hjr (1N) - Orc (1N) - Dat - Son - Gwl (2N)</v>
      </c>
      <c r="DU74" t="str">
        <v>Ex Gwl | Gwl - Orc (1N) - Hjr (1N) - Chn (1N) - Shiv (1N) - Gwl</v>
      </c>
      <c r="DV74" t="str">
        <v>Gwl - Hjr (1N) - Panna (1N) - Chit (1N) - Mahi (1N) - Sat</v>
      </c>
      <c r="DW74" t="str">
        <v>Jlr - (2 N) Kan - (2 N) Pch - Bhim - Bhoj - Bhp</v>
      </c>
      <c r="DX74" t="str">
        <v>Jlr - (2 N) Kan - (2 N) Pen - Rpr</v>
      </c>
      <c r="DY74" t="str">
        <v>Gwl (2N) (Ex Mor) - Dat -Orc (1N) - Hjr (1N) - Jhn</v>
      </c>
      <c r="DZ74" t="str">
        <v>Ex Gwl | Gwl (1N) - Son - Dat - Orc (1N) - Hjr (2N) (Ex Panna) - Gwl</v>
      </c>
      <c r="EA74" t="str">
        <v>Hjr (1N) - Orc (1N) - Dat - son - Gwl (2N)(Ex Mor)</v>
      </c>
      <c r="EB74" t="str">
        <v>(2 N) Gwl - (1 N) Orch - (1 N) Hjr</v>
      </c>
      <c r="EC74" t="str">
        <v>Ex Bhp | Bhp - Bhoj - Bhim - Pch (2N) - Mad (1N) - Tawa (1N) - Bhp</v>
      </c>
      <c r="ED74" t="str">
        <v>Ex Bhp | Bhp - Bhoj - Bhim - Pch (2N) - Mad (2N) - Bhp</v>
      </c>
      <c r="EE74" t="str">
        <v>Ex Idr | Idr - Ujj (1N) - Omk (1N) - Mah (2N) (Ex Man) - Idr (HDCT)</v>
      </c>
      <c r="EF74" t="str">
        <v>Arr Rpr - Amr (2N) - Par (2N) - IXD</v>
      </c>
      <c r="EG74" t="str">
        <v>1N Gwl - Orc - 2N Hjr - Jhn - 1N Gwl</v>
      </c>
      <c r="EH74" t="str">
        <v>1N Orc - 1N Hjr - 2N Gwl Ex Mor</v>
      </c>
      <c r="EI74" t="str">
        <v>1N Idr - Omk - 1N Mah - 1N Ujj - Seh - 1N Bho</v>
      </c>
      <c r="EJ74" t="str">
        <v>Ex Idr I 1N Idr - 1N Ujj - Omk - 2N Mah - Man - Idr</v>
      </c>
    </row>
    <row r="75" spans="2:145" ht="15" customHeight="1">
      <c r="B75" s="34">
        <v>71</v>
      </c>
      <c r="C75" s="36" t="s">
        <v>803</v>
      </c>
      <c r="D75" s="76">
        <v>46147</v>
      </c>
      <c r="E75" s="37" t="str">
        <f>IF(Table5[[#This Row],[Query Date]]&lt;&gt;"", TEXT(Table5[[#This Row],[Query Date]], "dddd"), "")</f>
        <v>Tuesday</v>
      </c>
      <c r="F75" s="37" t="str">
        <f>IF(Table5[[#This Row],[Query Date]]&lt;&gt;"", TEXT(Table5[[#This Row],[Query Date]], "mmmm"), "")</f>
        <v>May</v>
      </c>
      <c r="G75" s="28" t="s">
        <v>65</v>
      </c>
      <c r="H75" s="28" t="s">
        <v>66</v>
      </c>
      <c r="I75" s="28" t="s">
        <v>67</v>
      </c>
      <c r="J75" s="28" t="s">
        <v>68</v>
      </c>
      <c r="K75" s="28" t="s">
        <v>570</v>
      </c>
      <c r="L75" s="25" t="s">
        <v>70</v>
      </c>
      <c r="M75" s="112" t="s">
        <v>571</v>
      </c>
      <c r="N75" s="25" t="s">
        <v>572</v>
      </c>
      <c r="O75" s="130" t="s">
        <v>573</v>
      </c>
      <c r="P75" s="46" t="s">
        <v>574</v>
      </c>
      <c r="Q75" s="77">
        <v>46178</v>
      </c>
      <c r="R75" s="77" t="str">
        <f>IF(Table5[[#This Row],[Tour Starting Date]]&lt;&gt;"", TEXT(Table5[[#This Row],[Tour Starting Date]], "dddd"), "")</f>
        <v>Friday</v>
      </c>
      <c r="S75" s="77">
        <v>46181</v>
      </c>
      <c r="T75" s="25" t="str">
        <f>IF(Table5[[#This Row],[Tour Ending Date]]&lt;&gt;"", TEXT(Table5[[#This Row],[Tour Ending Date]], "dddd"), "")</f>
        <v>Monday</v>
      </c>
      <c r="U75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75" s="37" t="str">
        <f>IF(Table5[[#This Row],[Tour Starting Date]]&lt;&gt;"", TEXT(Table5[[#This Row],[Tour Starting Date]], "mmmm"), "")</f>
        <v>June</v>
      </c>
      <c r="W75" s="80" t="str" cm="1">
        <f t="array" ref="W75">IF(Q75&lt;&gt;"", INDEX(CI:CI, MATCH(1, (Q75&gt;=CG:CG)*(Q75&lt;=CH:CH), 0)), "")</f>
        <v>Regular Dates - Weekend</v>
      </c>
      <c r="X75" s="39">
        <v>14</v>
      </c>
      <c r="Y75" s="74">
        <v>8500</v>
      </c>
      <c r="Z75" s="74">
        <f>IF(OR(Table5[[#This Row],[Per Person Package Cost]]="", Table5[[#This Row],[No. of Pax]]=""), "", Table5[[#This Row],[Per Person Package Cost]] * Table5[[#This Row],[No. of Pax]])</f>
        <v>119000</v>
      </c>
      <c r="AA75" s="52" t="s">
        <v>75</v>
      </c>
      <c r="AB75" s="52" t="s">
        <v>75</v>
      </c>
      <c r="AC75" s="52" t="s">
        <v>76</v>
      </c>
      <c r="AD75" s="52" t="s">
        <v>593</v>
      </c>
      <c r="AE75" s="51" t="str">
        <f t="shared" si="5"/>
        <v>EXIDR15</v>
      </c>
      <c r="AF75" s="51" t="str">
        <f t="shared" si="6"/>
        <v>Essence Of Faith</v>
      </c>
      <c r="AG75" s="74" t="str">
        <f t="shared" si="7"/>
        <v>Quick Getaways</v>
      </c>
      <c r="AH75" s="73" t="str">
        <f t="shared" si="4"/>
        <v>West MP</v>
      </c>
      <c r="AI75" s="52" t="s">
        <v>159</v>
      </c>
      <c r="AJ75" s="56" t="s">
        <v>78</v>
      </c>
      <c r="AK75" s="59" t="s">
        <v>79</v>
      </c>
      <c r="AL75" s="60" t="s">
        <v>80</v>
      </c>
      <c r="AM75" s="54" t="s">
        <v>80</v>
      </c>
      <c r="AN75" s="14">
        <v>46150</v>
      </c>
      <c r="AO75" s="15">
        <v>46158</v>
      </c>
      <c r="AP75" s="91"/>
      <c r="AQ75" s="87"/>
      <c r="AR75" s="26"/>
      <c r="AS75" s="65"/>
      <c r="AT75" s="88" t="s">
        <v>81</v>
      </c>
      <c r="AU75" s="67"/>
      <c r="BX75" s="1">
        <v>71</v>
      </c>
      <c r="CG75" s="143">
        <v>46356</v>
      </c>
      <c r="CH75" s="143">
        <v>46359</v>
      </c>
      <c r="CI75" s="142" t="s">
        <v>88</v>
      </c>
      <c r="CJ75" s="141"/>
      <c r="CK75" s="141"/>
      <c r="CN75" t="s">
        <v>804</v>
      </c>
      <c r="CU75" t="s">
        <v>260</v>
      </c>
      <c r="CV75" t="s">
        <v>121</v>
      </c>
      <c r="CW75" t="s">
        <v>805</v>
      </c>
      <c r="CX75" s="124" t="s">
        <v>806</v>
      </c>
      <c r="CY75" t="s">
        <v>151</v>
      </c>
      <c r="CZ75" t="s">
        <v>807</v>
      </c>
      <c r="DA75" t="str" cm="1">
        <f t="array" ref="DA75:EO75">IF(U75&lt;&gt;"", TRANSPOSE(_xlfn._xlws.FILTER(CZ:CZ, CY:CY=U75, "")), "")</f>
        <v>Gwl (3N) + Mor + Son + Dat + Orc</v>
      </c>
      <c r="DB75" t="str">
        <v>Ex Gwl | Gwl (1N) - Son - Dat - Orc (1N) - Gwl (1N)</v>
      </c>
      <c r="DC75" t="str">
        <v>Ex Idr | Idr - Ujj (1N) - Omk - Mah (1N) - Man (1N) - Idr</v>
      </c>
      <c r="DD75" t="str">
        <v>Ex Jlr | Jlr - Kan (2N) - Jlr (1N)</v>
      </c>
      <c r="DE75" t="str">
        <v>Ex Jlr | Jlr - Ban (2N) - Jlr (1N)</v>
      </c>
      <c r="DF75" t="str">
        <v>Ex Bho | Bho (1N) + San - Bhoj - Bhim - Pch (2N) - Bho</v>
      </c>
      <c r="DG75" t="str">
        <v>Ex Idr | Idr (1N) - Ujj (1N) - Omk (1N) - Mah - Idr</v>
      </c>
      <c r="DH75" t="str">
        <v>Gwl - Orc (1N) - Ckt (1N) - Myr (1N) - Jlr</v>
      </c>
      <c r="DI75" t="str">
        <v>Gwl - Orc (1N) - Ckt (2N) - Ixd</v>
      </c>
      <c r="DJ75" t="str">
        <v>Ex Idr | Idr - Ujj (1N) - Omk - Mah (1N) - Idr (1N)</v>
      </c>
      <c r="DK75" t="str">
        <v>Ex Jlr | Jlr - Kan (3N) - Jlr</v>
      </c>
      <c r="DL75" t="str">
        <v>Ex Bho | Bho (2N) + Bhim + Bhoj + San + Udaygiri + Vidisha + FDCT Bho</v>
      </c>
      <c r="DM75" t="str">
        <v>Bho (1N) + Bhim + Bhoj - HDCT  Bho + Sanchi - Ujj (2N)</v>
      </c>
      <c r="DN75" t="str">
        <v>Bho (1N) + Bhim + Bhoj - HDCT  Bho + Sanchi - Ujj (2N) - Idr</v>
      </c>
      <c r="DO75" t="str">
        <v>Ex Bho | Bho - Bhoj - Bhim - Mad (1N) - Pch (2N) - Bho</v>
      </c>
      <c r="DP75" t="str">
        <v>Ex Bho | Bho - Bhoj - Bhim - Mad (1N) - Pch (3N) - Bho</v>
      </c>
      <c r="DQ75" t="str">
        <v>Ex Bho | Bho - Bhoj - Bhim - Tawa (1N) - Mad (1N) - Bho (1N)</v>
      </c>
      <c r="DR75" t="str">
        <v>Bho (1N) - Bhim - Bhoj - San - Idr (2N) + Ujj</v>
      </c>
      <c r="DS75" t="str">
        <v>Bho (1N) - Bhoj - Bhim - Pch (2N) - Bho</v>
      </c>
      <c r="DT75" t="str">
        <v>Ujj (1N) - Omk - Mah (1N) - Idr (1N)</v>
      </c>
      <c r="DU75" t="str">
        <v>Ujj (1N) - Omk - Mah (1N) - Man (1N) - Idr</v>
      </c>
      <c r="DV75" t="str">
        <v>Ex Idr | Idr (1N) - Ujj (1N) - Omk - Mah (1N)</v>
      </c>
      <c r="DW75" t="str">
        <v>Ex Idr | Idr - Ujj (1N) - Omk (1N) - Mah (1N) - Idr</v>
      </c>
      <c r="DX75" t="str">
        <v>Khandwa - Omk (1N) - Mah (1N) - Ujj (1N) - Idr</v>
      </c>
      <c r="DY75" t="str">
        <v>Ex Idr | Idr - Ujj (1N) - Omk - Mah (1N) - Man - Idr (1N)</v>
      </c>
      <c r="DZ75" t="str">
        <v xml:space="preserve">Idr - Omk (1N) - Mah - Ujj (1N) San - Bho (1N) </v>
      </c>
      <c r="EA75" t="str">
        <v>Ex Idr | Idr - Man (1N) - Mah - Omk (1N) - Ujj (1N) - Idr</v>
      </c>
      <c r="EB75" t="str">
        <v>Khandwa - Omk (1N) - Mah - Ujj (2N)</v>
      </c>
      <c r="EC75" t="str">
        <v>Ex Jlr | Jlr (1N) - Amr (1N) - Ban (1N) - Jlr</v>
      </c>
      <c r="ED75" t="str">
        <v>Ex Jlr | Jlr - (1 N) Ban - (2 N) Amar</v>
      </c>
      <c r="EE75" t="str">
        <v>Jlr - Kan (1N) - Pch (2N)</v>
      </c>
      <c r="EF75" t="str">
        <v>Pi - Pch (2N)  - Kan (1N)</v>
      </c>
      <c r="EG75" t="str">
        <v>Ex Jlr | Jlr - Amr (1 N) - (1 N) Ban - (1 N) Jlr</v>
      </c>
      <c r="EH75" t="str">
        <v>Ppi - (2 N) Pch - (1 N) Pen</v>
      </c>
      <c r="EI75" t="str">
        <v>Bhp - Pch (2N) - Jlr (1N)</v>
      </c>
      <c r="EJ75" t="str">
        <v xml:space="preserve">Arr Jhn - Hjr (1N) - Orc - Gwl (2N) </v>
      </c>
      <c r="EK75" t="str">
        <v>(1 N) Ujj - (1 N) Mah - (1 N) Idr</v>
      </c>
      <c r="EL75" t="str">
        <v>Ex Bhp | Bhp - Bhoj - Bhim - Pch (3N) - Bhp</v>
      </c>
      <c r="EM75" t="str">
        <v>Ex Bhp | Bhp - Bhoj - Bhim - Pch (2N) - Mad (1N) - Bhp</v>
      </c>
      <c r="EN75" t="str">
        <v xml:space="preserve">Ex Nag - 3N Pch + Sat </v>
      </c>
      <c r="EO75" t="str">
        <v>1N Gwl - Son - Dat - 1N Hjr - 1N Orc - Jhn</v>
      </c>
    </row>
    <row r="76" spans="2:145" ht="15" customHeight="1">
      <c r="B76" s="35">
        <v>72</v>
      </c>
      <c r="C76" s="36" t="s">
        <v>808</v>
      </c>
      <c r="D76" s="76">
        <v>46148</v>
      </c>
      <c r="E76" s="37" t="str">
        <f>IF(Table5[[#This Row],[Query Date]]&lt;&gt;"", TEXT(Table5[[#This Row],[Query Date]], "dddd"), "")</f>
        <v>Wednesday</v>
      </c>
      <c r="F76" s="37" t="str">
        <f>IF(Table5[[#This Row],[Query Date]]&lt;&gt;"", TEXT(Table5[[#This Row],[Query Date]], "mmmm"), "")</f>
        <v>May</v>
      </c>
      <c r="G76" s="28" t="s">
        <v>65</v>
      </c>
      <c r="H76" s="28" t="s">
        <v>66</v>
      </c>
      <c r="I76" s="28" t="s">
        <v>67</v>
      </c>
      <c r="J76" s="28" t="s">
        <v>145</v>
      </c>
      <c r="K76" s="28" t="s">
        <v>128</v>
      </c>
      <c r="L76" s="25" t="s">
        <v>70</v>
      </c>
      <c r="M76" s="112" t="s">
        <v>809</v>
      </c>
      <c r="N76" s="112" t="s">
        <v>809</v>
      </c>
      <c r="O76" s="130" t="s">
        <v>810</v>
      </c>
      <c r="P76" s="46" t="s">
        <v>811</v>
      </c>
      <c r="Q76" s="77">
        <v>46150</v>
      </c>
      <c r="R76" s="77" t="str">
        <f>IF(Table5[[#This Row],[Tour Starting Date]]&lt;&gt;"", TEXT(Table5[[#This Row],[Tour Starting Date]], "dddd"), "")</f>
        <v>Friday</v>
      </c>
      <c r="S76" s="77">
        <v>46150</v>
      </c>
      <c r="T76" s="25" t="str">
        <f>IF(Table5[[#This Row],[Tour Ending Date]]&lt;&gt;"", TEXT(Table5[[#This Row],[Tour Ending Date]], "dddd"), "")</f>
        <v>Friday</v>
      </c>
      <c r="U76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0 Nights &amp; 1 Days</v>
      </c>
      <c r="V76" s="37" t="str">
        <f>IF(Table5[[#This Row],[Tour Starting Date]]&lt;&gt;"", TEXT(Table5[[#This Row],[Tour Starting Date]], "mmmm"), "")</f>
        <v>May</v>
      </c>
      <c r="W76" s="80" t="str" cm="1">
        <f t="array" ref="W76">IF(Q76&lt;&gt;"", INDEX(CI:CI, MATCH(1, (Q76&gt;=CG:CG)*(Q76&lt;=CH:CH), 0)), "")</f>
        <v>Regular Dates - Weekend</v>
      </c>
      <c r="X76" s="39">
        <v>1</v>
      </c>
      <c r="Y76" s="74">
        <v>3300</v>
      </c>
      <c r="Z76" s="74">
        <f>IF(OR(Table5[[#This Row],[Per Person Package Cost]]="", Table5[[#This Row],[No. of Pax]]=""), "", Table5[[#This Row],[Per Person Package Cost]] * Table5[[#This Row],[No. of Pax]])</f>
        <v>3300</v>
      </c>
      <c r="AA76" s="52" t="s">
        <v>205</v>
      </c>
      <c r="AB76" s="52" t="s">
        <v>205</v>
      </c>
      <c r="AC76" s="52" t="s">
        <v>76</v>
      </c>
      <c r="AD76" s="52"/>
      <c r="AE76" s="51" t="str">
        <f t="shared" si="5"/>
        <v/>
      </c>
      <c r="AF76" s="51" t="str">
        <f t="shared" si="6"/>
        <v/>
      </c>
      <c r="AG76" s="74" t="str">
        <f t="shared" si="7"/>
        <v/>
      </c>
      <c r="AH76" s="73" t="str">
        <f t="shared" si="4"/>
        <v/>
      </c>
      <c r="AI76" s="52" t="s">
        <v>107</v>
      </c>
      <c r="AJ76" s="56" t="s">
        <v>78</v>
      </c>
      <c r="AK76" s="59" t="s">
        <v>79</v>
      </c>
      <c r="AL76" s="60" t="s">
        <v>80</v>
      </c>
      <c r="AM76" s="54" t="s">
        <v>80</v>
      </c>
      <c r="AN76" s="14"/>
      <c r="AO76" s="15"/>
      <c r="AP76" s="91"/>
      <c r="AQ76" s="87"/>
      <c r="AR76" s="26"/>
      <c r="AS76" s="65"/>
      <c r="AT76" s="88" t="s">
        <v>85</v>
      </c>
      <c r="AU76" s="67"/>
      <c r="BX76" s="1">
        <v>72</v>
      </c>
      <c r="CG76" s="143">
        <v>46360</v>
      </c>
      <c r="CH76" s="143">
        <v>46362</v>
      </c>
      <c r="CI76" s="142" t="s">
        <v>116</v>
      </c>
      <c r="CJ76" s="141"/>
      <c r="CK76" s="141"/>
      <c r="CN76" t="s">
        <v>812</v>
      </c>
      <c r="CU76" t="s">
        <v>260</v>
      </c>
      <c r="CV76" t="s">
        <v>121</v>
      </c>
      <c r="CW76" t="s">
        <v>813</v>
      </c>
      <c r="CX76" s="124" t="s">
        <v>814</v>
      </c>
      <c r="CY76" t="s">
        <v>815</v>
      </c>
      <c r="CZ76" t="s">
        <v>816</v>
      </c>
      <c r="DA76" t="str" cm="1">
        <f t="array" ref="DA76">IF(U76&lt;&gt;"", TRANSPOSE(_xlfn._xlws.FILTER(CZ:CZ, CY:CY=U76, "")), "")</f>
        <v/>
      </c>
    </row>
    <row r="77" spans="2:145" ht="15" customHeight="1">
      <c r="B77" s="34">
        <v>73</v>
      </c>
      <c r="C77" s="36" t="s">
        <v>817</v>
      </c>
      <c r="D77" s="76">
        <v>46151</v>
      </c>
      <c r="E77" s="37" t="str">
        <f>IF(Table5[[#This Row],[Query Date]]&lt;&gt;"", TEXT(Table5[[#This Row],[Query Date]], "dddd"), "")</f>
        <v>Saturday</v>
      </c>
      <c r="F77" s="37" t="str">
        <f>IF(Table5[[#This Row],[Query Date]]&lt;&gt;"", TEXT(Table5[[#This Row],[Query Date]], "mmmm"), "")</f>
        <v>May</v>
      </c>
      <c r="G77" s="28" t="s">
        <v>65</v>
      </c>
      <c r="H77" s="28" t="s">
        <v>99</v>
      </c>
      <c r="I77" s="28" t="s">
        <v>67</v>
      </c>
      <c r="J77" s="28" t="s">
        <v>68</v>
      </c>
      <c r="K77" s="28" t="s">
        <v>818</v>
      </c>
      <c r="L77" s="25" t="s">
        <v>70</v>
      </c>
      <c r="M77" s="112" t="s">
        <v>819</v>
      </c>
      <c r="N77" s="25" t="s">
        <v>820</v>
      </c>
      <c r="O77" s="130" t="s">
        <v>821</v>
      </c>
      <c r="P77" s="106" t="s">
        <v>822</v>
      </c>
      <c r="Q77" s="77">
        <v>46181</v>
      </c>
      <c r="R77" s="77" t="str">
        <f>IF(Table5[[#This Row],[Tour Starting Date]]&lt;&gt;"", TEXT(Table5[[#This Row],[Tour Starting Date]], "dddd"), "")</f>
        <v>Monday</v>
      </c>
      <c r="S77" s="77">
        <v>46184</v>
      </c>
      <c r="T77" s="25" t="str">
        <f>IF(Table5[[#This Row],[Tour Ending Date]]&lt;&gt;"", TEXT(Table5[[#This Row],[Tour Ending Date]], "dddd"), "")</f>
        <v>Thursday</v>
      </c>
      <c r="U77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77" s="37" t="str">
        <f>IF(Table5[[#This Row],[Tour Starting Date]]&lt;&gt;"", TEXT(Table5[[#This Row],[Tour Starting Date]], "mmmm"), "")</f>
        <v>June</v>
      </c>
      <c r="W77" s="80" t="str" cm="1">
        <f t="array" ref="W77">IF(Q77&lt;&gt;"", INDEX(CI:CI, MATCH(1, (Q77&gt;=CG:CG)*(Q77&lt;=CH:CH), 0)), "")</f>
        <v>Regular Dates - Weekday</v>
      </c>
      <c r="X77" s="39">
        <v>4</v>
      </c>
      <c r="Y77" s="74">
        <v>16500</v>
      </c>
      <c r="Z77" s="74">
        <f>IF(OR(Table5[[#This Row],[Per Person Package Cost]]="", Table5[[#This Row],[No. of Pax]]=""), "", Table5[[#This Row],[Per Person Package Cost]] * Table5[[#This Row],[No. of Pax]])</f>
        <v>66000</v>
      </c>
      <c r="AA77" s="52" t="s">
        <v>75</v>
      </c>
      <c r="AB77" s="52" t="s">
        <v>75</v>
      </c>
      <c r="AC77" s="52" t="s">
        <v>134</v>
      </c>
      <c r="AD77" s="52" t="s">
        <v>183</v>
      </c>
      <c r="AE77" s="51" t="str">
        <f t="shared" si="5"/>
        <v>EXIDR05</v>
      </c>
      <c r="AF77" s="51" t="str">
        <f t="shared" si="6"/>
        <v>The Marvels Of Malwa</v>
      </c>
      <c r="AG77" s="74" t="str">
        <f t="shared" si="7"/>
        <v>Quick Getaways</v>
      </c>
      <c r="AH77" s="73" t="str">
        <f t="shared" si="4"/>
        <v>West MP</v>
      </c>
      <c r="AI77" s="52" t="s">
        <v>107</v>
      </c>
      <c r="AJ77" s="56" t="s">
        <v>78</v>
      </c>
      <c r="AK77" s="59" t="s">
        <v>79</v>
      </c>
      <c r="AL77" s="60" t="s">
        <v>80</v>
      </c>
      <c r="AM77" s="54" t="s">
        <v>80</v>
      </c>
      <c r="AN77" s="14">
        <v>46153</v>
      </c>
      <c r="AO77" s="15">
        <v>46158</v>
      </c>
      <c r="AP77" s="91"/>
      <c r="AQ77" s="87"/>
      <c r="AR77" s="26"/>
      <c r="AS77" s="65"/>
      <c r="AT77" s="88" t="s">
        <v>81</v>
      </c>
      <c r="AU77" s="67"/>
      <c r="BX77" s="1">
        <v>73</v>
      </c>
      <c r="CG77" s="143">
        <v>46363</v>
      </c>
      <c r="CH77" s="143">
        <v>46366</v>
      </c>
      <c r="CI77" s="142" t="s">
        <v>88</v>
      </c>
      <c r="CJ77" s="141"/>
      <c r="CK77" s="141"/>
      <c r="CN77" t="s">
        <v>823</v>
      </c>
      <c r="CU77" t="s">
        <v>260</v>
      </c>
      <c r="CV77" t="s">
        <v>316</v>
      </c>
      <c r="CW77" t="s">
        <v>824</v>
      </c>
      <c r="CX77" s="124" t="s">
        <v>825</v>
      </c>
      <c r="CY77" t="s">
        <v>197</v>
      </c>
      <c r="CZ77" t="s">
        <v>826</v>
      </c>
      <c r="DA77" t="str" cm="1">
        <f t="array" ref="DA77:EO77">IF(U77&lt;&gt;"", TRANSPOSE(_xlfn._xlws.FILTER(CZ:CZ, CY:CY=U77, "")), "")</f>
        <v>Gwl (3N) + Mor + Son + Dat + Orc</v>
      </c>
      <c r="DB77" t="str">
        <v>Ex Gwl | Gwl (1N) - Son - Dat - Orc (1N) - Gwl (1N)</v>
      </c>
      <c r="DC77" t="str">
        <v>Ex Idr | Idr - Ujj (1N) - Omk - Mah (1N) - Man (1N) - Idr</v>
      </c>
      <c r="DD77" t="str">
        <v>Ex Jlr | Jlr - Kan (2N) - Jlr (1N)</v>
      </c>
      <c r="DE77" t="str">
        <v>Ex Jlr | Jlr - Ban (2N) - Jlr (1N)</v>
      </c>
      <c r="DF77" t="str">
        <v>Ex Bho | Bho (1N) + San - Bhoj - Bhim - Pch (2N) - Bho</v>
      </c>
      <c r="DG77" t="str">
        <v>Ex Idr | Idr (1N) - Ujj (1N) - Omk (1N) - Mah - Idr</v>
      </c>
      <c r="DH77" t="str">
        <v>Gwl - Orc (1N) - Ckt (1N) - Myr (1N) - Jlr</v>
      </c>
      <c r="DI77" t="str">
        <v>Gwl - Orc (1N) - Ckt (2N) - Ixd</v>
      </c>
      <c r="DJ77" t="str">
        <v>Ex Idr | Idr - Ujj (1N) - Omk - Mah (1N) - Idr (1N)</v>
      </c>
      <c r="DK77" t="str">
        <v>Ex Jlr | Jlr - Kan (3N) - Jlr</v>
      </c>
      <c r="DL77" t="str">
        <v>Ex Bho | Bho (2N) + Bhim + Bhoj + San + Udaygiri + Vidisha + FDCT Bho</v>
      </c>
      <c r="DM77" t="str">
        <v>Bho (1N) + Bhim + Bhoj - HDCT  Bho + Sanchi - Ujj (2N)</v>
      </c>
      <c r="DN77" t="str">
        <v>Bho (1N) + Bhim + Bhoj - HDCT  Bho + Sanchi - Ujj (2N) - Idr</v>
      </c>
      <c r="DO77" t="str">
        <v>Ex Bho | Bho - Bhoj - Bhim - Mad (1N) - Pch (2N) - Bho</v>
      </c>
      <c r="DP77" t="str">
        <v>Ex Bho | Bho - Bhoj - Bhim - Mad (1N) - Pch (3N) - Bho</v>
      </c>
      <c r="DQ77" t="str">
        <v>Ex Bho | Bho - Bhoj - Bhim - Tawa (1N) - Mad (1N) - Bho (1N)</v>
      </c>
      <c r="DR77" t="str">
        <v>Bho (1N) - Bhim - Bhoj - San - Idr (2N) + Ujj</v>
      </c>
      <c r="DS77" t="str">
        <v>Bho (1N) - Bhoj - Bhim - Pch (2N) - Bho</v>
      </c>
      <c r="DT77" t="str">
        <v>Ujj (1N) - Omk - Mah (1N) - Idr (1N)</v>
      </c>
      <c r="DU77" t="str">
        <v>Ujj (1N) - Omk - Mah (1N) - Man (1N) - Idr</v>
      </c>
      <c r="DV77" t="str">
        <v>Ex Idr | Idr (1N) - Ujj (1N) - Omk - Mah (1N)</v>
      </c>
      <c r="DW77" t="str">
        <v>Ex Idr | Idr - Ujj (1N) - Omk (1N) - Mah (1N) - Idr</v>
      </c>
      <c r="DX77" t="str">
        <v>Khandwa - Omk (1N) - Mah (1N) - Ujj (1N) - Idr</v>
      </c>
      <c r="DY77" t="str">
        <v>Ex Idr | Idr - Ujj (1N) - Omk - Mah (1N) - Man - Idr (1N)</v>
      </c>
      <c r="DZ77" t="str">
        <v xml:space="preserve">Idr - Omk (1N) - Mah - Ujj (1N) San - Bho (1N) </v>
      </c>
      <c r="EA77" t="str">
        <v>Ex Idr | Idr - Man (1N) - Mah - Omk (1N) - Ujj (1N) - Idr</v>
      </c>
      <c r="EB77" t="str">
        <v>Khandwa - Omk (1N) - Mah - Ujj (2N)</v>
      </c>
      <c r="EC77" t="str">
        <v>Ex Jlr | Jlr (1N) - Amr (1N) - Ban (1N) - Jlr</v>
      </c>
      <c r="ED77" t="str">
        <v>Ex Jlr | Jlr - (1 N) Ban - (2 N) Amar</v>
      </c>
      <c r="EE77" t="str">
        <v>Jlr - Kan (1N) - Pch (2N)</v>
      </c>
      <c r="EF77" t="str">
        <v>Pi - Pch (2N)  - Kan (1N)</v>
      </c>
      <c r="EG77" t="str">
        <v>Ex Jlr | Jlr - Amr (1 N) - (1 N) Ban - (1 N) Jlr</v>
      </c>
      <c r="EH77" t="str">
        <v>Ppi - (2 N) Pch - (1 N) Pen</v>
      </c>
      <c r="EI77" t="str">
        <v>Bhp - Pch (2N) - Jlr (1N)</v>
      </c>
      <c r="EJ77" t="str">
        <v xml:space="preserve">Arr Jhn - Hjr (1N) - Orc - Gwl (2N) </v>
      </c>
      <c r="EK77" t="str">
        <v>(1 N) Ujj - (1 N) Mah - (1 N) Idr</v>
      </c>
      <c r="EL77" t="str">
        <v>Ex Bhp | Bhp - Bhoj - Bhim - Pch (3N) - Bhp</v>
      </c>
      <c r="EM77" t="str">
        <v>Ex Bhp | Bhp - Bhoj - Bhim - Pch (2N) - Mad (1N) - Bhp</v>
      </c>
      <c r="EN77" t="str">
        <v xml:space="preserve">Ex Nag - 3N Pch + Sat </v>
      </c>
      <c r="EO77" t="str">
        <v>1N Gwl - Son - Dat - 1N Hjr - 1N Orc - Jhn</v>
      </c>
    </row>
    <row r="78" spans="2:145" ht="15" customHeight="1">
      <c r="B78" s="35">
        <v>74</v>
      </c>
      <c r="C78" s="36" t="s">
        <v>827</v>
      </c>
      <c r="D78" s="76">
        <v>46151</v>
      </c>
      <c r="E78" s="37" t="str">
        <f>IF(Table5[[#This Row],[Query Date]]&lt;&gt;"", TEXT(Table5[[#This Row],[Query Date]], "dddd"), "")</f>
        <v>Saturday</v>
      </c>
      <c r="F78" s="37" t="str">
        <f>IF(Table5[[#This Row],[Query Date]]&lt;&gt;"", TEXT(Table5[[#This Row],[Query Date]], "mmmm"), "")</f>
        <v>May</v>
      </c>
      <c r="G78" s="28" t="s">
        <v>65</v>
      </c>
      <c r="H78" s="28" t="s">
        <v>66</v>
      </c>
      <c r="I78" s="28" t="s">
        <v>100</v>
      </c>
      <c r="J78" s="28" t="s">
        <v>68</v>
      </c>
      <c r="K78" s="28" t="s">
        <v>69</v>
      </c>
      <c r="L78" s="25" t="s">
        <v>70</v>
      </c>
      <c r="M78" s="112" t="s">
        <v>266</v>
      </c>
      <c r="N78" s="25" t="s">
        <v>267</v>
      </c>
      <c r="O78" s="130" t="s">
        <v>268</v>
      </c>
      <c r="P78" s="46" t="s">
        <v>269</v>
      </c>
      <c r="Q78" s="77">
        <v>46180</v>
      </c>
      <c r="R78" s="77" t="str">
        <f>IF(Table5[[#This Row],[Tour Starting Date]]&lt;&gt;"", TEXT(Table5[[#This Row],[Tour Starting Date]], "dddd"), "")</f>
        <v>Sunday</v>
      </c>
      <c r="S78" s="77">
        <v>46183</v>
      </c>
      <c r="T78" s="25" t="str">
        <f>IF(Table5[[#This Row],[Tour Ending Date]]&lt;&gt;"", TEXT(Table5[[#This Row],[Tour Ending Date]], "dddd"), "")</f>
        <v>Wednesday</v>
      </c>
      <c r="U78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78" s="37" t="str">
        <f>IF(Table5[[#This Row],[Tour Starting Date]]&lt;&gt;"", TEXT(Table5[[#This Row],[Tour Starting Date]], "mmmm"), "")</f>
        <v>June</v>
      </c>
      <c r="W78" s="80" t="str" cm="1">
        <f t="array" ref="W78">IF(Q78&lt;&gt;"", INDEX(CI:CI, MATCH(1, (Q78&gt;=CG:CG)*(Q78&lt;=CH:CH), 0)), "")</f>
        <v>Regular Dates - Weekend</v>
      </c>
      <c r="X78" s="39">
        <v>6</v>
      </c>
      <c r="Y78" s="74">
        <v>14500</v>
      </c>
      <c r="Z78" s="74">
        <f>IF(OR(Table5[[#This Row],[Per Person Package Cost]]="", Table5[[#This Row],[No. of Pax]]=""), "", Table5[[#This Row],[Per Person Package Cost]] * Table5[[#This Row],[No. of Pax]])</f>
        <v>87000</v>
      </c>
      <c r="AA78" s="52" t="s">
        <v>75</v>
      </c>
      <c r="AB78" s="52" t="s">
        <v>75</v>
      </c>
      <c r="AC78" s="52" t="s">
        <v>134</v>
      </c>
      <c r="AD78" s="52" t="s">
        <v>183</v>
      </c>
      <c r="AE78" s="51" t="str">
        <f t="shared" si="5"/>
        <v>EXIDR05</v>
      </c>
      <c r="AF78" s="51" t="str">
        <f t="shared" si="6"/>
        <v>The Marvels Of Malwa</v>
      </c>
      <c r="AG78" s="74" t="str">
        <f t="shared" si="7"/>
        <v>Quick Getaways</v>
      </c>
      <c r="AH78" s="73" t="str">
        <f t="shared" si="4"/>
        <v>West MP</v>
      </c>
      <c r="AI78" s="52" t="s">
        <v>107</v>
      </c>
      <c r="AJ78" s="56" t="s">
        <v>78</v>
      </c>
      <c r="AK78" s="59" t="s">
        <v>79</v>
      </c>
      <c r="AL78" s="60" t="s">
        <v>80</v>
      </c>
      <c r="AM78" s="54" t="s">
        <v>80</v>
      </c>
      <c r="AN78" s="14">
        <v>46153</v>
      </c>
      <c r="AO78" s="15">
        <v>46158</v>
      </c>
      <c r="AP78" s="91">
        <v>46165</v>
      </c>
      <c r="AQ78" s="87"/>
      <c r="AR78" s="26"/>
      <c r="AS78" s="65"/>
      <c r="AT78" s="88" t="s">
        <v>81</v>
      </c>
      <c r="AU78" s="67"/>
      <c r="BX78" s="1">
        <v>74</v>
      </c>
      <c r="CG78" s="143">
        <v>46367</v>
      </c>
      <c r="CH78" s="143">
        <v>46369</v>
      </c>
      <c r="CI78" s="142" t="s">
        <v>116</v>
      </c>
      <c r="CJ78" s="141"/>
      <c r="CK78" s="141"/>
      <c r="CN78" t="s">
        <v>828</v>
      </c>
      <c r="CU78" t="s">
        <v>260</v>
      </c>
      <c r="CV78" t="s">
        <v>316</v>
      </c>
      <c r="CW78" t="s">
        <v>829</v>
      </c>
      <c r="CX78" s="124" t="s">
        <v>830</v>
      </c>
      <c r="CY78" t="s">
        <v>223</v>
      </c>
      <c r="CZ78" t="s">
        <v>831</v>
      </c>
      <c r="DA78" t="str" cm="1">
        <f t="array" ref="DA78:EO78">IF(U78&lt;&gt;"", TRANSPOSE(_xlfn._xlws.FILTER(CZ:CZ, CY:CY=U78, "")), "")</f>
        <v>Gwl (3N) + Mor + Son + Dat + Orc</v>
      </c>
      <c r="DB78" t="str">
        <v>Ex Gwl | Gwl (1N) - Son - Dat - Orc (1N) - Gwl (1N)</v>
      </c>
      <c r="DC78" t="str">
        <v>Ex Idr | Idr - Ujj (1N) - Omk - Mah (1N) - Man (1N) - Idr</v>
      </c>
      <c r="DD78" t="str">
        <v>Ex Jlr | Jlr - Kan (2N) - Jlr (1N)</v>
      </c>
      <c r="DE78" t="str">
        <v>Ex Jlr | Jlr - Ban (2N) - Jlr (1N)</v>
      </c>
      <c r="DF78" t="str">
        <v>Ex Bho | Bho (1N) + San - Bhoj - Bhim - Pch (2N) - Bho</v>
      </c>
      <c r="DG78" t="str">
        <v>Ex Idr | Idr (1N) - Ujj (1N) - Omk (1N) - Mah - Idr</v>
      </c>
      <c r="DH78" t="str">
        <v>Gwl - Orc (1N) - Ckt (1N) - Myr (1N) - Jlr</v>
      </c>
      <c r="DI78" t="str">
        <v>Gwl - Orc (1N) - Ckt (2N) - Ixd</v>
      </c>
      <c r="DJ78" t="str">
        <v>Ex Idr | Idr - Ujj (1N) - Omk - Mah (1N) - Idr (1N)</v>
      </c>
      <c r="DK78" t="str">
        <v>Ex Jlr | Jlr - Kan (3N) - Jlr</v>
      </c>
      <c r="DL78" t="str">
        <v>Ex Bho | Bho (2N) + Bhim + Bhoj + San + Udaygiri + Vidisha + FDCT Bho</v>
      </c>
      <c r="DM78" t="str">
        <v>Bho (1N) + Bhim + Bhoj - HDCT  Bho + Sanchi - Ujj (2N)</v>
      </c>
      <c r="DN78" t="str">
        <v>Bho (1N) + Bhim + Bhoj - HDCT  Bho + Sanchi - Ujj (2N) - Idr</v>
      </c>
      <c r="DO78" t="str">
        <v>Ex Bho | Bho - Bhoj - Bhim - Mad (1N) - Pch (2N) - Bho</v>
      </c>
      <c r="DP78" t="str">
        <v>Ex Bho | Bho - Bhoj - Bhim - Mad (1N) - Pch (3N) - Bho</v>
      </c>
      <c r="DQ78" t="str">
        <v>Ex Bho | Bho - Bhoj - Bhim - Tawa (1N) - Mad (1N) - Bho (1N)</v>
      </c>
      <c r="DR78" t="str">
        <v>Bho (1N) - Bhim - Bhoj - San - Idr (2N) + Ujj</v>
      </c>
      <c r="DS78" t="str">
        <v>Bho (1N) - Bhoj - Bhim - Pch (2N) - Bho</v>
      </c>
      <c r="DT78" t="str">
        <v>Ujj (1N) - Omk - Mah (1N) - Idr (1N)</v>
      </c>
      <c r="DU78" t="str">
        <v>Ujj (1N) - Omk - Mah (1N) - Man (1N) - Idr</v>
      </c>
      <c r="DV78" t="str">
        <v>Ex Idr | Idr (1N) - Ujj (1N) - Omk - Mah (1N)</v>
      </c>
      <c r="DW78" t="str">
        <v>Ex Idr | Idr - Ujj (1N) - Omk (1N) - Mah (1N) - Idr</v>
      </c>
      <c r="DX78" t="str">
        <v>Khandwa - Omk (1N) - Mah (1N) - Ujj (1N) - Idr</v>
      </c>
      <c r="DY78" t="str">
        <v>Ex Idr | Idr - Ujj (1N) - Omk - Mah (1N) - Man - Idr (1N)</v>
      </c>
      <c r="DZ78" t="str">
        <v xml:space="preserve">Idr - Omk (1N) - Mah - Ujj (1N) San - Bho (1N) </v>
      </c>
      <c r="EA78" t="str">
        <v>Ex Idr | Idr - Man (1N) - Mah - Omk (1N) - Ujj (1N) - Idr</v>
      </c>
      <c r="EB78" t="str">
        <v>Khandwa - Omk (1N) - Mah - Ujj (2N)</v>
      </c>
      <c r="EC78" t="str">
        <v>Ex Jlr | Jlr (1N) - Amr (1N) - Ban (1N) - Jlr</v>
      </c>
      <c r="ED78" t="str">
        <v>Ex Jlr | Jlr - (1 N) Ban - (2 N) Amar</v>
      </c>
      <c r="EE78" t="str">
        <v>Jlr - Kan (1N) - Pch (2N)</v>
      </c>
      <c r="EF78" t="str">
        <v>Pi - Pch (2N)  - Kan (1N)</v>
      </c>
      <c r="EG78" t="str">
        <v>Ex Jlr | Jlr - Amr (1 N) - (1 N) Ban - (1 N) Jlr</v>
      </c>
      <c r="EH78" t="str">
        <v>Ppi - (2 N) Pch - (1 N) Pen</v>
      </c>
      <c r="EI78" t="str">
        <v>Bhp - Pch (2N) - Jlr (1N)</v>
      </c>
      <c r="EJ78" t="str">
        <v xml:space="preserve">Arr Jhn - Hjr (1N) - Orc - Gwl (2N) </v>
      </c>
      <c r="EK78" t="str">
        <v>(1 N) Ujj - (1 N) Mah - (1 N) Idr</v>
      </c>
      <c r="EL78" t="str">
        <v>Ex Bhp | Bhp - Bhoj - Bhim - Pch (3N) - Bhp</v>
      </c>
      <c r="EM78" t="str">
        <v>Ex Bhp | Bhp - Bhoj - Bhim - Pch (2N) - Mad (1N) - Bhp</v>
      </c>
      <c r="EN78" t="str">
        <v xml:space="preserve">Ex Nag - 3N Pch + Sat </v>
      </c>
      <c r="EO78" t="str">
        <v>1N Gwl - Son - Dat - 1N Hjr - 1N Orc - Jhn</v>
      </c>
    </row>
    <row r="79" spans="2:145" ht="15" customHeight="1">
      <c r="B79" s="34">
        <v>75</v>
      </c>
      <c r="C79" s="36" t="s">
        <v>832</v>
      </c>
      <c r="D79" s="76">
        <v>46155</v>
      </c>
      <c r="E79" s="37" t="str">
        <f>IF(Table5[[#This Row],[Query Date]]&lt;&gt;"", TEXT(Table5[[#This Row],[Query Date]], "dddd"), "")</f>
        <v>Wednesday</v>
      </c>
      <c r="F79" s="37" t="str">
        <f>IF(Table5[[#This Row],[Query Date]]&lt;&gt;"", TEXT(Table5[[#This Row],[Query Date]], "mmmm"), "")</f>
        <v>May</v>
      </c>
      <c r="G79" s="28" t="s">
        <v>65</v>
      </c>
      <c r="H79" s="28" t="s">
        <v>66</v>
      </c>
      <c r="I79" s="28" t="s">
        <v>67</v>
      </c>
      <c r="J79" s="28" t="s">
        <v>145</v>
      </c>
      <c r="K79" s="28" t="s">
        <v>128</v>
      </c>
      <c r="L79" s="25" t="s">
        <v>70</v>
      </c>
      <c r="M79" s="112" t="s">
        <v>565</v>
      </c>
      <c r="N79" s="25" t="s">
        <v>833</v>
      </c>
      <c r="O79" s="130" t="s">
        <v>834</v>
      </c>
      <c r="P79" s="46" t="s">
        <v>835</v>
      </c>
      <c r="Q79" s="77">
        <v>46234</v>
      </c>
      <c r="R79" s="77" t="str">
        <f>IF(Table5[[#This Row],[Tour Starting Date]]&lt;&gt;"", TEXT(Table5[[#This Row],[Tour Starting Date]], "dddd"), "")</f>
        <v>Friday</v>
      </c>
      <c r="S79" s="77">
        <v>46238</v>
      </c>
      <c r="T79" s="25" t="str">
        <f>IF(Table5[[#This Row],[Tour Ending Date]]&lt;&gt;"", TEXT(Table5[[#This Row],[Tour Ending Date]], "dddd"), "")</f>
        <v>Tuesday</v>
      </c>
      <c r="U79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4 Nights &amp; 5 Days</v>
      </c>
      <c r="V79" s="37" t="str">
        <f>IF(Table5[[#This Row],[Tour Starting Date]]&lt;&gt;"", TEXT(Table5[[#This Row],[Tour Starting Date]], "mmmm"), "")</f>
        <v>July</v>
      </c>
      <c r="W79" s="80" t="str" cm="1">
        <f t="array" ref="W79">IF(Q79&lt;&gt;"", INDEX(CI:CI, MATCH(1, (Q79&gt;=CG:CG)*(Q79&lt;=CH:CH), 0)), "")</f>
        <v>Regular Dates - Weekend</v>
      </c>
      <c r="X79" s="39">
        <v>2</v>
      </c>
      <c r="Y79" s="74">
        <v>15550</v>
      </c>
      <c r="Z79" s="74">
        <f>IF(OR(Table5[[#This Row],[Per Person Package Cost]]="", Table5[[#This Row],[No. of Pax]]=""), "", Table5[[#This Row],[Per Person Package Cost]] * Table5[[#This Row],[No. of Pax]])</f>
        <v>31100</v>
      </c>
      <c r="AA79" s="52" t="s">
        <v>75</v>
      </c>
      <c r="AB79" s="52" t="s">
        <v>75</v>
      </c>
      <c r="AC79" s="52"/>
      <c r="AD79" s="52" t="s">
        <v>183</v>
      </c>
      <c r="AE79" s="51" t="str">
        <f t="shared" si="5"/>
        <v>EXIDR05</v>
      </c>
      <c r="AF79" s="51" t="str">
        <f t="shared" si="6"/>
        <v>The Marvels Of Malwa</v>
      </c>
      <c r="AG79" s="74" t="str">
        <f t="shared" si="7"/>
        <v>Quick Getaways</v>
      </c>
      <c r="AH79" s="73" t="str">
        <f t="shared" si="4"/>
        <v>West MP</v>
      </c>
      <c r="AI79" s="52" t="s">
        <v>107</v>
      </c>
      <c r="AJ79" s="56" t="s">
        <v>78</v>
      </c>
      <c r="AK79" s="59" t="s">
        <v>79</v>
      </c>
      <c r="AL79" s="60" t="s">
        <v>80</v>
      </c>
      <c r="AM79" s="54" t="s">
        <v>80</v>
      </c>
      <c r="AN79" s="14">
        <v>46167</v>
      </c>
      <c r="AO79" s="15">
        <v>46178</v>
      </c>
      <c r="AP79" s="91"/>
      <c r="AQ79" s="87"/>
      <c r="AR79" s="26"/>
      <c r="AS79" s="65"/>
      <c r="AT79" s="88" t="s">
        <v>85</v>
      </c>
      <c r="AU79" s="67"/>
      <c r="BX79" s="1">
        <v>75</v>
      </c>
      <c r="CG79" s="143">
        <v>46370</v>
      </c>
      <c r="CH79" s="143">
        <v>46373</v>
      </c>
      <c r="CI79" s="142" t="s">
        <v>88</v>
      </c>
      <c r="CJ79" s="141"/>
      <c r="CK79" s="141"/>
      <c r="CN79" t="s">
        <v>836</v>
      </c>
      <c r="CU79" t="s">
        <v>260</v>
      </c>
      <c r="CV79" t="s">
        <v>121</v>
      </c>
      <c r="CW79" t="s">
        <v>837</v>
      </c>
      <c r="CX79" s="124" t="s">
        <v>838</v>
      </c>
      <c r="CY79" t="s">
        <v>243</v>
      </c>
      <c r="CZ79" t="s">
        <v>839</v>
      </c>
      <c r="DA79" t="str" cm="1">
        <f t="array" ref="DA79:EJ79">IF(U79&lt;&gt;"", TRANSPOSE(_xlfn._xlws.FILTER(CZ:CZ, CY:CY=U79, "")), "")</f>
        <v>Ex Gwl | Gwl (2N) + Mor - Son - Dat - Orc (1N) - Hjr (1N) - Gwl</v>
      </c>
      <c r="DB79" t="str">
        <v>Ex Idr | Idr - Ujj (1N) - Omk - Mah (1N) - Man (1N) - Idr (1N)</v>
      </c>
      <c r="DC79" t="str">
        <v>Ex Idr | Idr - Ujj (1N) - Omk (1N) - Mah (1N) - Man (1N) - Idr</v>
      </c>
      <c r="DD79" t="str">
        <v>Ex Jlr | Jlr - Kan (2N) - Amk (1N) - Jlr (1N)</v>
      </c>
      <c r="DE79" t="str">
        <v>Ex Jlr | Jlr - Ban (2N) - Amk (1N) - Jlr (1N)</v>
      </c>
      <c r="DF79" t="str">
        <v>Ex Jlr | Jlr (1N) - Hjr (1N) - Ban (2N) - Jlr</v>
      </c>
      <c r="DG79" t="str">
        <v>Ex Jlr | Jlr (1N) - Kan (1N) - Ban (2N) - Jlr</v>
      </c>
      <c r="DH79" t="str">
        <v>Ex Bho | Bho (1N) + San + Bhoj + Bhim - Tawa - Mad (1N) - Pch (2N) - Bho</v>
      </c>
      <c r="DI79" t="str">
        <v>Ex Idr | Idr - Ujj (1N) - Omk - Mah (1N) - Man (1N) - Idr (1N)</v>
      </c>
      <c r="DJ79" t="str">
        <v>Ex Bho | Bho (1N) - Bhoj - Bhim - Pch (3N) - Bho</v>
      </c>
      <c r="DK79" t="str">
        <v>Gwl (1N) - Dat (Pitambara Peeth) - Orc (1N) - Ckt (2N) - Ixd</v>
      </c>
      <c r="DL79" t="str">
        <v>Ex Jlr | Jlr - Ban (2N) - Kan (2N) - Jlr</v>
      </c>
      <c r="DM79" t="str">
        <v>Jlr - Ban (1N) - Kan (1N) - Pen (2N) - Nag</v>
      </c>
      <c r="DN79" t="str">
        <v>Ex Bho | Bho (1N) - Bhoj - Bhim - Pch (3N) - Bho</v>
      </c>
      <c r="DO79" t="str">
        <v>Ex Bho | Bho (2N) + Sanchi + Bhoj + Bhim - Tawa - Mad (1N) - Bho (1N)</v>
      </c>
      <c r="DP79" t="str">
        <v>Ex Bho | Bho - Bhoj - Bhim - Tawa (1N) - Mad (1N) - Pch (2N) - Bho</v>
      </c>
      <c r="DQ79" t="str">
        <v>Bho - Bhoj - Bhim - Pch (2N) - Kan (1N) - Jlr (1N)</v>
      </c>
      <c r="DR79" t="str">
        <v>Bho - Bhoj - Bhim - Pch (2N) - Kan (1N) - Amk (1N) - Jlr</v>
      </c>
      <c r="DS79" t="str">
        <v xml:space="preserve">Bho (1N) + Bhim + Bhoj + San - Ujj (1N) - Omk - Mah (1N) - Idr (1N) </v>
      </c>
      <c r="DT79" t="str">
        <v>Ex Gwl | Gwl - Hjr (1N) - Orc (1N) - Dat - Son - Gwl (2N)</v>
      </c>
      <c r="DU79" t="str">
        <v>Ex Gwl | Gwl - Orc (1N) - Hjr (1N) - Chn (1N) - Shiv (1N) - Gwl</v>
      </c>
      <c r="DV79" t="str">
        <v>Gwl - Hjr (1N) - Panna (1N) - Chit (1N) - Mahi (1N) - Sat</v>
      </c>
      <c r="DW79" t="str">
        <v>Jlr - (2 N) Kan - (2 N) Pch - Bhim - Bhoj - Bhp</v>
      </c>
      <c r="DX79" t="str">
        <v>Jlr - (2 N) Kan - (2 N) Pen - Rpr</v>
      </c>
      <c r="DY79" t="str">
        <v>Gwl (2N) (Ex Mor) - Dat -Orc (1N) - Hjr (1N) - Jhn</v>
      </c>
      <c r="DZ79" t="str">
        <v>Ex Gwl | Gwl (1N) - Son - Dat - Orc (1N) - Hjr (2N) (Ex Panna) - Gwl</v>
      </c>
      <c r="EA79" t="str">
        <v>Hjr (1N) - Orc (1N) - Dat - son - Gwl (2N)(Ex Mor)</v>
      </c>
      <c r="EB79" t="str">
        <v>(2 N) Gwl - (1 N) Orch - (1 N) Hjr</v>
      </c>
      <c r="EC79" t="str">
        <v>Ex Bhp | Bhp - Bhoj - Bhim - Pch (2N) - Mad (1N) - Tawa (1N) - Bhp</v>
      </c>
      <c r="ED79" t="str">
        <v>Ex Bhp | Bhp - Bhoj - Bhim - Pch (2N) - Mad (2N) - Bhp</v>
      </c>
      <c r="EE79" t="str">
        <v>Ex Idr | Idr - Ujj (1N) - Omk (1N) - Mah (2N) (Ex Man) - Idr (HDCT)</v>
      </c>
      <c r="EF79" t="str">
        <v>Arr Rpr - Amr (2N) - Par (2N) - IXD</v>
      </c>
      <c r="EG79" t="str">
        <v>1N Gwl - Orc - 2N Hjr - Jhn - 1N Gwl</v>
      </c>
      <c r="EH79" t="str">
        <v>1N Orc - 1N Hjr - 2N Gwl Ex Mor</v>
      </c>
      <c r="EI79" t="str">
        <v>1N Idr - Omk - 1N Mah - 1N Ujj - Seh - 1N Bho</v>
      </c>
      <c r="EJ79" t="str">
        <v>Ex Idr I 1N Idr - 1N Ujj - Omk - 2N Mah - Man - Idr</v>
      </c>
    </row>
    <row r="80" spans="2:145" ht="15" customHeight="1">
      <c r="B80" s="35">
        <v>76</v>
      </c>
      <c r="C80" s="36" t="s">
        <v>840</v>
      </c>
      <c r="D80" s="76">
        <v>46156</v>
      </c>
      <c r="E80" s="37" t="str">
        <f>IF(Table5[[#This Row],[Query Date]]&lt;&gt;"", TEXT(Table5[[#This Row],[Query Date]], "dddd"), "")</f>
        <v>Thursday</v>
      </c>
      <c r="F80" s="37" t="str">
        <f>IF(Table5[[#This Row],[Query Date]]&lt;&gt;"", TEXT(Table5[[#This Row],[Query Date]], "mmmm"), "")</f>
        <v>May</v>
      </c>
      <c r="G80" s="28" t="s">
        <v>65</v>
      </c>
      <c r="H80" s="28" t="s">
        <v>120</v>
      </c>
      <c r="I80" s="28" t="s">
        <v>67</v>
      </c>
      <c r="J80" s="28" t="s">
        <v>68</v>
      </c>
      <c r="K80" s="28" t="s">
        <v>178</v>
      </c>
      <c r="L80" s="25" t="s">
        <v>70</v>
      </c>
      <c r="M80" s="112" t="s">
        <v>841</v>
      </c>
      <c r="N80" s="25" t="s">
        <v>842</v>
      </c>
      <c r="O80" s="130" t="s">
        <v>843</v>
      </c>
      <c r="P80" s="46" t="s">
        <v>844</v>
      </c>
      <c r="Q80" s="77">
        <v>46184</v>
      </c>
      <c r="R80" s="77" t="str">
        <f>IF(Table5[[#This Row],[Tour Starting Date]]&lt;&gt;"", TEXT(Table5[[#This Row],[Tour Starting Date]], "dddd"), "")</f>
        <v>Thursday</v>
      </c>
      <c r="S80" s="77">
        <v>46187</v>
      </c>
      <c r="T80" s="25" t="str">
        <f>IF(Table5[[#This Row],[Tour Ending Date]]&lt;&gt;"", TEXT(Table5[[#This Row],[Tour Ending Date]], "dddd"), "")</f>
        <v>Sunday</v>
      </c>
      <c r="U80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80" s="37" t="str">
        <f>IF(Table5[[#This Row],[Tour Starting Date]]&lt;&gt;"", TEXT(Table5[[#This Row],[Tour Starting Date]], "mmmm"), "")</f>
        <v>June</v>
      </c>
      <c r="W80" s="80" t="str" cm="1">
        <f t="array" ref="W80">IF(Q80&lt;&gt;"", INDEX(CI:CI, MATCH(1, (Q80&gt;=CG:CG)*(Q80&lt;=CH:CH), 0)), "")</f>
        <v>Regular Dates - Weekday</v>
      </c>
      <c r="X80" s="39">
        <v>10</v>
      </c>
      <c r="Y80" s="74">
        <v>11600</v>
      </c>
      <c r="Z80" s="74">
        <f>IF(OR(Table5[[#This Row],[Per Person Package Cost]]="", Table5[[#This Row],[No. of Pax]]=""), "", Table5[[#This Row],[Per Person Package Cost]] * Table5[[#This Row],[No. of Pax]])</f>
        <v>116000</v>
      </c>
      <c r="AA80" s="52" t="s">
        <v>205</v>
      </c>
      <c r="AB80" s="52" t="s">
        <v>75</v>
      </c>
      <c r="AC80" s="52" t="s">
        <v>173</v>
      </c>
      <c r="AD80" s="52" t="s">
        <v>575</v>
      </c>
      <c r="AE80" s="51" t="str">
        <f t="shared" si="5"/>
        <v>EMPSPR01</v>
      </c>
      <c r="AF80" s="51" t="str">
        <f t="shared" si="6"/>
        <v>A Pilgrimage of Faith and Culture</v>
      </c>
      <c r="AG80" s="74" t="str">
        <f t="shared" si="7"/>
        <v>Special Interest - Spiritual Tours</v>
      </c>
      <c r="AH80" s="73" t="str">
        <f t="shared" si="4"/>
        <v>West MP</v>
      </c>
      <c r="AI80" s="52" t="s">
        <v>107</v>
      </c>
      <c r="AJ80" s="56" t="s">
        <v>78</v>
      </c>
      <c r="AK80" s="59" t="s">
        <v>79</v>
      </c>
      <c r="AL80" s="60" t="s">
        <v>80</v>
      </c>
      <c r="AM80" s="54" t="s">
        <v>80</v>
      </c>
      <c r="AN80" s="14">
        <v>46160</v>
      </c>
      <c r="AO80" s="15"/>
      <c r="AP80" s="91"/>
      <c r="AQ80" s="87"/>
      <c r="AR80" s="26"/>
      <c r="AS80" s="65"/>
      <c r="AT80" s="88" t="s">
        <v>81</v>
      </c>
      <c r="AU80" s="67"/>
      <c r="BX80" s="1">
        <v>76</v>
      </c>
      <c r="CG80" s="143">
        <v>46374</v>
      </c>
      <c r="CH80" s="143">
        <v>46376</v>
      </c>
      <c r="CI80" s="142" t="s">
        <v>116</v>
      </c>
      <c r="CJ80" s="141"/>
      <c r="CK80" s="141"/>
      <c r="CN80" t="s">
        <v>845</v>
      </c>
      <c r="CU80" t="s">
        <v>260</v>
      </c>
      <c r="CV80" t="s">
        <v>259</v>
      </c>
      <c r="CW80" t="s">
        <v>846</v>
      </c>
      <c r="CX80" s="124" t="s">
        <v>847</v>
      </c>
      <c r="CY80" t="s">
        <v>651</v>
      </c>
      <c r="CZ80" t="s">
        <v>848</v>
      </c>
      <c r="DA80" t="str" cm="1">
        <f t="array" ref="DA80:EO80">IF(U80&lt;&gt;"", TRANSPOSE(_xlfn._xlws.FILTER(CZ:CZ, CY:CY=U80, "")), "")</f>
        <v>Gwl (3N) + Mor + Son + Dat + Orc</v>
      </c>
      <c r="DB80" t="str">
        <v>Ex Gwl | Gwl (1N) - Son - Dat - Orc (1N) - Gwl (1N)</v>
      </c>
      <c r="DC80" t="str">
        <v>Ex Idr | Idr - Ujj (1N) - Omk - Mah (1N) - Man (1N) - Idr</v>
      </c>
      <c r="DD80" t="str">
        <v>Ex Jlr | Jlr - Kan (2N) - Jlr (1N)</v>
      </c>
      <c r="DE80" t="str">
        <v>Ex Jlr | Jlr - Ban (2N) - Jlr (1N)</v>
      </c>
      <c r="DF80" t="str">
        <v>Ex Bho | Bho (1N) + San - Bhoj - Bhim - Pch (2N) - Bho</v>
      </c>
      <c r="DG80" t="str">
        <v>Ex Idr | Idr (1N) - Ujj (1N) - Omk (1N) - Mah - Idr</v>
      </c>
      <c r="DH80" t="str">
        <v>Gwl - Orc (1N) - Ckt (1N) - Myr (1N) - Jlr</v>
      </c>
      <c r="DI80" t="str">
        <v>Gwl - Orc (1N) - Ckt (2N) - Ixd</v>
      </c>
      <c r="DJ80" t="str">
        <v>Ex Idr | Idr - Ujj (1N) - Omk - Mah (1N) - Idr (1N)</v>
      </c>
      <c r="DK80" t="str">
        <v>Ex Jlr | Jlr - Kan (3N) - Jlr</v>
      </c>
      <c r="DL80" t="str">
        <v>Ex Bho | Bho (2N) + Bhim + Bhoj + San + Udaygiri + Vidisha + FDCT Bho</v>
      </c>
      <c r="DM80" t="str">
        <v>Bho (1N) + Bhim + Bhoj - HDCT  Bho + Sanchi - Ujj (2N)</v>
      </c>
      <c r="DN80" t="str">
        <v>Bho (1N) + Bhim + Bhoj - HDCT  Bho + Sanchi - Ujj (2N) - Idr</v>
      </c>
      <c r="DO80" t="str">
        <v>Ex Bho | Bho - Bhoj - Bhim - Mad (1N) - Pch (2N) - Bho</v>
      </c>
      <c r="DP80" t="str">
        <v>Ex Bho | Bho - Bhoj - Bhim - Mad (1N) - Pch (3N) - Bho</v>
      </c>
      <c r="DQ80" t="str">
        <v>Ex Bho | Bho - Bhoj - Bhim - Tawa (1N) - Mad (1N) - Bho (1N)</v>
      </c>
      <c r="DR80" t="str">
        <v>Bho (1N) - Bhim - Bhoj - San - Idr (2N) + Ujj</v>
      </c>
      <c r="DS80" t="str">
        <v>Bho (1N) - Bhoj - Bhim - Pch (2N) - Bho</v>
      </c>
      <c r="DT80" t="str">
        <v>Ujj (1N) - Omk - Mah (1N) - Idr (1N)</v>
      </c>
      <c r="DU80" t="str">
        <v>Ujj (1N) - Omk - Mah (1N) - Man (1N) - Idr</v>
      </c>
      <c r="DV80" t="str">
        <v>Ex Idr | Idr (1N) - Ujj (1N) - Omk - Mah (1N)</v>
      </c>
      <c r="DW80" t="str">
        <v>Ex Idr | Idr - Ujj (1N) - Omk (1N) - Mah (1N) - Idr</v>
      </c>
      <c r="DX80" t="str">
        <v>Khandwa - Omk (1N) - Mah (1N) - Ujj (1N) - Idr</v>
      </c>
      <c r="DY80" t="str">
        <v>Ex Idr | Idr - Ujj (1N) - Omk - Mah (1N) - Man - Idr (1N)</v>
      </c>
      <c r="DZ80" t="str">
        <v xml:space="preserve">Idr - Omk (1N) - Mah - Ujj (1N) San - Bho (1N) </v>
      </c>
      <c r="EA80" t="str">
        <v>Ex Idr | Idr - Man (1N) - Mah - Omk (1N) - Ujj (1N) - Idr</v>
      </c>
      <c r="EB80" t="str">
        <v>Khandwa - Omk (1N) - Mah - Ujj (2N)</v>
      </c>
      <c r="EC80" t="str">
        <v>Ex Jlr | Jlr (1N) - Amr (1N) - Ban (1N) - Jlr</v>
      </c>
      <c r="ED80" t="str">
        <v>Ex Jlr | Jlr - (1 N) Ban - (2 N) Amar</v>
      </c>
      <c r="EE80" t="str">
        <v>Jlr - Kan (1N) - Pch (2N)</v>
      </c>
      <c r="EF80" t="str">
        <v>Pi - Pch (2N)  - Kan (1N)</v>
      </c>
      <c r="EG80" t="str">
        <v>Ex Jlr | Jlr - Amr (1 N) - (1 N) Ban - (1 N) Jlr</v>
      </c>
      <c r="EH80" t="str">
        <v>Ppi - (2 N) Pch - (1 N) Pen</v>
      </c>
      <c r="EI80" t="str">
        <v>Bhp - Pch (2N) - Jlr (1N)</v>
      </c>
      <c r="EJ80" t="str">
        <v xml:space="preserve">Arr Jhn - Hjr (1N) - Orc - Gwl (2N) </v>
      </c>
      <c r="EK80" t="str">
        <v>(1 N) Ujj - (1 N) Mah - (1 N) Idr</v>
      </c>
      <c r="EL80" t="str">
        <v>Ex Bhp | Bhp - Bhoj - Bhim - Pch (3N) - Bhp</v>
      </c>
      <c r="EM80" t="str">
        <v>Ex Bhp | Bhp - Bhoj - Bhim - Pch (2N) - Mad (1N) - Bhp</v>
      </c>
      <c r="EN80" t="str">
        <v xml:space="preserve">Ex Nag - 3N Pch + Sat </v>
      </c>
      <c r="EO80" t="str">
        <v>1N Gwl - Son - Dat - 1N Hjr - 1N Orc - Jhn</v>
      </c>
    </row>
    <row r="81" spans="2:145" ht="15" customHeight="1">
      <c r="B81" s="34">
        <v>77</v>
      </c>
      <c r="C81" s="36" t="s">
        <v>849</v>
      </c>
      <c r="D81" s="76">
        <v>46156</v>
      </c>
      <c r="E81" s="37" t="str">
        <f>IF(Table5[[#This Row],[Query Date]]&lt;&gt;"", TEXT(Table5[[#This Row],[Query Date]], "dddd"), "")</f>
        <v>Thursday</v>
      </c>
      <c r="F81" s="37" t="str">
        <f>IF(Table5[[#This Row],[Query Date]]&lt;&gt;"", TEXT(Table5[[#This Row],[Query Date]], "mmmm"), "")</f>
        <v>May</v>
      </c>
      <c r="G81" s="28" t="s">
        <v>65</v>
      </c>
      <c r="H81" s="28" t="s">
        <v>66</v>
      </c>
      <c r="I81" s="28" t="s">
        <v>100</v>
      </c>
      <c r="J81" s="28" t="s">
        <v>68</v>
      </c>
      <c r="K81" s="28" t="s">
        <v>246</v>
      </c>
      <c r="L81" s="25" t="s">
        <v>70</v>
      </c>
      <c r="M81" s="144" t="s">
        <v>850</v>
      </c>
      <c r="N81" s="25" t="s">
        <v>851</v>
      </c>
      <c r="O81" s="130" t="s">
        <v>852</v>
      </c>
      <c r="P81" s="46" t="s">
        <v>853</v>
      </c>
      <c r="Q81" s="77">
        <v>46318</v>
      </c>
      <c r="R81" s="77" t="str">
        <f>IF(Table5[[#This Row],[Tour Starting Date]]&lt;&gt;"", TEXT(Table5[[#This Row],[Tour Starting Date]], "dddd"), "")</f>
        <v>Friday</v>
      </c>
      <c r="S81" s="77">
        <v>46326</v>
      </c>
      <c r="T81" s="25" t="str">
        <f>IF(Table5[[#This Row],[Tour Ending Date]]&lt;&gt;"", TEXT(Table5[[#This Row],[Tour Ending Date]], "dddd"), "")</f>
        <v>Saturday</v>
      </c>
      <c r="U81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8 Nights &amp; 9 Days</v>
      </c>
      <c r="V81" s="37" t="str">
        <f>IF(Table5[[#This Row],[Tour Starting Date]]&lt;&gt;"", TEXT(Table5[[#This Row],[Tour Starting Date]], "mmmm"), "")</f>
        <v>October</v>
      </c>
      <c r="W81" s="80" t="str" cm="1">
        <f t="array" ref="W81">IF(Q81&lt;&gt;"", INDEX(CI:CI, MATCH(1, (Q81&gt;=CG:CG)*(Q81&lt;=CH:CH), 0)), "")</f>
        <v>Regular Dates - Weekend</v>
      </c>
      <c r="X81" s="39">
        <v>12</v>
      </c>
      <c r="Y81" s="74">
        <v>33700</v>
      </c>
      <c r="Z81" s="74">
        <f>IF(OR(Table5[[#This Row],[Per Person Package Cost]]="", Table5[[#This Row],[No. of Pax]]=""), "", Table5[[#This Row],[Per Person Package Cost]] * Table5[[#This Row],[No. of Pax]])</f>
        <v>404400</v>
      </c>
      <c r="AA81" s="52" t="s">
        <v>854</v>
      </c>
      <c r="AB81" s="52" t="s">
        <v>75</v>
      </c>
      <c r="AC81" s="52" t="s">
        <v>76</v>
      </c>
      <c r="AD81" s="52"/>
      <c r="AE81" s="51" t="str">
        <f t="shared" si="5"/>
        <v/>
      </c>
      <c r="AF81" s="51" t="str">
        <f t="shared" si="6"/>
        <v/>
      </c>
      <c r="AG81" s="74" t="str">
        <f t="shared" si="7"/>
        <v/>
      </c>
      <c r="AH81" s="73" t="str">
        <f t="shared" si="4"/>
        <v/>
      </c>
      <c r="AI81" s="52" t="s">
        <v>159</v>
      </c>
      <c r="AJ81" s="56" t="s">
        <v>78</v>
      </c>
      <c r="AK81" s="59" t="s">
        <v>79</v>
      </c>
      <c r="AL81" s="60" t="s">
        <v>80</v>
      </c>
      <c r="AM81" s="54" t="s">
        <v>80</v>
      </c>
      <c r="AN81" s="14">
        <v>46161</v>
      </c>
      <c r="AO81" s="15">
        <v>46231</v>
      </c>
      <c r="AP81" s="91"/>
      <c r="AQ81" s="87"/>
      <c r="AR81" s="26"/>
      <c r="AS81" s="65"/>
      <c r="AT81" s="88" t="s">
        <v>81</v>
      </c>
      <c r="AU81" s="67" t="s">
        <v>82</v>
      </c>
      <c r="BX81" s="1">
        <v>77</v>
      </c>
      <c r="CG81" s="143">
        <v>46377</v>
      </c>
      <c r="CH81" s="143">
        <v>46380</v>
      </c>
      <c r="CI81" s="142" t="s">
        <v>88</v>
      </c>
      <c r="CJ81" s="141"/>
      <c r="CK81" s="141"/>
      <c r="CN81" t="s">
        <v>855</v>
      </c>
      <c r="CU81" t="s">
        <v>92</v>
      </c>
      <c r="CV81" t="s">
        <v>147</v>
      </c>
      <c r="CW81" t="s">
        <v>856</v>
      </c>
      <c r="CX81" s="124" t="s">
        <v>857</v>
      </c>
      <c r="CY81" t="s">
        <v>151</v>
      </c>
      <c r="CZ81" t="s">
        <v>858</v>
      </c>
      <c r="DA81" t="str" cm="1">
        <f t="array" ref="DA81:DC81">IF(U81&lt;&gt;"", TRANSPOSE(_xlfn._xlws.FILTER(CZ:CZ, CY:CY=U81, "")), "")</f>
        <v>Gwl (1N) - Dat - Orc (1N) - Hjr (1N) - San - Bho (2N) + Bhim + Bhoj - Ujj (1N) - Omk - Mah (1N) - Man (1N) - Idr</v>
      </c>
      <c r="DB81" t="str">
        <v>Bho - Bhoj - Bhim - Mad (1N) - Pen (1N) - Kan (2N) - Ban (2N) - Pan (1N) - Gwl (1N)</v>
      </c>
      <c r="DC81" t="str">
        <v>(1 N) Ujj - (2 N) Mah - (1 N) Idr - (1 N) Bho - (2 N) Pach - (1 N) Pench</v>
      </c>
    </row>
    <row r="82" spans="2:145" ht="15" customHeight="1">
      <c r="B82" s="35">
        <v>78</v>
      </c>
      <c r="C82" s="36" t="s">
        <v>859</v>
      </c>
      <c r="D82" s="76">
        <v>46157</v>
      </c>
      <c r="E82" s="37" t="str">
        <f>IF(Table5[[#This Row],[Query Date]]&lt;&gt;"", TEXT(Table5[[#This Row],[Query Date]], "dddd"), "")</f>
        <v>Friday</v>
      </c>
      <c r="F82" s="37" t="str">
        <f>IF(Table5[[#This Row],[Query Date]]&lt;&gt;"", TEXT(Table5[[#This Row],[Query Date]], "mmmm"), "")</f>
        <v>May</v>
      </c>
      <c r="G82" s="28" t="s">
        <v>65</v>
      </c>
      <c r="H82" s="28" t="s">
        <v>120</v>
      </c>
      <c r="I82" s="28" t="s">
        <v>67</v>
      </c>
      <c r="J82" s="28" t="s">
        <v>68</v>
      </c>
      <c r="K82" s="28" t="s">
        <v>860</v>
      </c>
      <c r="L82" s="25" t="s">
        <v>70</v>
      </c>
      <c r="M82" s="112" t="s">
        <v>861</v>
      </c>
      <c r="N82" s="25" t="s">
        <v>862</v>
      </c>
      <c r="O82" s="130" t="s">
        <v>863</v>
      </c>
      <c r="P82" s="46" t="s">
        <v>864</v>
      </c>
      <c r="Q82" s="77">
        <v>46182</v>
      </c>
      <c r="R82" s="77" t="str">
        <f>IF(Table5[[#This Row],[Tour Starting Date]]&lt;&gt;"", TEXT(Table5[[#This Row],[Tour Starting Date]], "dddd"), "")</f>
        <v>Tuesday</v>
      </c>
      <c r="S82" s="77">
        <v>46186</v>
      </c>
      <c r="T82" s="25" t="str">
        <f>IF(Table5[[#This Row],[Tour Ending Date]]&lt;&gt;"", TEXT(Table5[[#This Row],[Tour Ending Date]], "dddd"), "")</f>
        <v>Saturday</v>
      </c>
      <c r="U82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4 Nights &amp; 5 Days</v>
      </c>
      <c r="V82" s="37" t="str">
        <f>IF(Table5[[#This Row],[Tour Starting Date]]&lt;&gt;"", TEXT(Table5[[#This Row],[Tour Starting Date]], "mmmm"), "")</f>
        <v>June</v>
      </c>
      <c r="W82" s="80" t="str" cm="1">
        <f t="array" ref="W82">IF(Q82&lt;&gt;"", INDEX(CI:CI, MATCH(1, (Q82&gt;=CG:CG)*(Q82&lt;=CH:CH), 0)), "")</f>
        <v>Regular Dates - Weekday</v>
      </c>
      <c r="X82" s="39">
        <v>6</v>
      </c>
      <c r="Y82" s="74">
        <v>23000</v>
      </c>
      <c r="Z82" s="74">
        <f>IF(OR(Table5[[#This Row],[Per Person Package Cost]]="", Table5[[#This Row],[No. of Pax]]=""), "", Table5[[#This Row],[Per Person Package Cost]] * Table5[[#This Row],[No. of Pax]])</f>
        <v>138000</v>
      </c>
      <c r="AA82" s="52" t="s">
        <v>75</v>
      </c>
      <c r="AB82" s="52" t="s">
        <v>75</v>
      </c>
      <c r="AC82" s="52" t="s">
        <v>134</v>
      </c>
      <c r="AD82" s="52" t="s">
        <v>575</v>
      </c>
      <c r="AE82" s="51" t="str">
        <f t="shared" si="5"/>
        <v>EMPSPR01</v>
      </c>
      <c r="AF82" s="51" t="str">
        <f t="shared" si="6"/>
        <v>A Pilgrimage of Faith and Culture</v>
      </c>
      <c r="AG82" s="74" t="str">
        <f t="shared" si="7"/>
        <v>Special Interest - Spiritual Tours</v>
      </c>
      <c r="AH82" s="73" t="str">
        <f t="shared" si="4"/>
        <v>West MP</v>
      </c>
      <c r="AI82" s="52" t="s">
        <v>107</v>
      </c>
      <c r="AJ82" s="56" t="s">
        <v>78</v>
      </c>
      <c r="AK82" s="59" t="s">
        <v>79</v>
      </c>
      <c r="AL82" s="60" t="s">
        <v>80</v>
      </c>
      <c r="AM82" s="54" t="s">
        <v>80</v>
      </c>
      <c r="AN82" s="14">
        <v>46161</v>
      </c>
      <c r="AO82" s="15">
        <v>46165</v>
      </c>
      <c r="AP82" s="91"/>
      <c r="AQ82" s="87"/>
      <c r="AR82" s="26"/>
      <c r="AS82" s="65"/>
      <c r="AT82" s="88" t="s">
        <v>85</v>
      </c>
      <c r="AU82" s="67"/>
      <c r="BX82" s="1">
        <v>78</v>
      </c>
      <c r="CG82" s="143">
        <v>46381</v>
      </c>
      <c r="CH82" s="143">
        <v>46383</v>
      </c>
      <c r="CI82" s="142" t="s">
        <v>865</v>
      </c>
      <c r="CJ82" s="141"/>
      <c r="CK82" s="141"/>
      <c r="CN82" t="s">
        <v>866</v>
      </c>
      <c r="CU82" t="s">
        <v>92</v>
      </c>
      <c r="CV82" t="s">
        <v>147</v>
      </c>
      <c r="CW82" t="s">
        <v>867</v>
      </c>
      <c r="CX82" s="124" t="s">
        <v>868</v>
      </c>
      <c r="CY82" t="s">
        <v>125</v>
      </c>
      <c r="CZ82" t="s">
        <v>869</v>
      </c>
      <c r="DA82" t="str" cm="1">
        <f t="array" ref="DA82:EJ82">IF(U82&lt;&gt;"", TRANSPOSE(_xlfn._xlws.FILTER(CZ:CZ, CY:CY=U82, "")), "")</f>
        <v>Ex Gwl | Gwl (2N) + Mor - Son - Dat - Orc (1N) - Hjr (1N) - Gwl</v>
      </c>
      <c r="DB82" t="str">
        <v>Ex Idr | Idr - Ujj (1N) - Omk - Mah (1N) - Man (1N) - Idr (1N)</v>
      </c>
      <c r="DC82" t="str">
        <v>Ex Idr | Idr - Ujj (1N) - Omk (1N) - Mah (1N) - Man (1N) - Idr</v>
      </c>
      <c r="DD82" t="str">
        <v>Ex Jlr | Jlr - Kan (2N) - Amk (1N) - Jlr (1N)</v>
      </c>
      <c r="DE82" t="str">
        <v>Ex Jlr | Jlr - Ban (2N) - Amk (1N) - Jlr (1N)</v>
      </c>
      <c r="DF82" t="str">
        <v>Ex Jlr | Jlr (1N) - Hjr (1N) - Ban (2N) - Jlr</v>
      </c>
      <c r="DG82" t="str">
        <v>Ex Jlr | Jlr (1N) - Kan (1N) - Ban (2N) - Jlr</v>
      </c>
      <c r="DH82" t="str">
        <v>Ex Bho | Bho (1N) + San + Bhoj + Bhim - Tawa - Mad (1N) - Pch (2N) - Bho</v>
      </c>
      <c r="DI82" t="str">
        <v>Ex Idr | Idr - Ujj (1N) - Omk - Mah (1N) - Man (1N) - Idr (1N)</v>
      </c>
      <c r="DJ82" t="str">
        <v>Ex Bho | Bho (1N) - Bhoj - Bhim - Pch (3N) - Bho</v>
      </c>
      <c r="DK82" t="str">
        <v>Gwl (1N) - Dat (Pitambara Peeth) - Orc (1N) - Ckt (2N) - Ixd</v>
      </c>
      <c r="DL82" t="str">
        <v>Ex Jlr | Jlr - Ban (2N) - Kan (2N) - Jlr</v>
      </c>
      <c r="DM82" t="str">
        <v>Jlr - Ban (1N) - Kan (1N) - Pen (2N) - Nag</v>
      </c>
      <c r="DN82" t="str">
        <v>Ex Bho | Bho (1N) - Bhoj - Bhim - Pch (3N) - Bho</v>
      </c>
      <c r="DO82" t="str">
        <v>Ex Bho | Bho (2N) + Sanchi + Bhoj + Bhim - Tawa - Mad (1N) - Bho (1N)</v>
      </c>
      <c r="DP82" t="str">
        <v>Ex Bho | Bho - Bhoj - Bhim - Tawa (1N) - Mad (1N) - Pch (2N) - Bho</v>
      </c>
      <c r="DQ82" t="str">
        <v>Bho - Bhoj - Bhim - Pch (2N) - Kan (1N) - Jlr (1N)</v>
      </c>
      <c r="DR82" t="str">
        <v>Bho - Bhoj - Bhim - Pch (2N) - Kan (1N) - Amk (1N) - Jlr</v>
      </c>
      <c r="DS82" t="str">
        <v xml:space="preserve">Bho (1N) + Bhim + Bhoj + San - Ujj (1N) - Omk - Mah (1N) - Idr (1N) </v>
      </c>
      <c r="DT82" t="str">
        <v>Ex Gwl | Gwl - Hjr (1N) - Orc (1N) - Dat - Son - Gwl (2N)</v>
      </c>
      <c r="DU82" t="str">
        <v>Ex Gwl | Gwl - Orc (1N) - Hjr (1N) - Chn (1N) - Shiv (1N) - Gwl</v>
      </c>
      <c r="DV82" t="str">
        <v>Gwl - Hjr (1N) - Panna (1N) - Chit (1N) - Mahi (1N) - Sat</v>
      </c>
      <c r="DW82" t="str">
        <v>Jlr - (2 N) Kan - (2 N) Pch - Bhim - Bhoj - Bhp</v>
      </c>
      <c r="DX82" t="str">
        <v>Jlr - (2 N) Kan - (2 N) Pen - Rpr</v>
      </c>
      <c r="DY82" t="str">
        <v>Gwl (2N) (Ex Mor) - Dat -Orc (1N) - Hjr (1N) - Jhn</v>
      </c>
      <c r="DZ82" t="str">
        <v>Ex Gwl | Gwl (1N) - Son - Dat - Orc (1N) - Hjr (2N) (Ex Panna) - Gwl</v>
      </c>
      <c r="EA82" t="str">
        <v>Hjr (1N) - Orc (1N) - Dat - son - Gwl (2N)(Ex Mor)</v>
      </c>
      <c r="EB82" t="str">
        <v>(2 N) Gwl - (1 N) Orch - (1 N) Hjr</v>
      </c>
      <c r="EC82" t="str">
        <v>Ex Bhp | Bhp - Bhoj - Bhim - Pch (2N) - Mad (1N) - Tawa (1N) - Bhp</v>
      </c>
      <c r="ED82" t="str">
        <v>Ex Bhp | Bhp - Bhoj - Bhim - Pch (2N) - Mad (2N) - Bhp</v>
      </c>
      <c r="EE82" t="str">
        <v>Ex Idr | Idr - Ujj (1N) - Omk (1N) - Mah (2N) (Ex Man) - Idr (HDCT)</v>
      </c>
      <c r="EF82" t="str">
        <v>Arr Rpr - Amr (2N) - Par (2N) - IXD</v>
      </c>
      <c r="EG82" t="str">
        <v>1N Gwl - Orc - 2N Hjr - Jhn - 1N Gwl</v>
      </c>
      <c r="EH82" t="str">
        <v>1N Orc - 1N Hjr - 2N Gwl Ex Mor</v>
      </c>
      <c r="EI82" t="str">
        <v>1N Idr - Omk - 1N Mah - 1N Ujj - Seh - 1N Bho</v>
      </c>
      <c r="EJ82" t="str">
        <v>Ex Idr I 1N Idr - 1N Ujj - Omk - 2N Mah - Man - Idr</v>
      </c>
    </row>
    <row r="83" spans="2:145" ht="15" customHeight="1">
      <c r="B83" s="34">
        <v>79</v>
      </c>
      <c r="C83" s="36" t="s">
        <v>870</v>
      </c>
      <c r="D83" s="76">
        <v>46158</v>
      </c>
      <c r="E83" s="37" t="str">
        <f>IF(Table5[[#This Row],[Query Date]]&lt;&gt;"", TEXT(Table5[[#This Row],[Query Date]], "dddd"), "")</f>
        <v>Saturday</v>
      </c>
      <c r="F83" s="37" t="str">
        <f>IF(Table5[[#This Row],[Query Date]]&lt;&gt;"", TEXT(Table5[[#This Row],[Query Date]], "mmmm"), "")</f>
        <v>May</v>
      </c>
      <c r="G83" s="28" t="s">
        <v>65</v>
      </c>
      <c r="H83" s="28" t="s">
        <v>66</v>
      </c>
      <c r="I83" s="28" t="s">
        <v>67</v>
      </c>
      <c r="J83" s="28" t="s">
        <v>68</v>
      </c>
      <c r="K83" s="28" t="s">
        <v>246</v>
      </c>
      <c r="L83" s="25" t="s">
        <v>70</v>
      </c>
      <c r="M83" s="112" t="s">
        <v>871</v>
      </c>
      <c r="N83" s="25" t="s">
        <v>872</v>
      </c>
      <c r="O83" s="130" t="s">
        <v>873</v>
      </c>
      <c r="P83" s="46" t="s">
        <v>874</v>
      </c>
      <c r="Q83" s="77">
        <v>46208</v>
      </c>
      <c r="R83" s="77" t="str">
        <f>IF(Table5[[#This Row],[Tour Starting Date]]&lt;&gt;"", TEXT(Table5[[#This Row],[Tour Starting Date]], "dddd"), "")</f>
        <v>Sunday</v>
      </c>
      <c r="S83" s="77">
        <v>46215</v>
      </c>
      <c r="T83" s="25" t="str">
        <f>IF(Table5[[#This Row],[Tour Ending Date]]&lt;&gt;"", TEXT(Table5[[#This Row],[Tour Ending Date]], "dddd"), "")</f>
        <v>Sunday</v>
      </c>
      <c r="U83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7 Nights &amp; 8 Days</v>
      </c>
      <c r="V83" s="37" t="str">
        <f>IF(Table5[[#This Row],[Tour Starting Date]]&lt;&gt;"", TEXT(Table5[[#This Row],[Tour Starting Date]], "mmmm"), "")</f>
        <v>July</v>
      </c>
      <c r="W83" s="80" t="str" cm="1">
        <f t="array" ref="W83">IF(Q83&lt;&gt;"", INDEX(CI:CI, MATCH(1, (Q83&gt;=CG:CG)*(Q83&lt;=CH:CH), 0)), "")</f>
        <v>Regular Dates - Weekend</v>
      </c>
      <c r="X83" s="39">
        <v>2</v>
      </c>
      <c r="Y83" s="74">
        <v>57000</v>
      </c>
      <c r="Z83" s="74">
        <f>IF(OR(Table5[[#This Row],[Per Person Package Cost]]="", Table5[[#This Row],[No. of Pax]]=""), "", Table5[[#This Row],[Per Person Package Cost]] * Table5[[#This Row],[No. of Pax]])</f>
        <v>114000</v>
      </c>
      <c r="AA83" s="52" t="s">
        <v>558</v>
      </c>
      <c r="AB83" s="52" t="s">
        <v>75</v>
      </c>
      <c r="AC83" s="52" t="s">
        <v>134</v>
      </c>
      <c r="AD83" s="52"/>
      <c r="AE83" s="51" t="str">
        <f t="shared" si="5"/>
        <v/>
      </c>
      <c r="AF83" s="51" t="str">
        <f t="shared" si="6"/>
        <v/>
      </c>
      <c r="AG83" s="74" t="str">
        <f t="shared" si="7"/>
        <v/>
      </c>
      <c r="AH83" s="73" t="str">
        <f t="shared" si="4"/>
        <v/>
      </c>
      <c r="AI83" s="52" t="s">
        <v>107</v>
      </c>
      <c r="AJ83" s="56" t="s">
        <v>78</v>
      </c>
      <c r="AK83" s="59" t="s">
        <v>79</v>
      </c>
      <c r="AL83" s="60" t="s">
        <v>80</v>
      </c>
      <c r="AM83" s="54" t="s">
        <v>80</v>
      </c>
      <c r="AN83" s="14">
        <v>46161</v>
      </c>
      <c r="AO83" s="15">
        <v>46178</v>
      </c>
      <c r="AP83" s="91">
        <v>46190</v>
      </c>
      <c r="AQ83" s="87"/>
      <c r="AR83" s="26"/>
      <c r="AS83" s="65"/>
      <c r="AT83" s="88" t="s">
        <v>81</v>
      </c>
      <c r="AU83" s="67"/>
      <c r="BX83" s="1">
        <v>79</v>
      </c>
      <c r="CG83" s="143">
        <v>46384</v>
      </c>
      <c r="CH83" s="143">
        <v>46387</v>
      </c>
      <c r="CI83" s="142" t="s">
        <v>88</v>
      </c>
      <c r="CJ83" s="141"/>
      <c r="CK83" s="141"/>
      <c r="CN83" t="s">
        <v>875</v>
      </c>
      <c r="CU83" t="s">
        <v>92</v>
      </c>
      <c r="CV83" t="s">
        <v>147</v>
      </c>
      <c r="CW83" t="s">
        <v>876</v>
      </c>
      <c r="CX83" s="124" t="s">
        <v>877</v>
      </c>
      <c r="CY83" t="s">
        <v>197</v>
      </c>
      <c r="CZ83" t="s">
        <v>739</v>
      </c>
      <c r="DA83" t="str" cm="1">
        <f t="array" ref="DA83:DJ83">IF(U83&lt;&gt;"", TRANSPOSE(_xlfn._xlws.FILTER(CZ:CZ, CY:CY=U83, "")), "")</f>
        <v>Ex Idr | Idr (1N) - Ujj (1N) - Omk - Mah (1N) - Man (2N) - Bhp (2N) + Bhim + Bhoj + Sanchi - Idr</v>
      </c>
      <c r="DB83" t="str">
        <v>Bho (1N) + San + Udaygiri - Bhoj - Bhim - Tawa (1N) - Mad (1N) - Pch (2N) - Kan(1N) - Jlr (1N)</v>
      </c>
      <c r="DC83" t="str">
        <v>Bho (1N) + San + Udaygiri - Bhoj - Bhim - Pch (2N) - Kan(1N) - Amk (2N) - Jlr (1N)</v>
      </c>
      <c r="DD83" t="str">
        <v>Bho (2N) + San + Bhoj + Bhim - Ujj (1N) - Omk (1N) - Mah (1N) - Man (1N) - Idr (1N)</v>
      </c>
      <c r="DE83" t="str">
        <v>Gwl (2N) + Mor - Son - Dat - Orc (1N) - Hjr (2N) - San - Bho (2N) + Bhoj + Bhim</v>
      </c>
      <c r="DF83" t="str">
        <v>Idr - Man (2N) - Bho (2N) + San - Bhoj - Bhim - Pch (2N) - Tawa (1N) - Bho</v>
      </c>
      <c r="DG83" t="str">
        <v>Jlr (1N) - Amk (1N) - Myr (1N) - Ckt (1N) - Orc (1N) - Dat - Son - Gwl (2N) + Mor + Shanichara</v>
      </c>
      <c r="DH83" t="str">
        <v>Gwl (2N) + Mor + Sanchichara - Dat (Pitambara Peeth) - Orc (1N) - Ckt (2N) - Amk (1N) - Jlr (1N)</v>
      </c>
      <c r="DI83" t="str">
        <v>Jlr - (1 N) Kan - (2 N) Pch - Bhim - Bhoj - (1 N) Bho - (1 N) Ujj - (1 N) Mah - Man -  (1 N) Idr</v>
      </c>
      <c r="DJ83" t="str">
        <v>Ex Nag - 2N Tado - 2N Pen - 3N Nag</v>
      </c>
    </row>
    <row r="84" spans="2:145" ht="15" customHeight="1">
      <c r="B84" s="35">
        <v>80</v>
      </c>
      <c r="C84" s="36" t="s">
        <v>878</v>
      </c>
      <c r="D84" s="76">
        <v>46160</v>
      </c>
      <c r="E84" s="37" t="str">
        <f>IF(Table5[[#This Row],[Query Date]]&lt;&gt;"", TEXT(Table5[[#This Row],[Query Date]], "dddd"), "")</f>
        <v>Monday</v>
      </c>
      <c r="F84" s="37" t="str">
        <f>IF(Table5[[#This Row],[Query Date]]&lt;&gt;"", TEXT(Table5[[#This Row],[Query Date]], "mmmm"), "")</f>
        <v>May</v>
      </c>
      <c r="G84" s="28" t="s">
        <v>65</v>
      </c>
      <c r="H84" s="28" t="s">
        <v>120</v>
      </c>
      <c r="I84" s="28" t="s">
        <v>100</v>
      </c>
      <c r="J84" s="28" t="s">
        <v>68</v>
      </c>
      <c r="K84" s="28" t="s">
        <v>178</v>
      </c>
      <c r="L84" s="25" t="s">
        <v>70</v>
      </c>
      <c r="M84" s="112" t="s">
        <v>266</v>
      </c>
      <c r="N84" s="25" t="s">
        <v>267</v>
      </c>
      <c r="O84" s="130" t="s">
        <v>268</v>
      </c>
      <c r="P84" s="46" t="s">
        <v>879</v>
      </c>
      <c r="Q84" s="77">
        <v>46174</v>
      </c>
      <c r="R84" s="77" t="str">
        <f>IF(Table5[[#This Row],[Tour Starting Date]]&lt;&gt;"", TEXT(Table5[[#This Row],[Tour Starting Date]], "dddd"), "")</f>
        <v>Monday</v>
      </c>
      <c r="S84" s="77">
        <v>46176</v>
      </c>
      <c r="T84" s="25" t="str">
        <f>IF(Table5[[#This Row],[Tour Ending Date]]&lt;&gt;"", TEXT(Table5[[#This Row],[Tour Ending Date]], "dddd"), "")</f>
        <v>Wednesday</v>
      </c>
      <c r="U84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84" s="37" t="str">
        <f>IF(Table5[[#This Row],[Tour Starting Date]]&lt;&gt;"", TEXT(Table5[[#This Row],[Tour Starting Date]], "mmmm"), "")</f>
        <v>June</v>
      </c>
      <c r="W84" s="80" t="str" cm="1">
        <f t="array" ref="W84">IF(Q84&lt;&gt;"", INDEX(CI:CI, MATCH(1, (Q84&gt;=CG:CG)*(Q84&lt;=CH:CH), 0)), "")</f>
        <v>Regular Dates - Weekday</v>
      </c>
      <c r="X84" s="39">
        <v>2</v>
      </c>
      <c r="Y84" s="74">
        <v>10500</v>
      </c>
      <c r="Z84" s="74">
        <f>IF(OR(Table5[[#This Row],[Per Person Package Cost]]="", Table5[[#This Row],[No. of Pax]]=""), "", Table5[[#This Row],[Per Person Package Cost]] * Table5[[#This Row],[No. of Pax]])</f>
        <v>21000</v>
      </c>
      <c r="AA84" s="52" t="s">
        <v>75</v>
      </c>
      <c r="AB84" s="52" t="s">
        <v>75</v>
      </c>
      <c r="AC84" s="52"/>
      <c r="AD84" s="52" t="s">
        <v>880</v>
      </c>
      <c r="AE84" s="51" t="str">
        <f t="shared" si="5"/>
        <v>EXUJJ06</v>
      </c>
      <c r="AF84" s="51" t="str">
        <f t="shared" si="6"/>
        <v>Journey to the Jyotirlinga Land</v>
      </c>
      <c r="AG84" s="74" t="str">
        <f t="shared" si="7"/>
        <v>Quick Getaways</v>
      </c>
      <c r="AH84" s="73" t="str">
        <f t="shared" ref="AH84:AH147" si="8">IF(AD84&lt;&gt;"", INDEX(CV:CV, MATCH(AD84, CZ:CZ, 0)), "")</f>
        <v>West MP</v>
      </c>
      <c r="AI84" s="52" t="s">
        <v>159</v>
      </c>
      <c r="AJ84" s="56" t="s">
        <v>78</v>
      </c>
      <c r="AK84" s="59" t="s">
        <v>79</v>
      </c>
      <c r="AL84" s="60" t="s">
        <v>80</v>
      </c>
      <c r="AM84" s="54" t="s">
        <v>80</v>
      </c>
      <c r="AN84" s="14">
        <v>46167</v>
      </c>
      <c r="AO84" s="15"/>
      <c r="AP84" s="91"/>
      <c r="AQ84" s="87"/>
      <c r="AR84" s="26"/>
      <c r="AS84" s="65"/>
      <c r="AT84" s="88" t="s">
        <v>81</v>
      </c>
      <c r="AU84" s="67"/>
      <c r="BX84" s="1">
        <v>80</v>
      </c>
      <c r="CG84" s="143">
        <v>46388</v>
      </c>
      <c r="CH84" s="143">
        <v>46390</v>
      </c>
      <c r="CI84" s="142" t="s">
        <v>881</v>
      </c>
      <c r="CJ84" s="141"/>
      <c r="CK84" s="141"/>
      <c r="CN84" t="s">
        <v>101</v>
      </c>
      <c r="CU84" t="s">
        <v>92</v>
      </c>
      <c r="CV84" t="s">
        <v>299</v>
      </c>
      <c r="CW84" t="s">
        <v>882</v>
      </c>
      <c r="CX84" s="124" t="s">
        <v>883</v>
      </c>
      <c r="CY84" t="s">
        <v>151</v>
      </c>
      <c r="CZ84" t="s">
        <v>884</v>
      </c>
      <c r="DA84" t="str" cm="1">
        <f t="array" ref="DA84:DY84">IF(U84&lt;&gt;"", TRANSPOSE(_xlfn._xlws.FILTER(CZ:CZ, CY:CY=U84, "")), "")</f>
        <v>Gwl (2N) + Mor</v>
      </c>
      <c r="DB84" t="str">
        <v>Ex Idr | Idr - Ujj (1N) - Omk - Mah (1N) - Man - Idr</v>
      </c>
      <c r="DC84" t="str">
        <v>Ujj (1N) - Omk - Idr (1N)</v>
      </c>
      <c r="DD84" t="str">
        <v>Ex Jlr | Jlr - Kan (2N) - Jlr</v>
      </c>
      <c r="DE84" t="str">
        <v>Ex Jlr | Jlr - Ban (2N) - Jlr</v>
      </c>
      <c r="DF84" t="str">
        <v>Ex Bho | Bho (2N) + Bhim + Bhoj + San</v>
      </c>
      <c r="DG84" t="str">
        <v>Ex Idr | Idr - Man (2N) - Idr</v>
      </c>
      <c r="DH84" t="str">
        <v>Ex Jlr | Jlr - Kan (2N) - Jlr</v>
      </c>
      <c r="DI84" t="str">
        <v>Ex Bho | Bho (2N) + Bhim + Bhoj + San + HDCT Bho</v>
      </c>
      <c r="DJ84" t="str">
        <v>Ex Bho | Bho - Bhim - Tawa (1N) - Mad (1N) - Bho</v>
      </c>
      <c r="DK84" t="str">
        <v>Ujj (1N) - Omk - Mah (1N) - Idr</v>
      </c>
      <c r="DL84" t="str">
        <v>Ujj (1N) -  Idr (1N)</v>
      </c>
      <c r="DM84" t="str">
        <v>Ex Idr | Idr (2N) + Ujj + Omk + Mah</v>
      </c>
      <c r="DN84" t="str">
        <v>Idr - Mah - Omk (1N) - Ujj (1N)</v>
      </c>
      <c r="DO84" t="str">
        <v>Idr - Ujj (1N) - Mah - Omk (1N) - Khandwa</v>
      </c>
      <c r="DP84" t="str">
        <v>Ex Idr | Idr (EX Ujj) (1N) - Mah - Omk (1N) - Idr HDCT</v>
      </c>
      <c r="DQ84" t="str">
        <v>Ujj (1N) - Sehor - Bho (1N) HDCT</v>
      </c>
      <c r="DR84" t="str">
        <v>Ex Jlr | Jlr (1N) - Ban (1N)</v>
      </c>
      <c r="DS84" t="str">
        <v>Ex Jlr | Ban (1N)</v>
      </c>
      <c r="DT84" t="str">
        <v>Ex Jlr | Jlr (2 N) Kan</v>
      </c>
      <c r="DU84" t="str">
        <v>Ex Jlr | Jlr - Amr (1 N) - (1 N) Ban</v>
      </c>
      <c r="DV84" t="str">
        <v>Ex Rpr | Rpr - (2N) Kan</v>
      </c>
      <c r="DW84" t="str">
        <v>Hjr (1N) - Mahi (1N) - Sat</v>
      </c>
      <c r="DX84" t="str">
        <v>Ex Bhp | Bhp - Bhim - Pch (2N) - Bhp</v>
      </c>
      <c r="DY84" t="str">
        <v xml:space="preserve">Ex Ujj I 2N Ujj </v>
      </c>
    </row>
    <row r="85" spans="2:145" ht="15" customHeight="1">
      <c r="B85" s="34">
        <v>81</v>
      </c>
      <c r="C85" s="36" t="s">
        <v>885</v>
      </c>
      <c r="D85" s="76">
        <v>46162</v>
      </c>
      <c r="E85" s="37" t="str">
        <f>IF(Table5[[#This Row],[Query Date]]&lt;&gt;"", TEXT(Table5[[#This Row],[Query Date]], "dddd"), "")</f>
        <v>Wednesday</v>
      </c>
      <c r="F85" s="37" t="str">
        <f>IF(Table5[[#This Row],[Query Date]]&lt;&gt;"", TEXT(Table5[[#This Row],[Query Date]], "mmmm"), "")</f>
        <v>May</v>
      </c>
      <c r="G85" s="28" t="s">
        <v>65</v>
      </c>
      <c r="H85" s="28" t="s">
        <v>99</v>
      </c>
      <c r="I85" s="28" t="s">
        <v>67</v>
      </c>
      <c r="J85" s="28" t="s">
        <v>68</v>
      </c>
      <c r="K85" s="28" t="s">
        <v>178</v>
      </c>
      <c r="L85" s="25" t="s">
        <v>70</v>
      </c>
      <c r="M85" s="112" t="s">
        <v>417</v>
      </c>
      <c r="N85" s="25" t="s">
        <v>886</v>
      </c>
      <c r="O85" s="130" t="s">
        <v>887</v>
      </c>
      <c r="P85" s="46" t="s">
        <v>888</v>
      </c>
      <c r="Q85" s="77">
        <v>46212</v>
      </c>
      <c r="R85" s="77" t="str">
        <f>IF(Table5[[#This Row],[Tour Starting Date]]&lt;&gt;"", TEXT(Table5[[#This Row],[Tour Starting Date]], "dddd"), "")</f>
        <v>Thursday</v>
      </c>
      <c r="S85" s="77">
        <v>46215</v>
      </c>
      <c r="T85" s="25" t="str">
        <f>IF(Table5[[#This Row],[Tour Ending Date]]&lt;&gt;"", TEXT(Table5[[#This Row],[Tour Ending Date]], "dddd"), "")</f>
        <v>Sunday</v>
      </c>
      <c r="U85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85" s="37" t="str">
        <f>IF(Table5[[#This Row],[Tour Starting Date]]&lt;&gt;"", TEXT(Table5[[#This Row],[Tour Starting Date]], "mmmm"), "")</f>
        <v>July</v>
      </c>
      <c r="W85" s="80" t="str" cm="1">
        <f t="array" ref="W85">IF(Q85&lt;&gt;"", INDEX(CI:CI, MATCH(1, (Q85&gt;=CG:CG)*(Q85&lt;=CH:CH), 0)), "")</f>
        <v>Regular Dates - Weekday</v>
      </c>
      <c r="X85" s="39">
        <v>4</v>
      </c>
      <c r="Y85" s="74">
        <v>12500</v>
      </c>
      <c r="Z85" s="74">
        <f>IF(OR(Table5[[#This Row],[Per Person Package Cost]]="", Table5[[#This Row],[No. of Pax]]=""), "", Table5[[#This Row],[Per Person Package Cost]] * Table5[[#This Row],[No. of Pax]])</f>
        <v>50000</v>
      </c>
      <c r="AA85" s="52" t="s">
        <v>75</v>
      </c>
      <c r="AB85" s="52" t="s">
        <v>75</v>
      </c>
      <c r="AC85" s="52" t="s">
        <v>76</v>
      </c>
      <c r="AD85" s="52" t="s">
        <v>575</v>
      </c>
      <c r="AE85" s="51" t="str">
        <f t="shared" si="5"/>
        <v>EMPSPR01</v>
      </c>
      <c r="AF85" s="51" t="str">
        <f t="shared" si="6"/>
        <v>A Pilgrimage of Faith and Culture</v>
      </c>
      <c r="AG85" s="74" t="str">
        <f t="shared" si="7"/>
        <v>Special Interest - Spiritual Tours</v>
      </c>
      <c r="AH85" s="73" t="str">
        <f t="shared" si="8"/>
        <v>West MP</v>
      </c>
      <c r="AI85" s="52" t="s">
        <v>159</v>
      </c>
      <c r="AJ85" s="56" t="s">
        <v>78</v>
      </c>
      <c r="AK85" s="59" t="s">
        <v>79</v>
      </c>
      <c r="AL85" s="60" t="s">
        <v>80</v>
      </c>
      <c r="AM85" s="54" t="s">
        <v>80</v>
      </c>
      <c r="AN85" s="14">
        <v>46167</v>
      </c>
      <c r="AO85" s="15">
        <v>46178</v>
      </c>
      <c r="AP85" s="91"/>
      <c r="AQ85" s="87"/>
      <c r="AR85" s="26"/>
      <c r="AS85" s="65"/>
      <c r="AT85" s="88" t="s">
        <v>81</v>
      </c>
      <c r="AU85" s="67"/>
      <c r="BX85" s="1">
        <v>81</v>
      </c>
      <c r="CG85" s="143">
        <v>46391</v>
      </c>
      <c r="CH85" s="143">
        <v>46394</v>
      </c>
      <c r="CI85" s="142" t="s">
        <v>88</v>
      </c>
      <c r="CJ85" s="141"/>
      <c r="CK85" s="141"/>
      <c r="CN85" t="s">
        <v>889</v>
      </c>
      <c r="CU85" t="s">
        <v>92</v>
      </c>
      <c r="CV85" t="s">
        <v>299</v>
      </c>
      <c r="CW85" t="s">
        <v>890</v>
      </c>
      <c r="CX85" s="124" t="s">
        <v>891</v>
      </c>
      <c r="CY85" t="s">
        <v>151</v>
      </c>
      <c r="CZ85" t="s">
        <v>892</v>
      </c>
      <c r="DA85" t="str" cm="1">
        <f t="array" ref="DA85:EO85">IF(U85&lt;&gt;"", TRANSPOSE(_xlfn._xlws.FILTER(CZ:CZ, CY:CY=U85, "")), "")</f>
        <v>Gwl (3N) + Mor + Son + Dat + Orc</v>
      </c>
      <c r="DB85" t="str">
        <v>Ex Gwl | Gwl (1N) - Son - Dat - Orc (1N) - Gwl (1N)</v>
      </c>
      <c r="DC85" t="str">
        <v>Ex Idr | Idr - Ujj (1N) - Omk - Mah (1N) - Man (1N) - Idr</v>
      </c>
      <c r="DD85" t="str">
        <v>Ex Jlr | Jlr - Kan (2N) - Jlr (1N)</v>
      </c>
      <c r="DE85" t="str">
        <v>Ex Jlr | Jlr - Ban (2N) - Jlr (1N)</v>
      </c>
      <c r="DF85" t="str">
        <v>Ex Bho | Bho (1N) + San - Bhoj - Bhim - Pch (2N) - Bho</v>
      </c>
      <c r="DG85" t="str">
        <v>Ex Idr | Idr (1N) - Ujj (1N) - Omk (1N) - Mah - Idr</v>
      </c>
      <c r="DH85" t="str">
        <v>Gwl - Orc (1N) - Ckt (1N) - Myr (1N) - Jlr</v>
      </c>
      <c r="DI85" t="str">
        <v>Gwl - Orc (1N) - Ckt (2N) - Ixd</v>
      </c>
      <c r="DJ85" t="str">
        <v>Ex Idr | Idr - Ujj (1N) - Omk - Mah (1N) - Idr (1N)</v>
      </c>
      <c r="DK85" t="str">
        <v>Ex Jlr | Jlr - Kan (3N) - Jlr</v>
      </c>
      <c r="DL85" t="str">
        <v>Ex Bho | Bho (2N) + Bhim + Bhoj + San + Udaygiri + Vidisha + FDCT Bho</v>
      </c>
      <c r="DM85" t="str">
        <v>Bho (1N) + Bhim + Bhoj - HDCT  Bho + Sanchi - Ujj (2N)</v>
      </c>
      <c r="DN85" t="str">
        <v>Bho (1N) + Bhim + Bhoj - HDCT  Bho + Sanchi - Ujj (2N) - Idr</v>
      </c>
      <c r="DO85" t="str">
        <v>Ex Bho | Bho - Bhoj - Bhim - Mad (1N) - Pch (2N) - Bho</v>
      </c>
      <c r="DP85" t="str">
        <v>Ex Bho | Bho - Bhoj - Bhim - Mad (1N) - Pch (3N) - Bho</v>
      </c>
      <c r="DQ85" t="str">
        <v>Ex Bho | Bho - Bhoj - Bhim - Tawa (1N) - Mad (1N) - Bho (1N)</v>
      </c>
      <c r="DR85" t="str">
        <v>Bho (1N) - Bhim - Bhoj - San - Idr (2N) + Ujj</v>
      </c>
      <c r="DS85" t="str">
        <v>Bho (1N) - Bhoj - Bhim - Pch (2N) - Bho</v>
      </c>
      <c r="DT85" t="str">
        <v>Ujj (1N) - Omk - Mah (1N) - Idr (1N)</v>
      </c>
      <c r="DU85" t="str">
        <v>Ujj (1N) - Omk - Mah (1N) - Man (1N) - Idr</v>
      </c>
      <c r="DV85" t="str">
        <v>Ex Idr | Idr (1N) - Ujj (1N) - Omk - Mah (1N)</v>
      </c>
      <c r="DW85" t="str">
        <v>Ex Idr | Idr - Ujj (1N) - Omk (1N) - Mah (1N) - Idr</v>
      </c>
      <c r="DX85" t="str">
        <v>Khandwa - Omk (1N) - Mah (1N) - Ujj (1N) - Idr</v>
      </c>
      <c r="DY85" t="str">
        <v>Ex Idr | Idr - Ujj (1N) - Omk - Mah (1N) - Man - Idr (1N)</v>
      </c>
      <c r="DZ85" t="str">
        <v xml:space="preserve">Idr - Omk (1N) - Mah - Ujj (1N) San - Bho (1N) </v>
      </c>
      <c r="EA85" t="str">
        <v>Ex Idr | Idr - Man (1N) - Mah - Omk (1N) - Ujj (1N) - Idr</v>
      </c>
      <c r="EB85" t="str">
        <v>Khandwa - Omk (1N) - Mah - Ujj (2N)</v>
      </c>
      <c r="EC85" t="str">
        <v>Ex Jlr | Jlr (1N) - Amr (1N) - Ban (1N) - Jlr</v>
      </c>
      <c r="ED85" t="str">
        <v>Ex Jlr | Jlr - (1 N) Ban - (2 N) Amar</v>
      </c>
      <c r="EE85" t="str">
        <v>Jlr - Kan (1N) - Pch (2N)</v>
      </c>
      <c r="EF85" t="str">
        <v>Pi - Pch (2N)  - Kan (1N)</v>
      </c>
      <c r="EG85" t="str">
        <v>Ex Jlr | Jlr - Amr (1 N) - (1 N) Ban - (1 N) Jlr</v>
      </c>
      <c r="EH85" t="str">
        <v>Ppi - (2 N) Pch - (1 N) Pen</v>
      </c>
      <c r="EI85" t="str">
        <v>Bhp - Pch (2N) - Jlr (1N)</v>
      </c>
      <c r="EJ85" t="str">
        <v xml:space="preserve">Arr Jhn - Hjr (1N) - Orc - Gwl (2N) </v>
      </c>
      <c r="EK85" t="str">
        <v>(1 N) Ujj - (1 N) Mah - (1 N) Idr</v>
      </c>
      <c r="EL85" t="str">
        <v>Ex Bhp | Bhp - Bhoj - Bhim - Pch (3N) - Bhp</v>
      </c>
      <c r="EM85" t="str">
        <v>Ex Bhp | Bhp - Bhoj - Bhim - Pch (2N) - Mad (1N) - Bhp</v>
      </c>
      <c r="EN85" t="str">
        <v xml:space="preserve">Ex Nag - 3N Pch + Sat </v>
      </c>
      <c r="EO85" t="str">
        <v>1N Gwl - Son - Dat - 1N Hjr - 1N Orc - Jhn</v>
      </c>
    </row>
    <row r="86" spans="2:145" ht="15" customHeight="1">
      <c r="B86" s="35">
        <v>82</v>
      </c>
      <c r="C86" s="36" t="s">
        <v>893</v>
      </c>
      <c r="D86" s="76">
        <v>46164</v>
      </c>
      <c r="E86" s="37" t="str">
        <f>IF(Table5[[#This Row],[Query Date]]&lt;&gt;"", TEXT(Table5[[#This Row],[Query Date]], "dddd"), "")</f>
        <v>Friday</v>
      </c>
      <c r="F86" s="37" t="str">
        <f>IF(Table5[[#This Row],[Query Date]]&lt;&gt;"", TEXT(Table5[[#This Row],[Query Date]], "mmmm"), "")</f>
        <v>May</v>
      </c>
      <c r="G86" s="28" t="s">
        <v>65</v>
      </c>
      <c r="H86" s="28" t="s">
        <v>99</v>
      </c>
      <c r="I86" s="28" t="s">
        <v>67</v>
      </c>
      <c r="J86" s="28" t="s">
        <v>68</v>
      </c>
      <c r="K86" s="28" t="s">
        <v>178</v>
      </c>
      <c r="L86" s="25" t="s">
        <v>70</v>
      </c>
      <c r="M86" s="112" t="s">
        <v>502</v>
      </c>
      <c r="N86" s="25" t="s">
        <v>507</v>
      </c>
      <c r="O86" s="130">
        <v>9036405090</v>
      </c>
      <c r="P86" s="46" t="s">
        <v>508</v>
      </c>
      <c r="Q86" s="77">
        <v>46187</v>
      </c>
      <c r="R86" s="77" t="str">
        <f>IF(Table5[[#This Row],[Tour Starting Date]]&lt;&gt;"", TEXT(Table5[[#This Row],[Tour Starting Date]], "dddd"), "")</f>
        <v>Sunday</v>
      </c>
      <c r="S86" s="77">
        <v>46191</v>
      </c>
      <c r="T86" s="25" t="str">
        <f>IF(Table5[[#This Row],[Tour Ending Date]]&lt;&gt;"", TEXT(Table5[[#This Row],[Tour Ending Date]], "dddd"), "")</f>
        <v>Thursday</v>
      </c>
      <c r="U86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4 Nights &amp; 5 Days</v>
      </c>
      <c r="V86" s="37" t="str">
        <f>IF(Table5[[#This Row],[Tour Starting Date]]&lt;&gt;"", TEXT(Table5[[#This Row],[Tour Starting Date]], "mmmm"), "")</f>
        <v>June</v>
      </c>
      <c r="W86" s="80" t="str" cm="1">
        <f t="array" ref="W86">IF(Q86&lt;&gt;"", INDEX(CI:CI, MATCH(1, (Q86&gt;=CG:CG)*(Q86&lt;=CH:CH), 0)), "")</f>
        <v>Regular Dates - Weekend</v>
      </c>
      <c r="X86" s="39"/>
      <c r="Y86" s="74">
        <v>23000</v>
      </c>
      <c r="Z86" s="74" t="str">
        <f>IF(OR(Table5[[#This Row],[Per Person Package Cost]]="", Table5[[#This Row],[No. of Pax]]=""), "", Table5[[#This Row],[Per Person Package Cost]] * Table5[[#This Row],[No. of Pax]])</f>
        <v/>
      </c>
      <c r="AA86" s="52" t="s">
        <v>894</v>
      </c>
      <c r="AB86" s="52" t="s">
        <v>894</v>
      </c>
      <c r="AC86" s="52"/>
      <c r="AD86" s="52"/>
      <c r="AE86" s="51" t="str">
        <f t="shared" si="5"/>
        <v/>
      </c>
      <c r="AF86" s="51" t="str">
        <f t="shared" si="6"/>
        <v/>
      </c>
      <c r="AG86" s="74" t="str">
        <f t="shared" si="7"/>
        <v/>
      </c>
      <c r="AH86" s="73" t="str">
        <f t="shared" si="8"/>
        <v/>
      </c>
      <c r="AI86" s="52" t="s">
        <v>159</v>
      </c>
      <c r="AJ86" s="56" t="s">
        <v>78</v>
      </c>
      <c r="AK86" s="59" t="s">
        <v>79</v>
      </c>
      <c r="AL86" s="60" t="s">
        <v>80</v>
      </c>
      <c r="AM86" s="54" t="s">
        <v>80</v>
      </c>
      <c r="AN86" s="14">
        <v>46167</v>
      </c>
      <c r="AO86" s="15"/>
      <c r="AP86" s="91"/>
      <c r="AQ86" s="87"/>
      <c r="AR86" s="26"/>
      <c r="AS86" s="65"/>
      <c r="AT86" s="88" t="s">
        <v>81</v>
      </c>
      <c r="AU86" s="67"/>
      <c r="BX86" s="1">
        <v>82</v>
      </c>
      <c r="CG86" s="143">
        <v>46395</v>
      </c>
      <c r="CH86" s="143">
        <v>46397</v>
      </c>
      <c r="CI86" s="142" t="s">
        <v>116</v>
      </c>
      <c r="CJ86" s="141"/>
      <c r="CK86" s="141"/>
      <c r="CN86" t="s">
        <v>895</v>
      </c>
      <c r="CU86" t="s">
        <v>92</v>
      </c>
      <c r="CV86" t="s">
        <v>147</v>
      </c>
      <c r="CW86" t="s">
        <v>896</v>
      </c>
      <c r="CX86" s="124" t="s">
        <v>897</v>
      </c>
      <c r="CY86" t="s">
        <v>125</v>
      </c>
      <c r="CZ86" t="s">
        <v>898</v>
      </c>
      <c r="DA86" t="str" cm="1">
        <f t="array" ref="DA86:EJ86">IF(U86&lt;&gt;"", TRANSPOSE(_xlfn._xlws.FILTER(CZ:CZ, CY:CY=U86, "")), "")</f>
        <v>Ex Gwl | Gwl (2N) + Mor - Son - Dat - Orc (1N) - Hjr (1N) - Gwl</v>
      </c>
      <c r="DB86" t="str">
        <v>Ex Idr | Idr - Ujj (1N) - Omk - Mah (1N) - Man (1N) - Idr (1N)</v>
      </c>
      <c r="DC86" t="str">
        <v>Ex Idr | Idr - Ujj (1N) - Omk (1N) - Mah (1N) - Man (1N) - Idr</v>
      </c>
      <c r="DD86" t="str">
        <v>Ex Jlr | Jlr - Kan (2N) - Amk (1N) - Jlr (1N)</v>
      </c>
      <c r="DE86" t="str">
        <v>Ex Jlr | Jlr - Ban (2N) - Amk (1N) - Jlr (1N)</v>
      </c>
      <c r="DF86" t="str">
        <v>Ex Jlr | Jlr (1N) - Hjr (1N) - Ban (2N) - Jlr</v>
      </c>
      <c r="DG86" t="str">
        <v>Ex Jlr | Jlr (1N) - Kan (1N) - Ban (2N) - Jlr</v>
      </c>
      <c r="DH86" t="str">
        <v>Ex Bho | Bho (1N) + San + Bhoj + Bhim - Tawa - Mad (1N) - Pch (2N) - Bho</v>
      </c>
      <c r="DI86" t="str">
        <v>Ex Idr | Idr - Ujj (1N) - Omk - Mah (1N) - Man (1N) - Idr (1N)</v>
      </c>
      <c r="DJ86" t="str">
        <v>Ex Bho | Bho (1N) - Bhoj - Bhim - Pch (3N) - Bho</v>
      </c>
      <c r="DK86" t="str">
        <v>Gwl (1N) - Dat (Pitambara Peeth) - Orc (1N) - Ckt (2N) - Ixd</v>
      </c>
      <c r="DL86" t="str">
        <v>Ex Jlr | Jlr - Ban (2N) - Kan (2N) - Jlr</v>
      </c>
      <c r="DM86" t="str">
        <v>Jlr - Ban (1N) - Kan (1N) - Pen (2N) - Nag</v>
      </c>
      <c r="DN86" t="str">
        <v>Ex Bho | Bho (1N) - Bhoj - Bhim - Pch (3N) - Bho</v>
      </c>
      <c r="DO86" t="str">
        <v>Ex Bho | Bho (2N) + Sanchi + Bhoj + Bhim - Tawa - Mad (1N) - Bho (1N)</v>
      </c>
      <c r="DP86" t="str">
        <v>Ex Bho | Bho - Bhoj - Bhim - Tawa (1N) - Mad (1N) - Pch (2N) - Bho</v>
      </c>
      <c r="DQ86" t="str">
        <v>Bho - Bhoj - Bhim - Pch (2N) - Kan (1N) - Jlr (1N)</v>
      </c>
      <c r="DR86" t="str">
        <v>Bho - Bhoj - Bhim - Pch (2N) - Kan (1N) - Amk (1N) - Jlr</v>
      </c>
      <c r="DS86" t="str">
        <v xml:space="preserve">Bho (1N) + Bhim + Bhoj + San - Ujj (1N) - Omk - Mah (1N) - Idr (1N) </v>
      </c>
      <c r="DT86" t="str">
        <v>Ex Gwl | Gwl - Hjr (1N) - Orc (1N) - Dat - Son - Gwl (2N)</v>
      </c>
      <c r="DU86" t="str">
        <v>Ex Gwl | Gwl - Orc (1N) - Hjr (1N) - Chn (1N) - Shiv (1N) - Gwl</v>
      </c>
      <c r="DV86" t="str">
        <v>Gwl - Hjr (1N) - Panna (1N) - Chit (1N) - Mahi (1N) - Sat</v>
      </c>
      <c r="DW86" t="str">
        <v>Jlr - (2 N) Kan - (2 N) Pch - Bhim - Bhoj - Bhp</v>
      </c>
      <c r="DX86" t="str">
        <v>Jlr - (2 N) Kan - (2 N) Pen - Rpr</v>
      </c>
      <c r="DY86" t="str">
        <v>Gwl (2N) (Ex Mor) - Dat -Orc (1N) - Hjr (1N) - Jhn</v>
      </c>
      <c r="DZ86" t="str">
        <v>Ex Gwl | Gwl (1N) - Son - Dat - Orc (1N) - Hjr (2N) (Ex Panna) - Gwl</v>
      </c>
      <c r="EA86" t="str">
        <v>Hjr (1N) - Orc (1N) - Dat - son - Gwl (2N)(Ex Mor)</v>
      </c>
      <c r="EB86" t="str">
        <v>(2 N) Gwl - (1 N) Orch - (1 N) Hjr</v>
      </c>
      <c r="EC86" t="str">
        <v>Ex Bhp | Bhp - Bhoj - Bhim - Pch (2N) - Mad (1N) - Tawa (1N) - Bhp</v>
      </c>
      <c r="ED86" t="str">
        <v>Ex Bhp | Bhp - Bhoj - Bhim - Pch (2N) - Mad (2N) - Bhp</v>
      </c>
      <c r="EE86" t="str">
        <v>Ex Idr | Idr - Ujj (1N) - Omk (1N) - Mah (2N) (Ex Man) - Idr (HDCT)</v>
      </c>
      <c r="EF86" t="str">
        <v>Arr Rpr - Amr (2N) - Par (2N) - IXD</v>
      </c>
      <c r="EG86" t="str">
        <v>1N Gwl - Orc - 2N Hjr - Jhn - 1N Gwl</v>
      </c>
      <c r="EH86" t="str">
        <v>1N Orc - 1N Hjr - 2N Gwl Ex Mor</v>
      </c>
      <c r="EI86" t="str">
        <v>1N Idr - Omk - 1N Mah - 1N Ujj - Seh - 1N Bho</v>
      </c>
      <c r="EJ86" t="str">
        <v>Ex Idr I 1N Idr - 1N Ujj - Omk - 2N Mah - Man - Idr</v>
      </c>
    </row>
    <row r="87" spans="2:145" ht="15" customHeight="1">
      <c r="B87" s="34">
        <v>83</v>
      </c>
      <c r="C87" s="36" t="s">
        <v>899</v>
      </c>
      <c r="D87" s="76">
        <v>46164</v>
      </c>
      <c r="E87" s="37" t="str">
        <f>IF(Table5[[#This Row],[Query Date]]&lt;&gt;"", TEXT(Table5[[#This Row],[Query Date]], "dddd"), "")</f>
        <v>Friday</v>
      </c>
      <c r="F87" s="37" t="str">
        <f>IF(Table5[[#This Row],[Query Date]]&lt;&gt;"", TEXT(Table5[[#This Row],[Query Date]], "mmmm"), "")</f>
        <v>May</v>
      </c>
      <c r="G87" s="28" t="s">
        <v>65</v>
      </c>
      <c r="H87" s="28" t="s">
        <v>120</v>
      </c>
      <c r="I87" s="28" t="s">
        <v>67</v>
      </c>
      <c r="J87" s="28" t="s">
        <v>68</v>
      </c>
      <c r="K87" s="28" t="s">
        <v>178</v>
      </c>
      <c r="L87" s="25" t="s">
        <v>70</v>
      </c>
      <c r="M87" s="112" t="s">
        <v>266</v>
      </c>
      <c r="N87" s="25" t="s">
        <v>900</v>
      </c>
      <c r="O87" s="130" t="s">
        <v>901</v>
      </c>
      <c r="P87" s="106" t="s">
        <v>902</v>
      </c>
      <c r="Q87" s="77">
        <v>46165</v>
      </c>
      <c r="R87" s="77" t="str">
        <f>IF(Table5[[#This Row],[Tour Starting Date]]&lt;&gt;"", TEXT(Table5[[#This Row],[Tour Starting Date]], "dddd"), "")</f>
        <v>Saturday</v>
      </c>
      <c r="S87" s="77">
        <v>46166</v>
      </c>
      <c r="T87" s="25" t="str">
        <f>IF(Table5[[#This Row],[Tour Ending Date]]&lt;&gt;"", TEXT(Table5[[#This Row],[Tour Ending Date]], "dddd"), "")</f>
        <v>Sunday</v>
      </c>
      <c r="U87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1 Night &amp; 2 Days</v>
      </c>
      <c r="V87" s="37" t="str">
        <f>IF(Table5[[#This Row],[Tour Starting Date]]&lt;&gt;"", TEXT(Table5[[#This Row],[Tour Starting Date]], "mmmm"), "")</f>
        <v>May</v>
      </c>
      <c r="W87" s="80" t="str" cm="1">
        <f t="array" ref="W87">IF(Q87&lt;&gt;"", INDEX(CI:CI, MATCH(1, (Q87&gt;=CG:CG)*(Q87&lt;=CH:CH), 0)), "")</f>
        <v>Regular Dates - Weekend</v>
      </c>
      <c r="X87" s="39">
        <v>4</v>
      </c>
      <c r="Y87" s="74">
        <v>26000</v>
      </c>
      <c r="Z87" s="74">
        <f>IF(OR(Table5[[#This Row],[Per Person Package Cost]]="", Table5[[#This Row],[No. of Pax]]=""), "", Table5[[#This Row],[Per Person Package Cost]] * Table5[[#This Row],[No. of Pax]])</f>
        <v>104000</v>
      </c>
      <c r="AA87" s="52" t="s">
        <v>75</v>
      </c>
      <c r="AB87" s="52" t="s">
        <v>75</v>
      </c>
      <c r="AC87" s="52" t="s">
        <v>76</v>
      </c>
      <c r="AD87" s="52" t="s">
        <v>335</v>
      </c>
      <c r="AE87" s="51" t="str">
        <f t="shared" si="5"/>
        <v>EXIDR01</v>
      </c>
      <c r="AF87" s="51" t="str">
        <f t="shared" si="6"/>
        <v>Mahakaal Darshan</v>
      </c>
      <c r="AG87" s="74" t="str">
        <f t="shared" si="7"/>
        <v>Quick Getaways</v>
      </c>
      <c r="AH87" s="73" t="str">
        <f t="shared" si="8"/>
        <v>West MP</v>
      </c>
      <c r="AI87" s="52" t="s">
        <v>77</v>
      </c>
      <c r="AJ87" s="56" t="s">
        <v>78</v>
      </c>
      <c r="AK87" s="59" t="s">
        <v>79</v>
      </c>
      <c r="AL87" s="60" t="s">
        <v>80</v>
      </c>
      <c r="AM87" s="54" t="s">
        <v>80</v>
      </c>
      <c r="AN87" s="14"/>
      <c r="AO87" s="15"/>
      <c r="AP87" s="91"/>
      <c r="AQ87" s="87"/>
      <c r="AR87" s="26"/>
      <c r="AS87" s="65"/>
      <c r="AT87" s="88" t="s">
        <v>81</v>
      </c>
      <c r="AU87" s="67"/>
      <c r="BX87" s="1">
        <v>83</v>
      </c>
      <c r="CG87" s="143">
        <v>46398</v>
      </c>
      <c r="CH87" s="143">
        <v>46401</v>
      </c>
      <c r="CI87" s="142" t="s">
        <v>88</v>
      </c>
      <c r="CJ87" s="141"/>
      <c r="CK87" s="141"/>
      <c r="CN87" t="s">
        <v>903</v>
      </c>
      <c r="CU87" t="s">
        <v>92</v>
      </c>
      <c r="CV87" t="s">
        <v>147</v>
      </c>
      <c r="CW87" t="s">
        <v>904</v>
      </c>
      <c r="CX87" s="124" t="s">
        <v>905</v>
      </c>
      <c r="CY87" t="s">
        <v>151</v>
      </c>
      <c r="CZ87" t="s">
        <v>906</v>
      </c>
      <c r="DA87" t="str" cm="1">
        <f t="array" ref="DA87:DH87">IF(U87&lt;&gt;"", TRANSPOSE(_xlfn._xlws.FILTER(CZ:CZ, CY:CY=U87, "")), "")</f>
        <v>Gwl (1N)</v>
      </c>
      <c r="DB87" t="str">
        <v>Ex Idr | Idr - Ujj (1N) - Idr</v>
      </c>
      <c r="DC87" t="str">
        <v>Ex Idr | Idr - Ujj (1N) - Omk - Idr</v>
      </c>
      <c r="DD87" t="str">
        <v>Ex Idr | Idr - Ujj (1N) - Omk - Mah - Idr</v>
      </c>
      <c r="DE87" t="str">
        <v>Ex Idr | Ujj (1N) - Idr + HDCT</v>
      </c>
      <c r="DF87" t="str">
        <v>Ex Idr | Idr (1N)</v>
      </c>
      <c r="DG87" t="str">
        <v>Khandwa - Omk (1N) - Idr HDCT</v>
      </c>
      <c r="DH87" t="str">
        <v>Ex Ujj | Ujj (1N)</v>
      </c>
    </row>
    <row r="88" spans="2:145" ht="15" customHeight="1">
      <c r="B88" s="35">
        <v>84</v>
      </c>
      <c r="C88" s="36" t="s">
        <v>907</v>
      </c>
      <c r="D88" s="76">
        <v>46165</v>
      </c>
      <c r="E88" s="37" t="str">
        <f>IF(Table5[[#This Row],[Query Date]]&lt;&gt;"", TEXT(Table5[[#This Row],[Query Date]], "dddd"), "")</f>
        <v>Saturday</v>
      </c>
      <c r="F88" s="37" t="str">
        <f>IF(Table5[[#This Row],[Query Date]]&lt;&gt;"", TEXT(Table5[[#This Row],[Query Date]], "mmmm"), "")</f>
        <v>May</v>
      </c>
      <c r="G88" s="28" t="s">
        <v>65</v>
      </c>
      <c r="H88" s="28" t="s">
        <v>120</v>
      </c>
      <c r="I88" s="28" t="s">
        <v>67</v>
      </c>
      <c r="J88" s="28" t="s">
        <v>68</v>
      </c>
      <c r="K88" s="28" t="s">
        <v>488</v>
      </c>
      <c r="L88" s="25" t="s">
        <v>70</v>
      </c>
      <c r="M88" s="112" t="s">
        <v>266</v>
      </c>
      <c r="N88" s="25" t="s">
        <v>908</v>
      </c>
      <c r="O88" s="130" t="s">
        <v>909</v>
      </c>
      <c r="P88" s="46" t="s">
        <v>910</v>
      </c>
      <c r="Q88" s="77">
        <v>46178</v>
      </c>
      <c r="R88" s="77" t="str">
        <f>IF(Table5[[#This Row],[Tour Starting Date]]&lt;&gt;"", TEXT(Table5[[#This Row],[Tour Starting Date]], "dddd"), "")</f>
        <v>Friday</v>
      </c>
      <c r="S88" s="77">
        <v>46180</v>
      </c>
      <c r="T88" s="25" t="str">
        <f>IF(Table5[[#This Row],[Tour Ending Date]]&lt;&gt;"", TEXT(Table5[[#This Row],[Tour Ending Date]], "dddd"), "")</f>
        <v>Sunday</v>
      </c>
      <c r="U88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88" s="37" t="str">
        <f>IF(Table5[[#This Row],[Tour Starting Date]]&lt;&gt;"", TEXT(Table5[[#This Row],[Tour Starting Date]], "mmmm"), "")</f>
        <v>June</v>
      </c>
      <c r="W88" s="80" t="str" cm="1">
        <f t="array" ref="W88">IF(Q88&lt;&gt;"", INDEX(CI:CI, MATCH(1, (Q88&gt;=CG:CG)*(Q88&lt;=CH:CH), 0)), "")</f>
        <v>Regular Dates - Weekend</v>
      </c>
      <c r="X88" s="39">
        <v>3</v>
      </c>
      <c r="Y88" s="74">
        <v>10500</v>
      </c>
      <c r="Z88" s="74">
        <f>IF(OR(Table5[[#This Row],[Per Person Package Cost]]="", Table5[[#This Row],[No. of Pax]]=""), "", Table5[[#This Row],[Per Person Package Cost]] * Table5[[#This Row],[No. of Pax]])</f>
        <v>31500</v>
      </c>
      <c r="AA88" s="52" t="s">
        <v>75</v>
      </c>
      <c r="AB88" s="52" t="s">
        <v>75</v>
      </c>
      <c r="AC88" s="52" t="s">
        <v>134</v>
      </c>
      <c r="AD88" s="52" t="s">
        <v>880</v>
      </c>
      <c r="AE88" s="51" t="str">
        <f t="shared" si="5"/>
        <v>EXUJJ06</v>
      </c>
      <c r="AF88" s="51" t="str">
        <f t="shared" si="6"/>
        <v>Journey to the Jyotirlinga Land</v>
      </c>
      <c r="AG88" s="74" t="str">
        <f t="shared" si="7"/>
        <v>Quick Getaways</v>
      </c>
      <c r="AH88" s="73" t="str">
        <f t="shared" si="8"/>
        <v>West MP</v>
      </c>
      <c r="AI88" s="52" t="s">
        <v>77</v>
      </c>
      <c r="AJ88" s="56" t="s">
        <v>78</v>
      </c>
      <c r="AK88" s="59" t="s">
        <v>79</v>
      </c>
      <c r="AL88" s="60" t="s">
        <v>80</v>
      </c>
      <c r="AM88" s="54" t="s">
        <v>80</v>
      </c>
      <c r="AN88" s="14">
        <v>46168</v>
      </c>
      <c r="AO88" s="15">
        <v>46172</v>
      </c>
      <c r="AP88" s="91"/>
      <c r="AQ88" s="87"/>
      <c r="AR88" s="26"/>
      <c r="AS88" s="65"/>
      <c r="AT88" s="88" t="s">
        <v>81</v>
      </c>
      <c r="AU88" s="67"/>
      <c r="BX88" s="1">
        <v>84</v>
      </c>
      <c r="CG88" s="143">
        <v>46402</v>
      </c>
      <c r="CH88" s="143">
        <v>46404</v>
      </c>
      <c r="CI88" s="142" t="s">
        <v>911</v>
      </c>
      <c r="CJ88" s="141"/>
      <c r="CK88" s="141"/>
      <c r="CN88" t="s">
        <v>912</v>
      </c>
      <c r="CU88" t="s">
        <v>92</v>
      </c>
      <c r="CV88" t="s">
        <v>147</v>
      </c>
      <c r="CW88" t="s">
        <v>913</v>
      </c>
      <c r="CX88" s="124" t="s">
        <v>914</v>
      </c>
      <c r="CY88" t="s">
        <v>151</v>
      </c>
      <c r="CZ88" t="s">
        <v>915</v>
      </c>
      <c r="DA88" t="str" cm="1">
        <f t="array" ref="DA88:DY88">IF(U88&lt;&gt;"", TRANSPOSE(_xlfn._xlws.FILTER(CZ:CZ, CY:CY=U88, "")), "")</f>
        <v>Gwl (2N) + Mor</v>
      </c>
      <c r="DB88" t="str">
        <v>Ex Idr | Idr - Ujj (1N) - Omk - Mah (1N) - Man - Idr</v>
      </c>
      <c r="DC88" t="str">
        <v>Ujj (1N) - Omk - Idr (1N)</v>
      </c>
      <c r="DD88" t="str">
        <v>Ex Jlr | Jlr - Kan (2N) - Jlr</v>
      </c>
      <c r="DE88" t="str">
        <v>Ex Jlr | Jlr - Ban (2N) - Jlr</v>
      </c>
      <c r="DF88" t="str">
        <v>Ex Bho | Bho (2N) + Bhim + Bhoj + San</v>
      </c>
      <c r="DG88" t="str">
        <v>Ex Idr | Idr - Man (2N) - Idr</v>
      </c>
      <c r="DH88" t="str">
        <v>Ex Jlr | Jlr - Kan (2N) - Jlr</v>
      </c>
      <c r="DI88" t="str">
        <v>Ex Bho | Bho (2N) + Bhim + Bhoj + San + HDCT Bho</v>
      </c>
      <c r="DJ88" t="str">
        <v>Ex Bho | Bho - Bhim - Tawa (1N) - Mad (1N) - Bho</v>
      </c>
      <c r="DK88" t="str">
        <v>Ujj (1N) - Omk - Mah (1N) - Idr</v>
      </c>
      <c r="DL88" t="str">
        <v>Ujj (1N) -  Idr (1N)</v>
      </c>
      <c r="DM88" t="str">
        <v>Ex Idr | Idr (2N) + Ujj + Omk + Mah</v>
      </c>
      <c r="DN88" t="str">
        <v>Idr - Mah - Omk (1N) - Ujj (1N)</v>
      </c>
      <c r="DO88" t="str">
        <v>Idr - Ujj (1N) - Mah - Omk (1N) - Khandwa</v>
      </c>
      <c r="DP88" t="str">
        <v>Ex Idr | Idr (EX Ujj) (1N) - Mah - Omk (1N) - Idr HDCT</v>
      </c>
      <c r="DQ88" t="str">
        <v>Ujj (1N) - Sehor - Bho (1N) HDCT</v>
      </c>
      <c r="DR88" t="str">
        <v>Ex Jlr | Jlr (1N) - Ban (1N)</v>
      </c>
      <c r="DS88" t="str">
        <v>Ex Jlr | Ban (1N)</v>
      </c>
      <c r="DT88" t="str">
        <v>Ex Jlr | Jlr (2 N) Kan</v>
      </c>
      <c r="DU88" t="str">
        <v>Ex Jlr | Jlr - Amr (1 N) - (1 N) Ban</v>
      </c>
      <c r="DV88" t="str">
        <v>Ex Rpr | Rpr - (2N) Kan</v>
      </c>
      <c r="DW88" t="str">
        <v>Hjr (1N) - Mahi (1N) - Sat</v>
      </c>
      <c r="DX88" t="str">
        <v>Ex Bhp | Bhp - Bhim - Pch (2N) - Bhp</v>
      </c>
      <c r="DY88" t="str">
        <v xml:space="preserve">Ex Ujj I 2N Ujj </v>
      </c>
    </row>
    <row r="89" spans="2:145" ht="15" customHeight="1">
      <c r="B89" s="34">
        <v>85</v>
      </c>
      <c r="C89" s="36" t="s">
        <v>916</v>
      </c>
      <c r="D89" s="76">
        <v>46167</v>
      </c>
      <c r="E89" s="37" t="str">
        <f>IF(Table5[[#This Row],[Query Date]]&lt;&gt;"", TEXT(Table5[[#This Row],[Query Date]], "dddd"), "")</f>
        <v>Monday</v>
      </c>
      <c r="F89" s="37" t="str">
        <f>IF(Table5[[#This Row],[Query Date]]&lt;&gt;"", TEXT(Table5[[#This Row],[Query Date]], "mmmm"), "")</f>
        <v>May</v>
      </c>
      <c r="G89" s="28" t="s">
        <v>65</v>
      </c>
      <c r="H89" s="28" t="s">
        <v>120</v>
      </c>
      <c r="I89" s="28" t="s">
        <v>67</v>
      </c>
      <c r="J89" s="28" t="s">
        <v>68</v>
      </c>
      <c r="K89" s="28" t="s">
        <v>178</v>
      </c>
      <c r="L89" s="25" t="s">
        <v>70</v>
      </c>
      <c r="M89" s="112" t="s">
        <v>179</v>
      </c>
      <c r="N89" s="25" t="s">
        <v>180</v>
      </c>
      <c r="O89" s="130" t="s">
        <v>181</v>
      </c>
      <c r="P89" s="46" t="s">
        <v>182</v>
      </c>
      <c r="Q89" s="77">
        <v>46179</v>
      </c>
      <c r="R89" s="77" t="str">
        <f>IF(Table5[[#This Row],[Tour Starting Date]]&lt;&gt;"", TEXT(Table5[[#This Row],[Tour Starting Date]], "dddd"), "")</f>
        <v>Saturday</v>
      </c>
      <c r="S89" s="77">
        <v>46181</v>
      </c>
      <c r="T89" s="25" t="str">
        <f>IF(Table5[[#This Row],[Tour Ending Date]]&lt;&gt;"", TEXT(Table5[[#This Row],[Tour Ending Date]], "dddd"), "")</f>
        <v>Monday</v>
      </c>
      <c r="U89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89" s="37" t="str">
        <f>IF(Table5[[#This Row],[Tour Starting Date]]&lt;&gt;"", TEXT(Table5[[#This Row],[Tour Starting Date]], "mmmm"), "")</f>
        <v>June</v>
      </c>
      <c r="W89" s="80" t="str" cm="1">
        <f t="array" ref="W89">IF(Q89&lt;&gt;"", INDEX(CI:CI, MATCH(1, (Q89&gt;=CG:CG)*(Q89&lt;=CH:CH), 0)), "")</f>
        <v>Regular Dates - Weekend</v>
      </c>
      <c r="X89" s="39">
        <v>3</v>
      </c>
      <c r="Y89" s="74">
        <v>10800</v>
      </c>
      <c r="Z89" s="74">
        <f>IF(OR(Table5[[#This Row],[Per Person Package Cost]]="", Table5[[#This Row],[No. of Pax]]=""), "", Table5[[#This Row],[Per Person Package Cost]] * Table5[[#This Row],[No. of Pax]])</f>
        <v>32400</v>
      </c>
      <c r="AA89" s="52" t="s">
        <v>75</v>
      </c>
      <c r="AB89" s="52" t="s">
        <v>75</v>
      </c>
      <c r="AC89" s="52" t="s">
        <v>134</v>
      </c>
      <c r="AD89" s="52" t="s">
        <v>461</v>
      </c>
      <c r="AE89" s="51" t="str">
        <f t="shared" si="5"/>
        <v>EXIDR13</v>
      </c>
      <c r="AF89" s="51" t="str">
        <f t="shared" si="6"/>
        <v>A Spiritual Odyssey of Madhya Pradesh</v>
      </c>
      <c r="AG89" s="74" t="str">
        <f t="shared" si="7"/>
        <v>Quick Getaways</v>
      </c>
      <c r="AH89" s="73" t="str">
        <f t="shared" si="8"/>
        <v>West MP</v>
      </c>
      <c r="AI89" s="52" t="s">
        <v>159</v>
      </c>
      <c r="AJ89" s="56" t="s">
        <v>78</v>
      </c>
      <c r="AK89" s="59" t="s">
        <v>79</v>
      </c>
      <c r="AL89" s="60" t="s">
        <v>80</v>
      </c>
      <c r="AM89" s="54" t="s">
        <v>80</v>
      </c>
      <c r="AN89" s="14">
        <v>46171</v>
      </c>
      <c r="AO89" s="15"/>
      <c r="AP89" s="91"/>
      <c r="AQ89" s="87"/>
      <c r="AR89" s="26"/>
      <c r="AS89" s="65"/>
      <c r="AT89" s="88" t="s">
        <v>81</v>
      </c>
      <c r="AU89" s="67"/>
      <c r="BX89" s="1">
        <v>85</v>
      </c>
      <c r="CG89" s="143">
        <v>46405</v>
      </c>
      <c r="CH89" s="143">
        <v>46408</v>
      </c>
      <c r="CI89" s="142" t="s">
        <v>88</v>
      </c>
      <c r="CJ89" s="141"/>
      <c r="CK89" s="141"/>
      <c r="CN89" t="s">
        <v>917</v>
      </c>
      <c r="CU89" t="s">
        <v>92</v>
      </c>
      <c r="CV89" t="s">
        <v>147</v>
      </c>
      <c r="CW89" t="s">
        <v>918</v>
      </c>
      <c r="CX89" s="124" t="s">
        <v>919</v>
      </c>
      <c r="CY89" t="s">
        <v>151</v>
      </c>
      <c r="CZ89" t="s">
        <v>920</v>
      </c>
      <c r="DA89" t="str" cm="1">
        <f t="array" ref="DA89:DY89">IF(U89&lt;&gt;"", TRANSPOSE(_xlfn._xlws.FILTER(CZ:CZ, CY:CY=U89, "")), "")</f>
        <v>Gwl (2N) + Mor</v>
      </c>
      <c r="DB89" t="str">
        <v>Ex Idr | Idr - Ujj (1N) - Omk - Mah (1N) - Man - Idr</v>
      </c>
      <c r="DC89" t="str">
        <v>Ujj (1N) - Omk - Idr (1N)</v>
      </c>
      <c r="DD89" t="str">
        <v>Ex Jlr | Jlr - Kan (2N) - Jlr</v>
      </c>
      <c r="DE89" t="str">
        <v>Ex Jlr | Jlr - Ban (2N) - Jlr</v>
      </c>
      <c r="DF89" t="str">
        <v>Ex Bho | Bho (2N) + Bhim + Bhoj + San</v>
      </c>
      <c r="DG89" t="str">
        <v>Ex Idr | Idr - Man (2N) - Idr</v>
      </c>
      <c r="DH89" t="str">
        <v>Ex Jlr | Jlr - Kan (2N) - Jlr</v>
      </c>
      <c r="DI89" t="str">
        <v>Ex Bho | Bho (2N) + Bhim + Bhoj + San + HDCT Bho</v>
      </c>
      <c r="DJ89" t="str">
        <v>Ex Bho | Bho - Bhim - Tawa (1N) - Mad (1N) - Bho</v>
      </c>
      <c r="DK89" t="str">
        <v>Ujj (1N) - Omk - Mah (1N) - Idr</v>
      </c>
      <c r="DL89" t="str">
        <v>Ujj (1N) -  Idr (1N)</v>
      </c>
      <c r="DM89" t="str">
        <v>Ex Idr | Idr (2N) + Ujj + Omk + Mah</v>
      </c>
      <c r="DN89" t="str">
        <v>Idr - Mah - Omk (1N) - Ujj (1N)</v>
      </c>
      <c r="DO89" t="str">
        <v>Idr - Ujj (1N) - Mah - Omk (1N) - Khandwa</v>
      </c>
      <c r="DP89" t="str">
        <v>Ex Idr | Idr (EX Ujj) (1N) - Mah - Omk (1N) - Idr HDCT</v>
      </c>
      <c r="DQ89" t="str">
        <v>Ujj (1N) - Sehor - Bho (1N) HDCT</v>
      </c>
      <c r="DR89" t="str">
        <v>Ex Jlr | Jlr (1N) - Ban (1N)</v>
      </c>
      <c r="DS89" t="str">
        <v>Ex Jlr | Ban (1N)</v>
      </c>
      <c r="DT89" t="str">
        <v>Ex Jlr | Jlr (2 N) Kan</v>
      </c>
      <c r="DU89" t="str">
        <v>Ex Jlr | Jlr - Amr (1 N) - (1 N) Ban</v>
      </c>
      <c r="DV89" t="str">
        <v>Ex Rpr | Rpr - (2N) Kan</v>
      </c>
      <c r="DW89" t="str">
        <v>Hjr (1N) - Mahi (1N) - Sat</v>
      </c>
      <c r="DX89" t="str">
        <v>Ex Bhp | Bhp - Bhim - Pch (2N) - Bhp</v>
      </c>
      <c r="DY89" t="str">
        <v xml:space="preserve">Ex Ujj I 2N Ujj </v>
      </c>
    </row>
    <row r="90" spans="2:145" ht="15" customHeight="1">
      <c r="B90" s="35">
        <v>86</v>
      </c>
      <c r="C90" s="36" t="s">
        <v>921</v>
      </c>
      <c r="D90" s="76">
        <v>46167</v>
      </c>
      <c r="E90" s="37" t="str">
        <f>IF(Table5[[#This Row],[Query Date]]&lt;&gt;"", TEXT(Table5[[#This Row],[Query Date]], "dddd"), "")</f>
        <v>Monday</v>
      </c>
      <c r="F90" s="37" t="str">
        <f>IF(Table5[[#This Row],[Query Date]]&lt;&gt;"", TEXT(Table5[[#This Row],[Query Date]], "mmmm"), "")</f>
        <v>May</v>
      </c>
      <c r="G90" s="28" t="s">
        <v>65</v>
      </c>
      <c r="H90" s="28" t="s">
        <v>66</v>
      </c>
      <c r="I90" s="28" t="s">
        <v>67</v>
      </c>
      <c r="J90" s="28" t="s">
        <v>68</v>
      </c>
      <c r="K90" s="28" t="s">
        <v>128</v>
      </c>
      <c r="L90" s="25" t="s">
        <v>70</v>
      </c>
      <c r="M90" s="112" t="s">
        <v>295</v>
      </c>
      <c r="N90" s="25" t="s">
        <v>922</v>
      </c>
      <c r="O90" s="130" t="s">
        <v>923</v>
      </c>
      <c r="P90" s="46" t="s">
        <v>924</v>
      </c>
      <c r="Q90" s="77">
        <v>46172</v>
      </c>
      <c r="R90" s="77" t="str">
        <f>IF(Table5[[#This Row],[Tour Starting Date]]&lt;&gt;"", TEXT(Table5[[#This Row],[Tour Starting Date]], "dddd"), "")</f>
        <v>Saturday</v>
      </c>
      <c r="S90" s="77">
        <v>46174</v>
      </c>
      <c r="T90" s="25" t="str">
        <f>IF(Table5[[#This Row],[Tour Ending Date]]&lt;&gt;"", TEXT(Table5[[#This Row],[Tour Ending Date]], "dddd"), "")</f>
        <v>Monday</v>
      </c>
      <c r="U90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90" s="37" t="str">
        <f>IF(Table5[[#This Row],[Tour Starting Date]]&lt;&gt;"", TEXT(Table5[[#This Row],[Tour Starting Date]], "mmmm"), "")</f>
        <v>May</v>
      </c>
      <c r="W90" s="80" t="str" cm="1">
        <f t="array" ref="W90">IF(Q90&lt;&gt;"", INDEX(CI:CI, MATCH(1, (Q90&gt;=CG:CG)*(Q90&lt;=CH:CH), 0)), "")</f>
        <v>Regular Dates - Weekend</v>
      </c>
      <c r="X90" s="39">
        <v>3</v>
      </c>
      <c r="Y90" s="74">
        <v>10400</v>
      </c>
      <c r="Z90" s="74">
        <f>IF(OR(Table5[[#This Row],[Per Person Package Cost]]="", Table5[[#This Row],[No. of Pax]]=""), "", Table5[[#This Row],[Per Person Package Cost]] * Table5[[#This Row],[No. of Pax]])</f>
        <v>31200</v>
      </c>
      <c r="AA90" s="52" t="s">
        <v>75</v>
      </c>
      <c r="AB90" s="52" t="s">
        <v>75</v>
      </c>
      <c r="AC90" s="52" t="s">
        <v>76</v>
      </c>
      <c r="AD90" s="52" t="s">
        <v>461</v>
      </c>
      <c r="AE90" s="51" t="str">
        <f t="shared" si="5"/>
        <v>EXIDR13</v>
      </c>
      <c r="AF90" s="51" t="str">
        <f t="shared" si="6"/>
        <v>A Spiritual Odyssey of Madhya Pradesh</v>
      </c>
      <c r="AG90" s="74" t="str">
        <f t="shared" si="7"/>
        <v>Quick Getaways</v>
      </c>
      <c r="AH90" s="73" t="str">
        <f t="shared" si="8"/>
        <v>West MP</v>
      </c>
      <c r="AI90" s="52" t="s">
        <v>159</v>
      </c>
      <c r="AJ90" s="56" t="s">
        <v>78</v>
      </c>
      <c r="AK90" s="59" t="s">
        <v>79</v>
      </c>
      <c r="AL90" s="60" t="s">
        <v>80</v>
      </c>
      <c r="AM90" s="54" t="s">
        <v>80</v>
      </c>
      <c r="AN90" s="14">
        <v>46171</v>
      </c>
      <c r="AO90" s="15"/>
      <c r="AP90" s="91"/>
      <c r="AQ90" s="87"/>
      <c r="AR90" s="26"/>
      <c r="AS90" s="65"/>
      <c r="AT90" s="88" t="s">
        <v>81</v>
      </c>
      <c r="AU90" s="67"/>
      <c r="BX90" s="1">
        <v>86</v>
      </c>
      <c r="CG90" s="143">
        <v>46409</v>
      </c>
      <c r="CH90" s="143">
        <v>46411</v>
      </c>
      <c r="CI90" s="142" t="s">
        <v>116</v>
      </c>
      <c r="CJ90" s="141"/>
      <c r="CK90" s="141"/>
      <c r="CN90" t="s">
        <v>925</v>
      </c>
      <c r="CU90" t="s">
        <v>92</v>
      </c>
      <c r="CV90" t="s">
        <v>147</v>
      </c>
      <c r="CW90" t="s">
        <v>926</v>
      </c>
      <c r="CX90" s="124" t="s">
        <v>927</v>
      </c>
      <c r="CY90" t="s">
        <v>197</v>
      </c>
      <c r="CZ90" t="s">
        <v>928</v>
      </c>
      <c r="DA90" t="str" cm="1">
        <f t="array" ref="DA90:DY90">IF(U90&lt;&gt;"", TRANSPOSE(_xlfn._xlws.FILTER(CZ:CZ, CY:CY=U90, "")), "")</f>
        <v>Gwl (2N) + Mor</v>
      </c>
      <c r="DB90" t="str">
        <v>Ex Idr | Idr - Ujj (1N) - Omk - Mah (1N) - Man - Idr</v>
      </c>
      <c r="DC90" t="str">
        <v>Ujj (1N) - Omk - Idr (1N)</v>
      </c>
      <c r="DD90" t="str">
        <v>Ex Jlr | Jlr - Kan (2N) - Jlr</v>
      </c>
      <c r="DE90" t="str">
        <v>Ex Jlr | Jlr - Ban (2N) - Jlr</v>
      </c>
      <c r="DF90" t="str">
        <v>Ex Bho | Bho (2N) + Bhim + Bhoj + San</v>
      </c>
      <c r="DG90" t="str">
        <v>Ex Idr | Idr - Man (2N) - Idr</v>
      </c>
      <c r="DH90" t="str">
        <v>Ex Jlr | Jlr - Kan (2N) - Jlr</v>
      </c>
      <c r="DI90" t="str">
        <v>Ex Bho | Bho (2N) + Bhim + Bhoj + San + HDCT Bho</v>
      </c>
      <c r="DJ90" t="str">
        <v>Ex Bho | Bho - Bhim - Tawa (1N) - Mad (1N) - Bho</v>
      </c>
      <c r="DK90" t="str">
        <v>Ujj (1N) - Omk - Mah (1N) - Idr</v>
      </c>
      <c r="DL90" t="str">
        <v>Ujj (1N) -  Idr (1N)</v>
      </c>
      <c r="DM90" t="str">
        <v>Ex Idr | Idr (2N) + Ujj + Omk + Mah</v>
      </c>
      <c r="DN90" t="str">
        <v>Idr - Mah - Omk (1N) - Ujj (1N)</v>
      </c>
      <c r="DO90" t="str">
        <v>Idr - Ujj (1N) - Mah - Omk (1N) - Khandwa</v>
      </c>
      <c r="DP90" t="str">
        <v>Ex Idr | Idr (EX Ujj) (1N) - Mah - Omk (1N) - Idr HDCT</v>
      </c>
      <c r="DQ90" t="str">
        <v>Ujj (1N) - Sehor - Bho (1N) HDCT</v>
      </c>
      <c r="DR90" t="str">
        <v>Ex Jlr | Jlr (1N) - Ban (1N)</v>
      </c>
      <c r="DS90" t="str">
        <v>Ex Jlr | Ban (1N)</v>
      </c>
      <c r="DT90" t="str">
        <v>Ex Jlr | Jlr (2 N) Kan</v>
      </c>
      <c r="DU90" t="str">
        <v>Ex Jlr | Jlr - Amr (1 N) - (1 N) Ban</v>
      </c>
      <c r="DV90" t="str">
        <v>Ex Rpr | Rpr - (2N) Kan</v>
      </c>
      <c r="DW90" t="str">
        <v>Hjr (1N) - Mahi (1N) - Sat</v>
      </c>
      <c r="DX90" t="str">
        <v>Ex Bhp | Bhp - Bhim - Pch (2N) - Bhp</v>
      </c>
      <c r="DY90" t="str">
        <v xml:space="preserve">Ex Ujj I 2N Ujj </v>
      </c>
    </row>
    <row r="91" spans="2:145" ht="15" customHeight="1">
      <c r="B91" s="34">
        <v>87</v>
      </c>
      <c r="C91" s="36" t="s">
        <v>929</v>
      </c>
      <c r="D91" s="76">
        <v>46163</v>
      </c>
      <c r="E91" s="37" t="str">
        <f>IF(Table5[[#This Row],[Query Date]]&lt;&gt;"", TEXT(Table5[[#This Row],[Query Date]], "dddd"), "")</f>
        <v>Thursday</v>
      </c>
      <c r="F91" s="37" t="str">
        <f>IF(Table5[[#This Row],[Query Date]]&lt;&gt;"", TEXT(Table5[[#This Row],[Query Date]], "mmmm"), "")</f>
        <v>May</v>
      </c>
      <c r="G91" s="28" t="s">
        <v>65</v>
      </c>
      <c r="H91" s="28" t="s">
        <v>120</v>
      </c>
      <c r="I91" s="28" t="s">
        <v>67</v>
      </c>
      <c r="J91" s="28" t="s">
        <v>68</v>
      </c>
      <c r="K91" s="28" t="s">
        <v>226</v>
      </c>
      <c r="L91" s="25" t="s">
        <v>70</v>
      </c>
      <c r="M91" s="112" t="s">
        <v>930</v>
      </c>
      <c r="N91" s="25" t="s">
        <v>931</v>
      </c>
      <c r="O91" s="130"/>
      <c r="P91" s="31"/>
      <c r="Q91" s="77">
        <v>46208</v>
      </c>
      <c r="R91" s="77" t="str">
        <f>IF(Table5[[#This Row],[Tour Starting Date]]&lt;&gt;"", TEXT(Table5[[#This Row],[Tour Starting Date]], "dddd"), "")</f>
        <v>Sunday</v>
      </c>
      <c r="S91" s="77">
        <v>46212</v>
      </c>
      <c r="T91" s="25" t="str">
        <f>IF(Table5[[#This Row],[Tour Ending Date]]&lt;&gt;"", TEXT(Table5[[#This Row],[Tour Ending Date]], "dddd"), "")</f>
        <v>Thursday</v>
      </c>
      <c r="U91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4 Nights &amp; 5 Days</v>
      </c>
      <c r="V91" s="37" t="str">
        <f>IF(Table5[[#This Row],[Tour Starting Date]]&lt;&gt;"", TEXT(Table5[[#This Row],[Tour Starting Date]], "mmmm"), "")</f>
        <v>July</v>
      </c>
      <c r="W91" s="80" t="str" cm="1">
        <f t="array" ref="W91">IF(Q91&lt;&gt;"", INDEX(CI:CI, MATCH(1, (Q91&gt;=CG:CG)*(Q91&lt;=CH:CH), 0)), "")</f>
        <v>Regular Dates - Weekend</v>
      </c>
      <c r="X91" s="39">
        <v>4</v>
      </c>
      <c r="Y91" s="74">
        <v>19500</v>
      </c>
      <c r="Z91" s="74">
        <f>IF(OR(Table5[[#This Row],[Per Person Package Cost]]="", Table5[[#This Row],[No. of Pax]]=""), "", Table5[[#This Row],[Per Person Package Cost]] * Table5[[#This Row],[No. of Pax]])</f>
        <v>78000</v>
      </c>
      <c r="AA91" s="52" t="s">
        <v>128</v>
      </c>
      <c r="AB91" s="52" t="s">
        <v>590</v>
      </c>
      <c r="AC91" s="52" t="s">
        <v>76</v>
      </c>
      <c r="AD91" s="52"/>
      <c r="AE91" s="51" t="str">
        <f t="shared" si="5"/>
        <v/>
      </c>
      <c r="AF91" s="51" t="str">
        <f t="shared" si="6"/>
        <v/>
      </c>
      <c r="AG91" s="74" t="str">
        <f t="shared" si="7"/>
        <v/>
      </c>
      <c r="AH91" s="73" t="str">
        <f t="shared" si="8"/>
        <v/>
      </c>
      <c r="AI91" s="52" t="s">
        <v>107</v>
      </c>
      <c r="AJ91" s="56" t="s">
        <v>78</v>
      </c>
      <c r="AK91" s="59" t="s">
        <v>79</v>
      </c>
      <c r="AL91" s="60" t="s">
        <v>80</v>
      </c>
      <c r="AM91" s="54" t="s">
        <v>80</v>
      </c>
      <c r="AN91" s="14">
        <v>46171</v>
      </c>
      <c r="AO91" s="15"/>
      <c r="AP91" s="91"/>
      <c r="AQ91" s="87"/>
      <c r="AR91" s="26"/>
      <c r="AS91" s="65"/>
      <c r="AT91" s="88" t="s">
        <v>81</v>
      </c>
      <c r="AU91" s="67"/>
      <c r="BX91" s="1">
        <v>87</v>
      </c>
      <c r="CG91" s="143">
        <v>46412</v>
      </c>
      <c r="CH91" s="143">
        <v>46415</v>
      </c>
      <c r="CI91" s="142" t="s">
        <v>88</v>
      </c>
      <c r="CJ91" s="141"/>
      <c r="CK91" s="141"/>
      <c r="CN91" t="s">
        <v>932</v>
      </c>
      <c r="CU91" t="s">
        <v>92</v>
      </c>
      <c r="CV91" t="s">
        <v>147</v>
      </c>
      <c r="CW91" t="s">
        <v>933</v>
      </c>
      <c r="CX91" s="124" t="s">
        <v>934</v>
      </c>
      <c r="CY91" t="s">
        <v>197</v>
      </c>
      <c r="CZ91" t="s">
        <v>935</v>
      </c>
      <c r="DA91" t="str" cm="1">
        <f t="array" ref="DA91:EJ91">IF(U91&lt;&gt;"", TRANSPOSE(_xlfn._xlws.FILTER(CZ:CZ, CY:CY=U91, "")), "")</f>
        <v>Ex Gwl | Gwl (2N) + Mor - Son - Dat - Orc (1N) - Hjr (1N) - Gwl</v>
      </c>
      <c r="DB91" t="str">
        <v>Ex Idr | Idr - Ujj (1N) - Omk - Mah (1N) - Man (1N) - Idr (1N)</v>
      </c>
      <c r="DC91" t="str">
        <v>Ex Idr | Idr - Ujj (1N) - Omk (1N) - Mah (1N) - Man (1N) - Idr</v>
      </c>
      <c r="DD91" t="str">
        <v>Ex Jlr | Jlr - Kan (2N) - Amk (1N) - Jlr (1N)</v>
      </c>
      <c r="DE91" t="str">
        <v>Ex Jlr | Jlr - Ban (2N) - Amk (1N) - Jlr (1N)</v>
      </c>
      <c r="DF91" t="str">
        <v>Ex Jlr | Jlr (1N) - Hjr (1N) - Ban (2N) - Jlr</v>
      </c>
      <c r="DG91" t="str">
        <v>Ex Jlr | Jlr (1N) - Kan (1N) - Ban (2N) - Jlr</v>
      </c>
      <c r="DH91" t="str">
        <v>Ex Bho | Bho (1N) + San + Bhoj + Bhim - Tawa - Mad (1N) - Pch (2N) - Bho</v>
      </c>
      <c r="DI91" t="str">
        <v>Ex Idr | Idr - Ujj (1N) - Omk - Mah (1N) - Man (1N) - Idr (1N)</v>
      </c>
      <c r="DJ91" t="str">
        <v>Ex Bho | Bho (1N) - Bhoj - Bhim - Pch (3N) - Bho</v>
      </c>
      <c r="DK91" t="str">
        <v>Gwl (1N) - Dat (Pitambara Peeth) - Orc (1N) - Ckt (2N) - Ixd</v>
      </c>
      <c r="DL91" t="str">
        <v>Ex Jlr | Jlr - Ban (2N) - Kan (2N) - Jlr</v>
      </c>
      <c r="DM91" t="str">
        <v>Jlr - Ban (1N) - Kan (1N) - Pen (2N) - Nag</v>
      </c>
      <c r="DN91" t="str">
        <v>Ex Bho | Bho (1N) - Bhoj - Bhim - Pch (3N) - Bho</v>
      </c>
      <c r="DO91" t="str">
        <v>Ex Bho | Bho (2N) + Sanchi + Bhoj + Bhim - Tawa - Mad (1N) - Bho (1N)</v>
      </c>
      <c r="DP91" t="str">
        <v>Ex Bho | Bho - Bhoj - Bhim - Tawa (1N) - Mad (1N) - Pch (2N) - Bho</v>
      </c>
      <c r="DQ91" t="str">
        <v>Bho - Bhoj - Bhim - Pch (2N) - Kan (1N) - Jlr (1N)</v>
      </c>
      <c r="DR91" t="str">
        <v>Bho - Bhoj - Bhim - Pch (2N) - Kan (1N) - Amk (1N) - Jlr</v>
      </c>
      <c r="DS91" t="str">
        <v xml:space="preserve">Bho (1N) + Bhim + Bhoj + San - Ujj (1N) - Omk - Mah (1N) - Idr (1N) </v>
      </c>
      <c r="DT91" t="str">
        <v>Ex Gwl | Gwl - Hjr (1N) - Orc (1N) - Dat - Son - Gwl (2N)</v>
      </c>
      <c r="DU91" t="str">
        <v>Ex Gwl | Gwl - Orc (1N) - Hjr (1N) - Chn (1N) - Shiv (1N) - Gwl</v>
      </c>
      <c r="DV91" t="str">
        <v>Gwl - Hjr (1N) - Panna (1N) - Chit (1N) - Mahi (1N) - Sat</v>
      </c>
      <c r="DW91" t="str">
        <v>Jlr - (2 N) Kan - (2 N) Pch - Bhim - Bhoj - Bhp</v>
      </c>
      <c r="DX91" t="str">
        <v>Jlr - (2 N) Kan - (2 N) Pen - Rpr</v>
      </c>
      <c r="DY91" t="str">
        <v>Gwl (2N) (Ex Mor) - Dat -Orc (1N) - Hjr (1N) - Jhn</v>
      </c>
      <c r="DZ91" t="str">
        <v>Ex Gwl | Gwl (1N) - Son - Dat - Orc (1N) - Hjr (2N) (Ex Panna) - Gwl</v>
      </c>
      <c r="EA91" t="str">
        <v>Hjr (1N) - Orc (1N) - Dat - son - Gwl (2N)(Ex Mor)</v>
      </c>
      <c r="EB91" t="str">
        <v>(2 N) Gwl - (1 N) Orch - (1 N) Hjr</v>
      </c>
      <c r="EC91" t="str">
        <v>Ex Bhp | Bhp - Bhoj - Bhim - Pch (2N) - Mad (1N) - Tawa (1N) - Bhp</v>
      </c>
      <c r="ED91" t="str">
        <v>Ex Bhp | Bhp - Bhoj - Bhim - Pch (2N) - Mad (2N) - Bhp</v>
      </c>
      <c r="EE91" t="str">
        <v>Ex Idr | Idr - Ujj (1N) - Omk (1N) - Mah (2N) (Ex Man) - Idr (HDCT)</v>
      </c>
      <c r="EF91" t="str">
        <v>Arr Rpr - Amr (2N) - Par (2N) - IXD</v>
      </c>
      <c r="EG91" t="str">
        <v>1N Gwl - Orc - 2N Hjr - Jhn - 1N Gwl</v>
      </c>
      <c r="EH91" t="str">
        <v>1N Orc - 1N Hjr - 2N Gwl Ex Mor</v>
      </c>
      <c r="EI91" t="str">
        <v>1N Idr - Omk - 1N Mah - 1N Ujj - Seh - 1N Bho</v>
      </c>
      <c r="EJ91" t="str">
        <v>Ex Idr I 1N Idr - 1N Ujj - Omk - 2N Mah - Man - Idr</v>
      </c>
    </row>
    <row r="92" spans="2:145" ht="15" customHeight="1">
      <c r="B92" s="35">
        <v>88</v>
      </c>
      <c r="C92" s="36" t="s">
        <v>936</v>
      </c>
      <c r="D92" s="76">
        <v>46169</v>
      </c>
      <c r="E92" s="37" t="str">
        <f>IF(Table5[[#This Row],[Query Date]]&lt;&gt;"", TEXT(Table5[[#This Row],[Query Date]], "dddd"), "")</f>
        <v>Wednesday</v>
      </c>
      <c r="F92" s="37" t="str">
        <f>IF(Table5[[#This Row],[Query Date]]&lt;&gt;"", TEXT(Table5[[#This Row],[Query Date]], "mmmm"), "")</f>
        <v>May</v>
      </c>
      <c r="G92" s="28" t="s">
        <v>65</v>
      </c>
      <c r="H92" s="28" t="s">
        <v>99</v>
      </c>
      <c r="I92" s="28" t="s">
        <v>67</v>
      </c>
      <c r="J92" s="28" t="s">
        <v>68</v>
      </c>
      <c r="K92" s="28" t="s">
        <v>178</v>
      </c>
      <c r="L92" s="25" t="s">
        <v>70</v>
      </c>
      <c r="M92" s="112" t="s">
        <v>417</v>
      </c>
      <c r="N92" s="25" t="s">
        <v>886</v>
      </c>
      <c r="O92" s="130" t="s">
        <v>887</v>
      </c>
      <c r="P92" s="46" t="s">
        <v>888</v>
      </c>
      <c r="Q92" s="77">
        <v>46237</v>
      </c>
      <c r="R92" s="77" t="str">
        <f>IF(Table5[[#This Row],[Tour Starting Date]]&lt;&gt;"", TEXT(Table5[[#This Row],[Tour Starting Date]], "dddd"), "")</f>
        <v>Monday</v>
      </c>
      <c r="S92" s="77">
        <v>46240</v>
      </c>
      <c r="T92" s="25" t="str">
        <f>IF(Table5[[#This Row],[Tour Ending Date]]&lt;&gt;"", TEXT(Table5[[#This Row],[Tour Ending Date]], "dddd"), "")</f>
        <v>Thursday</v>
      </c>
      <c r="U92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92" s="37" t="str">
        <f>IF(Table5[[#This Row],[Tour Starting Date]]&lt;&gt;"", TEXT(Table5[[#This Row],[Tour Starting Date]], "mmmm"), "")</f>
        <v>August</v>
      </c>
      <c r="W92" s="80" t="str" cm="1">
        <f t="array" ref="W92">IF(Q92&lt;&gt;"", INDEX(CI:CI, MATCH(1, (Q92&gt;=CG:CG)*(Q92&lt;=CH:CH), 0)), "")</f>
        <v>Regular Dates - Weekday</v>
      </c>
      <c r="X92" s="39">
        <v>2</v>
      </c>
      <c r="Y92" s="74">
        <v>13800</v>
      </c>
      <c r="Z92" s="74">
        <f>IF(OR(Table5[[#This Row],[Per Person Package Cost]]="", Table5[[#This Row],[No. of Pax]]=""), "", Table5[[#This Row],[Per Person Package Cost]] * Table5[[#This Row],[No. of Pax]])</f>
        <v>27600</v>
      </c>
      <c r="AA92" s="52" t="s">
        <v>75</v>
      </c>
      <c r="AB92" s="52" t="s">
        <v>75</v>
      </c>
      <c r="AC92" s="52" t="s">
        <v>76</v>
      </c>
      <c r="AD92" s="52" t="s">
        <v>421</v>
      </c>
      <c r="AE92" s="51" t="str">
        <f t="shared" si="5"/>
        <v>EMPSPR08</v>
      </c>
      <c r="AF92" s="51" t="str">
        <f t="shared" si="6"/>
        <v>Sacred Journey of Central India</v>
      </c>
      <c r="AG92" s="74" t="str">
        <f t="shared" si="7"/>
        <v>Special Interest - Spiritual Tours</v>
      </c>
      <c r="AH92" s="73" t="str">
        <f t="shared" si="8"/>
        <v>West MP</v>
      </c>
      <c r="AI92" s="52" t="s">
        <v>159</v>
      </c>
      <c r="AJ92" s="56" t="s">
        <v>78</v>
      </c>
      <c r="AK92" s="59" t="s">
        <v>79</v>
      </c>
      <c r="AL92" s="60" t="s">
        <v>80</v>
      </c>
      <c r="AM92" s="54" t="s">
        <v>80</v>
      </c>
      <c r="AN92" s="14">
        <v>46172</v>
      </c>
      <c r="AO92" s="15">
        <v>46177</v>
      </c>
      <c r="AP92" s="91">
        <v>46198</v>
      </c>
      <c r="AQ92" s="87"/>
      <c r="AR92" s="26"/>
      <c r="AS92" s="65"/>
      <c r="AT92" s="88" t="s">
        <v>81</v>
      </c>
      <c r="AU92" s="67"/>
      <c r="BX92" s="1">
        <v>88</v>
      </c>
      <c r="CG92" s="143">
        <v>46416</v>
      </c>
      <c r="CH92" s="143">
        <v>46418</v>
      </c>
      <c r="CI92" s="142" t="s">
        <v>116</v>
      </c>
      <c r="CJ92" s="141"/>
      <c r="CK92" s="141"/>
      <c r="CN92" t="s">
        <v>937</v>
      </c>
      <c r="CU92" t="s">
        <v>92</v>
      </c>
      <c r="CV92" t="s">
        <v>316</v>
      </c>
      <c r="CW92" t="s">
        <v>938</v>
      </c>
      <c r="CX92" s="124" t="s">
        <v>939</v>
      </c>
      <c r="CY92" t="s">
        <v>197</v>
      </c>
      <c r="CZ92" t="s">
        <v>940</v>
      </c>
      <c r="DA92" t="str" cm="1">
        <f t="array" ref="DA92:EO92">IF(U92&lt;&gt;"", TRANSPOSE(_xlfn._xlws.FILTER(CZ:CZ, CY:CY=U92, "")), "")</f>
        <v>Gwl (3N) + Mor + Son + Dat + Orc</v>
      </c>
      <c r="DB92" t="str">
        <v>Ex Gwl | Gwl (1N) - Son - Dat - Orc (1N) - Gwl (1N)</v>
      </c>
      <c r="DC92" t="str">
        <v>Ex Idr | Idr - Ujj (1N) - Omk - Mah (1N) - Man (1N) - Idr</v>
      </c>
      <c r="DD92" t="str">
        <v>Ex Jlr | Jlr - Kan (2N) - Jlr (1N)</v>
      </c>
      <c r="DE92" t="str">
        <v>Ex Jlr | Jlr - Ban (2N) - Jlr (1N)</v>
      </c>
      <c r="DF92" t="str">
        <v>Ex Bho | Bho (1N) + San - Bhoj - Bhim - Pch (2N) - Bho</v>
      </c>
      <c r="DG92" t="str">
        <v>Ex Idr | Idr (1N) - Ujj (1N) - Omk (1N) - Mah - Idr</v>
      </c>
      <c r="DH92" t="str">
        <v>Gwl - Orc (1N) - Ckt (1N) - Myr (1N) - Jlr</v>
      </c>
      <c r="DI92" t="str">
        <v>Gwl - Orc (1N) - Ckt (2N) - Ixd</v>
      </c>
      <c r="DJ92" t="str">
        <v>Ex Idr | Idr - Ujj (1N) - Omk - Mah (1N) - Idr (1N)</v>
      </c>
      <c r="DK92" t="str">
        <v>Ex Jlr | Jlr - Kan (3N) - Jlr</v>
      </c>
      <c r="DL92" t="str">
        <v>Ex Bho | Bho (2N) + Bhim + Bhoj + San + Udaygiri + Vidisha + FDCT Bho</v>
      </c>
      <c r="DM92" t="str">
        <v>Bho (1N) + Bhim + Bhoj - HDCT  Bho + Sanchi - Ujj (2N)</v>
      </c>
      <c r="DN92" t="str">
        <v>Bho (1N) + Bhim + Bhoj - HDCT  Bho + Sanchi - Ujj (2N) - Idr</v>
      </c>
      <c r="DO92" t="str">
        <v>Ex Bho | Bho - Bhoj - Bhim - Mad (1N) - Pch (2N) - Bho</v>
      </c>
      <c r="DP92" t="str">
        <v>Ex Bho | Bho - Bhoj - Bhim - Mad (1N) - Pch (3N) - Bho</v>
      </c>
      <c r="DQ92" t="str">
        <v>Ex Bho | Bho - Bhoj - Bhim - Tawa (1N) - Mad (1N) - Bho (1N)</v>
      </c>
      <c r="DR92" t="str">
        <v>Bho (1N) - Bhim - Bhoj - San - Idr (2N) + Ujj</v>
      </c>
      <c r="DS92" t="str">
        <v>Bho (1N) - Bhoj - Bhim - Pch (2N) - Bho</v>
      </c>
      <c r="DT92" t="str">
        <v>Ujj (1N) - Omk - Mah (1N) - Idr (1N)</v>
      </c>
      <c r="DU92" t="str">
        <v>Ujj (1N) - Omk - Mah (1N) - Man (1N) - Idr</v>
      </c>
      <c r="DV92" t="str">
        <v>Ex Idr | Idr (1N) - Ujj (1N) - Omk - Mah (1N)</v>
      </c>
      <c r="DW92" t="str">
        <v>Ex Idr | Idr - Ujj (1N) - Omk (1N) - Mah (1N) - Idr</v>
      </c>
      <c r="DX92" t="str">
        <v>Khandwa - Omk (1N) - Mah (1N) - Ujj (1N) - Idr</v>
      </c>
      <c r="DY92" t="str">
        <v>Ex Idr | Idr - Ujj (1N) - Omk - Mah (1N) - Man - Idr (1N)</v>
      </c>
      <c r="DZ92" t="str">
        <v xml:space="preserve">Idr - Omk (1N) - Mah - Ujj (1N) San - Bho (1N) </v>
      </c>
      <c r="EA92" t="str">
        <v>Ex Idr | Idr - Man (1N) - Mah - Omk (1N) - Ujj (1N) - Idr</v>
      </c>
      <c r="EB92" t="str">
        <v>Khandwa - Omk (1N) - Mah - Ujj (2N)</v>
      </c>
      <c r="EC92" t="str">
        <v>Ex Jlr | Jlr (1N) - Amr (1N) - Ban (1N) - Jlr</v>
      </c>
      <c r="ED92" t="str">
        <v>Ex Jlr | Jlr - (1 N) Ban - (2 N) Amar</v>
      </c>
      <c r="EE92" t="str">
        <v>Jlr - Kan (1N) - Pch (2N)</v>
      </c>
      <c r="EF92" t="str">
        <v>Pi - Pch (2N)  - Kan (1N)</v>
      </c>
      <c r="EG92" t="str">
        <v>Ex Jlr | Jlr - Amr (1 N) - (1 N) Ban - (1 N) Jlr</v>
      </c>
      <c r="EH92" t="str">
        <v>Ppi - (2 N) Pch - (1 N) Pen</v>
      </c>
      <c r="EI92" t="str">
        <v>Bhp - Pch (2N) - Jlr (1N)</v>
      </c>
      <c r="EJ92" t="str">
        <v xml:space="preserve">Arr Jhn - Hjr (1N) - Orc - Gwl (2N) </v>
      </c>
      <c r="EK92" t="str">
        <v>(1 N) Ujj - (1 N) Mah - (1 N) Idr</v>
      </c>
      <c r="EL92" t="str">
        <v>Ex Bhp | Bhp - Bhoj - Bhim - Pch (3N) - Bhp</v>
      </c>
      <c r="EM92" t="str">
        <v>Ex Bhp | Bhp - Bhoj - Bhim - Pch (2N) - Mad (1N) - Bhp</v>
      </c>
      <c r="EN92" t="str">
        <v xml:space="preserve">Ex Nag - 3N Pch + Sat </v>
      </c>
      <c r="EO92" t="str">
        <v>1N Gwl - Son - Dat - 1N Hjr - 1N Orc - Jhn</v>
      </c>
    </row>
    <row r="93" spans="2:145" ht="15" customHeight="1">
      <c r="B93" s="34">
        <v>89</v>
      </c>
      <c r="C93" s="36" t="s">
        <v>941</v>
      </c>
      <c r="D93" s="76">
        <v>46170</v>
      </c>
      <c r="E93" s="37" t="str">
        <f>IF(Table5[[#This Row],[Query Date]]&lt;&gt;"", TEXT(Table5[[#This Row],[Query Date]], "dddd"), "")</f>
        <v>Thursday</v>
      </c>
      <c r="F93" s="37" t="str">
        <f>IF(Table5[[#This Row],[Query Date]]&lt;&gt;"", TEXT(Table5[[#This Row],[Query Date]], "mmmm"), "")</f>
        <v>May</v>
      </c>
      <c r="G93" s="28" t="s">
        <v>65</v>
      </c>
      <c r="H93" s="28" t="s">
        <v>99</v>
      </c>
      <c r="I93" s="28" t="s">
        <v>67</v>
      </c>
      <c r="J93" s="28" t="s">
        <v>68</v>
      </c>
      <c r="K93" s="28" t="s">
        <v>644</v>
      </c>
      <c r="L93" s="25" t="s">
        <v>70</v>
      </c>
      <c r="M93" s="112" t="s">
        <v>942</v>
      </c>
      <c r="N93" s="25" t="s">
        <v>943</v>
      </c>
      <c r="O93" s="130" t="s">
        <v>944</v>
      </c>
      <c r="P93" s="46" t="s">
        <v>945</v>
      </c>
      <c r="Q93" s="77">
        <v>46204</v>
      </c>
      <c r="R93" s="77" t="str">
        <f>IF(Table5[[#This Row],[Tour Starting Date]]&lt;&gt;"", TEXT(Table5[[#This Row],[Tour Starting Date]], "dddd"), "")</f>
        <v>Wednesday</v>
      </c>
      <c r="S93" s="77">
        <v>46207</v>
      </c>
      <c r="T93" s="25" t="str">
        <f>IF(Table5[[#This Row],[Tour Ending Date]]&lt;&gt;"", TEXT(Table5[[#This Row],[Tour Ending Date]], "dddd"), "")</f>
        <v>Saturday</v>
      </c>
      <c r="U93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93" s="37" t="str">
        <f>IF(Table5[[#This Row],[Tour Starting Date]]&lt;&gt;"", TEXT(Table5[[#This Row],[Tour Starting Date]], "mmmm"), "")</f>
        <v>July</v>
      </c>
      <c r="W93" s="80" t="str" cm="1">
        <f t="array" ref="W93">IF(Q93&lt;&gt;"", INDEX(CI:CI, MATCH(1, (Q93&gt;=CG:CG)*(Q93&lt;=CH:CH), 0)), "")</f>
        <v>Regular Dates - Weekday</v>
      </c>
      <c r="X93" s="39">
        <v>7</v>
      </c>
      <c r="Y93" s="74">
        <v>8500</v>
      </c>
      <c r="Z93" s="74">
        <f>IF(OR(Table5[[#This Row],[Per Person Package Cost]]="", Table5[[#This Row],[No. of Pax]]=""), "", Table5[[#This Row],[Per Person Package Cost]] * Table5[[#This Row],[No. of Pax]])</f>
        <v>59500</v>
      </c>
      <c r="AA93" s="52" t="s">
        <v>75</v>
      </c>
      <c r="AB93" s="52" t="s">
        <v>75</v>
      </c>
      <c r="AC93" s="52" t="s">
        <v>76</v>
      </c>
      <c r="AD93" s="52" t="s">
        <v>439</v>
      </c>
      <c r="AE93" s="51" t="str">
        <f t="shared" si="5"/>
        <v>EXIDR24</v>
      </c>
      <c r="AF93" s="51" t="str">
        <f t="shared" si="6"/>
        <v>Spiritual Trails &amp; Heritage Echoes</v>
      </c>
      <c r="AG93" s="74" t="str">
        <f t="shared" si="7"/>
        <v>Quick Getaways</v>
      </c>
      <c r="AH93" s="73" t="str">
        <f t="shared" si="8"/>
        <v>West MP</v>
      </c>
      <c r="AI93" s="52" t="s">
        <v>159</v>
      </c>
      <c r="AJ93" s="56" t="s">
        <v>78</v>
      </c>
      <c r="AK93" s="59" t="s">
        <v>79</v>
      </c>
      <c r="AL93" s="60" t="s">
        <v>80</v>
      </c>
      <c r="AM93" s="54" t="s">
        <v>80</v>
      </c>
      <c r="AN93" s="14">
        <v>46178</v>
      </c>
      <c r="AO93" s="15">
        <v>46183</v>
      </c>
      <c r="AP93" s="91"/>
      <c r="AQ93" s="87"/>
      <c r="AR93" s="26"/>
      <c r="AS93" s="65"/>
      <c r="AT93" s="88" t="s">
        <v>81</v>
      </c>
      <c r="AU93" s="67"/>
      <c r="BX93" s="1">
        <v>89</v>
      </c>
      <c r="CG93" s="143">
        <v>46419</v>
      </c>
      <c r="CH93" s="143">
        <v>46422</v>
      </c>
      <c r="CI93" s="142" t="s">
        <v>88</v>
      </c>
      <c r="CJ93" s="141"/>
      <c r="CK93" s="141"/>
      <c r="CN93" t="s">
        <v>946</v>
      </c>
      <c r="CU93" t="s">
        <v>92</v>
      </c>
      <c r="CV93" t="s">
        <v>316</v>
      </c>
      <c r="CW93" t="s">
        <v>947</v>
      </c>
      <c r="CX93" s="124" t="s">
        <v>948</v>
      </c>
      <c r="CY93" t="s">
        <v>197</v>
      </c>
      <c r="CZ93" t="s">
        <v>949</v>
      </c>
      <c r="DA93" t="str" cm="1">
        <f t="array" ref="DA93:EO93">IF(U93&lt;&gt;"", TRANSPOSE(_xlfn._xlws.FILTER(CZ:CZ, CY:CY=U93, "")), "")</f>
        <v>Gwl (3N) + Mor + Son + Dat + Orc</v>
      </c>
      <c r="DB93" t="str">
        <v>Ex Gwl | Gwl (1N) - Son - Dat - Orc (1N) - Gwl (1N)</v>
      </c>
      <c r="DC93" t="str">
        <v>Ex Idr | Idr - Ujj (1N) - Omk - Mah (1N) - Man (1N) - Idr</v>
      </c>
      <c r="DD93" t="str">
        <v>Ex Jlr | Jlr - Kan (2N) - Jlr (1N)</v>
      </c>
      <c r="DE93" t="str">
        <v>Ex Jlr | Jlr - Ban (2N) - Jlr (1N)</v>
      </c>
      <c r="DF93" t="str">
        <v>Ex Bho | Bho (1N) + San - Bhoj - Bhim - Pch (2N) - Bho</v>
      </c>
      <c r="DG93" t="str">
        <v>Ex Idr | Idr (1N) - Ujj (1N) - Omk (1N) - Mah - Idr</v>
      </c>
      <c r="DH93" t="str">
        <v>Gwl - Orc (1N) - Ckt (1N) - Myr (1N) - Jlr</v>
      </c>
      <c r="DI93" t="str">
        <v>Gwl - Orc (1N) - Ckt (2N) - Ixd</v>
      </c>
      <c r="DJ93" t="str">
        <v>Ex Idr | Idr - Ujj (1N) - Omk - Mah (1N) - Idr (1N)</v>
      </c>
      <c r="DK93" t="str">
        <v>Ex Jlr | Jlr - Kan (3N) - Jlr</v>
      </c>
      <c r="DL93" t="str">
        <v>Ex Bho | Bho (2N) + Bhim + Bhoj + San + Udaygiri + Vidisha + FDCT Bho</v>
      </c>
      <c r="DM93" t="str">
        <v>Bho (1N) + Bhim + Bhoj - HDCT  Bho + Sanchi - Ujj (2N)</v>
      </c>
      <c r="DN93" t="str">
        <v>Bho (1N) + Bhim + Bhoj - HDCT  Bho + Sanchi - Ujj (2N) - Idr</v>
      </c>
      <c r="DO93" t="str">
        <v>Ex Bho | Bho - Bhoj - Bhim - Mad (1N) - Pch (2N) - Bho</v>
      </c>
      <c r="DP93" t="str">
        <v>Ex Bho | Bho - Bhoj - Bhim - Mad (1N) - Pch (3N) - Bho</v>
      </c>
      <c r="DQ93" t="str">
        <v>Ex Bho | Bho - Bhoj - Bhim - Tawa (1N) - Mad (1N) - Bho (1N)</v>
      </c>
      <c r="DR93" t="str">
        <v>Bho (1N) - Bhim - Bhoj - San - Idr (2N) + Ujj</v>
      </c>
      <c r="DS93" t="str">
        <v>Bho (1N) - Bhoj - Bhim - Pch (2N) - Bho</v>
      </c>
      <c r="DT93" t="str">
        <v>Ujj (1N) - Omk - Mah (1N) - Idr (1N)</v>
      </c>
      <c r="DU93" t="str">
        <v>Ujj (1N) - Omk - Mah (1N) - Man (1N) - Idr</v>
      </c>
      <c r="DV93" t="str">
        <v>Ex Idr | Idr (1N) - Ujj (1N) - Omk - Mah (1N)</v>
      </c>
      <c r="DW93" t="str">
        <v>Ex Idr | Idr - Ujj (1N) - Omk (1N) - Mah (1N) - Idr</v>
      </c>
      <c r="DX93" t="str">
        <v>Khandwa - Omk (1N) - Mah (1N) - Ujj (1N) - Idr</v>
      </c>
      <c r="DY93" t="str">
        <v>Ex Idr | Idr - Ujj (1N) - Omk - Mah (1N) - Man - Idr (1N)</v>
      </c>
      <c r="DZ93" t="str">
        <v xml:space="preserve">Idr - Omk (1N) - Mah - Ujj (1N) San - Bho (1N) </v>
      </c>
      <c r="EA93" t="str">
        <v>Ex Idr | Idr - Man (1N) - Mah - Omk (1N) - Ujj (1N) - Idr</v>
      </c>
      <c r="EB93" t="str">
        <v>Khandwa - Omk (1N) - Mah - Ujj (2N)</v>
      </c>
      <c r="EC93" t="str">
        <v>Ex Jlr | Jlr (1N) - Amr (1N) - Ban (1N) - Jlr</v>
      </c>
      <c r="ED93" t="str">
        <v>Ex Jlr | Jlr - (1 N) Ban - (2 N) Amar</v>
      </c>
      <c r="EE93" t="str">
        <v>Jlr - Kan (1N) - Pch (2N)</v>
      </c>
      <c r="EF93" t="str">
        <v>Pi - Pch (2N)  - Kan (1N)</v>
      </c>
      <c r="EG93" t="str">
        <v>Ex Jlr | Jlr - Amr (1 N) - (1 N) Ban - (1 N) Jlr</v>
      </c>
      <c r="EH93" t="str">
        <v>Ppi - (2 N) Pch - (1 N) Pen</v>
      </c>
      <c r="EI93" t="str">
        <v>Bhp - Pch (2N) - Jlr (1N)</v>
      </c>
      <c r="EJ93" t="str">
        <v xml:space="preserve">Arr Jhn - Hjr (1N) - Orc - Gwl (2N) </v>
      </c>
      <c r="EK93" t="str">
        <v>(1 N) Ujj - (1 N) Mah - (1 N) Idr</v>
      </c>
      <c r="EL93" t="str">
        <v>Ex Bhp | Bhp - Bhoj - Bhim - Pch (3N) - Bhp</v>
      </c>
      <c r="EM93" t="str">
        <v>Ex Bhp | Bhp - Bhoj - Bhim - Pch (2N) - Mad (1N) - Bhp</v>
      </c>
      <c r="EN93" t="str">
        <v xml:space="preserve">Ex Nag - 3N Pch + Sat </v>
      </c>
      <c r="EO93" t="str">
        <v>1N Gwl - Son - Dat - 1N Hjr - 1N Orc - Jhn</v>
      </c>
    </row>
    <row r="94" spans="2:145" ht="15" customHeight="1">
      <c r="B94" s="35">
        <v>90</v>
      </c>
      <c r="C94" s="36" t="s">
        <v>950</v>
      </c>
      <c r="D94" s="76">
        <v>46170</v>
      </c>
      <c r="E94" s="37" t="str">
        <f>IF(Table5[[#This Row],[Query Date]]&lt;&gt;"", TEXT(Table5[[#This Row],[Query Date]], "dddd"), "")</f>
        <v>Thursday</v>
      </c>
      <c r="F94" s="37" t="str">
        <f>IF(Table5[[#This Row],[Query Date]]&lt;&gt;"", TEXT(Table5[[#This Row],[Query Date]], "mmmm"), "")</f>
        <v>May</v>
      </c>
      <c r="G94" s="28" t="s">
        <v>65</v>
      </c>
      <c r="H94" s="28" t="s">
        <v>99</v>
      </c>
      <c r="I94" s="28" t="s">
        <v>67</v>
      </c>
      <c r="J94" s="28" t="s">
        <v>68</v>
      </c>
      <c r="K94" s="28" t="s">
        <v>178</v>
      </c>
      <c r="L94" s="25" t="s">
        <v>70</v>
      </c>
      <c r="M94" s="112" t="s">
        <v>417</v>
      </c>
      <c r="N94" s="25" t="s">
        <v>886</v>
      </c>
      <c r="O94" s="130" t="s">
        <v>887</v>
      </c>
      <c r="P94" s="46" t="s">
        <v>888</v>
      </c>
      <c r="Q94" s="77">
        <v>46240</v>
      </c>
      <c r="R94" s="77" t="str">
        <f>IF(Table5[[#This Row],[Tour Starting Date]]&lt;&gt;"", TEXT(Table5[[#This Row],[Tour Starting Date]], "dddd"), "")</f>
        <v>Thursday</v>
      </c>
      <c r="S94" s="77">
        <v>46245</v>
      </c>
      <c r="T94" s="25" t="str">
        <f>IF(Table5[[#This Row],[Tour Ending Date]]&lt;&gt;"", TEXT(Table5[[#This Row],[Tour Ending Date]], "dddd"), "")</f>
        <v>Tuesday</v>
      </c>
      <c r="U94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5 Nights &amp; 6 Days</v>
      </c>
      <c r="V94" s="37" t="str">
        <f>IF(Table5[[#This Row],[Tour Starting Date]]&lt;&gt;"", TEXT(Table5[[#This Row],[Tour Starting Date]], "mmmm"), "")</f>
        <v>August</v>
      </c>
      <c r="W94" s="80" t="str" cm="1">
        <f t="array" ref="W94">IF(Q94&lt;&gt;"", INDEX(CI:CI, MATCH(1, (Q94&gt;=CG:CG)*(Q94&lt;=CH:CH), 0)), "")</f>
        <v>Regular Dates - Weekday</v>
      </c>
      <c r="X94" s="39">
        <v>2</v>
      </c>
      <c r="Y94" s="74">
        <v>31800</v>
      </c>
      <c r="Z94" s="74">
        <f>IF(OR(Table5[[#This Row],[Per Person Package Cost]]="", Table5[[#This Row],[No. of Pax]]=""), "", Table5[[#This Row],[Per Person Package Cost]] * Table5[[#This Row],[No. of Pax]])</f>
        <v>63600</v>
      </c>
      <c r="AA94" s="52" t="s">
        <v>520</v>
      </c>
      <c r="AB94" s="52" t="s">
        <v>75</v>
      </c>
      <c r="AC94" s="52" t="s">
        <v>134</v>
      </c>
      <c r="AD94" s="52" t="s">
        <v>425</v>
      </c>
      <c r="AE94" s="51" t="str">
        <f t="shared" si="5"/>
        <v>EXIDR09</v>
      </c>
      <c r="AF94" s="51" t="str">
        <f t="shared" si="6"/>
        <v>Cultural Treasures Unveiled</v>
      </c>
      <c r="AG94" s="74" t="str">
        <f t="shared" si="7"/>
        <v>Quick Getaways</v>
      </c>
      <c r="AH94" s="73" t="str">
        <f t="shared" si="8"/>
        <v>South + West MP</v>
      </c>
      <c r="AI94" s="52" t="s">
        <v>159</v>
      </c>
      <c r="AJ94" s="56" t="s">
        <v>78</v>
      </c>
      <c r="AK94" s="59" t="s">
        <v>79</v>
      </c>
      <c r="AL94" s="60" t="s">
        <v>80</v>
      </c>
      <c r="AM94" s="54" t="s">
        <v>80</v>
      </c>
      <c r="AN94" s="14">
        <v>46177</v>
      </c>
      <c r="AO94" s="15">
        <v>46183</v>
      </c>
      <c r="AP94" s="91"/>
      <c r="AQ94" s="87"/>
      <c r="AR94" s="26"/>
      <c r="AS94" s="65"/>
      <c r="AT94" s="88" t="s">
        <v>81</v>
      </c>
      <c r="AU94" s="67"/>
      <c r="BX94" s="1">
        <v>90</v>
      </c>
      <c r="CG94" s="143">
        <v>46423</v>
      </c>
      <c r="CH94" s="143">
        <v>46425</v>
      </c>
      <c r="CI94" s="142" t="s">
        <v>116</v>
      </c>
      <c r="CJ94" s="141"/>
      <c r="CK94" s="141"/>
      <c r="CN94" t="s">
        <v>951</v>
      </c>
      <c r="CU94" t="s">
        <v>92</v>
      </c>
      <c r="CV94" t="s">
        <v>299</v>
      </c>
      <c r="CW94" t="s">
        <v>952</v>
      </c>
      <c r="CX94" s="124" t="s">
        <v>953</v>
      </c>
      <c r="CY94" t="s">
        <v>151</v>
      </c>
      <c r="CZ94" t="s">
        <v>954</v>
      </c>
      <c r="DA94" t="str" cm="1">
        <f t="array" ref="DA94:DW94">IF(U94&lt;&gt;"", TRANSPOSE(_xlfn._xlws.FILTER(CZ:CZ, CY:CY=U94, "")), "")</f>
        <v>Gwl (2N) + Mor - Son - Dat - Orc (1N) - Hjr (2N) + Panna</v>
      </c>
      <c r="DB94" t="str">
        <v>Ex Gwl | Gwl (2N) + Mor - Shiv - Chan (2N) - Orc (1N) - Dat - Son - Gwl</v>
      </c>
      <c r="DC94" t="str">
        <v>Gwl (2N) + Mor - Son - Dat - Orc (1N) - Hjr (1N) - Jlr (1N)</v>
      </c>
      <c r="DD94" t="str">
        <v>Ex Idr | Idr - Ujj (1N) - Omk (1N) - Mah (1N) - Man (1N) - Idr (1N)</v>
      </c>
      <c r="DE94" t="str">
        <v>Bhp (1N) + Bhim + Bhoj + San - Ujj (1N) - Man (2N) - Mah - Omk (1N) - Idr</v>
      </c>
      <c r="DF94" t="str">
        <v>Jlr (1N) - Hjr (1N) - Orc (1N) - Dat - Son - Gwl (2N) + Mor</v>
      </c>
      <c r="DG94" t="str">
        <v>Jlr (1N) - Kan (1N) - Pch (2N) - Bhim - Bhoj - Bho (1N) + Sanchi</v>
      </c>
      <c r="DH94" t="str">
        <v>Ex Bho | Bho (1N) + San - Bhoj - Bhim - Tawa (1N) - Mad (1N) - Pch (2N) - Bho</v>
      </c>
      <c r="DI94" t="str">
        <v>Bho (1N) + San + Udaygiri - Bhoj - Bhim - Pch (2N) - Kan(1N) - Jlr (1N)</v>
      </c>
      <c r="DJ94" t="str">
        <v>Bho (1N) + Bhim + Bhoj - San - Ujj (1N) - Man (2N) - Mah - Omk (1N) - Idr</v>
      </c>
      <c r="DK94" t="str">
        <v>Idr - Man (2N) - Idr (1N) - Bho (2N) + Bhim + Bhoj + Sanchi</v>
      </c>
      <c r="DL94" t="str">
        <v>Ex Bho | Bho (2N) + San + Udaygiri - Bhoj - Bhim - Pch (2N) - Tawa (1N) - Bho</v>
      </c>
      <c r="DM94" t="str">
        <v>Rpr - Kan (2N) - Pen (1N) - Pch (2N) - Bho</v>
      </c>
      <c r="DN94" t="str">
        <v>Nag - Pen (2N) - Pch (2N) - Bhim - Bhoj - Bho (1N) + San</v>
      </c>
      <c r="DO94" t="str">
        <v>Gwl (2N) (Ex Mor) - Orc (1N) - Chn (1N) - Shiv (1N) - Jhn</v>
      </c>
      <c r="DP94" t="str">
        <v>Gwl (2N) (Ex Mor) - Dat - Orc (1N) - Chn (1N) - Shiv (1N) - Jhn</v>
      </c>
      <c r="DQ94" t="str">
        <v>Nag - Pen (2N) - Kan (2N) - Jlr (1N)</v>
      </c>
      <c r="DR94" t="str">
        <v>Rpr - (2 N) Amr - (1 N) Ban - (1 N) Hjr - (1 N) Jlr</v>
      </c>
      <c r="DS94" t="str">
        <v>Gwl (2N) (Ex Mor) -Orc  - Hjr (1N) - Chn (1N) - Shiv (1N) - Jhn</v>
      </c>
      <c r="DT94" t="str">
        <v>(2 N) Gwl - (1 N) Orch - (1 N) Hjr - (1 N) Jlr</v>
      </c>
      <c r="DU94" t="str">
        <v xml:space="preserve">Arr Rpr - Amr (2N) - Par (2N) - Jlr (1N) </v>
      </c>
      <c r="DV94" t="str">
        <v>3N Idr (Ex Ujj - Man) - Bhim - Bhoj - San - 2N Bho</v>
      </c>
      <c r="DW94" t="str">
        <v>1N Jlr - 1N Kan - 3N Pch - Ppi</v>
      </c>
    </row>
    <row r="95" spans="2:145" ht="15" customHeight="1">
      <c r="B95" s="34">
        <v>91</v>
      </c>
      <c r="C95" s="36" t="s">
        <v>955</v>
      </c>
      <c r="D95" s="76">
        <v>46171</v>
      </c>
      <c r="E95" s="37" t="str">
        <f>IF(Table5[[#This Row],[Query Date]]&lt;&gt;"", TEXT(Table5[[#This Row],[Query Date]], "dddd"), "")</f>
        <v>Friday</v>
      </c>
      <c r="F95" s="37" t="str">
        <f>IF(Table5[[#This Row],[Query Date]]&lt;&gt;"", TEXT(Table5[[#This Row],[Query Date]], "mmmm"), "")</f>
        <v>May</v>
      </c>
      <c r="G95" s="28" t="s">
        <v>65</v>
      </c>
      <c r="H95" s="28" t="s">
        <v>99</v>
      </c>
      <c r="I95" s="28" t="s">
        <v>67</v>
      </c>
      <c r="J95" s="28" t="s">
        <v>145</v>
      </c>
      <c r="K95" s="28" t="s">
        <v>69</v>
      </c>
      <c r="L95" s="25" t="s">
        <v>70</v>
      </c>
      <c r="M95" s="112" t="s">
        <v>956</v>
      </c>
      <c r="N95" s="25" t="s">
        <v>957</v>
      </c>
      <c r="O95" s="130" t="s">
        <v>958</v>
      </c>
      <c r="P95" s="46" t="s">
        <v>959</v>
      </c>
      <c r="Q95" s="77">
        <v>46195</v>
      </c>
      <c r="R95" s="77" t="str">
        <f>IF(Table5[[#This Row],[Tour Starting Date]]&lt;&gt;"", TEXT(Table5[[#This Row],[Tour Starting Date]], "dddd"), "")</f>
        <v>Monday</v>
      </c>
      <c r="S95" s="77"/>
      <c r="T95" s="25" t="str">
        <f>IF(Table5[[#This Row],[Tour Ending Date]]&lt;&gt;"", TEXT(Table5[[#This Row],[Tour Ending Date]], "dddd"), "")</f>
        <v/>
      </c>
      <c r="U95" s="37" t="s">
        <v>960</v>
      </c>
      <c r="V95" s="37" t="str">
        <f>IF(Table5[[#This Row],[Tour Starting Date]]&lt;&gt;"", TEXT(Table5[[#This Row],[Tour Starting Date]], "mmmm"), "")</f>
        <v>June</v>
      </c>
      <c r="W95" s="80" t="str" cm="1">
        <f t="array" ref="W95">IF(Q95&lt;&gt;"", INDEX(CI:CI, MATCH(1, (Q95&gt;=CG:CG)*(Q95&lt;=CH:CH), 0)), "")</f>
        <v>Regular Dates - Weekday</v>
      </c>
      <c r="X95" s="39"/>
      <c r="Y95" s="74">
        <v>3500</v>
      </c>
      <c r="Z95" s="74" t="str">
        <f>IF(OR(Table5[[#This Row],[Per Person Package Cost]]="", Table5[[#This Row],[No. of Pax]]=""), "", Table5[[#This Row],[Per Person Package Cost]] * Table5[[#This Row],[No. of Pax]])</f>
        <v/>
      </c>
      <c r="AA95" s="52" t="s">
        <v>205</v>
      </c>
      <c r="AB95" s="52" t="s">
        <v>205</v>
      </c>
      <c r="AC95" s="52" t="s">
        <v>105</v>
      </c>
      <c r="AD95" s="52"/>
      <c r="AE95" s="51" t="str">
        <f t="shared" si="5"/>
        <v/>
      </c>
      <c r="AF95" s="51" t="str">
        <f t="shared" si="6"/>
        <v/>
      </c>
      <c r="AG95" s="74" t="str">
        <f t="shared" si="7"/>
        <v/>
      </c>
      <c r="AH95" s="73" t="str">
        <f t="shared" si="8"/>
        <v/>
      </c>
      <c r="AI95" s="52" t="s">
        <v>159</v>
      </c>
      <c r="AJ95" s="56" t="s">
        <v>78</v>
      </c>
      <c r="AK95" s="59" t="s">
        <v>79</v>
      </c>
      <c r="AL95" s="60" t="s">
        <v>80</v>
      </c>
      <c r="AM95" s="54" t="s">
        <v>80</v>
      </c>
      <c r="AN95" s="14">
        <v>46174</v>
      </c>
      <c r="AO95" s="15"/>
      <c r="AP95" s="91"/>
      <c r="AQ95" s="87"/>
      <c r="AR95" s="26"/>
      <c r="AS95" s="65"/>
      <c r="AT95" s="88" t="s">
        <v>81</v>
      </c>
      <c r="AU95" s="67"/>
      <c r="BX95" s="1">
        <v>91</v>
      </c>
      <c r="CG95" s="143">
        <v>46426</v>
      </c>
      <c r="CH95" s="143">
        <v>46429</v>
      </c>
      <c r="CI95" s="142" t="s">
        <v>88</v>
      </c>
      <c r="CJ95" s="141"/>
      <c r="CK95" s="141"/>
      <c r="CN95" t="s">
        <v>961</v>
      </c>
      <c r="CU95" t="s">
        <v>92</v>
      </c>
      <c r="CV95" t="s">
        <v>299</v>
      </c>
      <c r="CW95" t="s">
        <v>962</v>
      </c>
      <c r="CX95" s="124" t="s">
        <v>963</v>
      </c>
      <c r="CY95" t="s">
        <v>197</v>
      </c>
      <c r="CZ95" t="s">
        <v>964</v>
      </c>
      <c r="DA95" t="str" cm="1">
        <f t="array" ref="DA95">IF(U95&lt;&gt;"", TRANSPOSE(_xlfn._xlws.FILTER(CZ:CZ, CY:CY=U95, "")), "")</f>
        <v/>
      </c>
    </row>
    <row r="96" spans="2:145" ht="15" customHeight="1">
      <c r="B96" s="35">
        <v>92</v>
      </c>
      <c r="C96" s="36" t="s">
        <v>965</v>
      </c>
      <c r="D96" s="76">
        <v>46172</v>
      </c>
      <c r="E96" s="37" t="str">
        <f>IF(Table5[[#This Row],[Query Date]]&lt;&gt;"", TEXT(Table5[[#This Row],[Query Date]], "dddd"), "")</f>
        <v>Saturday</v>
      </c>
      <c r="F96" s="37" t="str">
        <f>IF(Table5[[#This Row],[Query Date]]&lt;&gt;"", TEXT(Table5[[#This Row],[Query Date]], "mmmm"), "")</f>
        <v>May</v>
      </c>
      <c r="G96" s="28" t="s">
        <v>65</v>
      </c>
      <c r="H96" s="28" t="s">
        <v>66</v>
      </c>
      <c r="I96" s="28" t="s">
        <v>67</v>
      </c>
      <c r="J96" s="28" t="s">
        <v>68</v>
      </c>
      <c r="K96" s="28" t="s">
        <v>535</v>
      </c>
      <c r="L96" s="25" t="s">
        <v>70</v>
      </c>
      <c r="M96" s="112" t="s">
        <v>966</v>
      </c>
      <c r="N96" s="25" t="s">
        <v>967</v>
      </c>
      <c r="O96" s="130" t="s">
        <v>968</v>
      </c>
      <c r="P96" s="46" t="s">
        <v>969</v>
      </c>
      <c r="Q96" s="77">
        <v>46184</v>
      </c>
      <c r="R96" s="77" t="str">
        <f>IF(Table5[[#This Row],[Tour Starting Date]]&lt;&gt;"", TEXT(Table5[[#This Row],[Tour Starting Date]], "dddd"), "")</f>
        <v>Thursday</v>
      </c>
      <c r="S96" s="77">
        <v>46187</v>
      </c>
      <c r="T96" s="25" t="str">
        <f>IF(Table5[[#This Row],[Tour Ending Date]]&lt;&gt;"", TEXT(Table5[[#This Row],[Tour Ending Date]], "dddd"), "")</f>
        <v>Sunday</v>
      </c>
      <c r="U96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96" s="37" t="str">
        <f>IF(Table5[[#This Row],[Tour Starting Date]]&lt;&gt;"", TEXT(Table5[[#This Row],[Tour Starting Date]], "mmmm"), "")</f>
        <v>June</v>
      </c>
      <c r="W96" s="80" t="str" cm="1">
        <f t="array" ref="W96">IF(Q96&lt;&gt;"", INDEX(CI:CI, MATCH(1, (Q96&gt;=CG:CG)*(Q96&lt;=CH:CH), 0)), "")</f>
        <v>Regular Dates - Weekday</v>
      </c>
      <c r="X96" s="39">
        <v>2</v>
      </c>
      <c r="Y96" s="74">
        <v>22400</v>
      </c>
      <c r="Z96" s="74">
        <f>IF(OR(Table5[[#This Row],[Per Person Package Cost]]="", Table5[[#This Row],[No. of Pax]]=""), "", Table5[[#This Row],[Per Person Package Cost]] * Table5[[#This Row],[No. of Pax]])</f>
        <v>44800</v>
      </c>
      <c r="AA96" s="52" t="s">
        <v>75</v>
      </c>
      <c r="AB96" s="52" t="s">
        <v>75</v>
      </c>
      <c r="AC96" s="52" t="s">
        <v>134</v>
      </c>
      <c r="AD96" s="52" t="s">
        <v>439</v>
      </c>
      <c r="AE96" s="51" t="str">
        <f t="shared" si="5"/>
        <v>EXIDR24</v>
      </c>
      <c r="AF96" s="51" t="str">
        <f t="shared" si="6"/>
        <v>Spiritual Trails &amp; Heritage Echoes</v>
      </c>
      <c r="AG96" s="74" t="str">
        <f t="shared" si="7"/>
        <v>Quick Getaways</v>
      </c>
      <c r="AH96" s="73" t="str">
        <f t="shared" si="8"/>
        <v>West MP</v>
      </c>
      <c r="AI96" s="52" t="s">
        <v>159</v>
      </c>
      <c r="AJ96" s="56" t="s">
        <v>78</v>
      </c>
      <c r="AK96" s="59" t="s">
        <v>79</v>
      </c>
      <c r="AL96" s="60" t="s">
        <v>80</v>
      </c>
      <c r="AM96" s="54" t="s">
        <v>80</v>
      </c>
      <c r="AN96" s="14">
        <v>46175</v>
      </c>
      <c r="AO96" s="15"/>
      <c r="AP96" s="91"/>
      <c r="AQ96" s="87"/>
      <c r="AR96" s="26"/>
      <c r="AS96" s="65"/>
      <c r="AT96" s="88" t="s">
        <v>81</v>
      </c>
      <c r="AU96" s="67"/>
      <c r="BX96" s="1">
        <v>92</v>
      </c>
      <c r="CG96" s="143">
        <v>46430</v>
      </c>
      <c r="CH96" s="143">
        <v>46432</v>
      </c>
      <c r="CI96" s="142" t="s">
        <v>116</v>
      </c>
      <c r="CJ96" s="141"/>
      <c r="CK96" s="141"/>
      <c r="CN96" t="s">
        <v>970</v>
      </c>
      <c r="CU96" t="s">
        <v>92</v>
      </c>
      <c r="CV96" t="s">
        <v>316</v>
      </c>
      <c r="CW96" t="s">
        <v>971</v>
      </c>
      <c r="CX96" s="124" t="s">
        <v>972</v>
      </c>
      <c r="CY96" t="s">
        <v>223</v>
      </c>
      <c r="CZ96" t="s">
        <v>973</v>
      </c>
      <c r="DA96" t="str" cm="1">
        <f t="array" ref="DA96:EO96">IF(U96&lt;&gt;"", TRANSPOSE(_xlfn._xlws.FILTER(CZ:CZ, CY:CY=U96, "")), "")</f>
        <v>Gwl (3N) + Mor + Son + Dat + Orc</v>
      </c>
      <c r="DB96" t="str">
        <v>Ex Gwl | Gwl (1N) - Son - Dat - Orc (1N) - Gwl (1N)</v>
      </c>
      <c r="DC96" t="str">
        <v>Ex Idr | Idr - Ujj (1N) - Omk - Mah (1N) - Man (1N) - Idr</v>
      </c>
      <c r="DD96" t="str">
        <v>Ex Jlr | Jlr - Kan (2N) - Jlr (1N)</v>
      </c>
      <c r="DE96" t="str">
        <v>Ex Jlr | Jlr - Ban (2N) - Jlr (1N)</v>
      </c>
      <c r="DF96" t="str">
        <v>Ex Bho | Bho (1N) + San - Bhoj - Bhim - Pch (2N) - Bho</v>
      </c>
      <c r="DG96" t="str">
        <v>Ex Idr | Idr (1N) - Ujj (1N) - Omk (1N) - Mah - Idr</v>
      </c>
      <c r="DH96" t="str">
        <v>Gwl - Orc (1N) - Ckt (1N) - Myr (1N) - Jlr</v>
      </c>
      <c r="DI96" t="str">
        <v>Gwl - Orc (1N) - Ckt (2N) - Ixd</v>
      </c>
      <c r="DJ96" t="str">
        <v>Ex Idr | Idr - Ujj (1N) - Omk - Mah (1N) - Idr (1N)</v>
      </c>
      <c r="DK96" t="str">
        <v>Ex Jlr | Jlr - Kan (3N) - Jlr</v>
      </c>
      <c r="DL96" t="str">
        <v>Ex Bho | Bho (2N) + Bhim + Bhoj + San + Udaygiri + Vidisha + FDCT Bho</v>
      </c>
      <c r="DM96" t="str">
        <v>Bho (1N) + Bhim + Bhoj - HDCT  Bho + Sanchi - Ujj (2N)</v>
      </c>
      <c r="DN96" t="str">
        <v>Bho (1N) + Bhim + Bhoj - HDCT  Bho + Sanchi - Ujj (2N) - Idr</v>
      </c>
      <c r="DO96" t="str">
        <v>Ex Bho | Bho - Bhoj - Bhim - Mad (1N) - Pch (2N) - Bho</v>
      </c>
      <c r="DP96" t="str">
        <v>Ex Bho | Bho - Bhoj - Bhim - Mad (1N) - Pch (3N) - Bho</v>
      </c>
      <c r="DQ96" t="str">
        <v>Ex Bho | Bho - Bhoj - Bhim - Tawa (1N) - Mad (1N) - Bho (1N)</v>
      </c>
      <c r="DR96" t="str">
        <v>Bho (1N) - Bhim - Bhoj - San - Idr (2N) + Ujj</v>
      </c>
      <c r="DS96" t="str">
        <v>Bho (1N) - Bhoj - Bhim - Pch (2N) - Bho</v>
      </c>
      <c r="DT96" t="str">
        <v>Ujj (1N) - Omk - Mah (1N) - Idr (1N)</v>
      </c>
      <c r="DU96" t="str">
        <v>Ujj (1N) - Omk - Mah (1N) - Man (1N) - Idr</v>
      </c>
      <c r="DV96" t="str">
        <v>Ex Idr | Idr (1N) - Ujj (1N) - Omk - Mah (1N)</v>
      </c>
      <c r="DW96" t="str">
        <v>Ex Idr | Idr - Ujj (1N) - Omk (1N) - Mah (1N) - Idr</v>
      </c>
      <c r="DX96" t="str">
        <v>Khandwa - Omk (1N) - Mah (1N) - Ujj (1N) - Idr</v>
      </c>
      <c r="DY96" t="str">
        <v>Ex Idr | Idr - Ujj (1N) - Omk - Mah (1N) - Man - Idr (1N)</v>
      </c>
      <c r="DZ96" t="str">
        <v xml:space="preserve">Idr - Omk (1N) - Mah - Ujj (1N) San - Bho (1N) </v>
      </c>
      <c r="EA96" t="str">
        <v>Ex Idr | Idr - Man (1N) - Mah - Omk (1N) - Ujj (1N) - Idr</v>
      </c>
      <c r="EB96" t="str">
        <v>Khandwa - Omk (1N) - Mah - Ujj (2N)</v>
      </c>
      <c r="EC96" t="str">
        <v>Ex Jlr | Jlr (1N) - Amr (1N) - Ban (1N) - Jlr</v>
      </c>
      <c r="ED96" t="str">
        <v>Ex Jlr | Jlr - (1 N) Ban - (2 N) Amar</v>
      </c>
      <c r="EE96" t="str">
        <v>Jlr - Kan (1N) - Pch (2N)</v>
      </c>
      <c r="EF96" t="str">
        <v>Pi - Pch (2N)  - Kan (1N)</v>
      </c>
      <c r="EG96" t="str">
        <v>Ex Jlr | Jlr - Amr (1 N) - (1 N) Ban - (1 N) Jlr</v>
      </c>
      <c r="EH96" t="str">
        <v>Ppi - (2 N) Pch - (1 N) Pen</v>
      </c>
      <c r="EI96" t="str">
        <v>Bhp - Pch (2N) - Jlr (1N)</v>
      </c>
      <c r="EJ96" t="str">
        <v xml:space="preserve">Arr Jhn - Hjr (1N) - Orc - Gwl (2N) </v>
      </c>
      <c r="EK96" t="str">
        <v>(1 N) Ujj - (1 N) Mah - (1 N) Idr</v>
      </c>
      <c r="EL96" t="str">
        <v>Ex Bhp | Bhp - Bhoj - Bhim - Pch (3N) - Bhp</v>
      </c>
      <c r="EM96" t="str">
        <v>Ex Bhp | Bhp - Bhoj - Bhim - Pch (2N) - Mad (1N) - Bhp</v>
      </c>
      <c r="EN96" t="str">
        <v xml:space="preserve">Ex Nag - 3N Pch + Sat </v>
      </c>
      <c r="EO96" t="str">
        <v>1N Gwl - Son - Dat - 1N Hjr - 1N Orc - Jhn</v>
      </c>
    </row>
    <row r="97" spans="2:145" ht="15" customHeight="1">
      <c r="B97" s="34">
        <v>93</v>
      </c>
      <c r="C97" s="36" t="s">
        <v>974</v>
      </c>
      <c r="D97" s="76">
        <v>46172</v>
      </c>
      <c r="E97" s="37" t="str">
        <f>IF(Table5[[#This Row],[Query Date]]&lt;&gt;"", TEXT(Table5[[#This Row],[Query Date]], "dddd"), "")</f>
        <v>Saturday</v>
      </c>
      <c r="F97" s="37" t="str">
        <f>IF(Table5[[#This Row],[Query Date]]&lt;&gt;"", TEXT(Table5[[#This Row],[Query Date]], "mmmm"), "")</f>
        <v>May</v>
      </c>
      <c r="G97" s="28" t="s">
        <v>65</v>
      </c>
      <c r="H97" s="28" t="s">
        <v>99</v>
      </c>
      <c r="I97" s="28" t="s">
        <v>67</v>
      </c>
      <c r="J97" s="28" t="s">
        <v>68</v>
      </c>
      <c r="K97" s="28" t="s">
        <v>178</v>
      </c>
      <c r="L97" s="25" t="s">
        <v>70</v>
      </c>
      <c r="M97" s="112" t="s">
        <v>975</v>
      </c>
      <c r="N97" s="25" t="s">
        <v>976</v>
      </c>
      <c r="O97" s="130" t="s">
        <v>977</v>
      </c>
      <c r="P97" s="46" t="s">
        <v>978</v>
      </c>
      <c r="Q97" s="77">
        <v>46296</v>
      </c>
      <c r="R97" s="77" t="str">
        <f>IF(Table5[[#This Row],[Tour Starting Date]]&lt;&gt;"", TEXT(Table5[[#This Row],[Tour Starting Date]], "dddd"), "")</f>
        <v>Thursday</v>
      </c>
      <c r="S97" s="77">
        <v>46299</v>
      </c>
      <c r="T97" s="25" t="str">
        <f>IF(Table5[[#This Row],[Tour Ending Date]]&lt;&gt;"", TEXT(Table5[[#This Row],[Tour Ending Date]], "dddd"), "")</f>
        <v>Sunday</v>
      </c>
      <c r="U97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97" s="37" t="str">
        <f>IF(Table5[[#This Row],[Tour Starting Date]]&lt;&gt;"", TEXT(Table5[[#This Row],[Tour Starting Date]], "mmmm"), "")</f>
        <v>October</v>
      </c>
      <c r="W97" s="80" t="str" cm="1">
        <f t="array" ref="W97">IF(Q97&lt;&gt;"", INDEX(CI:CI, MATCH(1, (Q97&gt;=CG:CG)*(Q97&lt;=CH:CH), 0)), "")</f>
        <v>Regular Dates - Weekday</v>
      </c>
      <c r="X97" s="39">
        <v>18</v>
      </c>
      <c r="Y97" s="74">
        <v>13400</v>
      </c>
      <c r="Z97" s="74">
        <f>IF(OR(Table5[[#This Row],[Per Person Package Cost]]="", Table5[[#This Row],[No. of Pax]]=""), "", Table5[[#This Row],[Per Person Package Cost]] * Table5[[#This Row],[No. of Pax]])</f>
        <v>241200</v>
      </c>
      <c r="AA97" s="52" t="s">
        <v>75</v>
      </c>
      <c r="AB97" s="52" t="s">
        <v>75</v>
      </c>
      <c r="AC97" s="52" t="s">
        <v>134</v>
      </c>
      <c r="AD97" s="52" t="s">
        <v>575</v>
      </c>
      <c r="AE97" s="51" t="str">
        <f t="shared" si="5"/>
        <v>EMPSPR01</v>
      </c>
      <c r="AF97" s="51" t="str">
        <f t="shared" si="6"/>
        <v>A Pilgrimage of Faith and Culture</v>
      </c>
      <c r="AG97" s="74" t="str">
        <f t="shared" si="7"/>
        <v>Special Interest - Spiritual Tours</v>
      </c>
      <c r="AH97" s="73" t="str">
        <f t="shared" si="8"/>
        <v>West MP</v>
      </c>
      <c r="AI97" s="52" t="s">
        <v>159</v>
      </c>
      <c r="AJ97" s="56" t="s">
        <v>78</v>
      </c>
      <c r="AK97" s="59" t="s">
        <v>79</v>
      </c>
      <c r="AL97" s="60" t="s">
        <v>80</v>
      </c>
      <c r="AM97" s="54" t="s">
        <v>80</v>
      </c>
      <c r="AN97" s="14">
        <v>46175</v>
      </c>
      <c r="AO97" s="15">
        <v>46183</v>
      </c>
      <c r="AP97" s="91">
        <v>46248</v>
      </c>
      <c r="AQ97" s="87"/>
      <c r="AR97" s="26"/>
      <c r="AS97" s="65"/>
      <c r="AT97" s="88" t="s">
        <v>81</v>
      </c>
      <c r="AU97" s="67"/>
      <c r="BX97" s="1">
        <v>93</v>
      </c>
      <c r="CG97" s="143">
        <v>46433</v>
      </c>
      <c r="CH97" s="143">
        <v>46436</v>
      </c>
      <c r="CI97" s="142" t="s">
        <v>88</v>
      </c>
      <c r="CJ97" s="141"/>
      <c r="CK97" s="141"/>
      <c r="CN97" t="s">
        <v>979</v>
      </c>
      <c r="CU97" t="s">
        <v>92</v>
      </c>
      <c r="CV97" t="s">
        <v>147</v>
      </c>
      <c r="CW97" t="s">
        <v>980</v>
      </c>
      <c r="CX97" s="124" t="s">
        <v>981</v>
      </c>
      <c r="CY97" t="s">
        <v>151</v>
      </c>
      <c r="CZ97" t="s">
        <v>982</v>
      </c>
      <c r="DA97" t="str" cm="1">
        <f t="array" ref="DA97:EO97">IF(U97&lt;&gt;"", TRANSPOSE(_xlfn._xlws.FILTER(CZ:CZ, CY:CY=U97, "")), "")</f>
        <v>Gwl (3N) + Mor + Son + Dat + Orc</v>
      </c>
      <c r="DB97" t="str">
        <v>Ex Gwl | Gwl (1N) - Son - Dat - Orc (1N) - Gwl (1N)</v>
      </c>
      <c r="DC97" t="str">
        <v>Ex Idr | Idr - Ujj (1N) - Omk - Mah (1N) - Man (1N) - Idr</v>
      </c>
      <c r="DD97" t="str">
        <v>Ex Jlr | Jlr - Kan (2N) - Jlr (1N)</v>
      </c>
      <c r="DE97" t="str">
        <v>Ex Jlr | Jlr - Ban (2N) - Jlr (1N)</v>
      </c>
      <c r="DF97" t="str">
        <v>Ex Bho | Bho (1N) + San - Bhoj - Bhim - Pch (2N) - Bho</v>
      </c>
      <c r="DG97" t="str">
        <v>Ex Idr | Idr (1N) - Ujj (1N) - Omk (1N) - Mah - Idr</v>
      </c>
      <c r="DH97" t="str">
        <v>Gwl - Orc (1N) - Ckt (1N) - Myr (1N) - Jlr</v>
      </c>
      <c r="DI97" t="str">
        <v>Gwl - Orc (1N) - Ckt (2N) - Ixd</v>
      </c>
      <c r="DJ97" t="str">
        <v>Ex Idr | Idr - Ujj (1N) - Omk - Mah (1N) - Idr (1N)</v>
      </c>
      <c r="DK97" t="str">
        <v>Ex Jlr | Jlr - Kan (3N) - Jlr</v>
      </c>
      <c r="DL97" t="str">
        <v>Ex Bho | Bho (2N) + Bhim + Bhoj + San + Udaygiri + Vidisha + FDCT Bho</v>
      </c>
      <c r="DM97" t="str">
        <v>Bho (1N) + Bhim + Bhoj - HDCT  Bho + Sanchi - Ujj (2N)</v>
      </c>
      <c r="DN97" t="str">
        <v>Bho (1N) + Bhim + Bhoj - HDCT  Bho + Sanchi - Ujj (2N) - Idr</v>
      </c>
      <c r="DO97" t="str">
        <v>Ex Bho | Bho - Bhoj - Bhim - Mad (1N) - Pch (2N) - Bho</v>
      </c>
      <c r="DP97" t="str">
        <v>Ex Bho | Bho - Bhoj - Bhim - Mad (1N) - Pch (3N) - Bho</v>
      </c>
      <c r="DQ97" t="str">
        <v>Ex Bho | Bho - Bhoj - Bhim - Tawa (1N) - Mad (1N) - Bho (1N)</v>
      </c>
      <c r="DR97" t="str">
        <v>Bho (1N) - Bhim - Bhoj - San - Idr (2N) + Ujj</v>
      </c>
      <c r="DS97" t="str">
        <v>Bho (1N) - Bhoj - Bhim - Pch (2N) - Bho</v>
      </c>
      <c r="DT97" t="str">
        <v>Ujj (1N) - Omk - Mah (1N) - Idr (1N)</v>
      </c>
      <c r="DU97" t="str">
        <v>Ujj (1N) - Omk - Mah (1N) - Man (1N) - Idr</v>
      </c>
      <c r="DV97" t="str">
        <v>Ex Idr | Idr (1N) - Ujj (1N) - Omk - Mah (1N)</v>
      </c>
      <c r="DW97" t="str">
        <v>Ex Idr | Idr - Ujj (1N) - Omk (1N) - Mah (1N) - Idr</v>
      </c>
      <c r="DX97" t="str">
        <v>Khandwa - Omk (1N) - Mah (1N) - Ujj (1N) - Idr</v>
      </c>
      <c r="DY97" t="str">
        <v>Ex Idr | Idr - Ujj (1N) - Omk - Mah (1N) - Man - Idr (1N)</v>
      </c>
      <c r="DZ97" t="str">
        <v xml:space="preserve">Idr - Omk (1N) - Mah - Ujj (1N) San - Bho (1N) </v>
      </c>
      <c r="EA97" t="str">
        <v>Ex Idr | Idr - Man (1N) - Mah - Omk (1N) - Ujj (1N) - Idr</v>
      </c>
      <c r="EB97" t="str">
        <v>Khandwa - Omk (1N) - Mah - Ujj (2N)</v>
      </c>
      <c r="EC97" t="str">
        <v>Ex Jlr | Jlr (1N) - Amr (1N) - Ban (1N) - Jlr</v>
      </c>
      <c r="ED97" t="str">
        <v>Ex Jlr | Jlr - (1 N) Ban - (2 N) Amar</v>
      </c>
      <c r="EE97" t="str">
        <v>Jlr - Kan (1N) - Pch (2N)</v>
      </c>
      <c r="EF97" t="str">
        <v>Pi - Pch (2N)  - Kan (1N)</v>
      </c>
      <c r="EG97" t="str">
        <v>Ex Jlr | Jlr - Amr (1 N) - (1 N) Ban - (1 N) Jlr</v>
      </c>
      <c r="EH97" t="str">
        <v>Ppi - (2 N) Pch - (1 N) Pen</v>
      </c>
      <c r="EI97" t="str">
        <v>Bhp - Pch (2N) - Jlr (1N)</v>
      </c>
      <c r="EJ97" t="str">
        <v xml:space="preserve">Arr Jhn - Hjr (1N) - Orc - Gwl (2N) </v>
      </c>
      <c r="EK97" t="str">
        <v>(1 N) Ujj - (1 N) Mah - (1 N) Idr</v>
      </c>
      <c r="EL97" t="str">
        <v>Ex Bhp | Bhp - Bhoj - Bhim - Pch (3N) - Bhp</v>
      </c>
      <c r="EM97" t="str">
        <v>Ex Bhp | Bhp - Bhoj - Bhim - Pch (2N) - Mad (1N) - Bhp</v>
      </c>
      <c r="EN97" t="str">
        <v xml:space="preserve">Ex Nag - 3N Pch + Sat </v>
      </c>
      <c r="EO97" t="str">
        <v>1N Gwl - Son - Dat - 1N Hjr - 1N Orc - Jhn</v>
      </c>
    </row>
    <row r="98" spans="2:145" ht="15" customHeight="1">
      <c r="B98" s="35">
        <v>94</v>
      </c>
      <c r="C98" s="36" t="s">
        <v>983</v>
      </c>
      <c r="D98" s="76">
        <v>46172</v>
      </c>
      <c r="E98" s="37" t="str">
        <f>IF(Table5[[#This Row],[Query Date]]&lt;&gt;"", TEXT(Table5[[#This Row],[Query Date]], "dddd"), "")</f>
        <v>Saturday</v>
      </c>
      <c r="F98" s="37" t="str">
        <f>IF(Table5[[#This Row],[Query Date]]&lt;&gt;"", TEXT(Table5[[#This Row],[Query Date]], "mmmm"), "")</f>
        <v>May</v>
      </c>
      <c r="G98" s="28" t="s">
        <v>65</v>
      </c>
      <c r="H98" s="28" t="s">
        <v>99</v>
      </c>
      <c r="I98" s="28" t="s">
        <v>67</v>
      </c>
      <c r="J98" s="28" t="s">
        <v>68</v>
      </c>
      <c r="K98" s="28" t="s">
        <v>644</v>
      </c>
      <c r="L98" s="25" t="s">
        <v>70</v>
      </c>
      <c r="M98" s="112" t="s">
        <v>984</v>
      </c>
      <c r="N98" s="25"/>
      <c r="O98" s="130" t="s">
        <v>985</v>
      </c>
      <c r="P98" s="46" t="s">
        <v>986</v>
      </c>
      <c r="Q98" s="77">
        <v>46351</v>
      </c>
      <c r="R98" s="77" t="str">
        <f>IF(Table5[[#This Row],[Tour Starting Date]]&lt;&gt;"", TEXT(Table5[[#This Row],[Tour Starting Date]], "dddd"), "")</f>
        <v>Wednesday</v>
      </c>
      <c r="S98" s="77">
        <v>46356</v>
      </c>
      <c r="T98" s="25" t="str">
        <f>IF(Table5[[#This Row],[Tour Ending Date]]&lt;&gt;"", TEXT(Table5[[#This Row],[Tour Ending Date]], "dddd"), "")</f>
        <v>Monday</v>
      </c>
      <c r="U98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5 Nights &amp; 6 Days</v>
      </c>
      <c r="V98" s="37" t="str">
        <f>IF(Table5[[#This Row],[Tour Starting Date]]&lt;&gt;"", TEXT(Table5[[#This Row],[Tour Starting Date]], "mmmm"), "")</f>
        <v>November</v>
      </c>
      <c r="W98" s="80" t="str" cm="1">
        <f t="array" ref="W98">IF(Q98&lt;&gt;"", INDEX(CI:CI, MATCH(1, (Q98&gt;=CG:CG)*(Q98&lt;=CH:CH), 0)), "")</f>
        <v>Regular Dates - Weekday</v>
      </c>
      <c r="X98" s="39">
        <v>2</v>
      </c>
      <c r="Y98" s="74">
        <v>21700</v>
      </c>
      <c r="Z98" s="74">
        <f>IF(OR(Table5[[#This Row],[Per Person Package Cost]]="", Table5[[#This Row],[No. of Pax]]=""), "", Table5[[#This Row],[Per Person Package Cost]] * Table5[[#This Row],[No. of Pax]])</f>
        <v>43400</v>
      </c>
      <c r="AA98" s="52" t="s">
        <v>520</v>
      </c>
      <c r="AB98" s="52" t="s">
        <v>75</v>
      </c>
      <c r="AC98" s="52" t="s">
        <v>105</v>
      </c>
      <c r="AD98" s="52" t="s">
        <v>425</v>
      </c>
      <c r="AE98" s="51" t="str">
        <f t="shared" si="5"/>
        <v>EXIDR09</v>
      </c>
      <c r="AF98" s="51" t="str">
        <f t="shared" si="6"/>
        <v>Cultural Treasures Unveiled</v>
      </c>
      <c r="AG98" s="74" t="str">
        <f t="shared" si="7"/>
        <v>Quick Getaways</v>
      </c>
      <c r="AH98" s="73" t="str">
        <f t="shared" si="8"/>
        <v>South + West MP</v>
      </c>
      <c r="AI98" s="52" t="s">
        <v>159</v>
      </c>
      <c r="AJ98" s="56" t="s">
        <v>78</v>
      </c>
      <c r="AK98" s="59" t="s">
        <v>79</v>
      </c>
      <c r="AL98" s="60" t="s">
        <v>80</v>
      </c>
      <c r="AM98" s="54" t="s">
        <v>80</v>
      </c>
      <c r="AN98" s="14">
        <v>46175</v>
      </c>
      <c r="AO98" s="15">
        <v>46183</v>
      </c>
      <c r="AP98" s="91">
        <v>46254</v>
      </c>
      <c r="AQ98" s="87"/>
      <c r="AR98" s="26"/>
      <c r="AS98" s="65"/>
      <c r="AT98" s="88" t="s">
        <v>138</v>
      </c>
      <c r="AU98" s="67"/>
      <c r="BX98" s="1">
        <v>94</v>
      </c>
      <c r="CG98" s="143">
        <v>46437</v>
      </c>
      <c r="CH98" s="143">
        <v>46439</v>
      </c>
      <c r="CI98" s="142" t="s">
        <v>987</v>
      </c>
      <c r="CJ98" s="141"/>
      <c r="CK98" s="141"/>
      <c r="CN98" t="s">
        <v>988</v>
      </c>
      <c r="CU98" t="s">
        <v>92</v>
      </c>
      <c r="CV98" t="s">
        <v>171</v>
      </c>
      <c r="CW98" t="s">
        <v>989</v>
      </c>
      <c r="CX98" s="124" t="s">
        <v>990</v>
      </c>
      <c r="CY98" s="124" t="s">
        <v>125</v>
      </c>
      <c r="CZ98" t="s">
        <v>251</v>
      </c>
      <c r="DA98" t="str" cm="1">
        <f t="array" ref="DA98:DW98">IF(U98&lt;&gt;"", TRANSPOSE(_xlfn._xlws.FILTER(CZ:CZ, CY:CY=U98, "")), "")</f>
        <v>Gwl (2N) + Mor - Son - Dat - Orc (1N) - Hjr (2N) + Panna</v>
      </c>
      <c r="DB98" t="str">
        <v>Ex Gwl | Gwl (2N) + Mor - Shiv - Chan (2N) - Orc (1N) - Dat - Son - Gwl</v>
      </c>
      <c r="DC98" t="str">
        <v>Gwl (2N) + Mor - Son - Dat - Orc (1N) - Hjr (1N) - Jlr (1N)</v>
      </c>
      <c r="DD98" t="str">
        <v>Ex Idr | Idr - Ujj (1N) - Omk (1N) - Mah (1N) - Man (1N) - Idr (1N)</v>
      </c>
      <c r="DE98" t="str">
        <v>Bhp (1N) + Bhim + Bhoj + San - Ujj (1N) - Man (2N) - Mah - Omk (1N) - Idr</v>
      </c>
      <c r="DF98" t="str">
        <v>Jlr (1N) - Hjr (1N) - Orc (1N) - Dat - Son - Gwl (2N) + Mor</v>
      </c>
      <c r="DG98" t="str">
        <v>Jlr (1N) - Kan (1N) - Pch (2N) - Bhim - Bhoj - Bho (1N) + Sanchi</v>
      </c>
      <c r="DH98" t="str">
        <v>Ex Bho | Bho (1N) + San - Bhoj - Bhim - Tawa (1N) - Mad (1N) - Pch (2N) - Bho</v>
      </c>
      <c r="DI98" t="str">
        <v>Bho (1N) + San + Udaygiri - Bhoj - Bhim - Pch (2N) - Kan(1N) - Jlr (1N)</v>
      </c>
      <c r="DJ98" t="str">
        <v>Bho (1N) + Bhim + Bhoj - San - Ujj (1N) - Man (2N) - Mah - Omk (1N) - Idr</v>
      </c>
      <c r="DK98" t="str">
        <v>Idr - Man (2N) - Idr (1N) - Bho (2N) + Bhim + Bhoj + Sanchi</v>
      </c>
      <c r="DL98" t="str">
        <v>Ex Bho | Bho (2N) + San + Udaygiri - Bhoj - Bhim - Pch (2N) - Tawa (1N) - Bho</v>
      </c>
      <c r="DM98" t="str">
        <v>Rpr - Kan (2N) - Pen (1N) - Pch (2N) - Bho</v>
      </c>
      <c r="DN98" t="str">
        <v>Nag - Pen (2N) - Pch (2N) - Bhim - Bhoj - Bho (1N) + San</v>
      </c>
      <c r="DO98" t="str">
        <v>Gwl (2N) (Ex Mor) - Orc (1N) - Chn (1N) - Shiv (1N) - Jhn</v>
      </c>
      <c r="DP98" t="str">
        <v>Gwl (2N) (Ex Mor) - Dat - Orc (1N) - Chn (1N) - Shiv (1N) - Jhn</v>
      </c>
      <c r="DQ98" t="str">
        <v>Nag - Pen (2N) - Kan (2N) - Jlr (1N)</v>
      </c>
      <c r="DR98" t="str">
        <v>Rpr - (2 N) Amr - (1 N) Ban - (1 N) Hjr - (1 N) Jlr</v>
      </c>
      <c r="DS98" t="str">
        <v>Gwl (2N) (Ex Mor) -Orc  - Hjr (1N) - Chn (1N) - Shiv (1N) - Jhn</v>
      </c>
      <c r="DT98" t="str">
        <v>(2 N) Gwl - (1 N) Orch - (1 N) Hjr - (1 N) Jlr</v>
      </c>
      <c r="DU98" t="str">
        <v xml:space="preserve">Arr Rpr - Amr (2N) - Par (2N) - Jlr (1N) </v>
      </c>
      <c r="DV98" t="str">
        <v>3N Idr (Ex Ujj - Man) - Bhim - Bhoj - San - 2N Bho</v>
      </c>
      <c r="DW98" t="str">
        <v>1N Jlr - 1N Kan - 3N Pch - Ppi</v>
      </c>
    </row>
    <row r="99" spans="2:145" ht="15" customHeight="1">
      <c r="B99" s="34">
        <v>95</v>
      </c>
      <c r="C99" s="36" t="s">
        <v>991</v>
      </c>
      <c r="D99" s="76">
        <v>46174</v>
      </c>
      <c r="E99" s="37" t="str">
        <f>IF(Table5[[#This Row],[Query Date]]&lt;&gt;"", TEXT(Table5[[#This Row],[Query Date]], "dddd"), "")</f>
        <v>Monday</v>
      </c>
      <c r="F99" s="37" t="str">
        <f>IF(Table5[[#This Row],[Query Date]]&lt;&gt;"", TEXT(Table5[[#This Row],[Query Date]], "mmmm"), "")</f>
        <v>June</v>
      </c>
      <c r="G99" s="28" t="s">
        <v>65</v>
      </c>
      <c r="H99" s="28" t="s">
        <v>66</v>
      </c>
      <c r="I99" s="28" t="s">
        <v>67</v>
      </c>
      <c r="J99" s="28" t="s">
        <v>119</v>
      </c>
      <c r="K99" s="28" t="s">
        <v>128</v>
      </c>
      <c r="L99" s="25" t="s">
        <v>70</v>
      </c>
      <c r="M99" s="25" t="s">
        <v>992</v>
      </c>
      <c r="N99" s="40" t="s">
        <v>993</v>
      </c>
      <c r="O99" s="132" t="s">
        <v>994</v>
      </c>
      <c r="P99" s="46" t="s">
        <v>995</v>
      </c>
      <c r="Q99" s="77">
        <v>46177</v>
      </c>
      <c r="R99" s="77" t="str">
        <f>IF(Table5[[#This Row],[Tour Starting Date]]&lt;&gt;"", TEXT(Table5[[#This Row],[Tour Starting Date]], "dddd"), "")</f>
        <v>Thursday</v>
      </c>
      <c r="S99" s="77">
        <v>46179</v>
      </c>
      <c r="T99" s="25" t="str">
        <f>IF(Table5[[#This Row],[Tour Ending Date]]&lt;&gt;"", TEXT(Table5[[#This Row],[Tour Ending Date]], "dddd"), "")</f>
        <v>Saturday</v>
      </c>
      <c r="U99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99" s="37" t="str">
        <f>IF(Table5[[#This Row],[Tour Starting Date]]&lt;&gt;"", TEXT(Table5[[#This Row],[Tour Starting Date]], "mmmm"), "")</f>
        <v>June</v>
      </c>
      <c r="W99" s="80" t="str" cm="1">
        <f t="array" ref="W99">IF(Q99&lt;&gt;"", INDEX(CI:CI, MATCH(1, (Q99&gt;=CG:CG)*(Q99&lt;=CH:CH), 0)), "")</f>
        <v>Regular Dates - Weekday</v>
      </c>
      <c r="X99" s="39">
        <v>2</v>
      </c>
      <c r="Y99" s="74">
        <v>4700</v>
      </c>
      <c r="Z99" s="74">
        <f>IF(OR(Table5[[#This Row],[Per Person Package Cost]]="", Table5[[#This Row],[No. of Pax]]=""), "", Table5[[#This Row],[Per Person Package Cost]] * Table5[[#This Row],[No. of Pax]])</f>
        <v>9400</v>
      </c>
      <c r="AA99" s="52" t="s">
        <v>996</v>
      </c>
      <c r="AB99" s="52" t="s">
        <v>997</v>
      </c>
      <c r="AC99" s="52" t="s">
        <v>76</v>
      </c>
      <c r="AD99" s="52" t="s">
        <v>471</v>
      </c>
      <c r="AE99" s="51" t="str">
        <f t="shared" si="5"/>
        <v>EXJBP01</v>
      </c>
      <c r="AF99" s="51" t="str">
        <f t="shared" si="6"/>
        <v>Kanha Calling</v>
      </c>
      <c r="AG99" s="74" t="str">
        <f t="shared" si="7"/>
        <v>Quick Getaways</v>
      </c>
      <c r="AH99" s="73" t="str">
        <f t="shared" si="8"/>
        <v>East MP</v>
      </c>
      <c r="AI99" s="52" t="s">
        <v>107</v>
      </c>
      <c r="AJ99" s="56" t="s">
        <v>78</v>
      </c>
      <c r="AK99" s="59" t="s">
        <v>79</v>
      </c>
      <c r="AL99" s="60" t="s">
        <v>80</v>
      </c>
      <c r="AM99" s="54" t="s">
        <v>80</v>
      </c>
      <c r="AN99" s="14">
        <v>46175</v>
      </c>
      <c r="AO99" s="15"/>
      <c r="AP99" s="91"/>
      <c r="AQ99" s="87"/>
      <c r="AR99" s="26"/>
      <c r="AS99" s="65"/>
      <c r="AT99" s="88" t="s">
        <v>81</v>
      </c>
      <c r="AU99" s="67"/>
      <c r="BX99" s="1">
        <v>95</v>
      </c>
      <c r="CG99" s="143">
        <v>46440</v>
      </c>
      <c r="CH99" s="143">
        <v>46443</v>
      </c>
      <c r="CI99" s="142" t="s">
        <v>88</v>
      </c>
      <c r="CJ99" s="141"/>
      <c r="CK99" s="141"/>
      <c r="CN99" t="s">
        <v>998</v>
      </c>
      <c r="CU99" t="s">
        <v>92</v>
      </c>
      <c r="CV99" t="s">
        <v>171</v>
      </c>
      <c r="CW99" t="s">
        <v>999</v>
      </c>
      <c r="CX99" s="124" t="s">
        <v>1000</v>
      </c>
      <c r="CY99" s="124" t="s">
        <v>151</v>
      </c>
      <c r="CZ99" t="s">
        <v>593</v>
      </c>
      <c r="DA99" t="str" cm="1">
        <f t="array" ref="DA99:DY99">IF(U99&lt;&gt;"", TRANSPOSE(_xlfn._xlws.FILTER(CZ:CZ, CY:CY=U99, "")), "")</f>
        <v>Gwl (2N) + Mor</v>
      </c>
      <c r="DB99" t="str">
        <v>Ex Idr | Idr - Ujj (1N) - Omk - Mah (1N) - Man - Idr</v>
      </c>
      <c r="DC99" t="str">
        <v>Ujj (1N) - Omk - Idr (1N)</v>
      </c>
      <c r="DD99" t="str">
        <v>Ex Jlr | Jlr - Kan (2N) - Jlr</v>
      </c>
      <c r="DE99" t="str">
        <v>Ex Jlr | Jlr - Ban (2N) - Jlr</v>
      </c>
      <c r="DF99" t="str">
        <v>Ex Bho | Bho (2N) + Bhim + Bhoj + San</v>
      </c>
      <c r="DG99" t="str">
        <v>Ex Idr | Idr - Man (2N) - Idr</v>
      </c>
      <c r="DH99" t="str">
        <v>Ex Jlr | Jlr - Kan (2N) - Jlr</v>
      </c>
      <c r="DI99" t="str">
        <v>Ex Bho | Bho (2N) + Bhim + Bhoj + San + HDCT Bho</v>
      </c>
      <c r="DJ99" t="str">
        <v>Ex Bho | Bho - Bhim - Tawa (1N) - Mad (1N) - Bho</v>
      </c>
      <c r="DK99" t="str">
        <v>Ujj (1N) - Omk - Mah (1N) - Idr</v>
      </c>
      <c r="DL99" t="str">
        <v>Ujj (1N) -  Idr (1N)</v>
      </c>
      <c r="DM99" t="str">
        <v>Ex Idr | Idr (2N) + Ujj + Omk + Mah</v>
      </c>
      <c r="DN99" t="str">
        <v>Idr - Mah - Omk (1N) - Ujj (1N)</v>
      </c>
      <c r="DO99" t="str">
        <v>Idr - Ujj (1N) - Mah - Omk (1N) - Khandwa</v>
      </c>
      <c r="DP99" t="str">
        <v>Ex Idr | Idr (EX Ujj) (1N) - Mah - Omk (1N) - Idr HDCT</v>
      </c>
      <c r="DQ99" t="str">
        <v>Ujj (1N) - Sehor - Bho (1N) HDCT</v>
      </c>
      <c r="DR99" t="str">
        <v>Ex Jlr | Jlr (1N) - Ban (1N)</v>
      </c>
      <c r="DS99" t="str">
        <v>Ex Jlr | Ban (1N)</v>
      </c>
      <c r="DT99" t="str">
        <v>Ex Jlr | Jlr (2 N) Kan</v>
      </c>
      <c r="DU99" t="str">
        <v>Ex Jlr | Jlr - Amr (1 N) - (1 N) Ban</v>
      </c>
      <c r="DV99" t="str">
        <v>Ex Rpr | Rpr - (2N) Kan</v>
      </c>
      <c r="DW99" t="str">
        <v>Hjr (1N) - Mahi (1N) - Sat</v>
      </c>
      <c r="DX99" t="str">
        <v>Ex Bhp | Bhp - Bhim - Pch (2N) - Bhp</v>
      </c>
      <c r="DY99" t="str">
        <v xml:space="preserve">Ex Ujj I 2N Ujj </v>
      </c>
    </row>
    <row r="100" spans="2:145" ht="15" customHeight="1">
      <c r="B100" s="35">
        <v>96</v>
      </c>
      <c r="C100" s="36" t="s">
        <v>1001</v>
      </c>
      <c r="D100" s="76">
        <v>46175</v>
      </c>
      <c r="E100" s="37" t="str">
        <f>IF(Table5[[#This Row],[Query Date]]&lt;&gt;"", TEXT(Table5[[#This Row],[Query Date]], "dddd"), "")</f>
        <v>Tuesday</v>
      </c>
      <c r="F100" s="37" t="str">
        <f>IF(Table5[[#This Row],[Query Date]]&lt;&gt;"", TEXT(Table5[[#This Row],[Query Date]], "mmmm"), "")</f>
        <v>June</v>
      </c>
      <c r="G100" s="28" t="s">
        <v>65</v>
      </c>
      <c r="H100" s="28" t="s">
        <v>66</v>
      </c>
      <c r="I100" s="28" t="s">
        <v>67</v>
      </c>
      <c r="J100" s="28" t="s">
        <v>68</v>
      </c>
      <c r="K100" s="28" t="s">
        <v>69</v>
      </c>
      <c r="L100" s="25" t="s">
        <v>70</v>
      </c>
      <c r="M100" s="112" t="s">
        <v>266</v>
      </c>
      <c r="N100" s="25" t="s">
        <v>386</v>
      </c>
      <c r="O100" s="130" t="s">
        <v>387</v>
      </c>
      <c r="P100" s="46" t="s">
        <v>388</v>
      </c>
      <c r="Q100" s="77">
        <v>46210</v>
      </c>
      <c r="R100" s="77" t="str">
        <f>IF(Table5[[#This Row],[Tour Starting Date]]&lt;&gt;"", TEXT(Table5[[#This Row],[Tour Starting Date]], "dddd"), "")</f>
        <v>Tuesday</v>
      </c>
      <c r="S100" s="77">
        <v>46212</v>
      </c>
      <c r="T100" s="25" t="str">
        <f>IF(Table5[[#This Row],[Tour Ending Date]]&lt;&gt;"", TEXT(Table5[[#This Row],[Tour Ending Date]], "dddd"), "")</f>
        <v>Thursday</v>
      </c>
      <c r="U100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100" s="37" t="str">
        <f>IF(Table5[[#This Row],[Tour Starting Date]]&lt;&gt;"", TEXT(Table5[[#This Row],[Tour Starting Date]], "mmmm"), "")</f>
        <v>July</v>
      </c>
      <c r="W100" s="80" t="str" cm="1">
        <f t="array" ref="W100">IF(Q100&lt;&gt;"", INDEX(CI:CI, MATCH(1, (Q100&gt;=CG:CG)*(Q100&lt;=CH:CH), 0)), "")</f>
        <v>Regular Dates - Weekday</v>
      </c>
      <c r="X100" s="39">
        <v>2</v>
      </c>
      <c r="Y100" s="74">
        <v>12900</v>
      </c>
      <c r="Z100" s="74">
        <f>IF(OR(Table5[[#This Row],[Per Person Package Cost]]="", Table5[[#This Row],[No. of Pax]]=""), "", Table5[[#This Row],[Per Person Package Cost]] * Table5[[#This Row],[No. of Pax]])</f>
        <v>25800</v>
      </c>
      <c r="AA100" s="52" t="s">
        <v>75</v>
      </c>
      <c r="AB100" s="52" t="s">
        <v>75</v>
      </c>
      <c r="AC100" s="52" t="s">
        <v>173</v>
      </c>
      <c r="AD100" s="52" t="s">
        <v>106</v>
      </c>
      <c r="AE100" s="51" t="str">
        <f t="shared" si="5"/>
        <v>EXIDR04</v>
      </c>
      <c r="AF100" s="51" t="str">
        <f t="shared" si="6"/>
        <v>Heritage Pilgrimage</v>
      </c>
      <c r="AG100" s="74" t="str">
        <f t="shared" si="7"/>
        <v>Quick Getaways</v>
      </c>
      <c r="AH100" s="73" t="str">
        <f t="shared" si="8"/>
        <v>West MP</v>
      </c>
      <c r="AI100" s="52" t="s">
        <v>159</v>
      </c>
      <c r="AJ100" s="56" t="s">
        <v>78</v>
      </c>
      <c r="AK100" s="59" t="s">
        <v>79</v>
      </c>
      <c r="AL100" s="60" t="s">
        <v>80</v>
      </c>
      <c r="AM100" s="54" t="s">
        <v>80</v>
      </c>
      <c r="AN100" s="14">
        <v>46178</v>
      </c>
      <c r="AO100" s="15">
        <v>46195</v>
      </c>
      <c r="AP100" s="91"/>
      <c r="AQ100" s="87"/>
      <c r="AR100" s="26"/>
      <c r="AS100" s="65"/>
      <c r="AT100" s="88" t="s">
        <v>81</v>
      </c>
      <c r="AU100" s="67" t="s">
        <v>112</v>
      </c>
      <c r="BX100" s="1">
        <v>96</v>
      </c>
      <c r="CG100" s="143">
        <v>46444</v>
      </c>
      <c r="CH100" s="143">
        <v>46446</v>
      </c>
      <c r="CI100" s="142" t="s">
        <v>116</v>
      </c>
      <c r="CJ100" s="141"/>
      <c r="CK100" s="141"/>
      <c r="CN100" t="s">
        <v>1002</v>
      </c>
      <c r="CU100" t="s">
        <v>92</v>
      </c>
      <c r="CV100" t="s">
        <v>171</v>
      </c>
      <c r="CW100" t="s">
        <v>1003</v>
      </c>
      <c r="CX100" s="124" t="s">
        <v>1004</v>
      </c>
      <c r="CY100" s="124" t="s">
        <v>151</v>
      </c>
      <c r="CZ100" t="s">
        <v>1005</v>
      </c>
      <c r="DA100" t="str" cm="1">
        <f t="array" ref="DA100:DY100">IF(U100&lt;&gt;"", TRANSPOSE(_xlfn._xlws.FILTER(CZ:CZ, CY:CY=U100, "")), "")</f>
        <v>Gwl (2N) + Mor</v>
      </c>
      <c r="DB100" t="str">
        <v>Ex Idr | Idr - Ujj (1N) - Omk - Mah (1N) - Man - Idr</v>
      </c>
      <c r="DC100" t="str">
        <v>Ujj (1N) - Omk - Idr (1N)</v>
      </c>
      <c r="DD100" t="str">
        <v>Ex Jlr | Jlr - Kan (2N) - Jlr</v>
      </c>
      <c r="DE100" t="str">
        <v>Ex Jlr | Jlr - Ban (2N) - Jlr</v>
      </c>
      <c r="DF100" t="str">
        <v>Ex Bho | Bho (2N) + Bhim + Bhoj + San</v>
      </c>
      <c r="DG100" t="str">
        <v>Ex Idr | Idr - Man (2N) - Idr</v>
      </c>
      <c r="DH100" t="str">
        <v>Ex Jlr | Jlr - Kan (2N) - Jlr</v>
      </c>
      <c r="DI100" t="str">
        <v>Ex Bho | Bho (2N) + Bhim + Bhoj + San + HDCT Bho</v>
      </c>
      <c r="DJ100" t="str">
        <v>Ex Bho | Bho - Bhim - Tawa (1N) - Mad (1N) - Bho</v>
      </c>
      <c r="DK100" t="str">
        <v>Ujj (1N) - Omk - Mah (1N) - Idr</v>
      </c>
      <c r="DL100" t="str">
        <v>Ujj (1N) -  Idr (1N)</v>
      </c>
      <c r="DM100" t="str">
        <v>Ex Idr | Idr (2N) + Ujj + Omk + Mah</v>
      </c>
      <c r="DN100" t="str">
        <v>Idr - Mah - Omk (1N) - Ujj (1N)</v>
      </c>
      <c r="DO100" t="str">
        <v>Idr - Ujj (1N) - Mah - Omk (1N) - Khandwa</v>
      </c>
      <c r="DP100" t="str">
        <v>Ex Idr | Idr (EX Ujj) (1N) - Mah - Omk (1N) - Idr HDCT</v>
      </c>
      <c r="DQ100" t="str">
        <v>Ujj (1N) - Sehor - Bho (1N) HDCT</v>
      </c>
      <c r="DR100" t="str">
        <v>Ex Jlr | Jlr (1N) - Ban (1N)</v>
      </c>
      <c r="DS100" t="str">
        <v>Ex Jlr | Ban (1N)</v>
      </c>
      <c r="DT100" t="str">
        <v>Ex Jlr | Jlr (2 N) Kan</v>
      </c>
      <c r="DU100" t="str">
        <v>Ex Jlr | Jlr - Amr (1 N) - (1 N) Ban</v>
      </c>
      <c r="DV100" t="str">
        <v>Ex Rpr | Rpr - (2N) Kan</v>
      </c>
      <c r="DW100" t="str">
        <v>Hjr (1N) - Mahi (1N) - Sat</v>
      </c>
      <c r="DX100" t="str">
        <v>Ex Bhp | Bhp - Bhim - Pch (2N) - Bhp</v>
      </c>
      <c r="DY100" t="str">
        <v xml:space="preserve">Ex Ujj I 2N Ujj </v>
      </c>
    </row>
    <row r="101" spans="2:145" ht="15" customHeight="1">
      <c r="B101" s="34">
        <v>97</v>
      </c>
      <c r="C101" s="36" t="s">
        <v>1006</v>
      </c>
      <c r="D101" s="76">
        <v>46176</v>
      </c>
      <c r="E101" s="37" t="str">
        <f>IF(Table5[[#This Row],[Query Date]]&lt;&gt;"", TEXT(Table5[[#This Row],[Query Date]], "dddd"), "")</f>
        <v>Wednesday</v>
      </c>
      <c r="F101" s="37" t="str">
        <f>IF(Table5[[#This Row],[Query Date]]&lt;&gt;"", TEXT(Table5[[#This Row],[Query Date]], "mmmm"), "")</f>
        <v>June</v>
      </c>
      <c r="G101" s="28" t="s">
        <v>65</v>
      </c>
      <c r="H101" s="28" t="s">
        <v>192</v>
      </c>
      <c r="I101" s="28" t="s">
        <v>67</v>
      </c>
      <c r="J101" s="28" t="s">
        <v>68</v>
      </c>
      <c r="K101" s="28" t="s">
        <v>128</v>
      </c>
      <c r="L101" s="25" t="s">
        <v>70</v>
      </c>
      <c r="M101" s="112" t="s">
        <v>129</v>
      </c>
      <c r="N101" s="25" t="s">
        <v>1007</v>
      </c>
      <c r="O101" s="130" t="s">
        <v>1008</v>
      </c>
      <c r="P101" s="46" t="s">
        <v>1009</v>
      </c>
      <c r="Q101" s="77">
        <v>46317</v>
      </c>
      <c r="R101" s="77" t="str">
        <f>IF(Table5[[#This Row],[Tour Starting Date]]&lt;&gt;"", TEXT(Table5[[#This Row],[Tour Starting Date]], "dddd"), "")</f>
        <v>Thursday</v>
      </c>
      <c r="S101" s="77">
        <v>46319</v>
      </c>
      <c r="T101" s="25" t="str">
        <f>IF(Table5[[#This Row],[Tour Ending Date]]&lt;&gt;"", TEXT(Table5[[#This Row],[Tour Ending Date]], "dddd"), "")</f>
        <v>Saturday</v>
      </c>
      <c r="U101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101" s="37" t="str">
        <f>IF(Table5[[#This Row],[Tour Starting Date]]&lt;&gt;"", TEXT(Table5[[#This Row],[Tour Starting Date]], "mmmm"), "")</f>
        <v>October</v>
      </c>
      <c r="W101" s="80" t="str" cm="1">
        <f t="array" ref="W101">IF(Q101&lt;&gt;"", INDEX(CI:CI, MATCH(1, (Q101&gt;=CG:CG)*(Q101&lt;=CH:CH), 0)), "")</f>
        <v>Regular Dates - Weekday</v>
      </c>
      <c r="X101" s="39">
        <v>2</v>
      </c>
      <c r="Y101" s="74"/>
      <c r="Z101" s="74" t="str">
        <f>IF(OR(Table5[[#This Row],[Per Person Package Cost]]="", Table5[[#This Row],[No. of Pax]]=""), "", Table5[[#This Row],[Per Person Package Cost]] * Table5[[#This Row],[No. of Pax]])</f>
        <v/>
      </c>
      <c r="AA101" s="52" t="s">
        <v>624</v>
      </c>
      <c r="AB101" s="52" t="s">
        <v>624</v>
      </c>
      <c r="AC101" s="52" t="s">
        <v>134</v>
      </c>
      <c r="AD101" s="52" t="s">
        <v>1010</v>
      </c>
      <c r="AE101" s="51" t="str">
        <f t="shared" si="5"/>
        <v>EXGWL22</v>
      </c>
      <c r="AF101" s="51" t="str">
        <f t="shared" si="6"/>
        <v>Chronicles of Central India</v>
      </c>
      <c r="AG101" s="74" t="str">
        <f t="shared" si="7"/>
        <v>Quick Getaways</v>
      </c>
      <c r="AH101" s="73" t="str">
        <f t="shared" si="8"/>
        <v>North MP</v>
      </c>
      <c r="AI101" s="52" t="s">
        <v>107</v>
      </c>
      <c r="AJ101" s="56" t="s">
        <v>78</v>
      </c>
      <c r="AK101" s="59" t="s">
        <v>79</v>
      </c>
      <c r="AL101" s="60" t="s">
        <v>80</v>
      </c>
      <c r="AM101" s="54" t="s">
        <v>80</v>
      </c>
      <c r="AN101" s="14">
        <v>46178</v>
      </c>
      <c r="AO101" s="15">
        <v>46200</v>
      </c>
      <c r="AP101" s="91">
        <v>46265</v>
      </c>
      <c r="AQ101" s="87"/>
      <c r="AR101" s="26"/>
      <c r="AS101" s="65"/>
      <c r="AT101" s="88" t="s">
        <v>138</v>
      </c>
      <c r="AU101" s="67"/>
      <c r="BX101" s="1">
        <v>97</v>
      </c>
      <c r="CG101" s="143">
        <v>46447</v>
      </c>
      <c r="CH101" s="143">
        <v>46450</v>
      </c>
      <c r="CI101" s="142" t="s">
        <v>88</v>
      </c>
      <c r="CJ101" s="141"/>
      <c r="CK101" s="141"/>
      <c r="CN101" t="s">
        <v>266</v>
      </c>
      <c r="CU101" t="s">
        <v>92</v>
      </c>
      <c r="CV101" t="s">
        <v>171</v>
      </c>
      <c r="CW101" t="s">
        <v>1011</v>
      </c>
      <c r="CX101" s="124" t="s">
        <v>1012</v>
      </c>
      <c r="CY101" s="124" t="s">
        <v>125</v>
      </c>
      <c r="CZ101" t="s">
        <v>1013</v>
      </c>
      <c r="DA101" t="str" cm="1">
        <f t="array" ref="DA101:DY101">IF(U101&lt;&gt;"", TRANSPOSE(_xlfn._xlws.FILTER(CZ:CZ, CY:CY=U101, "")), "")</f>
        <v>Gwl (2N) + Mor</v>
      </c>
      <c r="DB101" t="str">
        <v>Ex Idr | Idr - Ujj (1N) - Omk - Mah (1N) - Man - Idr</v>
      </c>
      <c r="DC101" t="str">
        <v>Ujj (1N) - Omk - Idr (1N)</v>
      </c>
      <c r="DD101" t="str">
        <v>Ex Jlr | Jlr - Kan (2N) - Jlr</v>
      </c>
      <c r="DE101" t="str">
        <v>Ex Jlr | Jlr - Ban (2N) - Jlr</v>
      </c>
      <c r="DF101" t="str">
        <v>Ex Bho | Bho (2N) + Bhim + Bhoj + San</v>
      </c>
      <c r="DG101" t="str">
        <v>Ex Idr | Idr - Man (2N) - Idr</v>
      </c>
      <c r="DH101" t="str">
        <v>Ex Jlr | Jlr - Kan (2N) - Jlr</v>
      </c>
      <c r="DI101" t="str">
        <v>Ex Bho | Bho (2N) + Bhim + Bhoj + San + HDCT Bho</v>
      </c>
      <c r="DJ101" t="str">
        <v>Ex Bho | Bho - Bhim - Tawa (1N) - Mad (1N) - Bho</v>
      </c>
      <c r="DK101" t="str">
        <v>Ujj (1N) - Omk - Mah (1N) - Idr</v>
      </c>
      <c r="DL101" t="str">
        <v>Ujj (1N) -  Idr (1N)</v>
      </c>
      <c r="DM101" t="str">
        <v>Ex Idr | Idr (2N) + Ujj + Omk + Mah</v>
      </c>
      <c r="DN101" t="str">
        <v>Idr - Mah - Omk (1N) - Ujj (1N)</v>
      </c>
      <c r="DO101" t="str">
        <v>Idr - Ujj (1N) - Mah - Omk (1N) - Khandwa</v>
      </c>
      <c r="DP101" t="str">
        <v>Ex Idr | Idr (EX Ujj) (1N) - Mah - Omk (1N) - Idr HDCT</v>
      </c>
      <c r="DQ101" t="str">
        <v>Ujj (1N) - Sehor - Bho (1N) HDCT</v>
      </c>
      <c r="DR101" t="str">
        <v>Ex Jlr | Jlr (1N) - Ban (1N)</v>
      </c>
      <c r="DS101" t="str">
        <v>Ex Jlr | Ban (1N)</v>
      </c>
      <c r="DT101" t="str">
        <v>Ex Jlr | Jlr (2 N) Kan</v>
      </c>
      <c r="DU101" t="str">
        <v>Ex Jlr | Jlr - Amr (1 N) - (1 N) Ban</v>
      </c>
      <c r="DV101" t="str">
        <v>Ex Rpr | Rpr - (2N) Kan</v>
      </c>
      <c r="DW101" t="str">
        <v>Hjr (1N) - Mahi (1N) - Sat</v>
      </c>
      <c r="DX101" t="str">
        <v>Ex Bhp | Bhp - Bhim - Pch (2N) - Bhp</v>
      </c>
      <c r="DY101" t="str">
        <v xml:space="preserve">Ex Ujj I 2N Ujj </v>
      </c>
    </row>
    <row r="102" spans="2:145" ht="15" customHeight="1">
      <c r="B102" s="35">
        <v>98</v>
      </c>
      <c r="C102" s="36" t="s">
        <v>1014</v>
      </c>
      <c r="D102" s="76">
        <v>46178</v>
      </c>
      <c r="E102" s="37" t="str">
        <f>IF(Table5[[#This Row],[Query Date]]&lt;&gt;"", TEXT(Table5[[#This Row],[Query Date]], "dddd"), "")</f>
        <v>Friday</v>
      </c>
      <c r="F102" s="37" t="str">
        <f>IF(Table5[[#This Row],[Query Date]]&lt;&gt;"", TEXT(Table5[[#This Row],[Query Date]], "mmmm"), "")</f>
        <v>June</v>
      </c>
      <c r="G102" s="28" t="s">
        <v>65</v>
      </c>
      <c r="H102" s="28" t="s">
        <v>99</v>
      </c>
      <c r="I102" s="28" t="s">
        <v>67</v>
      </c>
      <c r="J102" s="28" t="s">
        <v>68</v>
      </c>
      <c r="K102" s="28" t="s">
        <v>1015</v>
      </c>
      <c r="L102" s="25" t="s">
        <v>70</v>
      </c>
      <c r="M102" s="112" t="s">
        <v>1016</v>
      </c>
      <c r="N102" s="25" t="s">
        <v>1017</v>
      </c>
      <c r="O102" s="136" t="s">
        <v>1018</v>
      </c>
      <c r="P102" s="46" t="s">
        <v>1019</v>
      </c>
      <c r="Q102" s="77">
        <v>46181</v>
      </c>
      <c r="R102" s="77" t="str">
        <f>IF(Table5[[#This Row],[Tour Starting Date]]&lt;&gt;"", TEXT(Table5[[#This Row],[Tour Starting Date]], "dddd"), "")</f>
        <v>Monday</v>
      </c>
      <c r="S102" s="77">
        <v>46183</v>
      </c>
      <c r="T102" s="25" t="str">
        <f>IF(Table5[[#This Row],[Tour Ending Date]]&lt;&gt;"", TEXT(Table5[[#This Row],[Tour Ending Date]], "dddd"), "")</f>
        <v>Wednesday</v>
      </c>
      <c r="U102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102" s="37" t="str">
        <f>IF(Table5[[#This Row],[Tour Starting Date]]&lt;&gt;"", TEXT(Table5[[#This Row],[Tour Starting Date]], "mmmm"), "")</f>
        <v>June</v>
      </c>
      <c r="W102" s="80" t="str" cm="1">
        <f t="array" ref="W102">IF(Q102&lt;&gt;"", INDEX(CI:CI, MATCH(1, (Q102&gt;=CG:CG)*(Q102&lt;=CH:CH), 0)), "")</f>
        <v>Regular Dates - Weekday</v>
      </c>
      <c r="X102" s="39">
        <v>7</v>
      </c>
      <c r="Y102" s="74">
        <v>7600</v>
      </c>
      <c r="Z102" s="74">
        <f>IF(OR(Table5[[#This Row],[Per Person Package Cost]]="", Table5[[#This Row],[No. of Pax]]=""), "", Table5[[#This Row],[Per Person Package Cost]] * Table5[[#This Row],[No. of Pax]])</f>
        <v>53200</v>
      </c>
      <c r="AA102" s="52" t="s">
        <v>75</v>
      </c>
      <c r="AB102" s="52" t="s">
        <v>75</v>
      </c>
      <c r="AC102" s="52" t="s">
        <v>76</v>
      </c>
      <c r="AD102" s="52" t="s">
        <v>364</v>
      </c>
      <c r="AE102" s="51" t="str">
        <f t="shared" si="5"/>
        <v>EXIDR03</v>
      </c>
      <c r="AF102" s="51" t="str">
        <f t="shared" si="6"/>
        <v>Temple Fort Odyssey</v>
      </c>
      <c r="AG102" s="74" t="str">
        <f t="shared" si="7"/>
        <v>Quick Getaways</v>
      </c>
      <c r="AH102" s="73" t="str">
        <f t="shared" si="8"/>
        <v>West MP</v>
      </c>
      <c r="AI102" s="52" t="s">
        <v>159</v>
      </c>
      <c r="AJ102" s="56" t="s">
        <v>78</v>
      </c>
      <c r="AK102" s="59" t="s">
        <v>79</v>
      </c>
      <c r="AL102" s="60" t="s">
        <v>80</v>
      </c>
      <c r="AM102" s="54" t="s">
        <v>80</v>
      </c>
      <c r="AN102" s="14">
        <v>46180</v>
      </c>
      <c r="AO102" s="15"/>
      <c r="AP102" s="91"/>
      <c r="AQ102" s="87"/>
      <c r="AR102" s="26"/>
      <c r="AS102" s="65"/>
      <c r="AT102" s="88" t="s">
        <v>81</v>
      </c>
      <c r="AU102" s="67"/>
      <c r="BX102" s="1">
        <v>98</v>
      </c>
      <c r="CG102" s="143">
        <v>46451</v>
      </c>
      <c r="CH102" s="143">
        <v>46453</v>
      </c>
      <c r="CI102" s="142" t="s">
        <v>116</v>
      </c>
      <c r="CN102" t="s">
        <v>1020</v>
      </c>
      <c r="CU102" t="s">
        <v>92</v>
      </c>
      <c r="CV102" t="s">
        <v>171</v>
      </c>
      <c r="CW102" t="s">
        <v>1021</v>
      </c>
      <c r="CX102" s="124" t="s">
        <v>1022</v>
      </c>
      <c r="CY102" s="124" t="s">
        <v>151</v>
      </c>
      <c r="CZ102" t="s">
        <v>1023</v>
      </c>
      <c r="DA102" t="str" cm="1">
        <f t="array" ref="DA102:DY102">IF(U102&lt;&gt;"", TRANSPOSE(_xlfn._xlws.FILTER(CZ:CZ, CY:CY=U102, "")), "")</f>
        <v>Gwl (2N) + Mor</v>
      </c>
      <c r="DB102" t="str">
        <v>Ex Idr | Idr - Ujj (1N) - Omk - Mah (1N) - Man - Idr</v>
      </c>
      <c r="DC102" t="str">
        <v>Ujj (1N) - Omk - Idr (1N)</v>
      </c>
      <c r="DD102" t="str">
        <v>Ex Jlr | Jlr - Kan (2N) - Jlr</v>
      </c>
      <c r="DE102" t="str">
        <v>Ex Jlr | Jlr - Ban (2N) - Jlr</v>
      </c>
      <c r="DF102" t="str">
        <v>Ex Bho | Bho (2N) + Bhim + Bhoj + San</v>
      </c>
      <c r="DG102" t="str">
        <v>Ex Idr | Idr - Man (2N) - Idr</v>
      </c>
      <c r="DH102" t="str">
        <v>Ex Jlr | Jlr - Kan (2N) - Jlr</v>
      </c>
      <c r="DI102" t="str">
        <v>Ex Bho | Bho (2N) + Bhim + Bhoj + San + HDCT Bho</v>
      </c>
      <c r="DJ102" t="str">
        <v>Ex Bho | Bho - Bhim - Tawa (1N) - Mad (1N) - Bho</v>
      </c>
      <c r="DK102" t="str">
        <v>Ujj (1N) - Omk - Mah (1N) - Idr</v>
      </c>
      <c r="DL102" t="str">
        <v>Ujj (1N) -  Idr (1N)</v>
      </c>
      <c r="DM102" t="str">
        <v>Ex Idr | Idr (2N) + Ujj + Omk + Mah</v>
      </c>
      <c r="DN102" t="str">
        <v>Idr - Mah - Omk (1N) - Ujj (1N)</v>
      </c>
      <c r="DO102" t="str">
        <v>Idr - Ujj (1N) - Mah - Omk (1N) - Khandwa</v>
      </c>
      <c r="DP102" t="str">
        <v>Ex Idr | Idr (EX Ujj) (1N) - Mah - Omk (1N) - Idr HDCT</v>
      </c>
      <c r="DQ102" t="str">
        <v>Ujj (1N) - Sehor - Bho (1N) HDCT</v>
      </c>
      <c r="DR102" t="str">
        <v>Ex Jlr | Jlr (1N) - Ban (1N)</v>
      </c>
      <c r="DS102" t="str">
        <v>Ex Jlr | Ban (1N)</v>
      </c>
      <c r="DT102" t="str">
        <v>Ex Jlr | Jlr (2 N) Kan</v>
      </c>
      <c r="DU102" t="str">
        <v>Ex Jlr | Jlr - Amr (1 N) - (1 N) Ban</v>
      </c>
      <c r="DV102" t="str">
        <v>Ex Rpr | Rpr - (2N) Kan</v>
      </c>
      <c r="DW102" t="str">
        <v>Hjr (1N) - Mahi (1N) - Sat</v>
      </c>
      <c r="DX102" t="str">
        <v>Ex Bhp | Bhp - Bhim - Pch (2N) - Bhp</v>
      </c>
      <c r="DY102" t="str">
        <v xml:space="preserve">Ex Ujj I 2N Ujj </v>
      </c>
    </row>
    <row r="103" spans="2:145" ht="15" customHeight="1">
      <c r="B103" s="34">
        <v>99</v>
      </c>
      <c r="C103" s="36" t="s">
        <v>1024</v>
      </c>
      <c r="D103" s="76">
        <v>46178</v>
      </c>
      <c r="E103" s="37" t="str">
        <f>IF(Table5[[#This Row],[Query Date]]&lt;&gt;"", TEXT(Table5[[#This Row],[Query Date]], "dddd"), "")</f>
        <v>Friday</v>
      </c>
      <c r="F103" s="37" t="str">
        <f>IF(Table5[[#This Row],[Query Date]]&lt;&gt;"", TEXT(Table5[[#This Row],[Query Date]], "mmmm"), "")</f>
        <v>June</v>
      </c>
      <c r="G103" s="28" t="s">
        <v>65</v>
      </c>
      <c r="H103" s="28" t="s">
        <v>99</v>
      </c>
      <c r="I103" s="28" t="s">
        <v>67</v>
      </c>
      <c r="J103" s="28" t="s">
        <v>68</v>
      </c>
      <c r="K103" s="28" t="s">
        <v>1025</v>
      </c>
      <c r="L103" s="25" t="s">
        <v>70</v>
      </c>
      <c r="M103" s="112" t="s">
        <v>1026</v>
      </c>
      <c r="N103" s="25" t="s">
        <v>1027</v>
      </c>
      <c r="O103" s="130" t="s">
        <v>1028</v>
      </c>
      <c r="P103" s="46" t="s">
        <v>1029</v>
      </c>
      <c r="Q103" s="77">
        <v>46225</v>
      </c>
      <c r="R103" s="77" t="str">
        <f>IF(Table5[[#This Row],[Tour Starting Date]]&lt;&gt;"", TEXT(Table5[[#This Row],[Tour Starting Date]], "dddd"), "")</f>
        <v>Wednesday</v>
      </c>
      <c r="S103" s="77">
        <v>46229</v>
      </c>
      <c r="T103" s="25" t="str">
        <f>IF(Table5[[#This Row],[Tour Ending Date]]&lt;&gt;"", TEXT(Table5[[#This Row],[Tour Ending Date]], "dddd"), "")</f>
        <v>Sunday</v>
      </c>
      <c r="U103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4 Nights &amp; 5 Days</v>
      </c>
      <c r="V103" s="37" t="str">
        <f>IF(Table5[[#This Row],[Tour Starting Date]]&lt;&gt;"", TEXT(Table5[[#This Row],[Tour Starting Date]], "mmmm"), "")</f>
        <v>July</v>
      </c>
      <c r="W103" s="80" t="str" cm="1">
        <f t="array" ref="W103">IF(Q103&lt;&gt;"", INDEX(CI:CI, MATCH(1, (Q103&gt;=CG:CG)*(Q103&lt;=CH:CH), 0)), "")</f>
        <v>Regular Dates - Weekday</v>
      </c>
      <c r="X103" s="39">
        <v>2</v>
      </c>
      <c r="Y103" s="74">
        <v>24500</v>
      </c>
      <c r="Z103" s="74">
        <f>IF(OR(Table5[[#This Row],[Per Person Package Cost]]="", Table5[[#This Row],[No. of Pax]]=""), "", Table5[[#This Row],[Per Person Package Cost]] * Table5[[#This Row],[No. of Pax]])</f>
        <v>49000</v>
      </c>
      <c r="AA103" s="52" t="s">
        <v>75</v>
      </c>
      <c r="AB103" s="52" t="s">
        <v>75</v>
      </c>
      <c r="AC103" s="52" t="s">
        <v>134</v>
      </c>
      <c r="AD103" s="52" t="s">
        <v>158</v>
      </c>
      <c r="AE103" s="51" t="str">
        <f t="shared" si="5"/>
        <v>EXIDR07</v>
      </c>
      <c r="AF103" s="51" t="str">
        <f t="shared" si="6"/>
        <v>Heritage Trails &amp; Sacred Wonders</v>
      </c>
      <c r="AG103" s="74" t="str">
        <f t="shared" si="7"/>
        <v>Quick Getaways</v>
      </c>
      <c r="AH103" s="73" t="str">
        <f t="shared" si="8"/>
        <v>West MP</v>
      </c>
      <c r="AI103" s="52" t="s">
        <v>77</v>
      </c>
      <c r="AJ103" s="56" t="s">
        <v>78</v>
      </c>
      <c r="AK103" s="59" t="s">
        <v>79</v>
      </c>
      <c r="AL103" s="60" t="s">
        <v>80</v>
      </c>
      <c r="AM103" s="54" t="s">
        <v>80</v>
      </c>
      <c r="AN103" s="14">
        <v>46180</v>
      </c>
      <c r="AO103" s="15">
        <v>46200</v>
      </c>
      <c r="AP103" s="91">
        <v>46206</v>
      </c>
      <c r="AQ103" s="87"/>
      <c r="AR103" s="26"/>
      <c r="AS103" s="65"/>
      <c r="AT103" s="88" t="s">
        <v>81</v>
      </c>
      <c r="AU103" s="67" t="s">
        <v>112</v>
      </c>
      <c r="BX103" s="1">
        <v>99</v>
      </c>
      <c r="CG103" s="143">
        <v>46454</v>
      </c>
      <c r="CH103" s="143">
        <v>46457</v>
      </c>
      <c r="CI103" s="142" t="s">
        <v>88</v>
      </c>
      <c r="CN103" t="s">
        <v>1030</v>
      </c>
      <c r="CU103" t="s">
        <v>92</v>
      </c>
      <c r="CV103" t="s">
        <v>171</v>
      </c>
      <c r="CW103" t="s">
        <v>1031</v>
      </c>
      <c r="CX103" s="124" t="s">
        <v>1032</v>
      </c>
      <c r="CY103" s="124" t="s">
        <v>151</v>
      </c>
      <c r="CZ103" t="s">
        <v>1033</v>
      </c>
      <c r="DA103" t="str" cm="1">
        <f t="array" ref="DA103:EJ103">IF(U103&lt;&gt;"", TRANSPOSE(_xlfn._xlws.FILTER(CZ:CZ, CY:CY=U103, "")), "")</f>
        <v>Ex Gwl | Gwl (2N) + Mor - Son - Dat - Orc (1N) - Hjr (1N) - Gwl</v>
      </c>
      <c r="DB103" t="str">
        <v>Ex Idr | Idr - Ujj (1N) - Omk - Mah (1N) - Man (1N) - Idr (1N)</v>
      </c>
      <c r="DC103" t="str">
        <v>Ex Idr | Idr - Ujj (1N) - Omk (1N) - Mah (1N) - Man (1N) - Idr</v>
      </c>
      <c r="DD103" t="str">
        <v>Ex Jlr | Jlr - Kan (2N) - Amk (1N) - Jlr (1N)</v>
      </c>
      <c r="DE103" t="str">
        <v>Ex Jlr | Jlr - Ban (2N) - Amk (1N) - Jlr (1N)</v>
      </c>
      <c r="DF103" t="str">
        <v>Ex Jlr | Jlr (1N) - Hjr (1N) - Ban (2N) - Jlr</v>
      </c>
      <c r="DG103" t="str">
        <v>Ex Jlr | Jlr (1N) - Kan (1N) - Ban (2N) - Jlr</v>
      </c>
      <c r="DH103" t="str">
        <v>Ex Bho | Bho (1N) + San + Bhoj + Bhim - Tawa - Mad (1N) - Pch (2N) - Bho</v>
      </c>
      <c r="DI103" t="str">
        <v>Ex Idr | Idr - Ujj (1N) - Omk - Mah (1N) - Man (1N) - Idr (1N)</v>
      </c>
      <c r="DJ103" t="str">
        <v>Ex Bho | Bho (1N) - Bhoj - Bhim - Pch (3N) - Bho</v>
      </c>
      <c r="DK103" t="str">
        <v>Gwl (1N) - Dat (Pitambara Peeth) - Orc (1N) - Ckt (2N) - Ixd</v>
      </c>
      <c r="DL103" t="str">
        <v>Ex Jlr | Jlr - Ban (2N) - Kan (2N) - Jlr</v>
      </c>
      <c r="DM103" t="str">
        <v>Jlr - Ban (1N) - Kan (1N) - Pen (2N) - Nag</v>
      </c>
      <c r="DN103" t="str">
        <v>Ex Bho | Bho (1N) - Bhoj - Bhim - Pch (3N) - Bho</v>
      </c>
      <c r="DO103" t="str">
        <v>Ex Bho | Bho (2N) + Sanchi + Bhoj + Bhim - Tawa - Mad (1N) - Bho (1N)</v>
      </c>
      <c r="DP103" t="str">
        <v>Ex Bho | Bho - Bhoj - Bhim - Tawa (1N) - Mad (1N) - Pch (2N) - Bho</v>
      </c>
      <c r="DQ103" t="str">
        <v>Bho - Bhoj - Bhim - Pch (2N) - Kan (1N) - Jlr (1N)</v>
      </c>
      <c r="DR103" t="str">
        <v>Bho - Bhoj - Bhim - Pch (2N) - Kan (1N) - Amk (1N) - Jlr</v>
      </c>
      <c r="DS103" t="str">
        <v xml:space="preserve">Bho (1N) + Bhim + Bhoj + San - Ujj (1N) - Omk - Mah (1N) - Idr (1N) </v>
      </c>
      <c r="DT103" t="str">
        <v>Ex Gwl | Gwl - Hjr (1N) - Orc (1N) - Dat - Son - Gwl (2N)</v>
      </c>
      <c r="DU103" t="str">
        <v>Ex Gwl | Gwl - Orc (1N) - Hjr (1N) - Chn (1N) - Shiv (1N) - Gwl</v>
      </c>
      <c r="DV103" t="str">
        <v>Gwl - Hjr (1N) - Panna (1N) - Chit (1N) - Mahi (1N) - Sat</v>
      </c>
      <c r="DW103" t="str">
        <v>Jlr - (2 N) Kan - (2 N) Pch - Bhim - Bhoj - Bhp</v>
      </c>
      <c r="DX103" t="str">
        <v>Jlr - (2 N) Kan - (2 N) Pen - Rpr</v>
      </c>
      <c r="DY103" t="str">
        <v>Gwl (2N) (Ex Mor) - Dat -Orc (1N) - Hjr (1N) - Jhn</v>
      </c>
      <c r="DZ103" t="str">
        <v>Ex Gwl | Gwl (1N) - Son - Dat - Orc (1N) - Hjr (2N) (Ex Panna) - Gwl</v>
      </c>
      <c r="EA103" t="str">
        <v>Hjr (1N) - Orc (1N) - Dat - son - Gwl (2N)(Ex Mor)</v>
      </c>
      <c r="EB103" t="str">
        <v>(2 N) Gwl - (1 N) Orch - (1 N) Hjr</v>
      </c>
      <c r="EC103" t="str">
        <v>Ex Bhp | Bhp - Bhoj - Bhim - Pch (2N) - Mad (1N) - Tawa (1N) - Bhp</v>
      </c>
      <c r="ED103" t="str">
        <v>Ex Bhp | Bhp - Bhoj - Bhim - Pch (2N) - Mad (2N) - Bhp</v>
      </c>
      <c r="EE103" t="str">
        <v>Ex Idr | Idr - Ujj (1N) - Omk (1N) - Mah (2N) (Ex Man) - Idr (HDCT)</v>
      </c>
      <c r="EF103" t="str">
        <v>Arr Rpr - Amr (2N) - Par (2N) - IXD</v>
      </c>
      <c r="EG103" t="str">
        <v>1N Gwl - Orc - 2N Hjr - Jhn - 1N Gwl</v>
      </c>
      <c r="EH103" t="str">
        <v>1N Orc - 1N Hjr - 2N Gwl Ex Mor</v>
      </c>
      <c r="EI103" t="str">
        <v>1N Idr - Omk - 1N Mah - 1N Ujj - Seh - 1N Bho</v>
      </c>
      <c r="EJ103" t="str">
        <v>Ex Idr I 1N Idr - 1N Ujj - Omk - 2N Mah - Man - Idr</v>
      </c>
    </row>
    <row r="104" spans="2:145" ht="15" customHeight="1">
      <c r="B104" s="35">
        <v>100</v>
      </c>
      <c r="C104" s="36" t="s">
        <v>1034</v>
      </c>
      <c r="D104" s="76">
        <v>46181</v>
      </c>
      <c r="E104" s="37" t="str">
        <f>IF(Table5[[#This Row],[Query Date]]&lt;&gt;"", TEXT(Table5[[#This Row],[Query Date]], "dddd"), "")</f>
        <v>Monday</v>
      </c>
      <c r="F104" s="37" t="str">
        <f>IF(Table5[[#This Row],[Query Date]]&lt;&gt;"", TEXT(Table5[[#This Row],[Query Date]], "mmmm"), "")</f>
        <v>June</v>
      </c>
      <c r="G104" s="28" t="s">
        <v>65</v>
      </c>
      <c r="H104" s="28" t="s">
        <v>66</v>
      </c>
      <c r="I104" s="28" t="s">
        <v>67</v>
      </c>
      <c r="J104" s="28" t="s">
        <v>68</v>
      </c>
      <c r="K104" s="28" t="s">
        <v>535</v>
      </c>
      <c r="L104" s="25" t="s">
        <v>70</v>
      </c>
      <c r="M104" s="112" t="s">
        <v>966</v>
      </c>
      <c r="N104" s="25" t="s">
        <v>967</v>
      </c>
      <c r="O104" s="130" t="s">
        <v>968</v>
      </c>
      <c r="P104" s="46" t="s">
        <v>969</v>
      </c>
      <c r="Q104" s="77">
        <v>46192</v>
      </c>
      <c r="R104" s="77" t="str">
        <f>IF(Table5[[#This Row],[Tour Starting Date]]&lt;&gt;"", TEXT(Table5[[#This Row],[Tour Starting Date]], "dddd"), "")</f>
        <v>Friday</v>
      </c>
      <c r="S104" s="77">
        <v>46195</v>
      </c>
      <c r="T104" s="25" t="str">
        <f>IF(Table5[[#This Row],[Tour Ending Date]]&lt;&gt;"", TEXT(Table5[[#This Row],[Tour Ending Date]], "dddd"), "")</f>
        <v>Monday</v>
      </c>
      <c r="U104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104" s="37" t="str">
        <f>IF(Table5[[#This Row],[Tour Starting Date]]&lt;&gt;"", TEXT(Table5[[#This Row],[Tour Starting Date]], "mmmm"), "")</f>
        <v>June</v>
      </c>
      <c r="W104" s="80" t="str" cm="1">
        <f t="array" ref="W104">IF(Q104&lt;&gt;"", INDEX(CI:CI, MATCH(1, (Q104&gt;=CG:CG)*(Q104&lt;=CH:CH), 0)), "")</f>
        <v>Regular Dates - Weekend</v>
      </c>
      <c r="X104" s="39">
        <v>4</v>
      </c>
      <c r="Y104" s="74">
        <v>14900</v>
      </c>
      <c r="Z104" s="74">
        <f>IF(OR(Table5[[#This Row],[Per Person Package Cost]]="", Table5[[#This Row],[No. of Pax]]=""), "", Table5[[#This Row],[Per Person Package Cost]] * Table5[[#This Row],[No. of Pax]])</f>
        <v>59600</v>
      </c>
      <c r="AA104" s="52" t="s">
        <v>75</v>
      </c>
      <c r="AB104" s="52" t="s">
        <v>75</v>
      </c>
      <c r="AC104" s="52" t="s">
        <v>134</v>
      </c>
      <c r="AD104" s="52" t="s">
        <v>158</v>
      </c>
      <c r="AE104" s="51" t="str">
        <f>IF(AD104&lt;&gt;"", INDEX(CW:CW, MATCH(AD104, CZ:CZ, 0)), "")</f>
        <v>EXIDR07</v>
      </c>
      <c r="AF104" s="51" t="str">
        <f>IF(AD104&lt;&gt;"", INDEX(CX:CX, MATCH(AD104, CZ:CZ, 0)), "")</f>
        <v>Heritage Trails &amp; Sacred Wonders</v>
      </c>
      <c r="AG104" s="74" t="str">
        <f>IF(AE104&lt;&gt;"", INDEX(CU:CU, MATCH(AE104, CW:CW, 0)), "")</f>
        <v>Quick Getaways</v>
      </c>
      <c r="AH104" s="73" t="str">
        <f>IF(AD104&lt;&gt;"", INDEX(CV:CV, MATCH(AD104, CZ:CZ, 0)), "")</f>
        <v>West MP</v>
      </c>
      <c r="AI104" s="52" t="s">
        <v>159</v>
      </c>
      <c r="AJ104" s="56" t="s">
        <v>78</v>
      </c>
      <c r="AK104" s="59" t="s">
        <v>79</v>
      </c>
      <c r="AL104" s="60" t="s">
        <v>80</v>
      </c>
      <c r="AM104" s="54" t="s">
        <v>80</v>
      </c>
      <c r="AN104" s="14">
        <v>46184</v>
      </c>
      <c r="AO104" s="15"/>
      <c r="AP104" s="91"/>
      <c r="AQ104" s="87"/>
      <c r="AR104" s="26"/>
      <c r="AS104" s="65"/>
      <c r="AT104" s="88" t="s">
        <v>81</v>
      </c>
      <c r="AU104" s="67"/>
      <c r="BX104" s="1">
        <v>100</v>
      </c>
      <c r="CG104" s="143">
        <v>46458</v>
      </c>
      <c r="CH104" s="143">
        <v>46460</v>
      </c>
      <c r="CI104" s="142" t="s">
        <v>116</v>
      </c>
      <c r="CN104" t="s">
        <v>1035</v>
      </c>
      <c r="CU104" t="s">
        <v>92</v>
      </c>
      <c r="CV104" t="s">
        <v>171</v>
      </c>
      <c r="CW104" t="s">
        <v>1036</v>
      </c>
      <c r="CX104" s="124" t="s">
        <v>1037</v>
      </c>
      <c r="CY104" s="124" t="s">
        <v>125</v>
      </c>
      <c r="CZ104" t="s">
        <v>608</v>
      </c>
      <c r="DA104" t="str" cm="1">
        <f t="array" ref="DA104:EO104">IF(U104&lt;&gt;"", TRANSPOSE(_xlfn._xlws.FILTER(CZ:CZ, CY:CY=U104, "")), "")</f>
        <v>Gwl (3N) + Mor + Son + Dat + Orc</v>
      </c>
      <c r="DB104" t="str">
        <v>Ex Gwl | Gwl (1N) - Son - Dat - Orc (1N) - Gwl (1N)</v>
      </c>
      <c r="DC104" t="str">
        <v>Ex Idr | Idr - Ujj (1N) - Omk - Mah (1N) - Man (1N) - Idr</v>
      </c>
      <c r="DD104" t="str">
        <v>Ex Jlr | Jlr - Kan (2N) - Jlr (1N)</v>
      </c>
      <c r="DE104" t="str">
        <v>Ex Jlr | Jlr - Ban (2N) - Jlr (1N)</v>
      </c>
      <c r="DF104" t="str">
        <v>Ex Bho | Bho (1N) + San - Bhoj - Bhim - Pch (2N) - Bho</v>
      </c>
      <c r="DG104" t="str">
        <v>Ex Idr | Idr (1N) - Ujj (1N) - Omk (1N) - Mah - Idr</v>
      </c>
      <c r="DH104" t="str">
        <v>Gwl - Orc (1N) - Ckt (1N) - Myr (1N) - Jlr</v>
      </c>
      <c r="DI104" t="str">
        <v>Gwl - Orc (1N) - Ckt (2N) - Ixd</v>
      </c>
      <c r="DJ104" t="str">
        <v>Ex Idr | Idr - Ujj (1N) - Omk - Mah (1N) - Idr (1N)</v>
      </c>
      <c r="DK104" t="str">
        <v>Ex Jlr | Jlr - Kan (3N) - Jlr</v>
      </c>
      <c r="DL104" t="str">
        <v>Ex Bho | Bho (2N) + Bhim + Bhoj + San + Udaygiri + Vidisha + FDCT Bho</v>
      </c>
      <c r="DM104" t="str">
        <v>Bho (1N) + Bhim + Bhoj - HDCT  Bho + Sanchi - Ujj (2N)</v>
      </c>
      <c r="DN104" t="str">
        <v>Bho (1N) + Bhim + Bhoj - HDCT  Bho + Sanchi - Ujj (2N) - Idr</v>
      </c>
      <c r="DO104" t="str">
        <v>Ex Bho | Bho - Bhoj - Bhim - Mad (1N) - Pch (2N) - Bho</v>
      </c>
      <c r="DP104" t="str">
        <v>Ex Bho | Bho - Bhoj - Bhim - Mad (1N) - Pch (3N) - Bho</v>
      </c>
      <c r="DQ104" t="str">
        <v>Ex Bho | Bho - Bhoj - Bhim - Tawa (1N) - Mad (1N) - Bho (1N)</v>
      </c>
      <c r="DR104" t="str">
        <v>Bho (1N) - Bhim - Bhoj - San - Idr (2N) + Ujj</v>
      </c>
      <c r="DS104" t="str">
        <v>Bho (1N) - Bhoj - Bhim - Pch (2N) - Bho</v>
      </c>
      <c r="DT104" t="str">
        <v>Ujj (1N) - Omk - Mah (1N) - Idr (1N)</v>
      </c>
      <c r="DU104" t="str">
        <v>Ujj (1N) - Omk - Mah (1N) - Man (1N) - Idr</v>
      </c>
      <c r="DV104" t="str">
        <v>Ex Idr | Idr (1N) - Ujj (1N) - Omk - Mah (1N)</v>
      </c>
      <c r="DW104" t="str">
        <v>Ex Idr | Idr - Ujj (1N) - Omk (1N) - Mah (1N) - Idr</v>
      </c>
      <c r="DX104" t="str">
        <v>Khandwa - Omk (1N) - Mah (1N) - Ujj (1N) - Idr</v>
      </c>
      <c r="DY104" t="str">
        <v>Ex Idr | Idr - Ujj (1N) - Omk - Mah (1N) - Man - Idr (1N)</v>
      </c>
      <c r="DZ104" t="str">
        <v xml:space="preserve">Idr - Omk (1N) - Mah - Ujj (1N) San - Bho (1N) </v>
      </c>
      <c r="EA104" t="str">
        <v>Ex Idr | Idr - Man (1N) - Mah - Omk (1N) - Ujj (1N) - Idr</v>
      </c>
      <c r="EB104" t="str">
        <v>Khandwa - Omk (1N) - Mah - Ujj (2N)</v>
      </c>
      <c r="EC104" t="str">
        <v>Ex Jlr | Jlr (1N) - Amr (1N) - Ban (1N) - Jlr</v>
      </c>
      <c r="ED104" t="str">
        <v>Ex Jlr | Jlr - (1 N) Ban - (2 N) Amar</v>
      </c>
      <c r="EE104" t="str">
        <v>Jlr - Kan (1N) - Pch (2N)</v>
      </c>
      <c r="EF104" t="str">
        <v>Pi - Pch (2N)  - Kan (1N)</v>
      </c>
      <c r="EG104" t="str">
        <v>Ex Jlr | Jlr - Amr (1 N) - (1 N) Ban - (1 N) Jlr</v>
      </c>
      <c r="EH104" t="str">
        <v>Ppi - (2 N) Pch - (1 N) Pen</v>
      </c>
      <c r="EI104" t="str">
        <v>Bhp - Pch (2N) - Jlr (1N)</v>
      </c>
      <c r="EJ104" t="str">
        <v xml:space="preserve">Arr Jhn - Hjr (1N) - Orc - Gwl (2N) </v>
      </c>
      <c r="EK104" t="str">
        <v>(1 N) Ujj - (1 N) Mah - (1 N) Idr</v>
      </c>
      <c r="EL104" t="str">
        <v>Ex Bhp | Bhp - Bhoj - Bhim - Pch (3N) - Bhp</v>
      </c>
      <c r="EM104" t="str">
        <v>Ex Bhp | Bhp - Bhoj - Bhim - Pch (2N) - Mad (1N) - Bhp</v>
      </c>
      <c r="EN104" t="str">
        <v xml:space="preserve">Ex Nag - 3N Pch + Sat </v>
      </c>
      <c r="EO104" t="str">
        <v>1N Gwl - Son - Dat - 1N Hjr - 1N Orc - Jhn</v>
      </c>
    </row>
    <row r="105" spans="2:145" ht="15" customHeight="1">
      <c r="B105" s="34">
        <v>101</v>
      </c>
      <c r="C105" s="36" t="s">
        <v>1038</v>
      </c>
      <c r="D105" s="76">
        <v>46181</v>
      </c>
      <c r="E105" s="37" t="str">
        <f>IF(Table5[[#This Row],[Query Date]]&lt;&gt;"", TEXT(Table5[[#This Row],[Query Date]], "dddd"), "")</f>
        <v>Monday</v>
      </c>
      <c r="F105" s="37" t="str">
        <f>IF(Table5[[#This Row],[Query Date]]&lt;&gt;"", TEXT(Table5[[#This Row],[Query Date]], "mmmm"), "")</f>
        <v>June</v>
      </c>
      <c r="G105" s="28" t="s">
        <v>65</v>
      </c>
      <c r="H105" s="28" t="s">
        <v>99</v>
      </c>
      <c r="I105" s="28" t="s">
        <v>100</v>
      </c>
      <c r="J105" s="28" t="s">
        <v>68</v>
      </c>
      <c r="K105" s="28" t="s">
        <v>69</v>
      </c>
      <c r="L105" s="25" t="s">
        <v>70</v>
      </c>
      <c r="M105" s="112" t="s">
        <v>1039</v>
      </c>
      <c r="N105" s="25" t="s">
        <v>1040</v>
      </c>
      <c r="O105" s="130" t="s">
        <v>1041</v>
      </c>
      <c r="P105" s="46" t="s">
        <v>1042</v>
      </c>
      <c r="Q105" s="77">
        <v>46186</v>
      </c>
      <c r="R105" s="77" t="str">
        <f>IF(Table5[[#This Row],[Tour Starting Date]]&lt;&gt;"", TEXT(Table5[[#This Row],[Tour Starting Date]], "dddd"), "")</f>
        <v>Saturday</v>
      </c>
      <c r="S105" s="77">
        <v>46189</v>
      </c>
      <c r="T105" s="25" t="str">
        <f>IF(Table5[[#This Row],[Tour Ending Date]]&lt;&gt;"", TEXT(Table5[[#This Row],[Tour Ending Date]], "dddd"), "")</f>
        <v>Tuesday</v>
      </c>
      <c r="U105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105" s="37" t="str">
        <f>IF(Table5[[#This Row],[Tour Starting Date]]&lt;&gt;"", TEXT(Table5[[#This Row],[Tour Starting Date]], "mmmm"), "")</f>
        <v>June</v>
      </c>
      <c r="W105" s="80" t="str" cm="1">
        <f t="array" ref="W105">IF(Q105&lt;&gt;"", INDEX(CI:CI, MATCH(1, (Q105&gt;=CG:CG)*(Q105&lt;=CH:CH), 0)), "")</f>
        <v>Regular Dates - Weekend</v>
      </c>
      <c r="X105" s="39">
        <v>14</v>
      </c>
      <c r="Y105" s="74">
        <v>7800</v>
      </c>
      <c r="Z105" s="74">
        <f>IF(OR(Table5[[#This Row],[Per Person Package Cost]]="", Table5[[#This Row],[No. of Pax]]=""), "", Table5[[#This Row],[Per Person Package Cost]] * Table5[[#This Row],[No. of Pax]])</f>
        <v>109200</v>
      </c>
      <c r="AA105" s="52" t="s">
        <v>75</v>
      </c>
      <c r="AB105" s="52" t="s">
        <v>75</v>
      </c>
      <c r="AC105" s="52" t="s">
        <v>76</v>
      </c>
      <c r="AD105" s="52" t="s">
        <v>1033</v>
      </c>
      <c r="AE105" s="51" t="str">
        <f t="shared" si="5"/>
        <v>EXIDR19</v>
      </c>
      <c r="AF105" s="51" t="str">
        <f t="shared" si="6"/>
        <v>Temple Trails Of Madhya Pradesh</v>
      </c>
      <c r="AG105" s="74" t="str">
        <f t="shared" si="7"/>
        <v>Quick Getaways</v>
      </c>
      <c r="AH105" s="73" t="str">
        <f t="shared" si="8"/>
        <v>West MP</v>
      </c>
      <c r="AI105" s="52" t="s">
        <v>159</v>
      </c>
      <c r="AJ105" s="56" t="s">
        <v>78</v>
      </c>
      <c r="AK105" s="59" t="s">
        <v>79</v>
      </c>
      <c r="AL105" s="60" t="s">
        <v>80</v>
      </c>
      <c r="AM105" s="54" t="s">
        <v>80</v>
      </c>
      <c r="AN105" s="14">
        <v>46184</v>
      </c>
      <c r="AO105" s="15"/>
      <c r="AP105" s="91"/>
      <c r="AQ105" s="87"/>
      <c r="AR105" s="26"/>
      <c r="AS105" s="65"/>
      <c r="AT105" s="88" t="s">
        <v>81</v>
      </c>
      <c r="AU105" s="67"/>
      <c r="BX105" s="1">
        <v>101</v>
      </c>
      <c r="CG105" s="143">
        <v>46461</v>
      </c>
      <c r="CH105" s="143">
        <v>46464</v>
      </c>
      <c r="CI105" s="142" t="s">
        <v>88</v>
      </c>
      <c r="CN105" t="s">
        <v>1043</v>
      </c>
      <c r="CU105" t="s">
        <v>92</v>
      </c>
      <c r="CV105" t="s">
        <v>171</v>
      </c>
      <c r="CW105" t="s">
        <v>1044</v>
      </c>
      <c r="CX105" s="124" t="s">
        <v>1045</v>
      </c>
      <c r="CY105" s="124" t="s">
        <v>151</v>
      </c>
      <c r="CZ105" t="s">
        <v>1046</v>
      </c>
      <c r="DA105" t="str" cm="1">
        <f t="array" ref="DA105:EO105">IF(U105&lt;&gt;"", TRANSPOSE(_xlfn._xlws.FILTER(CZ:CZ, CY:CY=U105, "")), "")</f>
        <v>Gwl (3N) + Mor + Son + Dat + Orc</v>
      </c>
      <c r="DB105" t="str">
        <v>Ex Gwl | Gwl (1N) - Son - Dat - Orc (1N) - Gwl (1N)</v>
      </c>
      <c r="DC105" t="str">
        <v>Ex Idr | Idr - Ujj (1N) - Omk - Mah (1N) - Man (1N) - Idr</v>
      </c>
      <c r="DD105" t="str">
        <v>Ex Jlr | Jlr - Kan (2N) - Jlr (1N)</v>
      </c>
      <c r="DE105" t="str">
        <v>Ex Jlr | Jlr - Ban (2N) - Jlr (1N)</v>
      </c>
      <c r="DF105" t="str">
        <v>Ex Bho | Bho (1N) + San - Bhoj - Bhim - Pch (2N) - Bho</v>
      </c>
      <c r="DG105" t="str">
        <v>Ex Idr | Idr (1N) - Ujj (1N) - Omk (1N) - Mah - Idr</v>
      </c>
      <c r="DH105" t="str">
        <v>Gwl - Orc (1N) - Ckt (1N) - Myr (1N) - Jlr</v>
      </c>
      <c r="DI105" t="str">
        <v>Gwl - Orc (1N) - Ckt (2N) - Ixd</v>
      </c>
      <c r="DJ105" t="str">
        <v>Ex Idr | Idr - Ujj (1N) - Omk - Mah (1N) - Idr (1N)</v>
      </c>
      <c r="DK105" t="str">
        <v>Ex Jlr | Jlr - Kan (3N) - Jlr</v>
      </c>
      <c r="DL105" t="str">
        <v>Ex Bho | Bho (2N) + Bhim + Bhoj + San + Udaygiri + Vidisha + FDCT Bho</v>
      </c>
      <c r="DM105" t="str">
        <v>Bho (1N) + Bhim + Bhoj - HDCT  Bho + Sanchi - Ujj (2N)</v>
      </c>
      <c r="DN105" t="str">
        <v>Bho (1N) + Bhim + Bhoj - HDCT  Bho + Sanchi - Ujj (2N) - Idr</v>
      </c>
      <c r="DO105" t="str">
        <v>Ex Bho | Bho - Bhoj - Bhim - Mad (1N) - Pch (2N) - Bho</v>
      </c>
      <c r="DP105" t="str">
        <v>Ex Bho | Bho - Bhoj - Bhim - Mad (1N) - Pch (3N) - Bho</v>
      </c>
      <c r="DQ105" t="str">
        <v>Ex Bho | Bho - Bhoj - Bhim - Tawa (1N) - Mad (1N) - Bho (1N)</v>
      </c>
      <c r="DR105" t="str">
        <v>Bho (1N) - Bhim - Bhoj - San - Idr (2N) + Ujj</v>
      </c>
      <c r="DS105" t="str">
        <v>Bho (1N) - Bhoj - Bhim - Pch (2N) - Bho</v>
      </c>
      <c r="DT105" t="str">
        <v>Ujj (1N) - Omk - Mah (1N) - Idr (1N)</v>
      </c>
      <c r="DU105" t="str">
        <v>Ujj (1N) - Omk - Mah (1N) - Man (1N) - Idr</v>
      </c>
      <c r="DV105" t="str">
        <v>Ex Idr | Idr (1N) - Ujj (1N) - Omk - Mah (1N)</v>
      </c>
      <c r="DW105" t="str">
        <v>Ex Idr | Idr - Ujj (1N) - Omk (1N) - Mah (1N) - Idr</v>
      </c>
      <c r="DX105" t="str">
        <v>Khandwa - Omk (1N) - Mah (1N) - Ujj (1N) - Idr</v>
      </c>
      <c r="DY105" t="str">
        <v>Ex Idr | Idr - Ujj (1N) - Omk - Mah (1N) - Man - Idr (1N)</v>
      </c>
      <c r="DZ105" t="str">
        <v xml:space="preserve">Idr - Omk (1N) - Mah - Ujj (1N) San - Bho (1N) </v>
      </c>
      <c r="EA105" t="str">
        <v>Ex Idr | Idr - Man (1N) - Mah - Omk (1N) - Ujj (1N) - Idr</v>
      </c>
      <c r="EB105" t="str">
        <v>Khandwa - Omk (1N) - Mah - Ujj (2N)</v>
      </c>
      <c r="EC105" t="str">
        <v>Ex Jlr | Jlr (1N) - Amr (1N) - Ban (1N) - Jlr</v>
      </c>
      <c r="ED105" t="str">
        <v>Ex Jlr | Jlr - (1 N) Ban - (2 N) Amar</v>
      </c>
      <c r="EE105" t="str">
        <v>Jlr - Kan (1N) - Pch (2N)</v>
      </c>
      <c r="EF105" t="str">
        <v>Pi - Pch (2N)  - Kan (1N)</v>
      </c>
      <c r="EG105" t="str">
        <v>Ex Jlr | Jlr - Amr (1 N) - (1 N) Ban - (1 N) Jlr</v>
      </c>
      <c r="EH105" t="str">
        <v>Ppi - (2 N) Pch - (1 N) Pen</v>
      </c>
      <c r="EI105" t="str">
        <v>Bhp - Pch (2N) - Jlr (1N)</v>
      </c>
      <c r="EJ105" t="str">
        <v xml:space="preserve">Arr Jhn - Hjr (1N) - Orc - Gwl (2N) </v>
      </c>
      <c r="EK105" t="str">
        <v>(1 N) Ujj - (1 N) Mah - (1 N) Idr</v>
      </c>
      <c r="EL105" t="str">
        <v>Ex Bhp | Bhp - Bhoj - Bhim - Pch (3N) - Bhp</v>
      </c>
      <c r="EM105" t="str">
        <v>Ex Bhp | Bhp - Bhoj - Bhim - Pch (2N) - Mad (1N) - Bhp</v>
      </c>
      <c r="EN105" t="str">
        <v xml:space="preserve">Ex Nag - 3N Pch + Sat </v>
      </c>
      <c r="EO105" t="str">
        <v>1N Gwl - Son - Dat - 1N Hjr - 1N Orc - Jhn</v>
      </c>
    </row>
    <row r="106" spans="2:145" ht="15" customHeight="1">
      <c r="B106" s="35">
        <v>102</v>
      </c>
      <c r="C106" s="36" t="s">
        <v>1047</v>
      </c>
      <c r="D106" s="76">
        <v>46181</v>
      </c>
      <c r="E106" s="37" t="str">
        <f>IF(Table5[[#This Row],[Query Date]]&lt;&gt;"", TEXT(Table5[[#This Row],[Query Date]], "dddd"), "")</f>
        <v>Monday</v>
      </c>
      <c r="F106" s="37" t="str">
        <f>IF(Table5[[#This Row],[Query Date]]&lt;&gt;"", TEXT(Table5[[#This Row],[Query Date]], "mmmm"), "")</f>
        <v>June</v>
      </c>
      <c r="G106" s="28" t="s">
        <v>65</v>
      </c>
      <c r="H106" s="28" t="s">
        <v>99</v>
      </c>
      <c r="I106" s="28" t="s">
        <v>100</v>
      </c>
      <c r="J106" s="28" t="s">
        <v>68</v>
      </c>
      <c r="K106" s="28" t="s">
        <v>535</v>
      </c>
      <c r="L106" s="25" t="s">
        <v>70</v>
      </c>
      <c r="M106" s="112" t="s">
        <v>536</v>
      </c>
      <c r="N106" s="25" t="s">
        <v>537</v>
      </c>
      <c r="O106" s="130" t="s">
        <v>1048</v>
      </c>
      <c r="P106" s="46" t="s">
        <v>538</v>
      </c>
      <c r="Q106" s="77">
        <v>46219</v>
      </c>
      <c r="R106" s="77" t="str">
        <f>IF(Table5[[#This Row],[Tour Starting Date]]&lt;&gt;"", TEXT(Table5[[#This Row],[Tour Starting Date]], "dddd"), "")</f>
        <v>Thursday</v>
      </c>
      <c r="S106" s="77">
        <v>46221</v>
      </c>
      <c r="T106" s="25" t="str">
        <f>IF(Table5[[#This Row],[Tour Ending Date]]&lt;&gt;"", TEXT(Table5[[#This Row],[Tour Ending Date]], "dddd"), "")</f>
        <v>Saturday</v>
      </c>
      <c r="U106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106" s="37" t="str">
        <f>IF(Table5[[#This Row],[Tour Starting Date]]&lt;&gt;"", TEXT(Table5[[#This Row],[Tour Starting Date]], "mmmm"), "")</f>
        <v>July</v>
      </c>
      <c r="W106" s="80" t="str" cm="1">
        <f t="array" ref="W106">IF(Q106&lt;&gt;"", INDEX(CI:CI, MATCH(1, (Q106&gt;=CG:CG)*(Q106&lt;=CH:CH), 0)), "")</f>
        <v>Regular Dates - Weekday</v>
      </c>
      <c r="X106" s="39">
        <v>14</v>
      </c>
      <c r="Y106" s="74">
        <v>7500</v>
      </c>
      <c r="Z106" s="74">
        <f>IF(OR(Table5[[#This Row],[Per Person Package Cost]]="", Table5[[#This Row],[No. of Pax]]=""), "", Table5[[#This Row],[Per Person Package Cost]] * Table5[[#This Row],[No. of Pax]])</f>
        <v>105000</v>
      </c>
      <c r="AA106" s="52" t="s">
        <v>75</v>
      </c>
      <c r="AB106" s="52" t="s">
        <v>75</v>
      </c>
      <c r="AC106" s="52" t="s">
        <v>173</v>
      </c>
      <c r="AD106" s="52" t="s">
        <v>1049</v>
      </c>
      <c r="AE106" s="51" t="str">
        <f t="shared" si="5"/>
        <v>EXIDR27</v>
      </c>
      <c r="AF106" s="51" t="str">
        <f t="shared" si="6"/>
        <v>Ujjain’s Divine Glow</v>
      </c>
      <c r="AG106" s="74" t="str">
        <f t="shared" si="7"/>
        <v>Quick Getaways</v>
      </c>
      <c r="AH106" s="73" t="str">
        <f t="shared" si="8"/>
        <v>West MP</v>
      </c>
      <c r="AI106" s="52" t="s">
        <v>107</v>
      </c>
      <c r="AJ106" s="56" t="s">
        <v>78</v>
      </c>
      <c r="AK106" s="59" t="s">
        <v>79</v>
      </c>
      <c r="AL106" s="60" t="s">
        <v>80</v>
      </c>
      <c r="AM106" s="54" t="s">
        <v>80</v>
      </c>
      <c r="AN106" s="14">
        <v>46184</v>
      </c>
      <c r="AO106" s="15">
        <v>46200</v>
      </c>
      <c r="AP106" s="91">
        <v>46206</v>
      </c>
      <c r="AQ106" s="87"/>
      <c r="AR106" s="26"/>
      <c r="AS106" s="65"/>
      <c r="AT106" s="88" t="s">
        <v>81</v>
      </c>
      <c r="AU106" s="67"/>
      <c r="BX106" s="1">
        <v>102</v>
      </c>
      <c r="CG106" s="143">
        <v>46465</v>
      </c>
      <c r="CH106" s="143">
        <v>46467</v>
      </c>
      <c r="CI106" s="142" t="s">
        <v>116</v>
      </c>
      <c r="CN106" t="s">
        <v>1050</v>
      </c>
      <c r="CU106" t="s">
        <v>92</v>
      </c>
      <c r="CV106" t="s">
        <v>171</v>
      </c>
      <c r="CW106" t="s">
        <v>1051</v>
      </c>
      <c r="CX106" s="124" t="s">
        <v>1052</v>
      </c>
      <c r="CY106" s="124" t="s">
        <v>125</v>
      </c>
      <c r="CZ106" t="s">
        <v>1053</v>
      </c>
      <c r="DA106" t="str" cm="1">
        <f t="array" ref="DA106:DY106">IF(U106&lt;&gt;"", TRANSPOSE(_xlfn._xlws.FILTER(CZ:CZ, CY:CY=U106, "")), "")</f>
        <v>Gwl (2N) + Mor</v>
      </c>
      <c r="DB106" t="str">
        <v>Ex Idr | Idr - Ujj (1N) - Omk - Mah (1N) - Man - Idr</v>
      </c>
      <c r="DC106" t="str">
        <v>Ujj (1N) - Omk - Idr (1N)</v>
      </c>
      <c r="DD106" t="str">
        <v>Ex Jlr | Jlr - Kan (2N) - Jlr</v>
      </c>
      <c r="DE106" t="str">
        <v>Ex Jlr | Jlr - Ban (2N) - Jlr</v>
      </c>
      <c r="DF106" t="str">
        <v>Ex Bho | Bho (2N) + Bhim + Bhoj + San</v>
      </c>
      <c r="DG106" t="str">
        <v>Ex Idr | Idr - Man (2N) - Idr</v>
      </c>
      <c r="DH106" t="str">
        <v>Ex Jlr | Jlr - Kan (2N) - Jlr</v>
      </c>
      <c r="DI106" t="str">
        <v>Ex Bho | Bho (2N) + Bhim + Bhoj + San + HDCT Bho</v>
      </c>
      <c r="DJ106" t="str">
        <v>Ex Bho | Bho - Bhim - Tawa (1N) - Mad (1N) - Bho</v>
      </c>
      <c r="DK106" t="str">
        <v>Ujj (1N) - Omk - Mah (1N) - Idr</v>
      </c>
      <c r="DL106" t="str">
        <v>Ujj (1N) -  Idr (1N)</v>
      </c>
      <c r="DM106" t="str">
        <v>Ex Idr | Idr (2N) + Ujj + Omk + Mah</v>
      </c>
      <c r="DN106" t="str">
        <v>Idr - Mah - Omk (1N) - Ujj (1N)</v>
      </c>
      <c r="DO106" t="str">
        <v>Idr - Ujj (1N) - Mah - Omk (1N) - Khandwa</v>
      </c>
      <c r="DP106" t="str">
        <v>Ex Idr | Idr (EX Ujj) (1N) - Mah - Omk (1N) - Idr HDCT</v>
      </c>
      <c r="DQ106" t="str">
        <v>Ujj (1N) - Sehor - Bho (1N) HDCT</v>
      </c>
      <c r="DR106" t="str">
        <v>Ex Jlr | Jlr (1N) - Ban (1N)</v>
      </c>
      <c r="DS106" t="str">
        <v>Ex Jlr | Ban (1N)</v>
      </c>
      <c r="DT106" t="str">
        <v>Ex Jlr | Jlr (2 N) Kan</v>
      </c>
      <c r="DU106" t="str">
        <v>Ex Jlr | Jlr - Amr (1 N) - (1 N) Ban</v>
      </c>
      <c r="DV106" t="str">
        <v>Ex Rpr | Rpr - (2N) Kan</v>
      </c>
      <c r="DW106" t="str">
        <v>Hjr (1N) - Mahi (1N) - Sat</v>
      </c>
      <c r="DX106" t="str">
        <v>Ex Bhp | Bhp - Bhim - Pch (2N) - Bhp</v>
      </c>
      <c r="DY106" t="str">
        <v xml:space="preserve">Ex Ujj I 2N Ujj </v>
      </c>
    </row>
    <row r="107" spans="2:145" ht="15" customHeight="1">
      <c r="B107" s="34">
        <v>103</v>
      </c>
      <c r="C107" s="36" t="s">
        <v>1054</v>
      </c>
      <c r="D107" s="76">
        <v>46182</v>
      </c>
      <c r="E107" s="37" t="str">
        <f>IF(Table5[[#This Row],[Query Date]]&lt;&gt;"", TEXT(Table5[[#This Row],[Query Date]], "dddd"), "")</f>
        <v>Tuesday</v>
      </c>
      <c r="F107" s="37" t="str">
        <f>IF(Table5[[#This Row],[Query Date]]&lt;&gt;"", TEXT(Table5[[#This Row],[Query Date]], "mmmm"), "")</f>
        <v>June</v>
      </c>
      <c r="G107" s="28" t="s">
        <v>65</v>
      </c>
      <c r="H107" s="28" t="s">
        <v>66</v>
      </c>
      <c r="I107" s="28" t="s">
        <v>67</v>
      </c>
      <c r="J107" s="28" t="s">
        <v>68</v>
      </c>
      <c r="K107" s="28" t="s">
        <v>178</v>
      </c>
      <c r="L107" s="25" t="s">
        <v>70</v>
      </c>
      <c r="M107" s="112" t="s">
        <v>417</v>
      </c>
      <c r="N107" s="25" t="s">
        <v>418</v>
      </c>
      <c r="O107" s="130" t="s">
        <v>419</v>
      </c>
      <c r="P107" s="106" t="s">
        <v>420</v>
      </c>
      <c r="Q107" s="77">
        <v>46268</v>
      </c>
      <c r="R107" s="77" t="str">
        <f>IF(Table5[[#This Row],[Tour Starting Date]]&lt;&gt;"", TEXT(Table5[[#This Row],[Tour Starting Date]], "dddd"), "")</f>
        <v>Thursday</v>
      </c>
      <c r="S107" s="77">
        <v>46271</v>
      </c>
      <c r="T107" s="25" t="str">
        <f>IF(Table5[[#This Row],[Tour Ending Date]]&lt;&gt;"", TEXT(Table5[[#This Row],[Tour Ending Date]], "dddd"), "")</f>
        <v>Sunday</v>
      </c>
      <c r="U107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107" s="37" t="str">
        <f>IF(Table5[[#This Row],[Tour Starting Date]]&lt;&gt;"", TEXT(Table5[[#This Row],[Tour Starting Date]], "mmmm"), "")</f>
        <v>September</v>
      </c>
      <c r="W107" s="80" t="str" cm="1">
        <f t="array" ref="W107">IF(Q107&lt;&gt;"", INDEX(CI:CI, MATCH(1, (Q107&gt;=CG:CG)*(Q107&lt;=CH:CH), 0)), "")</f>
        <v>Regular Dates - Weekday</v>
      </c>
      <c r="X107" s="39">
        <v>5</v>
      </c>
      <c r="Y107" s="74">
        <v>15400</v>
      </c>
      <c r="Z107" s="74">
        <f>IF(OR(Table5[[#This Row],[Per Person Package Cost]]="", Table5[[#This Row],[No. of Pax]]=""), "", Table5[[#This Row],[Per Person Package Cost]] * Table5[[#This Row],[No. of Pax]])</f>
        <v>77000</v>
      </c>
      <c r="AA107" s="52" t="s">
        <v>75</v>
      </c>
      <c r="AB107" s="52" t="s">
        <v>75</v>
      </c>
      <c r="AC107" s="52" t="s">
        <v>134</v>
      </c>
      <c r="AD107" s="52" t="s">
        <v>183</v>
      </c>
      <c r="AE107" s="51" t="str">
        <f t="shared" si="5"/>
        <v>EXIDR05</v>
      </c>
      <c r="AF107" s="51" t="str">
        <f t="shared" si="6"/>
        <v>The Marvels Of Malwa</v>
      </c>
      <c r="AG107" s="74" t="str">
        <f t="shared" si="7"/>
        <v>Quick Getaways</v>
      </c>
      <c r="AH107" s="73" t="str">
        <f t="shared" si="8"/>
        <v>West MP</v>
      </c>
      <c r="AI107" s="52" t="s">
        <v>159</v>
      </c>
      <c r="AJ107" s="56" t="s">
        <v>78</v>
      </c>
      <c r="AK107" s="59" t="s">
        <v>79</v>
      </c>
      <c r="AL107" s="60" t="s">
        <v>80</v>
      </c>
      <c r="AM107" s="54" t="s">
        <v>80</v>
      </c>
      <c r="AN107" s="14">
        <v>46184</v>
      </c>
      <c r="AO107" s="15">
        <v>46237</v>
      </c>
      <c r="AP107" s="91"/>
      <c r="AQ107" s="87"/>
      <c r="AR107" s="26"/>
      <c r="AS107" s="65"/>
      <c r="AT107" s="88" t="s">
        <v>81</v>
      </c>
      <c r="AU107" s="67"/>
      <c r="BX107" s="1">
        <v>103</v>
      </c>
      <c r="CG107" s="143">
        <v>46468</v>
      </c>
      <c r="CH107" s="143">
        <v>46468</v>
      </c>
      <c r="CI107" s="142" t="s">
        <v>1055</v>
      </c>
      <c r="CN107" t="s">
        <v>984</v>
      </c>
      <c r="CU107" t="s">
        <v>92</v>
      </c>
      <c r="CV107" t="s">
        <v>171</v>
      </c>
      <c r="CW107" t="s">
        <v>1056</v>
      </c>
      <c r="CX107" s="124" t="s">
        <v>1057</v>
      </c>
      <c r="CY107" s="124" t="s">
        <v>125</v>
      </c>
      <c r="CZ107" t="s">
        <v>1058</v>
      </c>
      <c r="DA107" t="str" cm="1">
        <f t="array" ref="DA107:EO107">IF(U107&lt;&gt;"", TRANSPOSE(_xlfn._xlws.FILTER(CZ:CZ, CY:CY=U107, "")), "")</f>
        <v>Gwl (3N) + Mor + Son + Dat + Orc</v>
      </c>
      <c r="DB107" t="str">
        <v>Ex Gwl | Gwl (1N) - Son - Dat - Orc (1N) - Gwl (1N)</v>
      </c>
      <c r="DC107" t="str">
        <v>Ex Idr | Idr - Ujj (1N) - Omk - Mah (1N) - Man (1N) - Idr</v>
      </c>
      <c r="DD107" t="str">
        <v>Ex Jlr | Jlr - Kan (2N) - Jlr (1N)</v>
      </c>
      <c r="DE107" t="str">
        <v>Ex Jlr | Jlr - Ban (2N) - Jlr (1N)</v>
      </c>
      <c r="DF107" t="str">
        <v>Ex Bho | Bho (1N) + San - Bhoj - Bhim - Pch (2N) - Bho</v>
      </c>
      <c r="DG107" t="str">
        <v>Ex Idr | Idr (1N) - Ujj (1N) - Omk (1N) - Mah - Idr</v>
      </c>
      <c r="DH107" t="str">
        <v>Gwl - Orc (1N) - Ckt (1N) - Myr (1N) - Jlr</v>
      </c>
      <c r="DI107" t="str">
        <v>Gwl - Orc (1N) - Ckt (2N) - Ixd</v>
      </c>
      <c r="DJ107" t="str">
        <v>Ex Idr | Idr - Ujj (1N) - Omk - Mah (1N) - Idr (1N)</v>
      </c>
      <c r="DK107" t="str">
        <v>Ex Jlr | Jlr - Kan (3N) - Jlr</v>
      </c>
      <c r="DL107" t="str">
        <v>Ex Bho | Bho (2N) + Bhim + Bhoj + San + Udaygiri + Vidisha + FDCT Bho</v>
      </c>
      <c r="DM107" t="str">
        <v>Bho (1N) + Bhim + Bhoj - HDCT  Bho + Sanchi - Ujj (2N)</v>
      </c>
      <c r="DN107" t="str">
        <v>Bho (1N) + Bhim + Bhoj - HDCT  Bho + Sanchi - Ujj (2N) - Idr</v>
      </c>
      <c r="DO107" t="str">
        <v>Ex Bho | Bho - Bhoj - Bhim - Mad (1N) - Pch (2N) - Bho</v>
      </c>
      <c r="DP107" t="str">
        <v>Ex Bho | Bho - Bhoj - Bhim - Mad (1N) - Pch (3N) - Bho</v>
      </c>
      <c r="DQ107" t="str">
        <v>Ex Bho | Bho - Bhoj - Bhim - Tawa (1N) - Mad (1N) - Bho (1N)</v>
      </c>
      <c r="DR107" t="str">
        <v>Bho (1N) - Bhim - Bhoj - San - Idr (2N) + Ujj</v>
      </c>
      <c r="DS107" t="str">
        <v>Bho (1N) - Bhoj - Bhim - Pch (2N) - Bho</v>
      </c>
      <c r="DT107" t="str">
        <v>Ujj (1N) - Omk - Mah (1N) - Idr (1N)</v>
      </c>
      <c r="DU107" t="str">
        <v>Ujj (1N) - Omk - Mah (1N) - Man (1N) - Idr</v>
      </c>
      <c r="DV107" t="str">
        <v>Ex Idr | Idr (1N) - Ujj (1N) - Omk - Mah (1N)</v>
      </c>
      <c r="DW107" t="str">
        <v>Ex Idr | Idr - Ujj (1N) - Omk (1N) - Mah (1N) - Idr</v>
      </c>
      <c r="DX107" t="str">
        <v>Khandwa - Omk (1N) - Mah (1N) - Ujj (1N) - Idr</v>
      </c>
      <c r="DY107" t="str">
        <v>Ex Idr | Idr - Ujj (1N) - Omk - Mah (1N) - Man - Idr (1N)</v>
      </c>
      <c r="DZ107" t="str">
        <v xml:space="preserve">Idr - Omk (1N) - Mah - Ujj (1N) San - Bho (1N) </v>
      </c>
      <c r="EA107" t="str">
        <v>Ex Idr | Idr - Man (1N) - Mah - Omk (1N) - Ujj (1N) - Idr</v>
      </c>
      <c r="EB107" t="str">
        <v>Khandwa - Omk (1N) - Mah - Ujj (2N)</v>
      </c>
      <c r="EC107" t="str">
        <v>Ex Jlr | Jlr (1N) - Amr (1N) - Ban (1N) - Jlr</v>
      </c>
      <c r="ED107" t="str">
        <v>Ex Jlr | Jlr - (1 N) Ban - (2 N) Amar</v>
      </c>
      <c r="EE107" t="str">
        <v>Jlr - Kan (1N) - Pch (2N)</v>
      </c>
      <c r="EF107" t="str">
        <v>Pi - Pch (2N)  - Kan (1N)</v>
      </c>
      <c r="EG107" t="str">
        <v>Ex Jlr | Jlr - Amr (1 N) - (1 N) Ban - (1 N) Jlr</v>
      </c>
      <c r="EH107" t="str">
        <v>Ppi - (2 N) Pch - (1 N) Pen</v>
      </c>
      <c r="EI107" t="str">
        <v>Bhp - Pch (2N) - Jlr (1N)</v>
      </c>
      <c r="EJ107" t="str">
        <v xml:space="preserve">Arr Jhn - Hjr (1N) - Orc - Gwl (2N) </v>
      </c>
      <c r="EK107" t="str">
        <v>(1 N) Ujj - (1 N) Mah - (1 N) Idr</v>
      </c>
      <c r="EL107" t="str">
        <v>Ex Bhp | Bhp - Bhoj - Bhim - Pch (3N) - Bhp</v>
      </c>
      <c r="EM107" t="str">
        <v>Ex Bhp | Bhp - Bhoj - Bhim - Pch (2N) - Mad (1N) - Bhp</v>
      </c>
      <c r="EN107" t="str">
        <v xml:space="preserve">Ex Nag - 3N Pch + Sat </v>
      </c>
      <c r="EO107" t="str">
        <v>1N Gwl - Son - Dat - 1N Hjr - 1N Orc - Jhn</v>
      </c>
    </row>
    <row r="108" spans="2:145" ht="15" customHeight="1">
      <c r="B108" s="35">
        <v>104</v>
      </c>
      <c r="C108" s="36" t="s">
        <v>1059</v>
      </c>
      <c r="D108" s="76">
        <v>46182</v>
      </c>
      <c r="E108" s="37" t="str">
        <f>IF(Table5[[#This Row],[Query Date]]&lt;&gt;"", TEXT(Table5[[#This Row],[Query Date]], "dddd"), "")</f>
        <v>Tuesday</v>
      </c>
      <c r="F108" s="37" t="str">
        <f>IF(Table5[[#This Row],[Query Date]]&lt;&gt;"", TEXT(Table5[[#This Row],[Query Date]], "mmmm"), "")</f>
        <v>June</v>
      </c>
      <c r="G108" s="28" t="s">
        <v>65</v>
      </c>
      <c r="H108" s="28" t="s">
        <v>66</v>
      </c>
      <c r="I108" s="28" t="s">
        <v>67</v>
      </c>
      <c r="J108" s="28" t="s">
        <v>68</v>
      </c>
      <c r="K108" s="28" t="s">
        <v>178</v>
      </c>
      <c r="L108" s="25" t="s">
        <v>70</v>
      </c>
      <c r="M108" s="112" t="s">
        <v>1060</v>
      </c>
      <c r="N108" s="25" t="s">
        <v>1061</v>
      </c>
      <c r="O108" s="130" t="s">
        <v>1062</v>
      </c>
      <c r="P108" s="46" t="s">
        <v>1063</v>
      </c>
      <c r="Q108" s="77">
        <v>46236</v>
      </c>
      <c r="R108" s="77" t="str">
        <f>IF(Table5[[#This Row],[Tour Starting Date]]&lt;&gt;"", TEXT(Table5[[#This Row],[Tour Starting Date]], "dddd"), "")</f>
        <v>Sunday</v>
      </c>
      <c r="S108" s="77">
        <v>46240</v>
      </c>
      <c r="T108" s="25" t="str">
        <f>IF(Table5[[#This Row],[Tour Ending Date]]&lt;&gt;"", TEXT(Table5[[#This Row],[Tour Ending Date]], "dddd"), "")</f>
        <v>Thursday</v>
      </c>
      <c r="U108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4 Nights &amp; 5 Days</v>
      </c>
      <c r="V108" s="37" t="str">
        <f>IF(Table5[[#This Row],[Tour Starting Date]]&lt;&gt;"", TEXT(Table5[[#This Row],[Tour Starting Date]], "mmmm"), "")</f>
        <v>August</v>
      </c>
      <c r="W108" s="80" t="str" cm="1">
        <f t="array" ref="W108">IF(Q108&lt;&gt;"", INDEX(CI:CI, MATCH(1, (Q108&gt;=CG:CG)*(Q108&lt;=CH:CH), 0)), "")</f>
        <v>Regular Dates - Weekend</v>
      </c>
      <c r="X108" s="39">
        <v>2</v>
      </c>
      <c r="Y108" s="74">
        <v>21800</v>
      </c>
      <c r="Z108" s="74">
        <f>IF(OR(Table5[[#This Row],[Per Person Package Cost]]="", Table5[[#This Row],[No. of Pax]]=""), "", Table5[[#This Row],[Per Person Package Cost]] * Table5[[#This Row],[No. of Pax]])</f>
        <v>43600</v>
      </c>
      <c r="AA108" s="52" t="s">
        <v>75</v>
      </c>
      <c r="AB108" s="52" t="s">
        <v>75</v>
      </c>
      <c r="AC108" s="52" t="s">
        <v>134</v>
      </c>
      <c r="AD108" s="52" t="s">
        <v>575</v>
      </c>
      <c r="AE108" s="51" t="str">
        <f t="shared" si="5"/>
        <v>EMPSPR01</v>
      </c>
      <c r="AF108" s="51" t="str">
        <f t="shared" si="6"/>
        <v>A Pilgrimage of Faith and Culture</v>
      </c>
      <c r="AG108" s="74" t="str">
        <f t="shared" si="7"/>
        <v>Special Interest - Spiritual Tours</v>
      </c>
      <c r="AH108" s="73" t="str">
        <f t="shared" si="8"/>
        <v>West MP</v>
      </c>
      <c r="AI108" s="52" t="s">
        <v>159</v>
      </c>
      <c r="AJ108" s="56" t="s">
        <v>78</v>
      </c>
      <c r="AK108" s="59" t="s">
        <v>79</v>
      </c>
      <c r="AL108" s="60" t="s">
        <v>80</v>
      </c>
      <c r="AM108" s="54" t="s">
        <v>80</v>
      </c>
      <c r="AN108" s="14">
        <v>46206</v>
      </c>
      <c r="AO108" s="15"/>
      <c r="AP108" s="91"/>
      <c r="AQ108" s="87"/>
      <c r="AR108" s="26"/>
      <c r="AS108" s="65"/>
      <c r="AT108" s="88" t="s">
        <v>81</v>
      </c>
      <c r="AU108" s="67"/>
      <c r="BX108" s="1">
        <v>104</v>
      </c>
      <c r="CG108" s="143">
        <v>46469</v>
      </c>
      <c r="CH108" s="143">
        <v>46471</v>
      </c>
      <c r="CI108" s="142" t="s">
        <v>88</v>
      </c>
      <c r="CN108" t="s">
        <v>516</v>
      </c>
      <c r="CU108" t="s">
        <v>92</v>
      </c>
      <c r="CV108" t="s">
        <v>171</v>
      </c>
      <c r="CW108" t="s">
        <v>1064</v>
      </c>
      <c r="CX108" s="124" t="s">
        <v>1065</v>
      </c>
      <c r="CY108" s="124" t="s">
        <v>151</v>
      </c>
      <c r="CZ108" t="s">
        <v>439</v>
      </c>
      <c r="DA108" t="str" cm="1">
        <f t="array" ref="DA108:EJ108">IF(U108&lt;&gt;"", TRANSPOSE(_xlfn._xlws.FILTER(CZ:CZ, CY:CY=U108, "")), "")</f>
        <v>Ex Gwl | Gwl (2N) + Mor - Son - Dat - Orc (1N) - Hjr (1N) - Gwl</v>
      </c>
      <c r="DB108" t="str">
        <v>Ex Idr | Idr - Ujj (1N) - Omk - Mah (1N) - Man (1N) - Idr (1N)</v>
      </c>
      <c r="DC108" t="str">
        <v>Ex Idr | Idr - Ujj (1N) - Omk (1N) - Mah (1N) - Man (1N) - Idr</v>
      </c>
      <c r="DD108" t="str">
        <v>Ex Jlr | Jlr - Kan (2N) - Amk (1N) - Jlr (1N)</v>
      </c>
      <c r="DE108" t="str">
        <v>Ex Jlr | Jlr - Ban (2N) - Amk (1N) - Jlr (1N)</v>
      </c>
      <c r="DF108" t="str">
        <v>Ex Jlr | Jlr (1N) - Hjr (1N) - Ban (2N) - Jlr</v>
      </c>
      <c r="DG108" t="str">
        <v>Ex Jlr | Jlr (1N) - Kan (1N) - Ban (2N) - Jlr</v>
      </c>
      <c r="DH108" t="str">
        <v>Ex Bho | Bho (1N) + San + Bhoj + Bhim - Tawa - Mad (1N) - Pch (2N) - Bho</v>
      </c>
      <c r="DI108" t="str">
        <v>Ex Idr | Idr - Ujj (1N) - Omk - Mah (1N) - Man (1N) - Idr (1N)</v>
      </c>
      <c r="DJ108" t="str">
        <v>Ex Bho | Bho (1N) - Bhoj - Bhim - Pch (3N) - Bho</v>
      </c>
      <c r="DK108" t="str">
        <v>Gwl (1N) - Dat (Pitambara Peeth) - Orc (1N) - Ckt (2N) - Ixd</v>
      </c>
      <c r="DL108" t="str">
        <v>Ex Jlr | Jlr - Ban (2N) - Kan (2N) - Jlr</v>
      </c>
      <c r="DM108" t="str">
        <v>Jlr - Ban (1N) - Kan (1N) - Pen (2N) - Nag</v>
      </c>
      <c r="DN108" t="str">
        <v>Ex Bho | Bho (1N) - Bhoj - Bhim - Pch (3N) - Bho</v>
      </c>
      <c r="DO108" t="str">
        <v>Ex Bho | Bho (2N) + Sanchi + Bhoj + Bhim - Tawa - Mad (1N) - Bho (1N)</v>
      </c>
      <c r="DP108" t="str">
        <v>Ex Bho | Bho - Bhoj - Bhim - Tawa (1N) - Mad (1N) - Pch (2N) - Bho</v>
      </c>
      <c r="DQ108" t="str">
        <v>Bho - Bhoj - Bhim - Pch (2N) - Kan (1N) - Jlr (1N)</v>
      </c>
      <c r="DR108" t="str">
        <v>Bho - Bhoj - Bhim - Pch (2N) - Kan (1N) - Amk (1N) - Jlr</v>
      </c>
      <c r="DS108" t="str">
        <v xml:space="preserve">Bho (1N) + Bhim + Bhoj + San - Ujj (1N) - Omk - Mah (1N) - Idr (1N) </v>
      </c>
      <c r="DT108" t="str">
        <v>Ex Gwl | Gwl - Hjr (1N) - Orc (1N) - Dat - Son - Gwl (2N)</v>
      </c>
      <c r="DU108" t="str">
        <v>Ex Gwl | Gwl - Orc (1N) - Hjr (1N) - Chn (1N) - Shiv (1N) - Gwl</v>
      </c>
      <c r="DV108" t="str">
        <v>Gwl - Hjr (1N) - Panna (1N) - Chit (1N) - Mahi (1N) - Sat</v>
      </c>
      <c r="DW108" t="str">
        <v>Jlr - (2 N) Kan - (2 N) Pch - Bhim - Bhoj - Bhp</v>
      </c>
      <c r="DX108" t="str">
        <v>Jlr - (2 N) Kan - (2 N) Pen - Rpr</v>
      </c>
      <c r="DY108" t="str">
        <v>Gwl (2N) (Ex Mor) - Dat -Orc (1N) - Hjr (1N) - Jhn</v>
      </c>
      <c r="DZ108" t="str">
        <v>Ex Gwl | Gwl (1N) - Son - Dat - Orc (1N) - Hjr (2N) (Ex Panna) - Gwl</v>
      </c>
      <c r="EA108" t="str">
        <v>Hjr (1N) - Orc (1N) - Dat - son - Gwl (2N)(Ex Mor)</v>
      </c>
      <c r="EB108" t="str">
        <v>(2 N) Gwl - (1 N) Orch - (1 N) Hjr</v>
      </c>
      <c r="EC108" t="str">
        <v>Ex Bhp | Bhp - Bhoj - Bhim - Pch (2N) - Mad (1N) - Tawa (1N) - Bhp</v>
      </c>
      <c r="ED108" t="str">
        <v>Ex Bhp | Bhp - Bhoj - Bhim - Pch (2N) - Mad (2N) - Bhp</v>
      </c>
      <c r="EE108" t="str">
        <v>Ex Idr | Idr - Ujj (1N) - Omk (1N) - Mah (2N) (Ex Man) - Idr (HDCT)</v>
      </c>
      <c r="EF108" t="str">
        <v>Arr Rpr - Amr (2N) - Par (2N) - IXD</v>
      </c>
      <c r="EG108" t="str">
        <v>1N Gwl - Orc - 2N Hjr - Jhn - 1N Gwl</v>
      </c>
      <c r="EH108" t="str">
        <v>1N Orc - 1N Hjr - 2N Gwl Ex Mor</v>
      </c>
      <c r="EI108" t="str">
        <v>1N Idr - Omk - 1N Mah - 1N Ujj - Seh - 1N Bho</v>
      </c>
      <c r="EJ108" t="str">
        <v>Ex Idr I 1N Idr - 1N Ujj - Omk - 2N Mah - Man - Idr</v>
      </c>
    </row>
    <row r="109" spans="2:145" ht="15" customHeight="1">
      <c r="B109" s="34">
        <v>105</v>
      </c>
      <c r="C109" s="36" t="s">
        <v>1066</v>
      </c>
      <c r="D109" s="76">
        <v>46183</v>
      </c>
      <c r="E109" s="37" t="str">
        <f>IF(Table5[[#This Row],[Query Date]]&lt;&gt;"", TEXT(Table5[[#This Row],[Query Date]], "dddd"), "")</f>
        <v>Wednesday</v>
      </c>
      <c r="F109" s="37" t="str">
        <f>IF(Table5[[#This Row],[Query Date]]&lt;&gt;"", TEXT(Table5[[#This Row],[Query Date]], "mmmm"), "")</f>
        <v>June</v>
      </c>
      <c r="G109" s="28" t="s">
        <v>65</v>
      </c>
      <c r="H109" s="28" t="s">
        <v>99</v>
      </c>
      <c r="I109" s="28" t="s">
        <v>100</v>
      </c>
      <c r="J109" s="28" t="s">
        <v>68</v>
      </c>
      <c r="K109" s="28" t="s">
        <v>69</v>
      </c>
      <c r="L109" s="25" t="s">
        <v>70</v>
      </c>
      <c r="M109" s="112" t="s">
        <v>266</v>
      </c>
      <c r="N109" s="25" t="s">
        <v>635</v>
      </c>
      <c r="O109" s="130" t="s">
        <v>636</v>
      </c>
      <c r="P109" s="106" t="s">
        <v>637</v>
      </c>
      <c r="Q109" s="77">
        <v>46293</v>
      </c>
      <c r="R109" s="77" t="str">
        <f>IF(Table5[[#This Row],[Tour Starting Date]]&lt;&gt;"", TEXT(Table5[[#This Row],[Tour Starting Date]], "dddd"), "")</f>
        <v>Monday</v>
      </c>
      <c r="S109" s="77">
        <v>46296</v>
      </c>
      <c r="T109" s="25" t="str">
        <f>IF(Table5[[#This Row],[Tour Ending Date]]&lt;&gt;"", TEXT(Table5[[#This Row],[Tour Ending Date]], "dddd"), "")</f>
        <v>Thursday</v>
      </c>
      <c r="U109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109" s="37" t="str">
        <f>IF(Table5[[#This Row],[Tour Starting Date]]&lt;&gt;"", TEXT(Table5[[#This Row],[Tour Starting Date]], "mmmm"), "")</f>
        <v>September</v>
      </c>
      <c r="W109" s="80" t="str" cm="1">
        <f t="array" ref="W109">IF(Q109&lt;&gt;"", INDEX(CI:CI, MATCH(1, (Q109&gt;=CG:CG)*(Q109&lt;=CH:CH), 0)), "")</f>
        <v>Regular Dates - Weekday</v>
      </c>
      <c r="X109" s="39">
        <v>13</v>
      </c>
      <c r="Y109" s="74">
        <v>21900</v>
      </c>
      <c r="Z109" s="74">
        <f>IF(OR(Table5[[#This Row],[Per Person Package Cost]]="", Table5[[#This Row],[No. of Pax]]=""), "", Table5[[#This Row],[Per Person Package Cost]] * Table5[[#This Row],[No. of Pax]])</f>
        <v>284700</v>
      </c>
      <c r="AA109" s="52" t="s">
        <v>75</v>
      </c>
      <c r="AB109" s="52" t="s">
        <v>75</v>
      </c>
      <c r="AC109" s="52" t="s">
        <v>240</v>
      </c>
      <c r="AD109" s="52" t="s">
        <v>395</v>
      </c>
      <c r="AE109" s="51" t="str">
        <f t="shared" si="5"/>
        <v>EXIDR06</v>
      </c>
      <c r="AF109" s="51" t="str">
        <f t="shared" si="6"/>
        <v>Jyotirlinga &amp; Heritage Trails of Madhya Pradesh</v>
      </c>
      <c r="AG109" s="74" t="str">
        <f t="shared" si="7"/>
        <v>Quick Getaways</v>
      </c>
      <c r="AH109" s="73" t="str">
        <f t="shared" si="8"/>
        <v>West MP</v>
      </c>
      <c r="AI109" s="52" t="s">
        <v>159</v>
      </c>
      <c r="AJ109" s="56" t="s">
        <v>78</v>
      </c>
      <c r="AK109" s="59" t="s">
        <v>79</v>
      </c>
      <c r="AL109" s="60" t="s">
        <v>80</v>
      </c>
      <c r="AM109" s="54" t="s">
        <v>80</v>
      </c>
      <c r="AN109" s="14">
        <v>46186</v>
      </c>
      <c r="AO109" s="15">
        <v>46195</v>
      </c>
      <c r="AP109" s="91">
        <v>46231</v>
      </c>
      <c r="AQ109" s="87">
        <v>46237</v>
      </c>
      <c r="AR109" s="26"/>
      <c r="AS109" s="65"/>
      <c r="AT109" s="88" t="s">
        <v>81</v>
      </c>
      <c r="AU109" s="67"/>
      <c r="BX109" s="1">
        <v>105</v>
      </c>
      <c r="CG109" s="143">
        <v>46472</v>
      </c>
      <c r="CH109" s="143">
        <v>46474</v>
      </c>
      <c r="CI109" s="142" t="s">
        <v>116</v>
      </c>
      <c r="CN109" t="s">
        <v>861</v>
      </c>
      <c r="CU109" t="s">
        <v>92</v>
      </c>
      <c r="CV109" t="s">
        <v>171</v>
      </c>
      <c r="CW109" t="s">
        <v>1067</v>
      </c>
      <c r="CX109" s="124" t="s">
        <v>1068</v>
      </c>
      <c r="CY109" s="124" t="s">
        <v>151</v>
      </c>
      <c r="CZ109" s="124" t="s">
        <v>1069</v>
      </c>
      <c r="DA109" t="str" cm="1">
        <f t="array" ref="DA109:EO109">IF(U109&lt;&gt;"", TRANSPOSE(_xlfn._xlws.FILTER(CZ:CZ, CY:CY=U109, "")), "")</f>
        <v>Gwl (3N) + Mor + Son + Dat + Orc</v>
      </c>
      <c r="DB109" t="str">
        <v>Ex Gwl | Gwl (1N) - Son - Dat - Orc (1N) - Gwl (1N)</v>
      </c>
      <c r="DC109" t="str">
        <v>Ex Idr | Idr - Ujj (1N) - Omk - Mah (1N) - Man (1N) - Idr</v>
      </c>
      <c r="DD109" t="str">
        <v>Ex Jlr | Jlr - Kan (2N) - Jlr (1N)</v>
      </c>
      <c r="DE109" t="str">
        <v>Ex Jlr | Jlr - Ban (2N) - Jlr (1N)</v>
      </c>
      <c r="DF109" t="str">
        <v>Ex Bho | Bho (1N) + San - Bhoj - Bhim - Pch (2N) - Bho</v>
      </c>
      <c r="DG109" t="str">
        <v>Ex Idr | Idr (1N) - Ujj (1N) - Omk (1N) - Mah - Idr</v>
      </c>
      <c r="DH109" t="str">
        <v>Gwl - Orc (1N) - Ckt (1N) - Myr (1N) - Jlr</v>
      </c>
      <c r="DI109" t="str">
        <v>Gwl - Orc (1N) - Ckt (2N) - Ixd</v>
      </c>
      <c r="DJ109" t="str">
        <v>Ex Idr | Idr - Ujj (1N) - Omk - Mah (1N) - Idr (1N)</v>
      </c>
      <c r="DK109" t="str">
        <v>Ex Jlr | Jlr - Kan (3N) - Jlr</v>
      </c>
      <c r="DL109" t="str">
        <v>Ex Bho | Bho (2N) + Bhim + Bhoj + San + Udaygiri + Vidisha + FDCT Bho</v>
      </c>
      <c r="DM109" t="str">
        <v>Bho (1N) + Bhim + Bhoj - HDCT  Bho + Sanchi - Ujj (2N)</v>
      </c>
      <c r="DN109" t="str">
        <v>Bho (1N) + Bhim + Bhoj - HDCT  Bho + Sanchi - Ujj (2N) - Idr</v>
      </c>
      <c r="DO109" t="str">
        <v>Ex Bho | Bho - Bhoj - Bhim - Mad (1N) - Pch (2N) - Bho</v>
      </c>
      <c r="DP109" t="str">
        <v>Ex Bho | Bho - Bhoj - Bhim - Mad (1N) - Pch (3N) - Bho</v>
      </c>
      <c r="DQ109" t="str">
        <v>Ex Bho | Bho - Bhoj - Bhim - Tawa (1N) - Mad (1N) - Bho (1N)</v>
      </c>
      <c r="DR109" t="str">
        <v>Bho (1N) - Bhim - Bhoj - San - Idr (2N) + Ujj</v>
      </c>
      <c r="DS109" t="str">
        <v>Bho (1N) - Bhoj - Bhim - Pch (2N) - Bho</v>
      </c>
      <c r="DT109" t="str">
        <v>Ujj (1N) - Omk - Mah (1N) - Idr (1N)</v>
      </c>
      <c r="DU109" t="str">
        <v>Ujj (1N) - Omk - Mah (1N) - Man (1N) - Idr</v>
      </c>
      <c r="DV109" t="str">
        <v>Ex Idr | Idr (1N) - Ujj (1N) - Omk - Mah (1N)</v>
      </c>
      <c r="DW109" t="str">
        <v>Ex Idr | Idr - Ujj (1N) - Omk (1N) - Mah (1N) - Idr</v>
      </c>
      <c r="DX109" t="str">
        <v>Khandwa - Omk (1N) - Mah (1N) - Ujj (1N) - Idr</v>
      </c>
      <c r="DY109" t="str">
        <v>Ex Idr | Idr - Ujj (1N) - Omk - Mah (1N) - Man - Idr (1N)</v>
      </c>
      <c r="DZ109" t="str">
        <v xml:space="preserve">Idr - Omk (1N) - Mah - Ujj (1N) San - Bho (1N) </v>
      </c>
      <c r="EA109" t="str">
        <v>Ex Idr | Idr - Man (1N) - Mah - Omk (1N) - Ujj (1N) - Idr</v>
      </c>
      <c r="EB109" t="str">
        <v>Khandwa - Omk (1N) - Mah - Ujj (2N)</v>
      </c>
      <c r="EC109" t="str">
        <v>Ex Jlr | Jlr (1N) - Amr (1N) - Ban (1N) - Jlr</v>
      </c>
      <c r="ED109" t="str">
        <v>Ex Jlr | Jlr - (1 N) Ban - (2 N) Amar</v>
      </c>
      <c r="EE109" t="str">
        <v>Jlr - Kan (1N) - Pch (2N)</v>
      </c>
      <c r="EF109" t="str">
        <v>Pi - Pch (2N)  - Kan (1N)</v>
      </c>
      <c r="EG109" t="str">
        <v>Ex Jlr | Jlr - Amr (1 N) - (1 N) Ban - (1 N) Jlr</v>
      </c>
      <c r="EH109" t="str">
        <v>Ppi - (2 N) Pch - (1 N) Pen</v>
      </c>
      <c r="EI109" t="str">
        <v>Bhp - Pch (2N) - Jlr (1N)</v>
      </c>
      <c r="EJ109" t="str">
        <v xml:space="preserve">Arr Jhn - Hjr (1N) - Orc - Gwl (2N) </v>
      </c>
      <c r="EK109" t="str">
        <v>(1 N) Ujj - (1 N) Mah - (1 N) Idr</v>
      </c>
      <c r="EL109" t="str">
        <v>Ex Bhp | Bhp - Bhoj - Bhim - Pch (3N) - Bhp</v>
      </c>
      <c r="EM109" t="str">
        <v>Ex Bhp | Bhp - Bhoj - Bhim - Pch (2N) - Mad (1N) - Bhp</v>
      </c>
      <c r="EN109" t="str">
        <v xml:space="preserve">Ex Nag - 3N Pch + Sat </v>
      </c>
      <c r="EO109" t="str">
        <v>1N Gwl - Son - Dat - 1N Hjr - 1N Orc - Jhn</v>
      </c>
    </row>
    <row r="110" spans="2:145" ht="15" customHeight="1">
      <c r="B110" s="35">
        <v>106</v>
      </c>
      <c r="C110" s="36" t="s">
        <v>1070</v>
      </c>
      <c r="D110" s="76">
        <v>46185</v>
      </c>
      <c r="E110" s="37" t="str">
        <f>IF(Table5[[#This Row],[Query Date]]&lt;&gt;"", TEXT(Table5[[#This Row],[Query Date]], "dddd"), "")</f>
        <v>Friday</v>
      </c>
      <c r="F110" s="37" t="str">
        <f>IF(Table5[[#This Row],[Query Date]]&lt;&gt;"", TEXT(Table5[[#This Row],[Query Date]], "mmmm"), "")</f>
        <v>June</v>
      </c>
      <c r="G110" s="28" t="s">
        <v>65</v>
      </c>
      <c r="H110" s="28" t="s">
        <v>99</v>
      </c>
      <c r="I110" s="28" t="s">
        <v>67</v>
      </c>
      <c r="J110" s="28" t="s">
        <v>68</v>
      </c>
      <c r="K110" s="28" t="s">
        <v>69</v>
      </c>
      <c r="L110" s="25" t="s">
        <v>70</v>
      </c>
      <c r="M110" s="112" t="s">
        <v>1039</v>
      </c>
      <c r="N110" s="25" t="s">
        <v>1071</v>
      </c>
      <c r="O110" s="130" t="s">
        <v>1072</v>
      </c>
      <c r="P110" s="46" t="s">
        <v>1042</v>
      </c>
      <c r="Q110" s="77">
        <v>46242</v>
      </c>
      <c r="R110" s="77" t="str">
        <f>IF(Table5[[#This Row],[Tour Starting Date]]&lt;&gt;"", TEXT(Table5[[#This Row],[Tour Starting Date]], "dddd"), "")</f>
        <v>Saturday</v>
      </c>
      <c r="S110" s="77">
        <v>46245</v>
      </c>
      <c r="T110" s="25" t="str">
        <f>IF(Table5[[#This Row],[Tour Ending Date]]&lt;&gt;"", TEXT(Table5[[#This Row],[Tour Ending Date]], "dddd"), "")</f>
        <v>Tuesday</v>
      </c>
      <c r="U110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110" s="37" t="str">
        <f>IF(Table5[[#This Row],[Tour Starting Date]]&lt;&gt;"", TEXT(Table5[[#This Row],[Tour Starting Date]], "mmmm"), "")</f>
        <v>August</v>
      </c>
      <c r="W110" s="80" t="str" cm="1">
        <f t="array" ref="W110">IF(Q110&lt;&gt;"", INDEX(CI:CI, MATCH(1, (Q110&gt;=CG:CG)*(Q110&lt;=CH:CH), 0)), "")</f>
        <v>Regular Dates - Weekend</v>
      </c>
      <c r="X110" s="39">
        <v>5</v>
      </c>
      <c r="Y110" s="74">
        <v>14500</v>
      </c>
      <c r="Z110" s="74">
        <f>IF(OR(Table5[[#This Row],[Per Person Package Cost]]="", Table5[[#This Row],[No. of Pax]]=""), "", Table5[[#This Row],[Per Person Package Cost]] * Table5[[#This Row],[No. of Pax]])</f>
        <v>72500</v>
      </c>
      <c r="AA110" s="52" t="s">
        <v>75</v>
      </c>
      <c r="AB110" s="52" t="s">
        <v>205</v>
      </c>
      <c r="AC110" s="52" t="s">
        <v>134</v>
      </c>
      <c r="AD110" s="52" t="s">
        <v>1023</v>
      </c>
      <c r="AE110" s="51" t="str">
        <f t="shared" si="5"/>
        <v>EXIDR18</v>
      </c>
      <c r="AF110" s="51" t="str">
        <f t="shared" si="6"/>
        <v>Legacy of the Heartland Of Madhya Pradesh</v>
      </c>
      <c r="AG110" s="74" t="str">
        <f t="shared" si="7"/>
        <v>Quick Getaways</v>
      </c>
      <c r="AH110" s="73" t="str">
        <f t="shared" si="8"/>
        <v>West MP</v>
      </c>
      <c r="AI110" s="52" t="s">
        <v>159</v>
      </c>
      <c r="AJ110" s="56" t="s">
        <v>78</v>
      </c>
      <c r="AK110" s="59" t="s">
        <v>79</v>
      </c>
      <c r="AL110" s="60" t="s">
        <v>80</v>
      </c>
      <c r="AM110" s="54" t="s">
        <v>80</v>
      </c>
      <c r="AN110" s="14">
        <v>46198</v>
      </c>
      <c r="AO110" s="15">
        <v>46206</v>
      </c>
      <c r="AP110" s="91"/>
      <c r="AQ110" s="87"/>
      <c r="AR110" s="26"/>
      <c r="AS110" s="65"/>
      <c r="AT110" s="88" t="s">
        <v>81</v>
      </c>
      <c r="AU110" s="67" t="s">
        <v>164</v>
      </c>
      <c r="BX110" s="1">
        <v>106</v>
      </c>
      <c r="CG110" s="143">
        <v>46475</v>
      </c>
      <c r="CH110" s="143">
        <v>46477</v>
      </c>
      <c r="CI110" s="142" t="s">
        <v>88</v>
      </c>
      <c r="CN110" t="s">
        <v>1073</v>
      </c>
      <c r="CU110" t="s">
        <v>92</v>
      </c>
      <c r="CV110" t="s">
        <v>171</v>
      </c>
      <c r="CW110" t="s">
        <v>1074</v>
      </c>
      <c r="CX110" s="124" t="s">
        <v>1075</v>
      </c>
      <c r="CY110" s="124" t="s">
        <v>151</v>
      </c>
      <c r="CZ110" s="124" t="s">
        <v>1076</v>
      </c>
      <c r="DA110" t="str" cm="1">
        <f t="array" ref="DA110:EO110">IF(U110&lt;&gt;"", TRANSPOSE(_xlfn._xlws.FILTER(CZ:CZ, CY:CY=U110, "")), "")</f>
        <v>Gwl (3N) + Mor + Son + Dat + Orc</v>
      </c>
      <c r="DB110" t="str">
        <v>Ex Gwl | Gwl (1N) - Son - Dat - Orc (1N) - Gwl (1N)</v>
      </c>
      <c r="DC110" t="str">
        <v>Ex Idr | Idr - Ujj (1N) - Omk - Mah (1N) - Man (1N) - Idr</v>
      </c>
      <c r="DD110" t="str">
        <v>Ex Jlr | Jlr - Kan (2N) - Jlr (1N)</v>
      </c>
      <c r="DE110" t="str">
        <v>Ex Jlr | Jlr - Ban (2N) - Jlr (1N)</v>
      </c>
      <c r="DF110" t="str">
        <v>Ex Bho | Bho (1N) + San - Bhoj - Bhim - Pch (2N) - Bho</v>
      </c>
      <c r="DG110" t="str">
        <v>Ex Idr | Idr (1N) - Ujj (1N) - Omk (1N) - Mah - Idr</v>
      </c>
      <c r="DH110" t="str">
        <v>Gwl - Orc (1N) - Ckt (1N) - Myr (1N) - Jlr</v>
      </c>
      <c r="DI110" t="str">
        <v>Gwl - Orc (1N) - Ckt (2N) - Ixd</v>
      </c>
      <c r="DJ110" t="str">
        <v>Ex Idr | Idr - Ujj (1N) - Omk - Mah (1N) - Idr (1N)</v>
      </c>
      <c r="DK110" t="str">
        <v>Ex Jlr | Jlr - Kan (3N) - Jlr</v>
      </c>
      <c r="DL110" t="str">
        <v>Ex Bho | Bho (2N) + Bhim + Bhoj + San + Udaygiri + Vidisha + FDCT Bho</v>
      </c>
      <c r="DM110" t="str">
        <v>Bho (1N) + Bhim + Bhoj - HDCT  Bho + Sanchi - Ujj (2N)</v>
      </c>
      <c r="DN110" t="str">
        <v>Bho (1N) + Bhim + Bhoj - HDCT  Bho + Sanchi - Ujj (2N) - Idr</v>
      </c>
      <c r="DO110" t="str">
        <v>Ex Bho | Bho - Bhoj - Bhim - Mad (1N) - Pch (2N) - Bho</v>
      </c>
      <c r="DP110" t="str">
        <v>Ex Bho | Bho - Bhoj - Bhim - Mad (1N) - Pch (3N) - Bho</v>
      </c>
      <c r="DQ110" t="str">
        <v>Ex Bho | Bho - Bhoj - Bhim - Tawa (1N) - Mad (1N) - Bho (1N)</v>
      </c>
      <c r="DR110" t="str">
        <v>Bho (1N) - Bhim - Bhoj - San - Idr (2N) + Ujj</v>
      </c>
      <c r="DS110" t="str">
        <v>Bho (1N) - Bhoj - Bhim - Pch (2N) - Bho</v>
      </c>
      <c r="DT110" t="str">
        <v>Ujj (1N) - Omk - Mah (1N) - Idr (1N)</v>
      </c>
      <c r="DU110" t="str">
        <v>Ujj (1N) - Omk - Mah (1N) - Man (1N) - Idr</v>
      </c>
      <c r="DV110" t="str">
        <v>Ex Idr | Idr (1N) - Ujj (1N) - Omk - Mah (1N)</v>
      </c>
      <c r="DW110" t="str">
        <v>Ex Idr | Idr - Ujj (1N) - Omk (1N) - Mah (1N) - Idr</v>
      </c>
      <c r="DX110" t="str">
        <v>Khandwa - Omk (1N) - Mah (1N) - Ujj (1N) - Idr</v>
      </c>
      <c r="DY110" t="str">
        <v>Ex Idr | Idr - Ujj (1N) - Omk - Mah (1N) - Man - Idr (1N)</v>
      </c>
      <c r="DZ110" t="str">
        <v xml:space="preserve">Idr - Omk (1N) - Mah - Ujj (1N) San - Bho (1N) </v>
      </c>
      <c r="EA110" t="str">
        <v>Ex Idr | Idr - Man (1N) - Mah - Omk (1N) - Ujj (1N) - Idr</v>
      </c>
      <c r="EB110" t="str">
        <v>Khandwa - Omk (1N) - Mah - Ujj (2N)</v>
      </c>
      <c r="EC110" t="str">
        <v>Ex Jlr | Jlr (1N) - Amr (1N) - Ban (1N) - Jlr</v>
      </c>
      <c r="ED110" t="str">
        <v>Ex Jlr | Jlr - (1 N) Ban - (2 N) Amar</v>
      </c>
      <c r="EE110" t="str">
        <v>Jlr - Kan (1N) - Pch (2N)</v>
      </c>
      <c r="EF110" t="str">
        <v>Pi - Pch (2N)  - Kan (1N)</v>
      </c>
      <c r="EG110" t="str">
        <v>Ex Jlr | Jlr - Amr (1 N) - (1 N) Ban - (1 N) Jlr</v>
      </c>
      <c r="EH110" t="str">
        <v>Ppi - (2 N) Pch - (1 N) Pen</v>
      </c>
      <c r="EI110" t="str">
        <v>Bhp - Pch (2N) - Jlr (1N)</v>
      </c>
      <c r="EJ110" t="str">
        <v xml:space="preserve">Arr Jhn - Hjr (1N) - Orc - Gwl (2N) </v>
      </c>
      <c r="EK110" t="str">
        <v>(1 N) Ujj - (1 N) Mah - (1 N) Idr</v>
      </c>
      <c r="EL110" t="str">
        <v>Ex Bhp | Bhp - Bhoj - Bhim - Pch (3N) - Bhp</v>
      </c>
      <c r="EM110" t="str">
        <v>Ex Bhp | Bhp - Bhoj - Bhim - Pch (2N) - Mad (1N) - Bhp</v>
      </c>
      <c r="EN110" t="str">
        <v xml:space="preserve">Ex Nag - 3N Pch + Sat </v>
      </c>
      <c r="EO110" t="str">
        <v>1N Gwl - Son - Dat - 1N Hjr - 1N Orc - Jhn</v>
      </c>
    </row>
    <row r="111" spans="2:145" ht="15" customHeight="1">
      <c r="B111" s="34">
        <v>107</v>
      </c>
      <c r="C111" s="36" t="s">
        <v>1077</v>
      </c>
      <c r="D111" s="76">
        <v>46186</v>
      </c>
      <c r="E111" s="37" t="str">
        <f>IF(Table5[[#This Row],[Query Date]]&lt;&gt;"", TEXT(Table5[[#This Row],[Query Date]], "dddd"), "")</f>
        <v>Saturday</v>
      </c>
      <c r="F111" s="37" t="str">
        <f>IF(Table5[[#This Row],[Query Date]]&lt;&gt;"", TEXT(Table5[[#This Row],[Query Date]], "mmmm"), "")</f>
        <v>June</v>
      </c>
      <c r="G111" s="28" t="s">
        <v>65</v>
      </c>
      <c r="H111" s="28" t="s">
        <v>99</v>
      </c>
      <c r="I111" s="28" t="s">
        <v>100</v>
      </c>
      <c r="J111" s="28" t="s">
        <v>68</v>
      </c>
      <c r="K111" s="28" t="s">
        <v>178</v>
      </c>
      <c r="L111" s="25" t="s">
        <v>70</v>
      </c>
      <c r="M111" s="112" t="s">
        <v>502</v>
      </c>
      <c r="N111" s="25" t="s">
        <v>507</v>
      </c>
      <c r="O111" s="136">
        <v>9036405090</v>
      </c>
      <c r="P111" s="46" t="s">
        <v>508</v>
      </c>
      <c r="Q111" s="77">
        <v>46191</v>
      </c>
      <c r="R111" s="77" t="str">
        <f>IF(Table5[[#This Row],[Tour Starting Date]]&lt;&gt;"", TEXT(Table5[[#This Row],[Tour Starting Date]], "dddd"), "")</f>
        <v>Thursday</v>
      </c>
      <c r="S111" s="77">
        <v>46192</v>
      </c>
      <c r="T111" s="25" t="str">
        <f>IF(Table5[[#This Row],[Tour Ending Date]]&lt;&gt;"", TEXT(Table5[[#This Row],[Tour Ending Date]], "dddd"), "")</f>
        <v>Friday</v>
      </c>
      <c r="U111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1 Night &amp; 2 Days</v>
      </c>
      <c r="V111" s="37" t="str">
        <f>IF(Table5[[#This Row],[Tour Starting Date]]&lt;&gt;"", TEXT(Table5[[#This Row],[Tour Starting Date]], "mmmm"), "")</f>
        <v>June</v>
      </c>
      <c r="W111" s="80" t="str" cm="1">
        <f t="array" ref="W111">IF(Q111&lt;&gt;"", INDEX(CI:CI, MATCH(1, (Q111&gt;=CG:CG)*(Q111&lt;=CH:CH), 0)), "")</f>
        <v>Regular Dates - Weekday</v>
      </c>
      <c r="X111" s="39">
        <v>25</v>
      </c>
      <c r="Y111" s="74">
        <v>8500</v>
      </c>
      <c r="Z111" s="74">
        <f>IF(OR(Table5[[#This Row],[Per Person Package Cost]]="", Table5[[#This Row],[No. of Pax]]=""), "", Table5[[#This Row],[Per Person Package Cost]] * Table5[[#This Row],[No. of Pax]])</f>
        <v>212500</v>
      </c>
      <c r="AA111" s="52" t="s">
        <v>644</v>
      </c>
      <c r="AB111" s="52" t="s">
        <v>644</v>
      </c>
      <c r="AC111" s="52" t="s">
        <v>134</v>
      </c>
      <c r="AD111" s="52"/>
      <c r="AE111" s="51" t="str">
        <f t="shared" si="5"/>
        <v/>
      </c>
      <c r="AF111" s="51" t="str">
        <f t="shared" si="6"/>
        <v/>
      </c>
      <c r="AG111" s="74" t="str">
        <f t="shared" si="7"/>
        <v/>
      </c>
      <c r="AH111" s="73" t="str">
        <f t="shared" si="8"/>
        <v/>
      </c>
      <c r="AI111" s="52" t="s">
        <v>77</v>
      </c>
      <c r="AJ111" s="56" t="s">
        <v>78</v>
      </c>
      <c r="AK111" s="59" t="s">
        <v>79</v>
      </c>
      <c r="AL111" s="60" t="s">
        <v>80</v>
      </c>
      <c r="AM111" s="54" t="s">
        <v>80</v>
      </c>
      <c r="AN111" s="14">
        <v>46189</v>
      </c>
      <c r="AO111" s="15"/>
      <c r="AP111" s="91"/>
      <c r="AQ111" s="87"/>
      <c r="AR111" s="26"/>
      <c r="AS111" s="65"/>
      <c r="AT111" s="88" t="s">
        <v>81</v>
      </c>
      <c r="AU111" s="67"/>
      <c r="BX111" s="1">
        <v>107</v>
      </c>
      <c r="CN111" t="s">
        <v>1078</v>
      </c>
      <c r="CU111" t="s">
        <v>92</v>
      </c>
      <c r="CV111" t="s">
        <v>171</v>
      </c>
      <c r="CW111" t="s">
        <v>1079</v>
      </c>
      <c r="CX111" s="124" t="s">
        <v>1080</v>
      </c>
      <c r="CY111" s="124" t="s">
        <v>96</v>
      </c>
      <c r="CZ111" s="124" t="s">
        <v>1049</v>
      </c>
      <c r="DA111" t="str" cm="1">
        <f t="array" ref="DA111:DH111">IF(U111&lt;&gt;"", TRANSPOSE(_xlfn._xlws.FILTER(CZ:CZ, CY:CY=U111, "")), "")</f>
        <v>Gwl (1N)</v>
      </c>
      <c r="DB111" t="str">
        <v>Ex Idr | Idr - Ujj (1N) - Idr</v>
      </c>
      <c r="DC111" t="str">
        <v>Ex Idr | Idr - Ujj (1N) - Omk - Idr</v>
      </c>
      <c r="DD111" t="str">
        <v>Ex Idr | Idr - Ujj (1N) - Omk - Mah - Idr</v>
      </c>
      <c r="DE111" t="str">
        <v>Ex Idr | Ujj (1N) - Idr + HDCT</v>
      </c>
      <c r="DF111" t="str">
        <v>Ex Idr | Idr (1N)</v>
      </c>
      <c r="DG111" t="str">
        <v>Khandwa - Omk (1N) - Idr HDCT</v>
      </c>
      <c r="DH111" t="str">
        <v>Ex Ujj | Ujj (1N)</v>
      </c>
    </row>
    <row r="112" spans="2:145" ht="15" customHeight="1">
      <c r="B112" s="35">
        <v>108</v>
      </c>
      <c r="C112" s="36" t="s">
        <v>1081</v>
      </c>
      <c r="D112" s="76">
        <v>46186</v>
      </c>
      <c r="E112" s="37" t="str">
        <f>IF(Table5[[#This Row],[Query Date]]&lt;&gt;"", TEXT(Table5[[#This Row],[Query Date]], "dddd"), "")</f>
        <v>Saturday</v>
      </c>
      <c r="F112" s="37" t="str">
        <f>IF(Table5[[#This Row],[Query Date]]&lt;&gt;"", TEXT(Table5[[#This Row],[Query Date]], "mmmm"), "")</f>
        <v>June</v>
      </c>
      <c r="G112" s="28" t="s">
        <v>65</v>
      </c>
      <c r="H112" s="28" t="s">
        <v>99</v>
      </c>
      <c r="I112" s="28" t="s">
        <v>67</v>
      </c>
      <c r="J112" s="28" t="s">
        <v>68</v>
      </c>
      <c r="K112" s="28" t="s">
        <v>246</v>
      </c>
      <c r="L112" s="25" t="s">
        <v>70</v>
      </c>
      <c r="M112" s="112" t="s">
        <v>690</v>
      </c>
      <c r="N112" s="25" t="s">
        <v>691</v>
      </c>
      <c r="O112" s="130" t="s">
        <v>692</v>
      </c>
      <c r="P112" s="46" t="s">
        <v>693</v>
      </c>
      <c r="Q112" s="77">
        <v>46311</v>
      </c>
      <c r="R112" s="77" t="str">
        <f>IF(Table5[[#This Row],[Tour Starting Date]]&lt;&gt;"", TEXT(Table5[[#This Row],[Tour Starting Date]], "dddd"), "")</f>
        <v>Friday</v>
      </c>
      <c r="S112" s="77">
        <v>46320</v>
      </c>
      <c r="T112" s="25" t="str">
        <f>IF(Table5[[#This Row],[Tour Ending Date]]&lt;&gt;"", TEXT(Table5[[#This Row],[Tour Ending Date]], "dddd"), "")</f>
        <v>Sunday</v>
      </c>
      <c r="U112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9 Nights &amp; 10 Days</v>
      </c>
      <c r="V112" s="37" t="str">
        <f>IF(Table5[[#This Row],[Tour Starting Date]]&lt;&gt;"", TEXT(Table5[[#This Row],[Tour Starting Date]], "mmmm"), "")</f>
        <v>October</v>
      </c>
      <c r="W112" s="80" t="str" cm="1">
        <f t="array" ref="W112">IF(Q112&lt;&gt;"", INDEX(CI:CI, MATCH(1, (Q112&gt;=CG:CG)*(Q112&lt;=CH:CH), 0)), "")</f>
        <v>Regular Dates - Weekend</v>
      </c>
      <c r="X112" s="39">
        <v>4</v>
      </c>
      <c r="Y112" s="74">
        <v>48500</v>
      </c>
      <c r="Z112" s="74">
        <f>IF(OR(Table5[[#This Row],[Per Person Package Cost]]="", Table5[[#This Row],[No. of Pax]]=""), "", Table5[[#This Row],[Per Person Package Cost]] * Table5[[#This Row],[No. of Pax]])</f>
        <v>194000</v>
      </c>
      <c r="AA112" s="52" t="s">
        <v>1082</v>
      </c>
      <c r="AB112" s="52" t="s">
        <v>1083</v>
      </c>
      <c r="AC112" s="52" t="s">
        <v>76</v>
      </c>
      <c r="AD112" s="52" t="s">
        <v>655</v>
      </c>
      <c r="AE112" s="51" t="str">
        <f t="shared" si="5"/>
        <v>EMPRT02</v>
      </c>
      <c r="AF112" s="51" t="str">
        <f t="shared" si="6"/>
        <v>Essence Of Madhya Pradesh</v>
      </c>
      <c r="AG112" s="74" t="str">
        <f t="shared" si="7"/>
        <v>Regular Tours</v>
      </c>
      <c r="AH112" s="73" t="str">
        <f t="shared" si="8"/>
        <v>North + East MP</v>
      </c>
      <c r="AI112" s="52" t="s">
        <v>159</v>
      </c>
      <c r="AJ112" s="56" t="s">
        <v>78</v>
      </c>
      <c r="AK112" s="59" t="s">
        <v>79</v>
      </c>
      <c r="AL112" s="60" t="s">
        <v>80</v>
      </c>
      <c r="AM112" s="54" t="s">
        <v>80</v>
      </c>
      <c r="AN112" s="14">
        <v>46265</v>
      </c>
      <c r="AO112" s="15">
        <v>46267</v>
      </c>
      <c r="AP112" s="91"/>
      <c r="AQ112" s="87"/>
      <c r="AR112" s="26"/>
      <c r="AS112" s="65"/>
      <c r="AT112" s="88" t="s">
        <v>81</v>
      </c>
      <c r="AU112" s="67" t="s">
        <v>82</v>
      </c>
      <c r="BX112" s="1">
        <v>108</v>
      </c>
      <c r="CN112" t="s">
        <v>1084</v>
      </c>
      <c r="CU112" t="s">
        <v>92</v>
      </c>
      <c r="CV112" t="s">
        <v>171</v>
      </c>
      <c r="CW112" t="s">
        <v>1085</v>
      </c>
      <c r="CX112" s="124" t="s">
        <v>1086</v>
      </c>
      <c r="CY112" s="124" t="s">
        <v>96</v>
      </c>
      <c r="CZ112" s="124" t="s">
        <v>1087</v>
      </c>
      <c r="DA112" t="str" cm="1">
        <f t="array" ref="DA112:DB112">IF(U112&lt;&gt;"", TRANSPOSE(_xlfn._xlws.FILTER(CZ:CZ, CY:CY=U112, "")), "")</f>
        <v>(2 N) Idr (Ex Ujj) - Omk - (1 N) Mah (1 N) Man  - (1 N) Bho - San - Bhim - (1 N) Tawa - (1 N) Madhai - (2 N) Pach - Bho</v>
      </c>
      <c r="DB112" t="str">
        <v>(1 N) Gwl - (2 N) Chan - Orc -(1 N)  Hjr - (1 N) Ban - (1 N) Jlr - (2 N) Pach - Bhim - San - (1 N) Bho</v>
      </c>
    </row>
    <row r="113" spans="2:145" ht="15" customHeight="1">
      <c r="B113" s="34">
        <v>109</v>
      </c>
      <c r="C113" s="36" t="s">
        <v>1088</v>
      </c>
      <c r="D113" s="76">
        <v>46186</v>
      </c>
      <c r="E113" s="37" t="str">
        <f>IF(Table5[[#This Row],[Query Date]]&lt;&gt;"", TEXT(Table5[[#This Row],[Query Date]], "dddd"), "")</f>
        <v>Saturday</v>
      </c>
      <c r="F113" s="37" t="str">
        <f>IF(Table5[[#This Row],[Query Date]]&lt;&gt;"", TEXT(Table5[[#This Row],[Query Date]], "mmmm"), "")</f>
        <v>June</v>
      </c>
      <c r="G113" s="28" t="s">
        <v>65</v>
      </c>
      <c r="H113" s="28" t="s">
        <v>99</v>
      </c>
      <c r="I113" s="28" t="s">
        <v>67</v>
      </c>
      <c r="J113" s="28" t="s">
        <v>68</v>
      </c>
      <c r="K113" s="28" t="s">
        <v>1015</v>
      </c>
      <c r="L113" s="25" t="s">
        <v>70</v>
      </c>
      <c r="M113" s="115" t="s">
        <v>1089</v>
      </c>
      <c r="N113" s="25" t="s">
        <v>1090</v>
      </c>
      <c r="O113" s="130" t="s">
        <v>1091</v>
      </c>
      <c r="P113" s="106" t="s">
        <v>1092</v>
      </c>
      <c r="Q113" s="77">
        <v>46233</v>
      </c>
      <c r="R113" s="77" t="str">
        <f>IF(Table5[[#This Row],[Tour Starting Date]]&lt;&gt;"", TEXT(Table5[[#This Row],[Tour Starting Date]], "dddd"), "")</f>
        <v>Thursday</v>
      </c>
      <c r="S113" s="77">
        <v>46235</v>
      </c>
      <c r="T113" s="25" t="str">
        <f>IF(Table5[[#This Row],[Tour Ending Date]]&lt;&gt;"", TEXT(Table5[[#This Row],[Tour Ending Date]], "dddd"), "")</f>
        <v>Saturday</v>
      </c>
      <c r="U113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113" s="37" t="str">
        <f>IF(Table5[[#This Row],[Tour Starting Date]]&lt;&gt;"", TEXT(Table5[[#This Row],[Tour Starting Date]], "mmmm"), "")</f>
        <v>July</v>
      </c>
      <c r="W113" s="80" t="str" cm="1">
        <f t="array" ref="W113">IF(Q113&lt;&gt;"", INDEX(CI:CI, MATCH(1, (Q113&gt;=CG:CG)*(Q113&lt;=CH:CH), 0)), "")</f>
        <v>Regular Dates - Weekday</v>
      </c>
      <c r="X113" s="39">
        <v>6</v>
      </c>
      <c r="Y113" s="74">
        <v>8400</v>
      </c>
      <c r="Z113" s="74">
        <f>IF(OR(Table5[[#This Row],[Per Person Package Cost]]="", Table5[[#This Row],[No. of Pax]]=""), "", Table5[[#This Row],[Per Person Package Cost]] * Table5[[#This Row],[No. of Pax]])</f>
        <v>50400</v>
      </c>
      <c r="AA113" s="52" t="s">
        <v>75</v>
      </c>
      <c r="AB113" s="52" t="s">
        <v>75</v>
      </c>
      <c r="AC113" s="52" t="s">
        <v>76</v>
      </c>
      <c r="AD113" s="52" t="s">
        <v>1053</v>
      </c>
      <c r="AE113" s="51" t="str">
        <f t="shared" si="5"/>
        <v>EXIDR22</v>
      </c>
      <c r="AF113" s="51" t="str">
        <f t="shared" si="6"/>
        <v>The Sacred Experience Of Madhya Pradesh</v>
      </c>
      <c r="AG113" s="74" t="str">
        <f t="shared" si="7"/>
        <v>Quick Getaways</v>
      </c>
      <c r="AH113" s="73" t="str">
        <f t="shared" si="8"/>
        <v>West MP</v>
      </c>
      <c r="AI113" s="52" t="s">
        <v>77</v>
      </c>
      <c r="AJ113" s="56" t="s">
        <v>78</v>
      </c>
      <c r="AK113" s="59" t="s">
        <v>79</v>
      </c>
      <c r="AL113" s="60" t="s">
        <v>80</v>
      </c>
      <c r="AM113" s="54" t="s">
        <v>80</v>
      </c>
      <c r="AN113" s="14">
        <v>46189</v>
      </c>
      <c r="AO113" s="15">
        <v>46200</v>
      </c>
      <c r="AP113" s="91"/>
      <c r="AQ113" s="87"/>
      <c r="AR113" s="26"/>
      <c r="AS113" s="65"/>
      <c r="AT113" s="88" t="s">
        <v>81</v>
      </c>
      <c r="AU113" s="67"/>
      <c r="BX113" s="1">
        <v>109</v>
      </c>
      <c r="CN113" t="s">
        <v>741</v>
      </c>
      <c r="CU113" t="s">
        <v>92</v>
      </c>
      <c r="CV113" t="s">
        <v>171</v>
      </c>
      <c r="CW113" t="s">
        <v>1093</v>
      </c>
      <c r="CX113" s="124" t="s">
        <v>1094</v>
      </c>
      <c r="CY113" s="124" t="s">
        <v>125</v>
      </c>
      <c r="CZ113" s="124" t="s">
        <v>401</v>
      </c>
      <c r="DA113" t="str" cm="1">
        <f t="array" ref="DA113:DY113">IF(U113&lt;&gt;"", TRANSPOSE(_xlfn._xlws.FILTER(CZ:CZ, CY:CY=U113, "")), "")</f>
        <v>Gwl (2N) + Mor</v>
      </c>
      <c r="DB113" t="str">
        <v>Ex Idr | Idr - Ujj (1N) - Omk - Mah (1N) - Man - Idr</v>
      </c>
      <c r="DC113" t="str">
        <v>Ujj (1N) - Omk - Idr (1N)</v>
      </c>
      <c r="DD113" t="str">
        <v>Ex Jlr | Jlr - Kan (2N) - Jlr</v>
      </c>
      <c r="DE113" t="str">
        <v>Ex Jlr | Jlr - Ban (2N) - Jlr</v>
      </c>
      <c r="DF113" t="str">
        <v>Ex Bho | Bho (2N) + Bhim + Bhoj + San</v>
      </c>
      <c r="DG113" t="str">
        <v>Ex Idr | Idr - Man (2N) - Idr</v>
      </c>
      <c r="DH113" t="str">
        <v>Ex Jlr | Jlr - Kan (2N) - Jlr</v>
      </c>
      <c r="DI113" t="str">
        <v>Ex Bho | Bho (2N) + Bhim + Bhoj + San + HDCT Bho</v>
      </c>
      <c r="DJ113" t="str">
        <v>Ex Bho | Bho - Bhim - Tawa (1N) - Mad (1N) - Bho</v>
      </c>
      <c r="DK113" t="str">
        <v>Ujj (1N) - Omk - Mah (1N) - Idr</v>
      </c>
      <c r="DL113" t="str">
        <v>Ujj (1N) -  Idr (1N)</v>
      </c>
      <c r="DM113" t="str">
        <v>Ex Idr | Idr (2N) + Ujj + Omk + Mah</v>
      </c>
      <c r="DN113" t="str">
        <v>Idr - Mah - Omk (1N) - Ujj (1N)</v>
      </c>
      <c r="DO113" t="str">
        <v>Idr - Ujj (1N) - Mah - Omk (1N) - Khandwa</v>
      </c>
      <c r="DP113" t="str">
        <v>Ex Idr | Idr (EX Ujj) (1N) - Mah - Omk (1N) - Idr HDCT</v>
      </c>
      <c r="DQ113" t="str">
        <v>Ujj (1N) - Sehor - Bho (1N) HDCT</v>
      </c>
      <c r="DR113" t="str">
        <v>Ex Jlr | Jlr (1N) - Ban (1N)</v>
      </c>
      <c r="DS113" t="str">
        <v>Ex Jlr | Ban (1N)</v>
      </c>
      <c r="DT113" t="str">
        <v>Ex Jlr | Jlr (2 N) Kan</v>
      </c>
      <c r="DU113" t="str">
        <v>Ex Jlr | Jlr - Amr (1 N) - (1 N) Ban</v>
      </c>
      <c r="DV113" t="str">
        <v>Ex Rpr | Rpr - (2N) Kan</v>
      </c>
      <c r="DW113" t="str">
        <v>Hjr (1N) - Mahi (1N) - Sat</v>
      </c>
      <c r="DX113" t="str">
        <v>Ex Bhp | Bhp - Bhim - Pch (2N) - Bhp</v>
      </c>
      <c r="DY113" t="str">
        <v xml:space="preserve">Ex Ujj I 2N Ujj </v>
      </c>
    </row>
    <row r="114" spans="2:145" ht="15" customHeight="1">
      <c r="B114" s="35">
        <v>110</v>
      </c>
      <c r="C114" s="36" t="s">
        <v>1095</v>
      </c>
      <c r="D114" s="76">
        <v>46186</v>
      </c>
      <c r="E114" s="37" t="str">
        <f>IF(Table5[[#This Row],[Query Date]]&lt;&gt;"", TEXT(Table5[[#This Row],[Query Date]], "dddd"), "")</f>
        <v>Saturday</v>
      </c>
      <c r="F114" s="37" t="str">
        <f>IF(Table5[[#This Row],[Query Date]]&lt;&gt;"", TEXT(Table5[[#This Row],[Query Date]], "mmmm"), "")</f>
        <v>June</v>
      </c>
      <c r="G114" s="28" t="s">
        <v>65</v>
      </c>
      <c r="H114" s="28" t="s">
        <v>120</v>
      </c>
      <c r="I114" s="28" t="s">
        <v>67</v>
      </c>
      <c r="J114" s="28" t="s">
        <v>68</v>
      </c>
      <c r="K114" s="28" t="s">
        <v>1096</v>
      </c>
      <c r="L114" s="25" t="s">
        <v>70</v>
      </c>
      <c r="M114" s="112" t="s">
        <v>1097</v>
      </c>
      <c r="N114" s="25" t="s">
        <v>1098</v>
      </c>
      <c r="O114" s="130" t="s">
        <v>1099</v>
      </c>
      <c r="P114" s="46" t="s">
        <v>1100</v>
      </c>
      <c r="Q114" s="77">
        <v>46212</v>
      </c>
      <c r="R114" s="77" t="str">
        <f>IF(Table5[[#This Row],[Tour Starting Date]]&lt;&gt;"", TEXT(Table5[[#This Row],[Tour Starting Date]], "dddd"), "")</f>
        <v>Thursday</v>
      </c>
      <c r="S114" s="77">
        <v>46219</v>
      </c>
      <c r="T114" s="25" t="str">
        <f>IF(Table5[[#This Row],[Tour Ending Date]]&lt;&gt;"", TEXT(Table5[[#This Row],[Tour Ending Date]], "dddd"), "")</f>
        <v>Thursday</v>
      </c>
      <c r="U114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7 Nights &amp; 8 Days</v>
      </c>
      <c r="V114" s="37" t="str">
        <f>IF(Table5[[#This Row],[Tour Starting Date]]&lt;&gt;"", TEXT(Table5[[#This Row],[Tour Starting Date]], "mmmm"), "")</f>
        <v>July</v>
      </c>
      <c r="W114" s="80" t="str" cm="1">
        <f t="array" ref="W114">IF(Q114&lt;&gt;"", INDEX(CI:CI, MATCH(1, (Q114&gt;=CG:CG)*(Q114&lt;=CH:CH), 0)), "")</f>
        <v>Regular Dates - Weekday</v>
      </c>
      <c r="X114" s="39">
        <v>6</v>
      </c>
      <c r="Y114" s="74">
        <v>74800</v>
      </c>
      <c r="Z114" s="74">
        <f>IF(OR(Table5[[#This Row],[Per Person Package Cost]]="", Table5[[#This Row],[No. of Pax]]=""), "", Table5[[#This Row],[Per Person Package Cost]] * Table5[[#This Row],[No. of Pax]])</f>
        <v>448800</v>
      </c>
      <c r="AA114" s="52" t="s">
        <v>400</v>
      </c>
      <c r="AB114" s="52" t="s">
        <v>1101</v>
      </c>
      <c r="AC114" s="52"/>
      <c r="AD114" s="52"/>
      <c r="AE114" s="51" t="str">
        <f t="shared" si="5"/>
        <v/>
      </c>
      <c r="AF114" s="51" t="str">
        <f t="shared" si="6"/>
        <v/>
      </c>
      <c r="AG114" s="74" t="str">
        <f t="shared" si="7"/>
        <v/>
      </c>
      <c r="AH114" s="73" t="str">
        <f t="shared" si="8"/>
        <v/>
      </c>
      <c r="AI114" s="52" t="s">
        <v>159</v>
      </c>
      <c r="AJ114" s="56" t="s">
        <v>78</v>
      </c>
      <c r="AK114" s="59" t="s">
        <v>79</v>
      </c>
      <c r="AL114" s="60" t="s">
        <v>80</v>
      </c>
      <c r="AM114" s="54" t="s">
        <v>80</v>
      </c>
      <c r="AN114" s="14">
        <v>46189</v>
      </c>
      <c r="AO114" s="15">
        <v>46206</v>
      </c>
      <c r="AP114" s="91">
        <v>46210</v>
      </c>
      <c r="AQ114" s="87"/>
      <c r="AR114" s="26"/>
      <c r="AS114" s="65"/>
      <c r="AT114" s="88" t="s">
        <v>81</v>
      </c>
      <c r="AU114" s="67"/>
      <c r="BX114" s="1">
        <v>110</v>
      </c>
      <c r="CN114" t="s">
        <v>1102</v>
      </c>
      <c r="CU114" t="s">
        <v>92</v>
      </c>
      <c r="CV114" t="s">
        <v>171</v>
      </c>
      <c r="CW114" t="s">
        <v>1103</v>
      </c>
      <c r="CX114" s="124" t="s">
        <v>1104</v>
      </c>
      <c r="CY114" s="124" t="s">
        <v>96</v>
      </c>
      <c r="CZ114" s="124" t="s">
        <v>1105</v>
      </c>
      <c r="DA114" t="str" cm="1">
        <f t="array" ref="DA114:DJ114">IF(U114&lt;&gt;"", TRANSPOSE(_xlfn._xlws.FILTER(CZ:CZ, CY:CY=U114, "")), "")</f>
        <v>Ex Idr | Idr (1N) - Ujj (1N) - Omk - Mah (1N) - Man (2N) - Bhp (2N) + Bhim + Bhoj + Sanchi - Idr</v>
      </c>
      <c r="DB114" t="str">
        <v>Bho (1N) + San + Udaygiri - Bhoj - Bhim - Tawa (1N) - Mad (1N) - Pch (2N) - Kan(1N) - Jlr (1N)</v>
      </c>
      <c r="DC114" t="str">
        <v>Bho (1N) + San + Udaygiri - Bhoj - Bhim - Pch (2N) - Kan(1N) - Amk (2N) - Jlr (1N)</v>
      </c>
      <c r="DD114" t="str">
        <v>Bho (2N) + San + Bhoj + Bhim - Ujj (1N) - Omk (1N) - Mah (1N) - Man (1N) - Idr (1N)</v>
      </c>
      <c r="DE114" t="str">
        <v>Gwl (2N) + Mor - Son - Dat - Orc (1N) - Hjr (2N) - San - Bho (2N) + Bhoj + Bhim</v>
      </c>
      <c r="DF114" t="str">
        <v>Idr - Man (2N) - Bho (2N) + San - Bhoj - Bhim - Pch (2N) - Tawa (1N) - Bho</v>
      </c>
      <c r="DG114" t="str">
        <v>Jlr (1N) - Amk (1N) - Myr (1N) - Ckt (1N) - Orc (1N) - Dat - Son - Gwl (2N) + Mor + Shanichara</v>
      </c>
      <c r="DH114" t="str">
        <v>Gwl (2N) + Mor + Sanchichara - Dat (Pitambara Peeth) - Orc (1N) - Ckt (2N) - Amk (1N) - Jlr (1N)</v>
      </c>
      <c r="DI114" t="str">
        <v>Jlr - (1 N) Kan - (2 N) Pch - Bhim - Bhoj - (1 N) Bho - (1 N) Ujj - (1 N) Mah - Man -  (1 N) Idr</v>
      </c>
      <c r="DJ114" t="str">
        <v>Ex Nag - 2N Tado - 2N Pen - 3N Nag</v>
      </c>
    </row>
    <row r="115" spans="2:145" ht="15" customHeight="1">
      <c r="B115" s="34">
        <v>111</v>
      </c>
      <c r="C115" s="36" t="s">
        <v>1106</v>
      </c>
      <c r="D115" s="76">
        <v>46188</v>
      </c>
      <c r="E115" s="37" t="str">
        <f>IF(Table5[[#This Row],[Query Date]]&lt;&gt;"", TEXT(Table5[[#This Row],[Query Date]], "dddd"), "")</f>
        <v>Monday</v>
      </c>
      <c r="F115" s="37" t="str">
        <f>IF(Table5[[#This Row],[Query Date]]&lt;&gt;"", TEXT(Table5[[#This Row],[Query Date]], "mmmm"), "")</f>
        <v>June</v>
      </c>
      <c r="G115" s="28" t="s">
        <v>65</v>
      </c>
      <c r="H115" s="28" t="s">
        <v>66</v>
      </c>
      <c r="I115" s="28" t="s">
        <v>67</v>
      </c>
      <c r="J115" s="28" t="s">
        <v>68</v>
      </c>
      <c r="K115" s="28" t="s">
        <v>69</v>
      </c>
      <c r="L115" s="25" t="s">
        <v>70</v>
      </c>
      <c r="M115" s="112" t="s">
        <v>266</v>
      </c>
      <c r="N115" s="25" t="s">
        <v>267</v>
      </c>
      <c r="O115" s="130" t="s">
        <v>268</v>
      </c>
      <c r="P115" s="106" t="s">
        <v>269</v>
      </c>
      <c r="Q115" s="77">
        <v>46191</v>
      </c>
      <c r="R115" s="77" t="str">
        <f>IF(Table5[[#This Row],[Tour Starting Date]]&lt;&gt;"", TEXT(Table5[[#This Row],[Tour Starting Date]], "dddd"), "")</f>
        <v>Thursday</v>
      </c>
      <c r="S115" s="77">
        <v>46192</v>
      </c>
      <c r="T115" s="25" t="str">
        <f>IF(Table5[[#This Row],[Tour Ending Date]]&lt;&gt;"", TEXT(Table5[[#This Row],[Tour Ending Date]], "dddd"), "")</f>
        <v>Friday</v>
      </c>
      <c r="U115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1 Night &amp; 2 Days</v>
      </c>
      <c r="V115" s="37" t="str">
        <f>IF(Table5[[#This Row],[Tour Starting Date]]&lt;&gt;"", TEXT(Table5[[#This Row],[Tour Starting Date]], "mmmm"), "")</f>
        <v>June</v>
      </c>
      <c r="W115" s="80" t="str" cm="1">
        <f t="array" ref="W115">IF(Q115&lt;&gt;"", INDEX(CI:CI, MATCH(1, (Q115&gt;=CG:CG)*(Q115&lt;=CH:CH), 0)), "")</f>
        <v>Regular Dates - Weekday</v>
      </c>
      <c r="X115" s="39">
        <v>2</v>
      </c>
      <c r="Y115" s="74">
        <v>9200</v>
      </c>
      <c r="Z115" s="74">
        <f>IF(OR(Table5[[#This Row],[Per Person Package Cost]]="", Table5[[#This Row],[No. of Pax]]=""), "", Table5[[#This Row],[Per Person Package Cost]] * Table5[[#This Row],[No. of Pax]])</f>
        <v>18400</v>
      </c>
      <c r="AA115" s="52" t="s">
        <v>400</v>
      </c>
      <c r="AB115" s="52" t="s">
        <v>400</v>
      </c>
      <c r="AC115" s="52" t="s">
        <v>220</v>
      </c>
      <c r="AD115" s="52" t="s">
        <v>335</v>
      </c>
      <c r="AE115" s="51" t="str">
        <f t="shared" si="5"/>
        <v>EXIDR01</v>
      </c>
      <c r="AF115" s="51" t="str">
        <f t="shared" si="6"/>
        <v>Mahakaal Darshan</v>
      </c>
      <c r="AG115" s="74" t="str">
        <f t="shared" si="7"/>
        <v>Quick Getaways</v>
      </c>
      <c r="AH115" s="73" t="str">
        <f t="shared" si="8"/>
        <v>West MP</v>
      </c>
      <c r="AI115" s="52" t="s">
        <v>159</v>
      </c>
      <c r="AJ115" s="56" t="s">
        <v>78</v>
      </c>
      <c r="AK115" s="59" t="s">
        <v>79</v>
      </c>
      <c r="AL115" s="60" t="s">
        <v>80</v>
      </c>
      <c r="AM115" s="54" t="s">
        <v>80</v>
      </c>
      <c r="AN115" s="14">
        <v>46190</v>
      </c>
      <c r="AO115" s="15"/>
      <c r="AP115" s="91"/>
      <c r="AQ115" s="87"/>
      <c r="AR115" s="26"/>
      <c r="AS115" s="65"/>
      <c r="AT115" s="88" t="s">
        <v>81</v>
      </c>
      <c r="AU115" s="67"/>
      <c r="BX115" s="1">
        <v>111</v>
      </c>
      <c r="CN115" t="s">
        <v>454</v>
      </c>
      <c r="CU115" t="s">
        <v>92</v>
      </c>
      <c r="CV115" t="s">
        <v>171</v>
      </c>
      <c r="CW115" t="s">
        <v>1107</v>
      </c>
      <c r="CX115" s="124" t="s">
        <v>1108</v>
      </c>
      <c r="CY115" t="s">
        <v>151</v>
      </c>
      <c r="CZ115" s="124" t="s">
        <v>1109</v>
      </c>
      <c r="DA115" t="str" cm="1">
        <f t="array" ref="DA115:DH115">IF(U115&lt;&gt;"", TRANSPOSE(_xlfn._xlws.FILTER(CZ:CZ, CY:CY=U115, "")), "")</f>
        <v>Gwl (1N)</v>
      </c>
      <c r="DB115" t="str">
        <v>Ex Idr | Idr - Ujj (1N) - Idr</v>
      </c>
      <c r="DC115" t="str">
        <v>Ex Idr | Idr - Ujj (1N) - Omk - Idr</v>
      </c>
      <c r="DD115" t="str">
        <v>Ex Idr | Idr - Ujj (1N) - Omk - Mah - Idr</v>
      </c>
      <c r="DE115" t="str">
        <v>Ex Idr | Ujj (1N) - Idr + HDCT</v>
      </c>
      <c r="DF115" t="str">
        <v>Ex Idr | Idr (1N)</v>
      </c>
      <c r="DG115" t="str">
        <v>Khandwa - Omk (1N) - Idr HDCT</v>
      </c>
      <c r="DH115" t="str">
        <v>Ex Ujj | Ujj (1N)</v>
      </c>
    </row>
    <row r="116" spans="2:145" ht="15" customHeight="1">
      <c r="B116" s="35">
        <v>112</v>
      </c>
      <c r="C116" s="36" t="s">
        <v>1110</v>
      </c>
      <c r="D116" s="76">
        <v>46188</v>
      </c>
      <c r="E116" s="37" t="str">
        <f>IF(Table5[[#This Row],[Query Date]]&lt;&gt;"", TEXT(Table5[[#This Row],[Query Date]], "dddd"), "")</f>
        <v>Monday</v>
      </c>
      <c r="F116" s="37" t="str">
        <f>IF(Table5[[#This Row],[Query Date]]&lt;&gt;"", TEXT(Table5[[#This Row],[Query Date]], "mmmm"), "")</f>
        <v>June</v>
      </c>
      <c r="G116" s="28" t="s">
        <v>65</v>
      </c>
      <c r="H116" s="28" t="s">
        <v>120</v>
      </c>
      <c r="I116" s="28" t="s">
        <v>67</v>
      </c>
      <c r="J116" s="28" t="s">
        <v>68</v>
      </c>
      <c r="K116" s="28" t="s">
        <v>226</v>
      </c>
      <c r="L116" s="25" t="s">
        <v>70</v>
      </c>
      <c r="M116" s="115" t="s">
        <v>1111</v>
      </c>
      <c r="N116" s="25" t="s">
        <v>1112</v>
      </c>
      <c r="O116" s="136" t="s">
        <v>1113</v>
      </c>
      <c r="P116" s="46" t="s">
        <v>1114</v>
      </c>
      <c r="Q116" s="77">
        <v>46194</v>
      </c>
      <c r="R116" s="77" t="str">
        <f>IF(Table5[[#This Row],[Tour Starting Date]]&lt;&gt;"", TEXT(Table5[[#This Row],[Tour Starting Date]], "dddd"), "")</f>
        <v>Sunday</v>
      </c>
      <c r="S116" s="77">
        <v>46197</v>
      </c>
      <c r="T116" s="25" t="str">
        <f>IF(Table5[[#This Row],[Tour Ending Date]]&lt;&gt;"", TEXT(Table5[[#This Row],[Tour Ending Date]], "dddd"), "")</f>
        <v>Wednesday</v>
      </c>
      <c r="U116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116" s="37" t="str">
        <f>IF(Table5[[#This Row],[Tour Starting Date]]&lt;&gt;"", TEXT(Table5[[#This Row],[Tour Starting Date]], "mmmm"), "")</f>
        <v>June</v>
      </c>
      <c r="W116" s="80" t="str" cm="1">
        <f t="array" ref="W116">IF(Q116&lt;&gt;"", INDEX(CI:CI, MATCH(1, (Q116&gt;=CG:CG)*(Q116&lt;=CH:CH), 0)), "")</f>
        <v>Regular Dates - Weekend</v>
      </c>
      <c r="X116" s="39">
        <v>2</v>
      </c>
      <c r="Y116" s="74">
        <v>13000</v>
      </c>
      <c r="Z116" s="74">
        <f>IF(OR(Table5[[#This Row],[Per Person Package Cost]]="", Table5[[#This Row],[No. of Pax]]=""), "", Table5[[#This Row],[Per Person Package Cost]] * Table5[[#This Row],[No. of Pax]])</f>
        <v>26000</v>
      </c>
      <c r="AA116" s="52" t="s">
        <v>400</v>
      </c>
      <c r="AB116" s="52" t="s">
        <v>400</v>
      </c>
      <c r="AC116" s="52" t="s">
        <v>76</v>
      </c>
      <c r="AD116" s="52" t="s">
        <v>183</v>
      </c>
      <c r="AE116" s="51" t="str">
        <f t="shared" si="5"/>
        <v>EXIDR05</v>
      </c>
      <c r="AF116" s="51" t="str">
        <f t="shared" si="6"/>
        <v>The Marvels Of Malwa</v>
      </c>
      <c r="AG116" s="74" t="str">
        <f t="shared" si="7"/>
        <v>Quick Getaways</v>
      </c>
      <c r="AH116" s="73" t="str">
        <f t="shared" si="8"/>
        <v>West MP</v>
      </c>
      <c r="AI116" s="52" t="s">
        <v>77</v>
      </c>
      <c r="AJ116" s="56" t="s">
        <v>78</v>
      </c>
      <c r="AK116" s="59" t="s">
        <v>79</v>
      </c>
      <c r="AL116" s="60" t="s">
        <v>80</v>
      </c>
      <c r="AM116" s="54" t="s">
        <v>80</v>
      </c>
      <c r="AN116" s="14">
        <v>46190</v>
      </c>
      <c r="AO116" s="15"/>
      <c r="AP116" s="91"/>
      <c r="AQ116" s="87"/>
      <c r="AR116" s="26"/>
      <c r="AS116" s="65"/>
      <c r="AT116" s="88" t="s">
        <v>81</v>
      </c>
      <c r="AU116" s="67"/>
      <c r="BX116" s="1">
        <v>112</v>
      </c>
      <c r="CN116" t="s">
        <v>1115</v>
      </c>
      <c r="CU116" t="s">
        <v>92</v>
      </c>
      <c r="CV116" t="s">
        <v>171</v>
      </c>
      <c r="CW116" t="s">
        <v>1116</v>
      </c>
      <c r="CX116" s="124" t="s">
        <v>1117</v>
      </c>
      <c r="CY116" t="s">
        <v>96</v>
      </c>
      <c r="CZ116" s="124" t="s">
        <v>206</v>
      </c>
      <c r="DA116" t="str" cm="1">
        <f t="array" ref="DA116:EO116">IF(U116&lt;&gt;"", TRANSPOSE(_xlfn._xlws.FILTER(CZ:CZ, CY:CY=U116, "")), "")</f>
        <v>Gwl (3N) + Mor + Son + Dat + Orc</v>
      </c>
      <c r="DB116" t="str">
        <v>Ex Gwl | Gwl (1N) - Son - Dat - Orc (1N) - Gwl (1N)</v>
      </c>
      <c r="DC116" t="str">
        <v>Ex Idr | Idr - Ujj (1N) - Omk - Mah (1N) - Man (1N) - Idr</v>
      </c>
      <c r="DD116" t="str">
        <v>Ex Jlr | Jlr - Kan (2N) - Jlr (1N)</v>
      </c>
      <c r="DE116" t="str">
        <v>Ex Jlr | Jlr - Ban (2N) - Jlr (1N)</v>
      </c>
      <c r="DF116" t="str">
        <v>Ex Bho | Bho (1N) + San - Bhoj - Bhim - Pch (2N) - Bho</v>
      </c>
      <c r="DG116" t="str">
        <v>Ex Idr | Idr (1N) - Ujj (1N) - Omk (1N) - Mah - Idr</v>
      </c>
      <c r="DH116" t="str">
        <v>Gwl - Orc (1N) - Ckt (1N) - Myr (1N) - Jlr</v>
      </c>
      <c r="DI116" t="str">
        <v>Gwl - Orc (1N) - Ckt (2N) - Ixd</v>
      </c>
      <c r="DJ116" t="str">
        <v>Ex Idr | Idr - Ujj (1N) - Omk - Mah (1N) - Idr (1N)</v>
      </c>
      <c r="DK116" t="str">
        <v>Ex Jlr | Jlr - Kan (3N) - Jlr</v>
      </c>
      <c r="DL116" t="str">
        <v>Ex Bho | Bho (2N) + Bhim + Bhoj + San + Udaygiri + Vidisha + FDCT Bho</v>
      </c>
      <c r="DM116" t="str">
        <v>Bho (1N) + Bhim + Bhoj - HDCT  Bho + Sanchi - Ujj (2N)</v>
      </c>
      <c r="DN116" t="str">
        <v>Bho (1N) + Bhim + Bhoj - HDCT  Bho + Sanchi - Ujj (2N) - Idr</v>
      </c>
      <c r="DO116" t="str">
        <v>Ex Bho | Bho - Bhoj - Bhim - Mad (1N) - Pch (2N) - Bho</v>
      </c>
      <c r="DP116" t="str">
        <v>Ex Bho | Bho - Bhoj - Bhim - Mad (1N) - Pch (3N) - Bho</v>
      </c>
      <c r="DQ116" t="str">
        <v>Ex Bho | Bho - Bhoj - Bhim - Tawa (1N) - Mad (1N) - Bho (1N)</v>
      </c>
      <c r="DR116" t="str">
        <v>Bho (1N) - Bhim - Bhoj - San - Idr (2N) + Ujj</v>
      </c>
      <c r="DS116" t="str">
        <v>Bho (1N) - Bhoj - Bhim - Pch (2N) - Bho</v>
      </c>
      <c r="DT116" t="str">
        <v>Ujj (1N) - Omk - Mah (1N) - Idr (1N)</v>
      </c>
      <c r="DU116" t="str">
        <v>Ujj (1N) - Omk - Mah (1N) - Man (1N) - Idr</v>
      </c>
      <c r="DV116" t="str">
        <v>Ex Idr | Idr (1N) - Ujj (1N) - Omk - Mah (1N)</v>
      </c>
      <c r="DW116" t="str">
        <v>Ex Idr | Idr - Ujj (1N) - Omk (1N) - Mah (1N) - Idr</v>
      </c>
      <c r="DX116" t="str">
        <v>Khandwa - Omk (1N) - Mah (1N) - Ujj (1N) - Idr</v>
      </c>
      <c r="DY116" t="str">
        <v>Ex Idr | Idr - Ujj (1N) - Omk - Mah (1N) - Man - Idr (1N)</v>
      </c>
      <c r="DZ116" t="str">
        <v xml:space="preserve">Idr - Omk (1N) - Mah - Ujj (1N) San - Bho (1N) </v>
      </c>
      <c r="EA116" t="str">
        <v>Ex Idr | Idr - Man (1N) - Mah - Omk (1N) - Ujj (1N) - Idr</v>
      </c>
      <c r="EB116" t="str">
        <v>Khandwa - Omk (1N) - Mah - Ujj (2N)</v>
      </c>
      <c r="EC116" t="str">
        <v>Ex Jlr | Jlr (1N) - Amr (1N) - Ban (1N) - Jlr</v>
      </c>
      <c r="ED116" t="str">
        <v>Ex Jlr | Jlr - (1 N) Ban - (2 N) Amar</v>
      </c>
      <c r="EE116" t="str">
        <v>Jlr - Kan (1N) - Pch (2N)</v>
      </c>
      <c r="EF116" t="str">
        <v>Pi - Pch (2N)  - Kan (1N)</v>
      </c>
      <c r="EG116" t="str">
        <v>Ex Jlr | Jlr - Amr (1 N) - (1 N) Ban - (1 N) Jlr</v>
      </c>
      <c r="EH116" t="str">
        <v>Ppi - (2 N) Pch - (1 N) Pen</v>
      </c>
      <c r="EI116" t="str">
        <v>Bhp - Pch (2N) - Jlr (1N)</v>
      </c>
      <c r="EJ116" t="str">
        <v xml:space="preserve">Arr Jhn - Hjr (1N) - Orc - Gwl (2N) </v>
      </c>
      <c r="EK116" t="str">
        <v>(1 N) Ujj - (1 N) Mah - (1 N) Idr</v>
      </c>
      <c r="EL116" t="str">
        <v>Ex Bhp | Bhp - Bhoj - Bhim - Pch (3N) - Bhp</v>
      </c>
      <c r="EM116" t="str">
        <v>Ex Bhp | Bhp - Bhoj - Bhim - Pch (2N) - Mad (1N) - Bhp</v>
      </c>
      <c r="EN116" t="str">
        <v xml:space="preserve">Ex Nag - 3N Pch + Sat </v>
      </c>
      <c r="EO116" t="str">
        <v>1N Gwl - Son - Dat - 1N Hjr - 1N Orc - Jhn</v>
      </c>
    </row>
    <row r="117" spans="2:145" ht="15" customHeight="1">
      <c r="B117" s="34">
        <v>113</v>
      </c>
      <c r="C117" s="36" t="s">
        <v>1118</v>
      </c>
      <c r="D117" s="76">
        <v>46188</v>
      </c>
      <c r="E117" s="37" t="str">
        <f>IF(Table5[[#This Row],[Query Date]]&lt;&gt;"", TEXT(Table5[[#This Row],[Query Date]], "dddd"), "")</f>
        <v>Monday</v>
      </c>
      <c r="F117" s="37" t="str">
        <f>IF(Table5[[#This Row],[Query Date]]&lt;&gt;"", TEXT(Table5[[#This Row],[Query Date]], "mmmm"), "")</f>
        <v>June</v>
      </c>
      <c r="G117" s="28" t="s">
        <v>65</v>
      </c>
      <c r="H117" s="28" t="s">
        <v>120</v>
      </c>
      <c r="I117" s="28" t="s">
        <v>67</v>
      </c>
      <c r="J117" s="28" t="s">
        <v>68</v>
      </c>
      <c r="K117" s="28" t="s">
        <v>860</v>
      </c>
      <c r="L117" s="25" t="s">
        <v>70</v>
      </c>
      <c r="M117" s="112" t="s">
        <v>861</v>
      </c>
      <c r="N117" s="25" t="s">
        <v>862</v>
      </c>
      <c r="O117" s="130" t="s">
        <v>863</v>
      </c>
      <c r="P117" s="46" t="s">
        <v>864</v>
      </c>
      <c r="Q117" s="77">
        <v>46237</v>
      </c>
      <c r="R117" s="77" t="str">
        <f>IF(Table5[[#This Row],[Tour Starting Date]]&lt;&gt;"", TEXT(Table5[[#This Row],[Tour Starting Date]], "dddd"), "")</f>
        <v>Monday</v>
      </c>
      <c r="S117" s="77">
        <v>46241</v>
      </c>
      <c r="T117" s="25" t="str">
        <f>IF(Table5[[#This Row],[Tour Ending Date]]&lt;&gt;"", TEXT(Table5[[#This Row],[Tour Ending Date]], "dddd"), "")</f>
        <v>Friday</v>
      </c>
      <c r="U117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4 Nights &amp; 5 Days</v>
      </c>
      <c r="V117" s="37" t="str">
        <f>IF(Table5[[#This Row],[Tour Starting Date]]&lt;&gt;"", TEXT(Table5[[#This Row],[Tour Starting Date]], "mmmm"), "")</f>
        <v>August</v>
      </c>
      <c r="W117" s="80" t="str" cm="1">
        <f t="array" ref="W117">IF(Q117&lt;&gt;"", INDEX(CI:CI, MATCH(1, (Q117&gt;=CG:CG)*(Q117&lt;=CH:CH), 0)), "")</f>
        <v>Regular Dates - Weekday</v>
      </c>
      <c r="X117" s="39">
        <v>5</v>
      </c>
      <c r="Y117" s="74">
        <v>25680</v>
      </c>
      <c r="Z117" s="74">
        <f>IF(OR(Table5[[#This Row],[Per Person Package Cost]]="", Table5[[#This Row],[No. of Pax]]=""), "", Table5[[#This Row],[Per Person Package Cost]] * Table5[[#This Row],[No. of Pax]])</f>
        <v>128400</v>
      </c>
      <c r="AA117" s="52" t="s">
        <v>400</v>
      </c>
      <c r="AB117" s="52" t="s">
        <v>400</v>
      </c>
      <c r="AC117" s="52" t="s">
        <v>134</v>
      </c>
      <c r="AD117" s="52" t="s">
        <v>364</v>
      </c>
      <c r="AE117" s="51" t="str">
        <f t="shared" si="5"/>
        <v>EXIDR03</v>
      </c>
      <c r="AF117" s="51" t="str">
        <f t="shared" si="6"/>
        <v>Temple Fort Odyssey</v>
      </c>
      <c r="AG117" s="74" t="str">
        <f t="shared" si="7"/>
        <v>Quick Getaways</v>
      </c>
      <c r="AH117" s="73" t="str">
        <f t="shared" si="8"/>
        <v>West MP</v>
      </c>
      <c r="AI117" s="52" t="s">
        <v>107</v>
      </c>
      <c r="AJ117" s="56" t="s">
        <v>78</v>
      </c>
      <c r="AK117" s="59" t="s">
        <v>79</v>
      </c>
      <c r="AL117" s="60" t="s">
        <v>80</v>
      </c>
      <c r="AM117" s="54" t="s">
        <v>80</v>
      </c>
      <c r="AN117" s="14">
        <v>46190</v>
      </c>
      <c r="AO117" s="15">
        <v>46203</v>
      </c>
      <c r="AP117" s="91"/>
      <c r="AQ117" s="87"/>
      <c r="AR117" s="26"/>
      <c r="AS117" s="65"/>
      <c r="AT117" s="88" t="s">
        <v>85</v>
      </c>
      <c r="AU117" s="67"/>
      <c r="BX117" s="1">
        <v>113</v>
      </c>
      <c r="CN117" t="s">
        <v>1119</v>
      </c>
      <c r="CU117" t="s">
        <v>92</v>
      </c>
      <c r="CV117" t="s">
        <v>299</v>
      </c>
      <c r="CW117" t="s">
        <v>1120</v>
      </c>
      <c r="CX117" s="124" t="s">
        <v>1121</v>
      </c>
      <c r="CY117" t="s">
        <v>125</v>
      </c>
      <c r="CZ117" s="124" t="s">
        <v>1122</v>
      </c>
      <c r="DA117" t="str" cm="1">
        <f t="array" ref="DA117:EJ117">IF(U117&lt;&gt;"", TRANSPOSE(_xlfn._xlws.FILTER(CZ:CZ, CY:CY=U117, "")), "")</f>
        <v>Ex Gwl | Gwl (2N) + Mor - Son - Dat - Orc (1N) - Hjr (1N) - Gwl</v>
      </c>
      <c r="DB117" t="str">
        <v>Ex Idr | Idr - Ujj (1N) - Omk - Mah (1N) - Man (1N) - Idr (1N)</v>
      </c>
      <c r="DC117" t="str">
        <v>Ex Idr | Idr - Ujj (1N) - Omk (1N) - Mah (1N) - Man (1N) - Idr</v>
      </c>
      <c r="DD117" t="str">
        <v>Ex Jlr | Jlr - Kan (2N) - Amk (1N) - Jlr (1N)</v>
      </c>
      <c r="DE117" t="str">
        <v>Ex Jlr | Jlr - Ban (2N) - Amk (1N) - Jlr (1N)</v>
      </c>
      <c r="DF117" t="str">
        <v>Ex Jlr | Jlr (1N) - Hjr (1N) - Ban (2N) - Jlr</v>
      </c>
      <c r="DG117" t="str">
        <v>Ex Jlr | Jlr (1N) - Kan (1N) - Ban (2N) - Jlr</v>
      </c>
      <c r="DH117" t="str">
        <v>Ex Bho | Bho (1N) + San + Bhoj + Bhim - Tawa - Mad (1N) - Pch (2N) - Bho</v>
      </c>
      <c r="DI117" t="str">
        <v>Ex Idr | Idr - Ujj (1N) - Omk - Mah (1N) - Man (1N) - Idr (1N)</v>
      </c>
      <c r="DJ117" t="str">
        <v>Ex Bho | Bho (1N) - Bhoj - Bhim - Pch (3N) - Bho</v>
      </c>
      <c r="DK117" t="str">
        <v>Gwl (1N) - Dat (Pitambara Peeth) - Orc (1N) - Ckt (2N) - Ixd</v>
      </c>
      <c r="DL117" t="str">
        <v>Ex Jlr | Jlr - Ban (2N) - Kan (2N) - Jlr</v>
      </c>
      <c r="DM117" t="str">
        <v>Jlr - Ban (1N) - Kan (1N) - Pen (2N) - Nag</v>
      </c>
      <c r="DN117" t="str">
        <v>Ex Bho | Bho (1N) - Bhoj - Bhim - Pch (3N) - Bho</v>
      </c>
      <c r="DO117" t="str">
        <v>Ex Bho | Bho (2N) + Sanchi + Bhoj + Bhim - Tawa - Mad (1N) - Bho (1N)</v>
      </c>
      <c r="DP117" t="str">
        <v>Ex Bho | Bho - Bhoj - Bhim - Tawa (1N) - Mad (1N) - Pch (2N) - Bho</v>
      </c>
      <c r="DQ117" t="str">
        <v>Bho - Bhoj - Bhim - Pch (2N) - Kan (1N) - Jlr (1N)</v>
      </c>
      <c r="DR117" t="str">
        <v>Bho - Bhoj - Bhim - Pch (2N) - Kan (1N) - Amk (1N) - Jlr</v>
      </c>
      <c r="DS117" t="str">
        <v xml:space="preserve">Bho (1N) + Bhim + Bhoj + San - Ujj (1N) - Omk - Mah (1N) - Idr (1N) </v>
      </c>
      <c r="DT117" t="str">
        <v>Ex Gwl | Gwl - Hjr (1N) - Orc (1N) - Dat - Son - Gwl (2N)</v>
      </c>
      <c r="DU117" t="str">
        <v>Ex Gwl | Gwl - Orc (1N) - Hjr (1N) - Chn (1N) - Shiv (1N) - Gwl</v>
      </c>
      <c r="DV117" t="str">
        <v>Gwl - Hjr (1N) - Panna (1N) - Chit (1N) - Mahi (1N) - Sat</v>
      </c>
      <c r="DW117" t="str">
        <v>Jlr - (2 N) Kan - (2 N) Pch - Bhim - Bhoj - Bhp</v>
      </c>
      <c r="DX117" t="str">
        <v>Jlr - (2 N) Kan - (2 N) Pen - Rpr</v>
      </c>
      <c r="DY117" t="str">
        <v>Gwl (2N) (Ex Mor) - Dat -Orc (1N) - Hjr (1N) - Jhn</v>
      </c>
      <c r="DZ117" t="str">
        <v>Ex Gwl | Gwl (1N) - Son - Dat - Orc (1N) - Hjr (2N) (Ex Panna) - Gwl</v>
      </c>
      <c r="EA117" t="str">
        <v>Hjr (1N) - Orc (1N) - Dat - son - Gwl (2N)(Ex Mor)</v>
      </c>
      <c r="EB117" t="str">
        <v>(2 N) Gwl - (1 N) Orch - (1 N) Hjr</v>
      </c>
      <c r="EC117" t="str">
        <v>Ex Bhp | Bhp - Bhoj - Bhim - Pch (2N) - Mad (1N) - Tawa (1N) - Bhp</v>
      </c>
      <c r="ED117" t="str">
        <v>Ex Bhp | Bhp - Bhoj - Bhim - Pch (2N) - Mad (2N) - Bhp</v>
      </c>
      <c r="EE117" t="str">
        <v>Ex Idr | Idr - Ujj (1N) - Omk (1N) - Mah (2N) (Ex Man) - Idr (HDCT)</v>
      </c>
      <c r="EF117" t="str">
        <v>Arr Rpr - Amr (2N) - Par (2N) - IXD</v>
      </c>
      <c r="EG117" t="str">
        <v>1N Gwl - Orc - 2N Hjr - Jhn - 1N Gwl</v>
      </c>
      <c r="EH117" t="str">
        <v>1N Orc - 1N Hjr - 2N Gwl Ex Mor</v>
      </c>
      <c r="EI117" t="str">
        <v>1N Idr - Omk - 1N Mah - 1N Ujj - Seh - 1N Bho</v>
      </c>
      <c r="EJ117" t="str">
        <v>Ex Idr I 1N Idr - 1N Ujj - Omk - 2N Mah - Man - Idr</v>
      </c>
    </row>
    <row r="118" spans="2:145" ht="15" customHeight="1">
      <c r="B118" s="35">
        <v>114</v>
      </c>
      <c r="C118" s="36" t="s">
        <v>1123</v>
      </c>
      <c r="D118" s="76">
        <v>46188</v>
      </c>
      <c r="E118" s="37" t="str">
        <f>IF(Table5[[#This Row],[Query Date]]&lt;&gt;"", TEXT(Table5[[#This Row],[Query Date]], "dddd"), "")</f>
        <v>Monday</v>
      </c>
      <c r="F118" s="37" t="str">
        <f>IF(Table5[[#This Row],[Query Date]]&lt;&gt;"", TEXT(Table5[[#This Row],[Query Date]], "mmmm"), "")</f>
        <v>June</v>
      </c>
      <c r="G118" s="28" t="s">
        <v>65</v>
      </c>
      <c r="H118" s="28" t="s">
        <v>120</v>
      </c>
      <c r="I118" s="28" t="s">
        <v>100</v>
      </c>
      <c r="J118" s="28" t="s">
        <v>68</v>
      </c>
      <c r="K118" s="28" t="s">
        <v>488</v>
      </c>
      <c r="L118" s="25" t="s">
        <v>70</v>
      </c>
      <c r="M118" s="112" t="s">
        <v>516</v>
      </c>
      <c r="N118" s="25" t="s">
        <v>517</v>
      </c>
      <c r="O118" s="130" t="s">
        <v>518</v>
      </c>
      <c r="P118" s="46" t="s">
        <v>519</v>
      </c>
      <c r="Q118" s="77">
        <v>46350</v>
      </c>
      <c r="R118" s="77" t="str">
        <f>IF(Table5[[#This Row],[Tour Starting Date]]&lt;&gt;"", TEXT(Table5[[#This Row],[Tour Starting Date]], "dddd"), "")</f>
        <v>Tuesday</v>
      </c>
      <c r="S118" s="77">
        <v>46356</v>
      </c>
      <c r="T118" s="25" t="str">
        <f>IF(Table5[[#This Row],[Tour Ending Date]]&lt;&gt;"", TEXT(Table5[[#This Row],[Tour Ending Date]], "dddd"), "")</f>
        <v>Monday</v>
      </c>
      <c r="U118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6 Nights &amp; 7 Days</v>
      </c>
      <c r="V118" s="37" t="str">
        <f>IF(Table5[[#This Row],[Tour Starting Date]]&lt;&gt;"", TEXT(Table5[[#This Row],[Tour Starting Date]], "mmmm"), "")</f>
        <v>November</v>
      </c>
      <c r="W118" s="80" t="str" cm="1">
        <f t="array" ref="W118">IF(Q118&lt;&gt;"", INDEX(CI:CI, MATCH(1, (Q118&gt;=CG:CG)*(Q118&lt;=CH:CH), 0)), "")</f>
        <v>Regular Dates - Weekday</v>
      </c>
      <c r="X118" s="39">
        <v>35</v>
      </c>
      <c r="Y118" s="74">
        <v>30000</v>
      </c>
      <c r="Z118" s="74">
        <f>IF(OR(Table5[[#This Row],[Per Person Package Cost]]="", Table5[[#This Row],[No. of Pax]]=""), "", Table5[[#This Row],[Per Person Package Cost]] * Table5[[#This Row],[No. of Pax]])</f>
        <v>1050000</v>
      </c>
      <c r="AA118" s="52" t="s">
        <v>133</v>
      </c>
      <c r="AB118" s="52" t="s">
        <v>520</v>
      </c>
      <c r="AC118" s="52" t="s">
        <v>76</v>
      </c>
      <c r="AD118" s="52" t="s">
        <v>1124</v>
      </c>
      <c r="AE118" s="51" t="str">
        <f t="shared" si="5"/>
        <v>EXJBP32</v>
      </c>
      <c r="AF118" s="51" t="str">
        <f t="shared" si="6"/>
        <v>Heartland Wilderness Circuit</v>
      </c>
      <c r="AG118" s="74" t="str">
        <f t="shared" si="7"/>
        <v>Quick Getaways</v>
      </c>
      <c r="AH118" s="73" t="str">
        <f t="shared" si="8"/>
        <v>East + South</v>
      </c>
      <c r="AI118" s="52" t="s">
        <v>159</v>
      </c>
      <c r="AJ118" s="56" t="s">
        <v>78</v>
      </c>
      <c r="AK118" s="59" t="s">
        <v>79</v>
      </c>
      <c r="AL118" s="60" t="s">
        <v>80</v>
      </c>
      <c r="AM118" s="54" t="s">
        <v>80</v>
      </c>
      <c r="AN118" s="14">
        <v>46190</v>
      </c>
      <c r="AO118" s="15">
        <v>46231</v>
      </c>
      <c r="AP118" s="91">
        <v>46254</v>
      </c>
      <c r="AQ118" s="87"/>
      <c r="AR118" s="26"/>
      <c r="AS118" s="65"/>
      <c r="AT118" s="88" t="s">
        <v>81</v>
      </c>
      <c r="AU118" s="67" t="s">
        <v>82</v>
      </c>
      <c r="BX118" s="1">
        <v>114</v>
      </c>
      <c r="CN118" t="s">
        <v>1125</v>
      </c>
      <c r="CU118" t="s">
        <v>92</v>
      </c>
      <c r="CV118" t="s">
        <v>91</v>
      </c>
      <c r="CW118" t="s">
        <v>1126</v>
      </c>
      <c r="CX118" s="124" t="s">
        <v>1127</v>
      </c>
      <c r="CY118" t="s">
        <v>197</v>
      </c>
      <c r="CZ118" s="124" t="s">
        <v>1128</v>
      </c>
      <c r="DA118" t="str" cm="1">
        <f t="array" ref="DA118:DZ118">IF(U118&lt;&gt;"", TRANSPOSE(_xlfn._xlws.FILTER(CZ:CZ, CY:CY=U118, "")), "")</f>
        <v>Ex Gwl | Gwl (2N) + Mor - Orc - Pan (2N) - Hjr (1N) - Dat - Son - Gwl (1N)</v>
      </c>
      <c r="DB118" t="str">
        <v>Ex Gwl | GWL (2N) + Mor - Shiv - Chan (2N) - Hjr (1N) - Orc (1N) - Dat - Gwl</v>
      </c>
      <c r="DC118" t="str">
        <v>Gwl (2N) + Mor - Son - Dat - Orc (1N) - Hjr (1N) - Ban (1N) - Jlr (1N)</v>
      </c>
      <c r="DD118" t="str">
        <v>Idr - Ujj (1N) - Omk - Mah (1N) - Man (2N) - Bhp (2N) + Bhim + Bhoj + San</v>
      </c>
      <c r="DE118" t="str">
        <v>Bhp (1N) + Bhim + Bhoj + San - Ujj (1N) - Man (2N) - Mah - Omk (1N) - Idr (1N)</v>
      </c>
      <c r="DF118" t="str">
        <v>Jlr (1N) - Ban (1N) - Hjr (1N) - Orc (1N) - Dat - Son - Gwl (2N) + Mor</v>
      </c>
      <c r="DG118" t="str">
        <v>Bho (1N) + San - Bhoj - Bhim - Tawa (1N) - Mad (1N) - Pch (2N) - Jlr (1N)</v>
      </c>
      <c r="DH118" t="str">
        <v>Bho (1N) + San + Udaygiri - Bhoj - Bhim - Pch (2N) - Kan(2N) - Jlr (1N)</v>
      </c>
      <c r="DI118" t="str">
        <v>Bho (1N) + Bhim + Bhoj - San - Ujj (1N) - Man (2N) - Mah - Omk (1N) - Idr (1N)</v>
      </c>
      <c r="DJ118" t="str">
        <v>Gwl (2N) + Mor - Son - Dat - Orc (1N) - Hjr (1N) - Jab (1N) - Kan (1N) - Nag</v>
      </c>
      <c r="DK118" t="str">
        <v>Bho (2N) + San + Bhoj + Bhim - Ujj (1N) - Omk - Mah (1N) - Man (1N) - Idr (1N)</v>
      </c>
      <c r="DL118" t="str">
        <v>Ex Nag | Nag - Pch (2N) - Bhim - Bhoj - Bho (2N) + San + Udaygiri - Jlr (1N) - Kan (1N) - Nag</v>
      </c>
      <c r="DM118" t="str">
        <v>Bho (1N) - Mad (2N) + Tawa Cruise Safari - Pch (2N) - Jlr (1N) - Nag</v>
      </c>
      <c r="DN118" t="str">
        <v>Idr - Man (2N) - Idr (1N) - Bho (1N) + San - Bhoj - Bhim - Pch (2N) - Bho</v>
      </c>
      <c r="DO118" t="str">
        <v>Rpr - kan (2N) - Ban (1N) - Jlr (1N) - Mad (2N) - Bhim - Bhoj - Bho</v>
      </c>
      <c r="DP118" t="str">
        <v>Jlr - Amar (1 N) - Ban (2 N) - Kan (1N) - Pch (2N) - Ppi</v>
      </c>
      <c r="DQ118" t="str">
        <v>Jlr - (2N) Kan - (1N) Jlr - Bhim - Bhoj - (2N) Bho  (Ex San &amp; Uda)  - (1N) Ujj - Idr</v>
      </c>
      <c r="DR118" t="str">
        <v>Ex Nag | Nag (2 N) Pach - Bhim - Bhij - (2 N) Bho (Ex San &amp; Uad) - (1 N) Jlr - (1 N) Kan - Nag</v>
      </c>
      <c r="DS118" t="str">
        <v>(2 N) Bho (Ex San, Bhoj &amp; Bhim) - (1 N) Ujj - Omk - (1 N) Mah - (1 N) Man - (1 N) Idr</v>
      </c>
      <c r="DT118" t="str">
        <v>(2 N) Gwl (Ex Mor) - Son - Dat - (1 N) Orc - (1 N) Hjr - (1 N) Jlr - (1 N) Kan - Nag</v>
      </c>
      <c r="DU118" t="str">
        <v>(1 N) Jlr - (2 N) Kanha - (2 N Pach) - (1 N) BHo</v>
      </c>
      <c r="DV118" t="str">
        <v>(2 N) Gwl - (1 N) Orc - (1 N) Hjr - (1 N) Ban - (1 N) Jlr</v>
      </c>
      <c r="DW118" t="str">
        <v>(2 N) BHo - (2 N) Madhai - (1 N) Pach - (1 N) Jlr</v>
      </c>
      <c r="DX118" t="str">
        <v>Ex Bhp | Bhp - Bhoj - Bhim - Pach (3N) - Tawa - Mad - Tawa (1N) - Mad (1N) - Bho (1N)</v>
      </c>
      <c r="DY118" t="str">
        <v>Ex Idr I Idr - 2N Ujj - 1N Man - 1N Mah - 1N Omk - 1N Idr</v>
      </c>
      <c r="DZ118" t="str">
        <v>1N Jlr - 1N Kan - 1N Ban - 1N Hjr -2N Gwl</v>
      </c>
    </row>
    <row r="119" spans="2:145" ht="15" customHeight="1">
      <c r="B119" s="34">
        <v>115</v>
      </c>
      <c r="C119" s="36" t="s">
        <v>1129</v>
      </c>
      <c r="D119" s="76">
        <v>46188</v>
      </c>
      <c r="E119" s="37" t="str">
        <f>IF(Table5[[#This Row],[Query Date]]&lt;&gt;"", TEXT(Table5[[#This Row],[Query Date]], "dddd"), "")</f>
        <v>Monday</v>
      </c>
      <c r="F119" s="37" t="str">
        <f>IF(Table5[[#This Row],[Query Date]]&lt;&gt;"", TEXT(Table5[[#This Row],[Query Date]], "mmmm"), "")</f>
        <v>June</v>
      </c>
      <c r="G119" s="28" t="s">
        <v>65</v>
      </c>
      <c r="H119" s="28" t="s">
        <v>66</v>
      </c>
      <c r="I119" s="28" t="s">
        <v>67</v>
      </c>
      <c r="J119" s="28" t="s">
        <v>145</v>
      </c>
      <c r="K119" s="28" t="s">
        <v>570</v>
      </c>
      <c r="L119" s="25" t="s">
        <v>70</v>
      </c>
      <c r="M119" s="112" t="s">
        <v>571</v>
      </c>
      <c r="N119" s="25" t="s">
        <v>572</v>
      </c>
      <c r="O119" s="130" t="s">
        <v>573</v>
      </c>
      <c r="P119" s="46" t="s">
        <v>574</v>
      </c>
      <c r="Q119" s="77">
        <v>46198</v>
      </c>
      <c r="R119" s="77" t="str">
        <f>IF(Table5[[#This Row],[Tour Starting Date]]&lt;&gt;"", TEXT(Table5[[#This Row],[Tour Starting Date]], "dddd"), "")</f>
        <v>Thursday</v>
      </c>
      <c r="S119" s="77">
        <v>46200</v>
      </c>
      <c r="T119" s="25" t="str">
        <f>IF(Table5[[#This Row],[Tour Ending Date]]&lt;&gt;"", TEXT(Table5[[#This Row],[Tour Ending Date]], "dddd"), "")</f>
        <v>Saturday</v>
      </c>
      <c r="U119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119" s="37" t="str">
        <f>IF(Table5[[#This Row],[Tour Starting Date]]&lt;&gt;"", TEXT(Table5[[#This Row],[Tour Starting Date]], "mmmm"), "")</f>
        <v>June</v>
      </c>
      <c r="W119" s="80" t="str" cm="1">
        <f t="array" ref="W119">IF(Q119&lt;&gt;"", INDEX(CI:CI, MATCH(1, (Q119&gt;=CG:CG)*(Q119&lt;=CH:CH), 0)), "")</f>
        <v>Long Weekend - Eid-ul-Fitr</v>
      </c>
      <c r="X119" s="39">
        <v>11</v>
      </c>
      <c r="Y119" s="74">
        <v>2409.9899999999998</v>
      </c>
      <c r="Z119" s="74">
        <f>IF(OR(Table5[[#This Row],[Per Person Package Cost]]="", Table5[[#This Row],[No. of Pax]]=""), "", Table5[[#This Row],[Per Person Package Cost]] * Table5[[#This Row],[No. of Pax]])</f>
        <v>26509.89</v>
      </c>
      <c r="AA119" s="52" t="s">
        <v>75</v>
      </c>
      <c r="AB119" s="52" t="s">
        <v>75</v>
      </c>
      <c r="AC119" s="52"/>
      <c r="AD119" s="52" t="s">
        <v>364</v>
      </c>
      <c r="AE119" s="51" t="str">
        <f t="shared" si="5"/>
        <v>EXIDR03</v>
      </c>
      <c r="AF119" s="51" t="str">
        <f t="shared" si="6"/>
        <v>Temple Fort Odyssey</v>
      </c>
      <c r="AG119" s="74" t="str">
        <f t="shared" si="7"/>
        <v>Quick Getaways</v>
      </c>
      <c r="AH119" s="73" t="str">
        <f t="shared" si="8"/>
        <v>West MP</v>
      </c>
      <c r="AI119" s="52" t="s">
        <v>77</v>
      </c>
      <c r="AJ119" s="56" t="s">
        <v>78</v>
      </c>
      <c r="AK119" s="59" t="s">
        <v>79</v>
      </c>
      <c r="AL119" s="60" t="s">
        <v>80</v>
      </c>
      <c r="AM119" s="54" t="s">
        <v>80</v>
      </c>
      <c r="AN119" s="14">
        <v>46190</v>
      </c>
      <c r="AO119" s="15"/>
      <c r="AP119" s="91"/>
      <c r="AQ119" s="87"/>
      <c r="AR119" s="26"/>
      <c r="AS119" s="65"/>
      <c r="AT119" s="88" t="s">
        <v>85</v>
      </c>
      <c r="AU119" s="67"/>
      <c r="BX119" s="1">
        <v>115</v>
      </c>
      <c r="CN119" t="s">
        <v>1130</v>
      </c>
      <c r="CU119" t="s">
        <v>92</v>
      </c>
      <c r="CV119" t="s">
        <v>91</v>
      </c>
      <c r="CW119" t="s">
        <v>1131</v>
      </c>
      <c r="CX119" s="124" t="s">
        <v>1132</v>
      </c>
      <c r="CY119" t="s">
        <v>223</v>
      </c>
      <c r="CZ119" s="124" t="s">
        <v>1133</v>
      </c>
      <c r="DA119" t="str" cm="1">
        <f t="array" ref="DA119:DY119">IF(U119&lt;&gt;"", TRANSPOSE(_xlfn._xlws.FILTER(CZ:CZ, CY:CY=U119, "")), "")</f>
        <v>Gwl (2N) + Mor</v>
      </c>
      <c r="DB119" t="str">
        <v>Ex Idr | Idr - Ujj (1N) - Omk - Mah (1N) - Man - Idr</v>
      </c>
      <c r="DC119" t="str">
        <v>Ujj (1N) - Omk - Idr (1N)</v>
      </c>
      <c r="DD119" t="str">
        <v>Ex Jlr | Jlr - Kan (2N) - Jlr</v>
      </c>
      <c r="DE119" t="str">
        <v>Ex Jlr | Jlr - Ban (2N) - Jlr</v>
      </c>
      <c r="DF119" t="str">
        <v>Ex Bho | Bho (2N) + Bhim + Bhoj + San</v>
      </c>
      <c r="DG119" t="str">
        <v>Ex Idr | Idr - Man (2N) - Idr</v>
      </c>
      <c r="DH119" t="str">
        <v>Ex Jlr | Jlr - Kan (2N) - Jlr</v>
      </c>
      <c r="DI119" t="str">
        <v>Ex Bho | Bho (2N) + Bhim + Bhoj + San + HDCT Bho</v>
      </c>
      <c r="DJ119" t="str">
        <v>Ex Bho | Bho - Bhim - Tawa (1N) - Mad (1N) - Bho</v>
      </c>
      <c r="DK119" t="str">
        <v>Ujj (1N) - Omk - Mah (1N) - Idr</v>
      </c>
      <c r="DL119" t="str">
        <v>Ujj (1N) -  Idr (1N)</v>
      </c>
      <c r="DM119" t="str">
        <v>Ex Idr | Idr (2N) + Ujj + Omk + Mah</v>
      </c>
      <c r="DN119" t="str">
        <v>Idr - Mah - Omk (1N) - Ujj (1N)</v>
      </c>
      <c r="DO119" t="str">
        <v>Idr - Ujj (1N) - Mah - Omk (1N) - Khandwa</v>
      </c>
      <c r="DP119" t="str">
        <v>Ex Idr | Idr (EX Ujj) (1N) - Mah - Omk (1N) - Idr HDCT</v>
      </c>
      <c r="DQ119" t="str">
        <v>Ujj (1N) - Sehor - Bho (1N) HDCT</v>
      </c>
      <c r="DR119" t="str">
        <v>Ex Jlr | Jlr (1N) - Ban (1N)</v>
      </c>
      <c r="DS119" t="str">
        <v>Ex Jlr | Ban (1N)</v>
      </c>
      <c r="DT119" t="str">
        <v>Ex Jlr | Jlr (2 N) Kan</v>
      </c>
      <c r="DU119" t="str">
        <v>Ex Jlr | Jlr - Amr (1 N) - (1 N) Ban</v>
      </c>
      <c r="DV119" t="str">
        <v>Ex Rpr | Rpr - (2N) Kan</v>
      </c>
      <c r="DW119" t="str">
        <v>Hjr (1N) - Mahi (1N) - Sat</v>
      </c>
      <c r="DX119" t="str">
        <v>Ex Bhp | Bhp - Bhim - Pch (2N) - Bhp</v>
      </c>
      <c r="DY119" t="str">
        <v xml:space="preserve">Ex Ujj I 2N Ujj </v>
      </c>
    </row>
    <row r="120" spans="2:145" ht="15" customHeight="1">
      <c r="B120" s="35">
        <v>116</v>
      </c>
      <c r="C120" s="36" t="s">
        <v>1134</v>
      </c>
      <c r="D120" s="76">
        <v>46189</v>
      </c>
      <c r="E120" s="37" t="str">
        <f>IF(Table5[[#This Row],[Query Date]]&lt;&gt;"", TEXT(Table5[[#This Row],[Query Date]], "dddd"), "")</f>
        <v>Tuesday</v>
      </c>
      <c r="F120" s="37" t="str">
        <f>IF(Table5[[#This Row],[Query Date]]&lt;&gt;"", TEXT(Table5[[#This Row],[Query Date]], "mmmm"), "")</f>
        <v>June</v>
      </c>
      <c r="G120" s="28" t="s">
        <v>65</v>
      </c>
      <c r="H120" s="28" t="s">
        <v>99</v>
      </c>
      <c r="I120" s="28" t="s">
        <v>67</v>
      </c>
      <c r="J120" s="28" t="s">
        <v>68</v>
      </c>
      <c r="K120" s="28" t="s">
        <v>644</v>
      </c>
      <c r="L120" s="25" t="s">
        <v>70</v>
      </c>
      <c r="M120" s="112" t="s">
        <v>1135</v>
      </c>
      <c r="N120" s="25" t="s">
        <v>1136</v>
      </c>
      <c r="O120" s="130" t="s">
        <v>1137</v>
      </c>
      <c r="P120" s="46" t="s">
        <v>1138</v>
      </c>
      <c r="Q120" s="77">
        <v>46264</v>
      </c>
      <c r="R120" s="77" t="str">
        <f>IF(Table5[[#This Row],[Tour Starting Date]]&lt;&gt;"", TEXT(Table5[[#This Row],[Tour Starting Date]], "dddd"), "")</f>
        <v>Sunday</v>
      </c>
      <c r="S120" s="77">
        <v>46267</v>
      </c>
      <c r="T120" s="25" t="str">
        <f>IF(Table5[[#This Row],[Tour Ending Date]]&lt;&gt;"", TEXT(Table5[[#This Row],[Tour Ending Date]], "dddd"), "")</f>
        <v>Wednesday</v>
      </c>
      <c r="U120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120" s="37" t="str">
        <f>IF(Table5[[#This Row],[Tour Starting Date]]&lt;&gt;"", TEXT(Table5[[#This Row],[Tour Starting Date]], "mmmm"), "")</f>
        <v>August</v>
      </c>
      <c r="W120" s="80" t="str" cm="1">
        <f t="array" ref="W120">IF(Q120&lt;&gt;"", INDEX(CI:CI, MATCH(1, (Q120&gt;=CG:CG)*(Q120&lt;=CH:CH), 0)), "")</f>
        <v>Regular Dates - Weekend</v>
      </c>
      <c r="X120" s="39">
        <v>18</v>
      </c>
      <c r="Y120" s="74">
        <v>8600</v>
      </c>
      <c r="Z120" s="74">
        <f>IF(OR(Table5[[#This Row],[Per Person Package Cost]]="", Table5[[#This Row],[No. of Pax]]=""), "", Table5[[#This Row],[Per Person Package Cost]] * Table5[[#This Row],[No. of Pax]])</f>
        <v>154800</v>
      </c>
      <c r="AA120" s="52" t="s">
        <v>75</v>
      </c>
      <c r="AB120" s="52" t="s">
        <v>75</v>
      </c>
      <c r="AC120" s="52" t="s">
        <v>76</v>
      </c>
      <c r="AD120" s="52" t="s">
        <v>364</v>
      </c>
      <c r="AE120" s="51" t="str">
        <f t="shared" si="5"/>
        <v>EXIDR03</v>
      </c>
      <c r="AF120" s="51" t="str">
        <f t="shared" si="6"/>
        <v>Temple Fort Odyssey</v>
      </c>
      <c r="AG120" s="74" t="str">
        <f t="shared" si="7"/>
        <v>Quick Getaways</v>
      </c>
      <c r="AH120" s="73" t="str">
        <f t="shared" si="8"/>
        <v>West MP</v>
      </c>
      <c r="AI120" s="52" t="s">
        <v>107</v>
      </c>
      <c r="AJ120" s="56" t="s">
        <v>78</v>
      </c>
      <c r="AK120" s="59" t="s">
        <v>79</v>
      </c>
      <c r="AL120" s="60" t="s">
        <v>80</v>
      </c>
      <c r="AM120" s="54" t="s">
        <v>80</v>
      </c>
      <c r="AN120" s="14">
        <v>46198</v>
      </c>
      <c r="AO120" s="15">
        <v>46224</v>
      </c>
      <c r="AP120" s="91">
        <v>46231</v>
      </c>
      <c r="AQ120" s="87"/>
      <c r="AR120" s="26"/>
      <c r="AS120" s="65"/>
      <c r="AT120" s="88" t="s">
        <v>81</v>
      </c>
      <c r="AU120" s="67" t="s">
        <v>207</v>
      </c>
      <c r="BX120" s="1">
        <v>116</v>
      </c>
      <c r="CN120" t="s">
        <v>1139</v>
      </c>
      <c r="CU120" t="s">
        <v>92</v>
      </c>
      <c r="CV120" t="s">
        <v>91</v>
      </c>
      <c r="CW120" t="s">
        <v>1140</v>
      </c>
      <c r="CX120" s="124" t="s">
        <v>1141</v>
      </c>
      <c r="CY120" t="s">
        <v>223</v>
      </c>
      <c r="CZ120" s="124" t="s">
        <v>1142</v>
      </c>
      <c r="DA120" t="str" cm="1">
        <f t="array" ref="DA120:EO120">IF(U120&lt;&gt;"", TRANSPOSE(_xlfn._xlws.FILTER(CZ:CZ, CY:CY=U120, "")), "")</f>
        <v>Gwl (3N) + Mor + Son + Dat + Orc</v>
      </c>
      <c r="DB120" t="str">
        <v>Ex Gwl | Gwl (1N) - Son - Dat - Orc (1N) - Gwl (1N)</v>
      </c>
      <c r="DC120" t="str">
        <v>Ex Idr | Idr - Ujj (1N) - Omk - Mah (1N) - Man (1N) - Idr</v>
      </c>
      <c r="DD120" t="str">
        <v>Ex Jlr | Jlr - Kan (2N) - Jlr (1N)</v>
      </c>
      <c r="DE120" t="str">
        <v>Ex Jlr | Jlr - Ban (2N) - Jlr (1N)</v>
      </c>
      <c r="DF120" t="str">
        <v>Ex Bho | Bho (1N) + San - Bhoj - Bhim - Pch (2N) - Bho</v>
      </c>
      <c r="DG120" t="str">
        <v>Ex Idr | Idr (1N) - Ujj (1N) - Omk (1N) - Mah - Idr</v>
      </c>
      <c r="DH120" t="str">
        <v>Gwl - Orc (1N) - Ckt (1N) - Myr (1N) - Jlr</v>
      </c>
      <c r="DI120" t="str">
        <v>Gwl - Orc (1N) - Ckt (2N) - Ixd</v>
      </c>
      <c r="DJ120" t="str">
        <v>Ex Idr | Idr - Ujj (1N) - Omk - Mah (1N) - Idr (1N)</v>
      </c>
      <c r="DK120" t="str">
        <v>Ex Jlr | Jlr - Kan (3N) - Jlr</v>
      </c>
      <c r="DL120" t="str">
        <v>Ex Bho | Bho (2N) + Bhim + Bhoj + San + Udaygiri + Vidisha + FDCT Bho</v>
      </c>
      <c r="DM120" t="str">
        <v>Bho (1N) + Bhim + Bhoj - HDCT  Bho + Sanchi - Ujj (2N)</v>
      </c>
      <c r="DN120" t="str">
        <v>Bho (1N) + Bhim + Bhoj - HDCT  Bho + Sanchi - Ujj (2N) - Idr</v>
      </c>
      <c r="DO120" t="str">
        <v>Ex Bho | Bho - Bhoj - Bhim - Mad (1N) - Pch (2N) - Bho</v>
      </c>
      <c r="DP120" t="str">
        <v>Ex Bho | Bho - Bhoj - Bhim - Mad (1N) - Pch (3N) - Bho</v>
      </c>
      <c r="DQ120" t="str">
        <v>Ex Bho | Bho - Bhoj - Bhim - Tawa (1N) - Mad (1N) - Bho (1N)</v>
      </c>
      <c r="DR120" t="str">
        <v>Bho (1N) - Bhim - Bhoj - San - Idr (2N) + Ujj</v>
      </c>
      <c r="DS120" t="str">
        <v>Bho (1N) - Bhoj - Bhim - Pch (2N) - Bho</v>
      </c>
      <c r="DT120" t="str">
        <v>Ujj (1N) - Omk - Mah (1N) - Idr (1N)</v>
      </c>
      <c r="DU120" t="str">
        <v>Ujj (1N) - Omk - Mah (1N) - Man (1N) - Idr</v>
      </c>
      <c r="DV120" t="str">
        <v>Ex Idr | Idr (1N) - Ujj (1N) - Omk - Mah (1N)</v>
      </c>
      <c r="DW120" t="str">
        <v>Ex Idr | Idr - Ujj (1N) - Omk (1N) - Mah (1N) - Idr</v>
      </c>
      <c r="DX120" t="str">
        <v>Khandwa - Omk (1N) - Mah (1N) - Ujj (1N) - Idr</v>
      </c>
      <c r="DY120" t="str">
        <v>Ex Idr | Idr - Ujj (1N) - Omk - Mah (1N) - Man - Idr (1N)</v>
      </c>
      <c r="DZ120" t="str">
        <v xml:space="preserve">Idr - Omk (1N) - Mah - Ujj (1N) San - Bho (1N) </v>
      </c>
      <c r="EA120" t="str">
        <v>Ex Idr | Idr - Man (1N) - Mah - Omk (1N) - Ujj (1N) - Idr</v>
      </c>
      <c r="EB120" t="str">
        <v>Khandwa - Omk (1N) - Mah - Ujj (2N)</v>
      </c>
      <c r="EC120" t="str">
        <v>Ex Jlr | Jlr (1N) - Amr (1N) - Ban (1N) - Jlr</v>
      </c>
      <c r="ED120" t="str">
        <v>Ex Jlr | Jlr - (1 N) Ban - (2 N) Amar</v>
      </c>
      <c r="EE120" t="str">
        <v>Jlr - Kan (1N) - Pch (2N)</v>
      </c>
      <c r="EF120" t="str">
        <v>Pi - Pch (2N)  - Kan (1N)</v>
      </c>
      <c r="EG120" t="str">
        <v>Ex Jlr | Jlr - Amr (1 N) - (1 N) Ban - (1 N) Jlr</v>
      </c>
      <c r="EH120" t="str">
        <v>Ppi - (2 N) Pch - (1 N) Pen</v>
      </c>
      <c r="EI120" t="str">
        <v>Bhp - Pch (2N) - Jlr (1N)</v>
      </c>
      <c r="EJ120" t="str">
        <v xml:space="preserve">Arr Jhn - Hjr (1N) - Orc - Gwl (2N) </v>
      </c>
      <c r="EK120" t="str">
        <v>(1 N) Ujj - (1 N) Mah - (1 N) Idr</v>
      </c>
      <c r="EL120" t="str">
        <v>Ex Bhp | Bhp - Bhoj - Bhim - Pch (3N) - Bhp</v>
      </c>
      <c r="EM120" t="str">
        <v>Ex Bhp | Bhp - Bhoj - Bhim - Pch (2N) - Mad (1N) - Bhp</v>
      </c>
      <c r="EN120" t="str">
        <v xml:space="preserve">Ex Nag - 3N Pch + Sat </v>
      </c>
      <c r="EO120" t="str">
        <v>1N Gwl - Son - Dat - 1N Hjr - 1N Orc - Jhn</v>
      </c>
    </row>
    <row r="121" spans="2:145" ht="15" customHeight="1">
      <c r="B121" s="34">
        <v>117</v>
      </c>
      <c r="C121" s="36" t="s">
        <v>1143</v>
      </c>
      <c r="D121" s="76">
        <v>46189</v>
      </c>
      <c r="E121" s="37" t="str">
        <f>IF(Table5[[#This Row],[Query Date]]&lt;&gt;"", TEXT(Table5[[#This Row],[Query Date]], "dddd"), "")</f>
        <v>Tuesday</v>
      </c>
      <c r="F121" s="37" t="str">
        <f>IF(Table5[[#This Row],[Query Date]]&lt;&gt;"", TEXT(Table5[[#This Row],[Query Date]], "mmmm"), "")</f>
        <v>June</v>
      </c>
      <c r="G121" s="28" t="s">
        <v>65</v>
      </c>
      <c r="H121" s="28" t="s">
        <v>66</v>
      </c>
      <c r="I121" s="28" t="s">
        <v>67</v>
      </c>
      <c r="J121" s="28" t="s">
        <v>68</v>
      </c>
      <c r="K121" s="28" t="s">
        <v>178</v>
      </c>
      <c r="L121" s="25" t="s">
        <v>70</v>
      </c>
      <c r="M121" s="112" t="s">
        <v>417</v>
      </c>
      <c r="N121" s="25" t="s">
        <v>418</v>
      </c>
      <c r="O121" s="130" t="s">
        <v>419</v>
      </c>
      <c r="P121" s="46" t="s">
        <v>420</v>
      </c>
      <c r="Q121" s="77">
        <v>46195</v>
      </c>
      <c r="R121" s="77" t="str">
        <f>IF(Table5[[#This Row],[Tour Starting Date]]&lt;&gt;"", TEXT(Table5[[#This Row],[Tour Starting Date]], "dddd"), "")</f>
        <v>Monday</v>
      </c>
      <c r="S121" s="77">
        <v>46200</v>
      </c>
      <c r="T121" s="25" t="str">
        <f>IF(Table5[[#This Row],[Tour Ending Date]]&lt;&gt;"", TEXT(Table5[[#This Row],[Tour Ending Date]], "dddd"), "")</f>
        <v>Saturday</v>
      </c>
      <c r="U121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5 Nights &amp; 6 Days</v>
      </c>
      <c r="V121" s="37" t="str">
        <f>IF(Table5[[#This Row],[Tour Starting Date]]&lt;&gt;"", TEXT(Table5[[#This Row],[Tour Starting Date]], "mmmm"), "")</f>
        <v>June</v>
      </c>
      <c r="W121" s="80" t="str" cm="1">
        <f t="array" ref="W121">IF(Q121&lt;&gt;"", INDEX(CI:CI, MATCH(1, (Q121&gt;=CG:CG)*(Q121&lt;=CH:CH), 0)), "")</f>
        <v>Regular Dates - Weekday</v>
      </c>
      <c r="X121" s="39">
        <v>5</v>
      </c>
      <c r="Y121" s="74">
        <v>25100</v>
      </c>
      <c r="Z121" s="74">
        <f>IF(OR(Table5[[#This Row],[Per Person Package Cost]]="", Table5[[#This Row],[No. of Pax]]=""), "", Table5[[#This Row],[Per Person Package Cost]] * Table5[[#This Row],[No. of Pax]])</f>
        <v>125500</v>
      </c>
      <c r="AA121" s="52" t="s">
        <v>69</v>
      </c>
      <c r="AB121" s="52" t="s">
        <v>644</v>
      </c>
      <c r="AC121" s="52" t="s">
        <v>76</v>
      </c>
      <c r="AD121" s="52"/>
      <c r="AE121" s="51" t="str">
        <f t="shared" si="5"/>
        <v/>
      </c>
      <c r="AF121" s="51" t="str">
        <f t="shared" si="6"/>
        <v/>
      </c>
      <c r="AG121" s="74" t="str">
        <f t="shared" si="7"/>
        <v/>
      </c>
      <c r="AH121" s="73" t="str">
        <f t="shared" si="8"/>
        <v/>
      </c>
      <c r="AI121" s="52" t="s">
        <v>77</v>
      </c>
      <c r="AJ121" s="56" t="s">
        <v>78</v>
      </c>
      <c r="AK121" s="59" t="s">
        <v>79</v>
      </c>
      <c r="AL121" s="60" t="s">
        <v>80</v>
      </c>
      <c r="AM121" s="54" t="s">
        <v>80</v>
      </c>
      <c r="AN121" s="14">
        <v>46192</v>
      </c>
      <c r="AO121" s="15"/>
      <c r="AP121" s="91"/>
      <c r="AQ121" s="87"/>
      <c r="AR121" s="26"/>
      <c r="AS121" s="65"/>
      <c r="AT121" s="88" t="s">
        <v>81</v>
      </c>
      <c r="AU121" s="67"/>
      <c r="BX121" s="1">
        <v>117</v>
      </c>
      <c r="CN121" t="s">
        <v>1144</v>
      </c>
      <c r="CU121" t="s">
        <v>92</v>
      </c>
      <c r="CV121" t="s">
        <v>91</v>
      </c>
      <c r="CW121" t="s">
        <v>1145</v>
      </c>
      <c r="CX121" s="124" t="s">
        <v>1146</v>
      </c>
      <c r="CY121" t="s">
        <v>197</v>
      </c>
      <c r="CZ121" s="124" t="s">
        <v>1147</v>
      </c>
      <c r="DA121" t="str" cm="1">
        <f t="array" ref="DA121:DW121">IF(U121&lt;&gt;"", TRANSPOSE(_xlfn._xlws.FILTER(CZ:CZ, CY:CY=U121, "")), "")</f>
        <v>Gwl (2N) + Mor - Son - Dat - Orc (1N) - Hjr (2N) + Panna</v>
      </c>
      <c r="DB121" t="str">
        <v>Ex Gwl | Gwl (2N) + Mor - Shiv - Chan (2N) - Orc (1N) - Dat - Son - Gwl</v>
      </c>
      <c r="DC121" t="str">
        <v>Gwl (2N) + Mor - Son - Dat - Orc (1N) - Hjr (1N) - Jlr (1N)</v>
      </c>
      <c r="DD121" t="str">
        <v>Ex Idr | Idr - Ujj (1N) - Omk (1N) - Mah (1N) - Man (1N) - Idr (1N)</v>
      </c>
      <c r="DE121" t="str">
        <v>Bhp (1N) + Bhim + Bhoj + San - Ujj (1N) - Man (2N) - Mah - Omk (1N) - Idr</v>
      </c>
      <c r="DF121" t="str">
        <v>Jlr (1N) - Hjr (1N) - Orc (1N) - Dat - Son - Gwl (2N) + Mor</v>
      </c>
      <c r="DG121" t="str">
        <v>Jlr (1N) - Kan (1N) - Pch (2N) - Bhim - Bhoj - Bho (1N) + Sanchi</v>
      </c>
      <c r="DH121" t="str">
        <v>Ex Bho | Bho (1N) + San - Bhoj - Bhim - Tawa (1N) - Mad (1N) - Pch (2N) - Bho</v>
      </c>
      <c r="DI121" t="str">
        <v>Bho (1N) + San + Udaygiri - Bhoj - Bhim - Pch (2N) - Kan(1N) - Jlr (1N)</v>
      </c>
      <c r="DJ121" t="str">
        <v>Bho (1N) + Bhim + Bhoj - San - Ujj (1N) - Man (2N) - Mah - Omk (1N) - Idr</v>
      </c>
      <c r="DK121" t="str">
        <v>Idr - Man (2N) - Idr (1N) - Bho (2N) + Bhim + Bhoj + Sanchi</v>
      </c>
      <c r="DL121" t="str">
        <v>Ex Bho | Bho (2N) + San + Udaygiri - Bhoj - Bhim - Pch (2N) - Tawa (1N) - Bho</v>
      </c>
      <c r="DM121" t="str">
        <v>Rpr - Kan (2N) - Pen (1N) - Pch (2N) - Bho</v>
      </c>
      <c r="DN121" t="str">
        <v>Nag - Pen (2N) - Pch (2N) - Bhim - Bhoj - Bho (1N) + San</v>
      </c>
      <c r="DO121" t="str">
        <v>Gwl (2N) (Ex Mor) - Orc (1N) - Chn (1N) - Shiv (1N) - Jhn</v>
      </c>
      <c r="DP121" t="str">
        <v>Gwl (2N) (Ex Mor) - Dat - Orc (1N) - Chn (1N) - Shiv (1N) - Jhn</v>
      </c>
      <c r="DQ121" t="str">
        <v>Nag - Pen (2N) - Kan (2N) - Jlr (1N)</v>
      </c>
      <c r="DR121" t="str">
        <v>Rpr - (2 N) Amr - (1 N) Ban - (1 N) Hjr - (1 N) Jlr</v>
      </c>
      <c r="DS121" t="str">
        <v>Gwl (2N) (Ex Mor) -Orc  - Hjr (1N) - Chn (1N) - Shiv (1N) - Jhn</v>
      </c>
      <c r="DT121" t="str">
        <v>(2 N) Gwl - (1 N) Orch - (1 N) Hjr - (1 N) Jlr</v>
      </c>
      <c r="DU121" t="str">
        <v xml:space="preserve">Arr Rpr - Amr (2N) - Par (2N) - Jlr (1N) </v>
      </c>
      <c r="DV121" t="str">
        <v>3N Idr (Ex Ujj - Man) - Bhim - Bhoj - San - 2N Bho</v>
      </c>
      <c r="DW121" t="str">
        <v>1N Jlr - 1N Kan - 3N Pch - Ppi</v>
      </c>
    </row>
    <row r="122" spans="2:145" ht="15" customHeight="1">
      <c r="B122" s="35">
        <v>118</v>
      </c>
      <c r="C122" s="36" t="s">
        <v>1148</v>
      </c>
      <c r="D122" s="76">
        <v>46193</v>
      </c>
      <c r="E122" s="37" t="str">
        <f>IF(Table5[[#This Row],[Query Date]]&lt;&gt;"", TEXT(Table5[[#This Row],[Query Date]], "dddd"), "")</f>
        <v>Saturday</v>
      </c>
      <c r="F122" s="37" t="str">
        <f>IF(Table5[[#This Row],[Query Date]]&lt;&gt;"", TEXT(Table5[[#This Row],[Query Date]], "mmmm"), "")</f>
        <v>June</v>
      </c>
      <c r="G122" s="28" t="s">
        <v>65</v>
      </c>
      <c r="H122" s="28" t="s">
        <v>99</v>
      </c>
      <c r="I122" s="28" t="s">
        <v>67</v>
      </c>
      <c r="J122" s="28" t="s">
        <v>68</v>
      </c>
      <c r="K122" s="28" t="s">
        <v>178</v>
      </c>
      <c r="L122" s="25" t="s">
        <v>70</v>
      </c>
      <c r="M122" s="112" t="s">
        <v>417</v>
      </c>
      <c r="N122" s="25" t="s">
        <v>418</v>
      </c>
      <c r="O122" s="130" t="s">
        <v>419</v>
      </c>
      <c r="P122" s="46" t="s">
        <v>420</v>
      </c>
      <c r="Q122" s="77">
        <v>46202</v>
      </c>
      <c r="R122" s="77" t="str">
        <f>IF(Table5[[#This Row],[Tour Starting Date]]&lt;&gt;"", TEXT(Table5[[#This Row],[Tour Starting Date]], "dddd"), "")</f>
        <v>Monday</v>
      </c>
      <c r="S122" s="77">
        <v>46205</v>
      </c>
      <c r="T122" s="25" t="str">
        <f>IF(Table5[[#This Row],[Tour Ending Date]]&lt;&gt;"", TEXT(Table5[[#This Row],[Tour Ending Date]], "dddd"), "")</f>
        <v>Thursday</v>
      </c>
      <c r="U122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122" s="37" t="str">
        <f>IF(Table5[[#This Row],[Tour Starting Date]]&lt;&gt;"", TEXT(Table5[[#This Row],[Tour Starting Date]], "mmmm"), "")</f>
        <v>June</v>
      </c>
      <c r="W122" s="80" t="str" cm="1">
        <f t="array" ref="W122">IF(Q122&lt;&gt;"", INDEX(CI:CI, MATCH(1, (Q122&gt;=CG:CG)*(Q122&lt;=CH:CH), 0)), "")</f>
        <v>Regular Dates - Weekday</v>
      </c>
      <c r="X122" s="39">
        <v>4</v>
      </c>
      <c r="Y122" s="74">
        <v>12700</v>
      </c>
      <c r="Z122" s="74">
        <f>IF(OR(Table5[[#This Row],[Per Person Package Cost]]="", Table5[[#This Row],[No. of Pax]]=""), "", Table5[[#This Row],[Per Person Package Cost]] * Table5[[#This Row],[No. of Pax]])</f>
        <v>50800</v>
      </c>
      <c r="AA122" s="52" t="s">
        <v>75</v>
      </c>
      <c r="AB122" s="52" t="s">
        <v>75</v>
      </c>
      <c r="AC122" s="52" t="s">
        <v>76</v>
      </c>
      <c r="AD122" s="52"/>
      <c r="AE122" s="51" t="str">
        <f t="shared" si="5"/>
        <v/>
      </c>
      <c r="AF122" s="51" t="str">
        <f t="shared" si="6"/>
        <v/>
      </c>
      <c r="AG122" s="74" t="str">
        <f t="shared" si="7"/>
        <v/>
      </c>
      <c r="AH122" s="73" t="str">
        <f t="shared" si="8"/>
        <v/>
      </c>
      <c r="AI122" s="52" t="s">
        <v>107</v>
      </c>
      <c r="AJ122" s="56" t="s">
        <v>78</v>
      </c>
      <c r="AK122" s="59" t="s">
        <v>79</v>
      </c>
      <c r="AL122" s="60" t="s">
        <v>80</v>
      </c>
      <c r="AM122" s="54" t="s">
        <v>80</v>
      </c>
      <c r="AN122" s="14">
        <v>46198</v>
      </c>
      <c r="AO122" s="15"/>
      <c r="AP122" s="91"/>
      <c r="AQ122" s="87"/>
      <c r="AR122" s="26"/>
      <c r="AS122" s="65"/>
      <c r="AT122" s="88" t="s">
        <v>81</v>
      </c>
      <c r="AU122" s="67"/>
      <c r="BX122" s="1">
        <v>118</v>
      </c>
      <c r="CN122" t="s">
        <v>1149</v>
      </c>
      <c r="CU122" t="s">
        <v>92</v>
      </c>
      <c r="CV122" t="s">
        <v>193</v>
      </c>
      <c r="CW122" t="s">
        <v>1150</v>
      </c>
      <c r="CX122" s="124" t="s">
        <v>1151</v>
      </c>
      <c r="CY122" t="s">
        <v>197</v>
      </c>
      <c r="CZ122" s="124" t="s">
        <v>1152</v>
      </c>
      <c r="DA122" t="str" cm="1">
        <f t="array" ref="DA122:EO122">IF(U122&lt;&gt;"", TRANSPOSE(_xlfn._xlws.FILTER(CZ:CZ, CY:CY=U122, "")), "")</f>
        <v>Gwl (3N) + Mor + Son + Dat + Orc</v>
      </c>
      <c r="DB122" t="str">
        <v>Ex Gwl | Gwl (1N) - Son - Dat - Orc (1N) - Gwl (1N)</v>
      </c>
      <c r="DC122" t="str">
        <v>Ex Idr | Idr - Ujj (1N) - Omk - Mah (1N) - Man (1N) - Idr</v>
      </c>
      <c r="DD122" t="str">
        <v>Ex Jlr | Jlr - Kan (2N) - Jlr (1N)</v>
      </c>
      <c r="DE122" t="str">
        <v>Ex Jlr | Jlr - Ban (2N) - Jlr (1N)</v>
      </c>
      <c r="DF122" t="str">
        <v>Ex Bho | Bho (1N) + San - Bhoj - Bhim - Pch (2N) - Bho</v>
      </c>
      <c r="DG122" t="str">
        <v>Ex Idr | Idr (1N) - Ujj (1N) - Omk (1N) - Mah - Idr</v>
      </c>
      <c r="DH122" t="str">
        <v>Gwl - Orc (1N) - Ckt (1N) - Myr (1N) - Jlr</v>
      </c>
      <c r="DI122" t="str">
        <v>Gwl - Orc (1N) - Ckt (2N) - Ixd</v>
      </c>
      <c r="DJ122" t="str">
        <v>Ex Idr | Idr - Ujj (1N) - Omk - Mah (1N) - Idr (1N)</v>
      </c>
      <c r="DK122" t="str">
        <v>Ex Jlr | Jlr - Kan (3N) - Jlr</v>
      </c>
      <c r="DL122" t="str">
        <v>Ex Bho | Bho (2N) + Bhim + Bhoj + San + Udaygiri + Vidisha + FDCT Bho</v>
      </c>
      <c r="DM122" t="str">
        <v>Bho (1N) + Bhim + Bhoj - HDCT  Bho + Sanchi - Ujj (2N)</v>
      </c>
      <c r="DN122" t="str">
        <v>Bho (1N) + Bhim + Bhoj - HDCT  Bho + Sanchi - Ujj (2N) - Idr</v>
      </c>
      <c r="DO122" t="str">
        <v>Ex Bho | Bho - Bhoj - Bhim - Mad (1N) - Pch (2N) - Bho</v>
      </c>
      <c r="DP122" t="str">
        <v>Ex Bho | Bho - Bhoj - Bhim - Mad (1N) - Pch (3N) - Bho</v>
      </c>
      <c r="DQ122" t="str">
        <v>Ex Bho | Bho - Bhoj - Bhim - Tawa (1N) - Mad (1N) - Bho (1N)</v>
      </c>
      <c r="DR122" t="str">
        <v>Bho (1N) - Bhim - Bhoj - San - Idr (2N) + Ujj</v>
      </c>
      <c r="DS122" t="str">
        <v>Bho (1N) - Bhoj - Bhim - Pch (2N) - Bho</v>
      </c>
      <c r="DT122" t="str">
        <v>Ujj (1N) - Omk - Mah (1N) - Idr (1N)</v>
      </c>
      <c r="DU122" t="str">
        <v>Ujj (1N) - Omk - Mah (1N) - Man (1N) - Idr</v>
      </c>
      <c r="DV122" t="str">
        <v>Ex Idr | Idr (1N) - Ujj (1N) - Omk - Mah (1N)</v>
      </c>
      <c r="DW122" t="str">
        <v>Ex Idr | Idr - Ujj (1N) - Omk (1N) - Mah (1N) - Idr</v>
      </c>
      <c r="DX122" t="str">
        <v>Khandwa - Omk (1N) - Mah (1N) - Ujj (1N) - Idr</v>
      </c>
      <c r="DY122" t="str">
        <v>Ex Idr | Idr - Ujj (1N) - Omk - Mah (1N) - Man - Idr (1N)</v>
      </c>
      <c r="DZ122" t="str">
        <v xml:space="preserve">Idr - Omk (1N) - Mah - Ujj (1N) San - Bho (1N) </v>
      </c>
      <c r="EA122" t="str">
        <v>Ex Idr | Idr - Man (1N) - Mah - Omk (1N) - Ujj (1N) - Idr</v>
      </c>
      <c r="EB122" t="str">
        <v>Khandwa - Omk (1N) - Mah - Ujj (2N)</v>
      </c>
      <c r="EC122" t="str">
        <v>Ex Jlr | Jlr (1N) - Amr (1N) - Ban (1N) - Jlr</v>
      </c>
      <c r="ED122" t="str">
        <v>Ex Jlr | Jlr - (1 N) Ban - (2 N) Amar</v>
      </c>
      <c r="EE122" t="str">
        <v>Jlr - Kan (1N) - Pch (2N)</v>
      </c>
      <c r="EF122" t="str">
        <v>Pi - Pch (2N)  - Kan (1N)</v>
      </c>
      <c r="EG122" t="str">
        <v>Ex Jlr | Jlr - Amr (1 N) - (1 N) Ban - (1 N) Jlr</v>
      </c>
      <c r="EH122" t="str">
        <v>Ppi - (2 N) Pch - (1 N) Pen</v>
      </c>
      <c r="EI122" t="str">
        <v>Bhp - Pch (2N) - Jlr (1N)</v>
      </c>
      <c r="EJ122" t="str">
        <v xml:space="preserve">Arr Jhn - Hjr (1N) - Orc - Gwl (2N) </v>
      </c>
      <c r="EK122" t="str">
        <v>(1 N) Ujj - (1 N) Mah - (1 N) Idr</v>
      </c>
      <c r="EL122" t="str">
        <v>Ex Bhp | Bhp - Bhoj - Bhim - Pch (3N) - Bhp</v>
      </c>
      <c r="EM122" t="str">
        <v>Ex Bhp | Bhp - Bhoj - Bhim - Pch (2N) - Mad (1N) - Bhp</v>
      </c>
      <c r="EN122" t="str">
        <v xml:space="preserve">Ex Nag - 3N Pch + Sat </v>
      </c>
      <c r="EO122" t="str">
        <v>1N Gwl - Son - Dat - 1N Hjr - 1N Orc - Jhn</v>
      </c>
    </row>
    <row r="123" spans="2:145" ht="15" customHeight="1">
      <c r="B123" s="34">
        <v>119</v>
      </c>
      <c r="C123" s="36" t="s">
        <v>1153</v>
      </c>
      <c r="D123" s="76">
        <v>46193</v>
      </c>
      <c r="E123" s="37" t="str">
        <f>IF(Table5[[#This Row],[Query Date]]&lt;&gt;"", TEXT(Table5[[#This Row],[Query Date]], "dddd"), "")</f>
        <v>Saturday</v>
      </c>
      <c r="F123" s="37" t="str">
        <f>IF(Table5[[#This Row],[Query Date]]&lt;&gt;"", TEXT(Table5[[#This Row],[Query Date]], "mmmm"), "")</f>
        <v>June</v>
      </c>
      <c r="G123" s="28" t="s">
        <v>65</v>
      </c>
      <c r="H123" s="28" t="s">
        <v>99</v>
      </c>
      <c r="I123" s="28" t="s">
        <v>67</v>
      </c>
      <c r="J123" s="28" t="s">
        <v>68</v>
      </c>
      <c r="K123" s="28" t="s">
        <v>178</v>
      </c>
      <c r="L123" s="25" t="s">
        <v>70</v>
      </c>
      <c r="M123" s="112" t="s">
        <v>417</v>
      </c>
      <c r="N123" s="25" t="s">
        <v>1154</v>
      </c>
      <c r="O123" s="130" t="s">
        <v>1155</v>
      </c>
      <c r="P123" s="46" t="s">
        <v>1156</v>
      </c>
      <c r="Q123" s="77">
        <v>46227</v>
      </c>
      <c r="R123" s="77" t="str">
        <f>IF(Table5[[#This Row],[Tour Starting Date]]&lt;&gt;"", TEXT(Table5[[#This Row],[Tour Starting Date]], "dddd"), "")</f>
        <v>Friday</v>
      </c>
      <c r="S123" s="77">
        <v>46232</v>
      </c>
      <c r="T123" s="25" t="str">
        <f>IF(Table5[[#This Row],[Tour Ending Date]]&lt;&gt;"", TEXT(Table5[[#This Row],[Tour Ending Date]], "dddd"), "")</f>
        <v>Wednesday</v>
      </c>
      <c r="U123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5 Nights &amp; 6 Days</v>
      </c>
      <c r="V123" s="37" t="str">
        <f>IF(Table5[[#This Row],[Tour Starting Date]]&lt;&gt;"", TEXT(Table5[[#This Row],[Tour Starting Date]], "mmmm"), "")</f>
        <v>July</v>
      </c>
      <c r="W123" s="80" t="str" cm="1">
        <f t="array" ref="W123">IF(Q123&lt;&gt;"", INDEX(CI:CI, MATCH(1, (Q123&gt;=CG:CG)*(Q123&lt;=CH:CH), 0)), "")</f>
        <v>Regular Dates - Weekend</v>
      </c>
      <c r="X123" s="39">
        <v>5</v>
      </c>
      <c r="Y123" s="74">
        <v>25500</v>
      </c>
      <c r="Z123" s="74">
        <f>IF(OR(Table5[[#This Row],[Per Person Package Cost]]="", Table5[[#This Row],[No. of Pax]]=""), "", Table5[[#This Row],[Per Person Package Cost]] * Table5[[#This Row],[No. of Pax]])</f>
        <v>127500</v>
      </c>
      <c r="AA123" s="52" t="s">
        <v>69</v>
      </c>
      <c r="AB123" s="52" t="s">
        <v>1157</v>
      </c>
      <c r="AC123" s="52" t="s">
        <v>173</v>
      </c>
      <c r="AD123" s="52"/>
      <c r="AE123" s="51" t="str">
        <f t="shared" si="5"/>
        <v/>
      </c>
      <c r="AF123" s="51" t="str">
        <f t="shared" si="6"/>
        <v/>
      </c>
      <c r="AG123" s="74" t="str">
        <f t="shared" si="7"/>
        <v/>
      </c>
      <c r="AH123" s="73" t="str">
        <f t="shared" si="8"/>
        <v/>
      </c>
      <c r="AI123" s="52" t="s">
        <v>77</v>
      </c>
      <c r="AJ123" s="56" t="s">
        <v>78</v>
      </c>
      <c r="AK123" s="59" t="s">
        <v>79</v>
      </c>
      <c r="AL123" s="60" t="s">
        <v>80</v>
      </c>
      <c r="AM123" s="54" t="s">
        <v>80</v>
      </c>
      <c r="AN123" s="14">
        <v>46210</v>
      </c>
      <c r="AO123" s="15"/>
      <c r="AP123" s="91"/>
      <c r="AQ123" s="87"/>
      <c r="AR123" s="26"/>
      <c r="AS123" s="65"/>
      <c r="AT123" s="88" t="s">
        <v>81</v>
      </c>
      <c r="AU123" s="67"/>
      <c r="BX123" s="1">
        <v>119</v>
      </c>
      <c r="CN123" t="s">
        <v>397</v>
      </c>
      <c r="CU123" t="s">
        <v>92</v>
      </c>
      <c r="CV123" t="s">
        <v>121</v>
      </c>
      <c r="CW123" t="s">
        <v>1158</v>
      </c>
      <c r="CX123" s="124" t="s">
        <v>1159</v>
      </c>
      <c r="CY123" t="s">
        <v>151</v>
      </c>
      <c r="CZ123" s="124" t="s">
        <v>1160</v>
      </c>
      <c r="DA123" t="str" cm="1">
        <f t="array" ref="DA123:DW123">IF(U123&lt;&gt;"", TRANSPOSE(_xlfn._xlws.FILTER(CZ:CZ, CY:CY=U123, "")), "")</f>
        <v>Gwl (2N) + Mor - Son - Dat - Orc (1N) - Hjr (2N) + Panna</v>
      </c>
      <c r="DB123" t="str">
        <v>Ex Gwl | Gwl (2N) + Mor - Shiv - Chan (2N) - Orc (1N) - Dat - Son - Gwl</v>
      </c>
      <c r="DC123" t="str">
        <v>Gwl (2N) + Mor - Son - Dat - Orc (1N) - Hjr (1N) - Jlr (1N)</v>
      </c>
      <c r="DD123" t="str">
        <v>Ex Idr | Idr - Ujj (1N) - Omk (1N) - Mah (1N) - Man (1N) - Idr (1N)</v>
      </c>
      <c r="DE123" t="str">
        <v>Bhp (1N) + Bhim + Bhoj + San - Ujj (1N) - Man (2N) - Mah - Omk (1N) - Idr</v>
      </c>
      <c r="DF123" t="str">
        <v>Jlr (1N) - Hjr (1N) - Orc (1N) - Dat - Son - Gwl (2N) + Mor</v>
      </c>
      <c r="DG123" t="str">
        <v>Jlr (1N) - Kan (1N) - Pch (2N) - Bhim - Bhoj - Bho (1N) + Sanchi</v>
      </c>
      <c r="DH123" t="str">
        <v>Ex Bho | Bho (1N) + San - Bhoj - Bhim - Tawa (1N) - Mad (1N) - Pch (2N) - Bho</v>
      </c>
      <c r="DI123" t="str">
        <v>Bho (1N) + San + Udaygiri - Bhoj - Bhim - Pch (2N) - Kan(1N) - Jlr (1N)</v>
      </c>
      <c r="DJ123" t="str">
        <v>Bho (1N) + Bhim + Bhoj - San - Ujj (1N) - Man (2N) - Mah - Omk (1N) - Idr</v>
      </c>
      <c r="DK123" t="str">
        <v>Idr - Man (2N) - Idr (1N) - Bho (2N) + Bhim + Bhoj + Sanchi</v>
      </c>
      <c r="DL123" t="str">
        <v>Ex Bho | Bho (2N) + San + Udaygiri - Bhoj - Bhim - Pch (2N) - Tawa (1N) - Bho</v>
      </c>
      <c r="DM123" t="str">
        <v>Rpr - Kan (2N) - Pen (1N) - Pch (2N) - Bho</v>
      </c>
      <c r="DN123" t="str">
        <v>Nag - Pen (2N) - Pch (2N) - Bhim - Bhoj - Bho (1N) + San</v>
      </c>
      <c r="DO123" t="str">
        <v>Gwl (2N) (Ex Mor) - Orc (1N) - Chn (1N) - Shiv (1N) - Jhn</v>
      </c>
      <c r="DP123" t="str">
        <v>Gwl (2N) (Ex Mor) - Dat - Orc (1N) - Chn (1N) - Shiv (1N) - Jhn</v>
      </c>
      <c r="DQ123" t="str">
        <v>Nag - Pen (2N) - Kan (2N) - Jlr (1N)</v>
      </c>
      <c r="DR123" t="str">
        <v>Rpr - (2 N) Amr - (1 N) Ban - (1 N) Hjr - (1 N) Jlr</v>
      </c>
      <c r="DS123" t="str">
        <v>Gwl (2N) (Ex Mor) -Orc  - Hjr (1N) - Chn (1N) - Shiv (1N) - Jhn</v>
      </c>
      <c r="DT123" t="str">
        <v>(2 N) Gwl - (1 N) Orch - (1 N) Hjr - (1 N) Jlr</v>
      </c>
      <c r="DU123" t="str">
        <v xml:space="preserve">Arr Rpr - Amr (2N) - Par (2N) - Jlr (1N) </v>
      </c>
      <c r="DV123" t="str">
        <v>3N Idr (Ex Ujj - Man) - Bhim - Bhoj - San - 2N Bho</v>
      </c>
      <c r="DW123" t="str">
        <v>1N Jlr - 1N Kan - 3N Pch - Ppi</v>
      </c>
    </row>
    <row r="124" spans="2:145" ht="15" customHeight="1">
      <c r="B124" s="35">
        <v>120</v>
      </c>
      <c r="C124" s="36" t="s">
        <v>1161</v>
      </c>
      <c r="D124" s="76">
        <v>46193</v>
      </c>
      <c r="E124" s="37" t="str">
        <f>IF(Table5[[#This Row],[Query Date]]&lt;&gt;"", TEXT(Table5[[#This Row],[Query Date]], "dddd"), "")</f>
        <v>Saturday</v>
      </c>
      <c r="F124" s="37" t="str">
        <f>IF(Table5[[#This Row],[Query Date]]&lt;&gt;"", TEXT(Table5[[#This Row],[Query Date]], "mmmm"), "")</f>
        <v>June</v>
      </c>
      <c r="G124" s="28" t="s">
        <v>65</v>
      </c>
      <c r="H124" s="28" t="s">
        <v>66</v>
      </c>
      <c r="I124" s="28" t="s">
        <v>67</v>
      </c>
      <c r="J124" s="28" t="s">
        <v>68</v>
      </c>
      <c r="K124" s="28" t="s">
        <v>69</v>
      </c>
      <c r="L124" s="25" t="s">
        <v>70</v>
      </c>
      <c r="M124" s="112" t="s">
        <v>266</v>
      </c>
      <c r="N124" s="25" t="s">
        <v>445</v>
      </c>
      <c r="O124" s="130" t="s">
        <v>387</v>
      </c>
      <c r="P124" s="46" t="s">
        <v>446</v>
      </c>
      <c r="Q124" s="77">
        <v>46387</v>
      </c>
      <c r="R124" s="77" t="str">
        <f>IF(Table5[[#This Row],[Tour Starting Date]]&lt;&gt;"", TEXT(Table5[[#This Row],[Tour Starting Date]], "dddd"), "")</f>
        <v>Thursday</v>
      </c>
      <c r="S124" s="77">
        <v>46389</v>
      </c>
      <c r="T124" s="25" t="str">
        <f>IF(Table5[[#This Row],[Tour Ending Date]]&lt;&gt;"", TEXT(Table5[[#This Row],[Tour Ending Date]], "dddd"), "")</f>
        <v>Saturday</v>
      </c>
      <c r="U124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124" s="37" t="str">
        <f>IF(Table5[[#This Row],[Tour Starting Date]]&lt;&gt;"", TEXT(Table5[[#This Row],[Tour Starting Date]], "mmmm"), "")</f>
        <v>December</v>
      </c>
      <c r="W124" s="80" t="str" cm="1">
        <f t="array" ref="W124">IF(Q124&lt;&gt;"", INDEX(CI:CI, MATCH(1, (Q124&gt;=CG:CG)*(Q124&lt;=CH:CH), 0)), "")</f>
        <v>Regular Dates - Weekday</v>
      </c>
      <c r="X124" s="39">
        <v>11</v>
      </c>
      <c r="Y124" s="74">
        <v>14000</v>
      </c>
      <c r="Z124" s="74">
        <f>IF(OR(Table5[[#This Row],[Per Person Package Cost]]="", Table5[[#This Row],[No. of Pax]]=""), "", Table5[[#This Row],[Per Person Package Cost]] * Table5[[#This Row],[No. of Pax]])</f>
        <v>154000</v>
      </c>
      <c r="AA124" s="52" t="s">
        <v>270</v>
      </c>
      <c r="AB124" s="52" t="s">
        <v>270</v>
      </c>
      <c r="AC124" s="52" t="s">
        <v>76</v>
      </c>
      <c r="AD124" s="52" t="s">
        <v>1162</v>
      </c>
      <c r="AE124" s="51" t="str">
        <f t="shared" si="5"/>
        <v>EXNAG02</v>
      </c>
      <c r="AF124" s="51" t="str">
        <f t="shared" si="6"/>
        <v>Tales from the Tiger Trail</v>
      </c>
      <c r="AG124" s="74" t="str">
        <f t="shared" si="7"/>
        <v>Quick Getaways</v>
      </c>
      <c r="AH124" s="73" t="str">
        <f t="shared" si="8"/>
        <v>South + West MP</v>
      </c>
      <c r="AI124" s="52" t="s">
        <v>107</v>
      </c>
      <c r="AJ124" s="56" t="s">
        <v>78</v>
      </c>
      <c r="AK124" s="59" t="s">
        <v>79</v>
      </c>
      <c r="AL124" s="60" t="s">
        <v>80</v>
      </c>
      <c r="AM124" s="54" t="s">
        <v>80</v>
      </c>
      <c r="AN124" s="14">
        <v>46213</v>
      </c>
      <c r="AO124" s="15"/>
      <c r="AP124" s="91"/>
      <c r="AQ124" s="87"/>
      <c r="AR124" s="26"/>
      <c r="AS124" s="65"/>
      <c r="AT124" s="88" t="s">
        <v>85</v>
      </c>
      <c r="AU124" s="67"/>
      <c r="BX124" s="1">
        <v>120</v>
      </c>
      <c r="CN124" t="s">
        <v>1163</v>
      </c>
      <c r="CU124" t="s">
        <v>92</v>
      </c>
      <c r="CV124" t="s">
        <v>121</v>
      </c>
      <c r="CW124" t="s">
        <v>1164</v>
      </c>
      <c r="CX124" s="124" t="s">
        <v>1165</v>
      </c>
      <c r="CY124" t="s">
        <v>243</v>
      </c>
      <c r="CZ124" s="124" t="s">
        <v>1166</v>
      </c>
      <c r="DA124" t="str" cm="1">
        <f t="array" ref="DA124:DY124">IF(U124&lt;&gt;"", TRANSPOSE(_xlfn._xlws.FILTER(CZ:CZ, CY:CY=U124, "")), "")</f>
        <v>Gwl (2N) + Mor</v>
      </c>
      <c r="DB124" t="str">
        <v>Ex Idr | Idr - Ujj (1N) - Omk - Mah (1N) - Man - Idr</v>
      </c>
      <c r="DC124" t="str">
        <v>Ujj (1N) - Omk - Idr (1N)</v>
      </c>
      <c r="DD124" t="str">
        <v>Ex Jlr | Jlr - Kan (2N) - Jlr</v>
      </c>
      <c r="DE124" t="str">
        <v>Ex Jlr | Jlr - Ban (2N) - Jlr</v>
      </c>
      <c r="DF124" t="str">
        <v>Ex Bho | Bho (2N) + Bhim + Bhoj + San</v>
      </c>
      <c r="DG124" t="str">
        <v>Ex Idr | Idr - Man (2N) - Idr</v>
      </c>
      <c r="DH124" t="str">
        <v>Ex Jlr | Jlr - Kan (2N) - Jlr</v>
      </c>
      <c r="DI124" t="str">
        <v>Ex Bho | Bho (2N) + Bhim + Bhoj + San + HDCT Bho</v>
      </c>
      <c r="DJ124" t="str">
        <v>Ex Bho | Bho - Bhim - Tawa (1N) - Mad (1N) - Bho</v>
      </c>
      <c r="DK124" t="str">
        <v>Ujj (1N) - Omk - Mah (1N) - Idr</v>
      </c>
      <c r="DL124" t="str">
        <v>Ujj (1N) -  Idr (1N)</v>
      </c>
      <c r="DM124" t="str">
        <v>Ex Idr | Idr (2N) + Ujj + Omk + Mah</v>
      </c>
      <c r="DN124" t="str">
        <v>Idr - Mah - Omk (1N) - Ujj (1N)</v>
      </c>
      <c r="DO124" t="str">
        <v>Idr - Ujj (1N) - Mah - Omk (1N) - Khandwa</v>
      </c>
      <c r="DP124" t="str">
        <v>Ex Idr | Idr (EX Ujj) (1N) - Mah - Omk (1N) - Idr HDCT</v>
      </c>
      <c r="DQ124" t="str">
        <v>Ujj (1N) - Sehor - Bho (1N) HDCT</v>
      </c>
      <c r="DR124" t="str">
        <v>Ex Jlr | Jlr (1N) - Ban (1N)</v>
      </c>
      <c r="DS124" t="str">
        <v>Ex Jlr | Ban (1N)</v>
      </c>
      <c r="DT124" t="str">
        <v>Ex Jlr | Jlr (2 N) Kan</v>
      </c>
      <c r="DU124" t="str">
        <v>Ex Jlr | Jlr - Amr (1 N) - (1 N) Ban</v>
      </c>
      <c r="DV124" t="str">
        <v>Ex Rpr | Rpr - (2N) Kan</v>
      </c>
      <c r="DW124" t="str">
        <v>Hjr (1N) - Mahi (1N) - Sat</v>
      </c>
      <c r="DX124" t="str">
        <v>Ex Bhp | Bhp - Bhim - Pch (2N) - Bhp</v>
      </c>
      <c r="DY124" t="str">
        <v xml:space="preserve">Ex Ujj I 2N Ujj </v>
      </c>
    </row>
    <row r="125" spans="2:145" ht="15" customHeight="1">
      <c r="B125" s="34">
        <v>121</v>
      </c>
      <c r="C125" s="36" t="s">
        <v>1167</v>
      </c>
      <c r="D125" s="76">
        <v>46193</v>
      </c>
      <c r="E125" s="37" t="str">
        <f>IF(Table5[[#This Row],[Query Date]]&lt;&gt;"", TEXT(Table5[[#This Row],[Query Date]], "dddd"), "")</f>
        <v>Saturday</v>
      </c>
      <c r="F125" s="37" t="str">
        <f>IF(Table5[[#This Row],[Query Date]]&lt;&gt;"", TEXT(Table5[[#This Row],[Query Date]], "mmmm"), "")</f>
        <v>June</v>
      </c>
      <c r="G125" s="28" t="s">
        <v>65</v>
      </c>
      <c r="H125" s="28" t="s">
        <v>99</v>
      </c>
      <c r="I125" s="28" t="s">
        <v>67</v>
      </c>
      <c r="J125" s="28" t="s">
        <v>68</v>
      </c>
      <c r="K125" s="28" t="s">
        <v>178</v>
      </c>
      <c r="L125" s="25" t="s">
        <v>70</v>
      </c>
      <c r="M125" s="112" t="s">
        <v>1168</v>
      </c>
      <c r="N125" s="25" t="s">
        <v>1169</v>
      </c>
      <c r="O125" s="130"/>
      <c r="P125" s="46" t="s">
        <v>1170</v>
      </c>
      <c r="Q125" s="77">
        <v>46213</v>
      </c>
      <c r="R125" s="77" t="str">
        <f>IF(Table5[[#This Row],[Tour Starting Date]]&lt;&gt;"", TEXT(Table5[[#This Row],[Tour Starting Date]], "dddd"), "")</f>
        <v>Friday</v>
      </c>
      <c r="S125" s="77">
        <v>46215</v>
      </c>
      <c r="T125" s="25" t="str">
        <f>IF(Table5[[#This Row],[Tour Ending Date]]&lt;&gt;"", TEXT(Table5[[#This Row],[Tour Ending Date]], "dddd"), "")</f>
        <v>Sunday</v>
      </c>
      <c r="U125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125" s="37" t="str">
        <f>IF(Table5[[#This Row],[Tour Starting Date]]&lt;&gt;"", TEXT(Table5[[#This Row],[Tour Starting Date]], "mmmm"), "")</f>
        <v>July</v>
      </c>
      <c r="W125" s="80" t="str" cm="1">
        <f t="array" ref="W125">IF(Q125&lt;&gt;"", INDEX(CI:CI, MATCH(1, (Q125&gt;=CG:CG)*(Q125&lt;=CH:CH), 0)), "")</f>
        <v>Regular Dates - Weekend</v>
      </c>
      <c r="X125" s="39">
        <v>4</v>
      </c>
      <c r="Y125" s="74">
        <v>9400</v>
      </c>
      <c r="Z125" s="74">
        <f>IF(OR(Table5[[#This Row],[Per Person Package Cost]]="", Table5[[#This Row],[No. of Pax]]=""), "", Table5[[#This Row],[Per Person Package Cost]] * Table5[[#This Row],[No. of Pax]])</f>
        <v>37600</v>
      </c>
      <c r="AA125" s="52" t="s">
        <v>75</v>
      </c>
      <c r="AB125" s="52" t="s">
        <v>75</v>
      </c>
      <c r="AC125" s="52" t="s">
        <v>76</v>
      </c>
      <c r="AD125" s="52" t="s">
        <v>364</v>
      </c>
      <c r="AE125" s="51" t="str">
        <f t="shared" si="5"/>
        <v>EXIDR03</v>
      </c>
      <c r="AF125" s="51" t="str">
        <f t="shared" si="6"/>
        <v>Temple Fort Odyssey</v>
      </c>
      <c r="AG125" s="74" t="str">
        <f t="shared" si="7"/>
        <v>Quick Getaways</v>
      </c>
      <c r="AH125" s="73" t="str">
        <f t="shared" si="8"/>
        <v>West MP</v>
      </c>
      <c r="AI125" s="52" t="s">
        <v>77</v>
      </c>
      <c r="AJ125" s="56" t="s">
        <v>78</v>
      </c>
      <c r="AK125" s="59" t="s">
        <v>79</v>
      </c>
      <c r="AL125" s="60" t="s">
        <v>80</v>
      </c>
      <c r="AM125" s="54" t="s">
        <v>80</v>
      </c>
      <c r="AN125" s="14">
        <v>46198</v>
      </c>
      <c r="AO125" s="15">
        <v>46210</v>
      </c>
      <c r="AP125" s="91"/>
      <c r="AQ125" s="87"/>
      <c r="AR125" s="26"/>
      <c r="AS125" s="65"/>
      <c r="AT125" s="88" t="s">
        <v>81</v>
      </c>
      <c r="AU125" s="67"/>
      <c r="BX125" s="1">
        <v>121</v>
      </c>
      <c r="CN125" t="s">
        <v>1171</v>
      </c>
      <c r="CU125" t="s">
        <v>92</v>
      </c>
      <c r="CV125" t="s">
        <v>316</v>
      </c>
      <c r="CW125" t="s">
        <v>1172</v>
      </c>
      <c r="CX125" s="124" t="s">
        <v>1173</v>
      </c>
      <c r="CY125" t="s">
        <v>223</v>
      </c>
      <c r="CZ125" s="124" t="s">
        <v>781</v>
      </c>
      <c r="DA125" t="str" cm="1">
        <f t="array" ref="DA125:DY125">IF(U125&lt;&gt;"", TRANSPOSE(_xlfn._xlws.FILTER(CZ:CZ, CY:CY=U125, "")), "")</f>
        <v>Gwl (2N) + Mor</v>
      </c>
      <c r="DB125" t="str">
        <v>Ex Idr | Idr - Ujj (1N) - Omk - Mah (1N) - Man - Idr</v>
      </c>
      <c r="DC125" t="str">
        <v>Ujj (1N) - Omk - Idr (1N)</v>
      </c>
      <c r="DD125" t="str">
        <v>Ex Jlr | Jlr - Kan (2N) - Jlr</v>
      </c>
      <c r="DE125" t="str">
        <v>Ex Jlr | Jlr - Ban (2N) - Jlr</v>
      </c>
      <c r="DF125" t="str">
        <v>Ex Bho | Bho (2N) + Bhim + Bhoj + San</v>
      </c>
      <c r="DG125" t="str">
        <v>Ex Idr | Idr - Man (2N) - Idr</v>
      </c>
      <c r="DH125" t="str">
        <v>Ex Jlr | Jlr - Kan (2N) - Jlr</v>
      </c>
      <c r="DI125" t="str">
        <v>Ex Bho | Bho (2N) + Bhim + Bhoj + San + HDCT Bho</v>
      </c>
      <c r="DJ125" t="str">
        <v>Ex Bho | Bho - Bhim - Tawa (1N) - Mad (1N) - Bho</v>
      </c>
      <c r="DK125" t="str">
        <v>Ujj (1N) - Omk - Mah (1N) - Idr</v>
      </c>
      <c r="DL125" t="str">
        <v>Ujj (1N) -  Idr (1N)</v>
      </c>
      <c r="DM125" t="str">
        <v>Ex Idr | Idr (2N) + Ujj + Omk + Mah</v>
      </c>
      <c r="DN125" t="str">
        <v>Idr - Mah - Omk (1N) - Ujj (1N)</v>
      </c>
      <c r="DO125" t="str">
        <v>Idr - Ujj (1N) - Mah - Omk (1N) - Khandwa</v>
      </c>
      <c r="DP125" t="str">
        <v>Ex Idr | Idr (EX Ujj) (1N) - Mah - Omk (1N) - Idr HDCT</v>
      </c>
      <c r="DQ125" t="str">
        <v>Ujj (1N) - Sehor - Bho (1N) HDCT</v>
      </c>
      <c r="DR125" t="str">
        <v>Ex Jlr | Jlr (1N) - Ban (1N)</v>
      </c>
      <c r="DS125" t="str">
        <v>Ex Jlr | Ban (1N)</v>
      </c>
      <c r="DT125" t="str">
        <v>Ex Jlr | Jlr (2 N) Kan</v>
      </c>
      <c r="DU125" t="str">
        <v>Ex Jlr | Jlr - Amr (1 N) - (1 N) Ban</v>
      </c>
      <c r="DV125" t="str">
        <v>Ex Rpr | Rpr - (2N) Kan</v>
      </c>
      <c r="DW125" t="str">
        <v>Hjr (1N) - Mahi (1N) - Sat</v>
      </c>
      <c r="DX125" t="str">
        <v>Ex Bhp | Bhp - Bhim - Pch (2N) - Bhp</v>
      </c>
      <c r="DY125" t="str">
        <v xml:space="preserve">Ex Ujj I 2N Ujj </v>
      </c>
    </row>
    <row r="126" spans="2:145" ht="15" customHeight="1">
      <c r="B126" s="35">
        <v>122</v>
      </c>
      <c r="C126" s="36" t="s">
        <v>1174</v>
      </c>
      <c r="D126" s="76">
        <v>46193</v>
      </c>
      <c r="E126" s="37" t="str">
        <f>IF(Table5[[#This Row],[Query Date]]&lt;&gt;"", TEXT(Table5[[#This Row],[Query Date]], "dddd"), "")</f>
        <v>Saturday</v>
      </c>
      <c r="F126" s="37" t="str">
        <f>IF(Table5[[#This Row],[Query Date]]&lt;&gt;"", TEXT(Table5[[#This Row],[Query Date]], "mmmm"), "")</f>
        <v>June</v>
      </c>
      <c r="G126" s="28" t="s">
        <v>65</v>
      </c>
      <c r="H126" s="28" t="s">
        <v>66</v>
      </c>
      <c r="I126" s="28" t="s">
        <v>67</v>
      </c>
      <c r="J126" s="28" t="s">
        <v>68</v>
      </c>
      <c r="K126" s="28" t="s">
        <v>69</v>
      </c>
      <c r="L126" s="25" t="s">
        <v>160</v>
      </c>
      <c r="M126" s="112"/>
      <c r="N126" s="25" t="s">
        <v>1175</v>
      </c>
      <c r="O126" s="130" t="s">
        <v>1176</v>
      </c>
      <c r="P126" s="106" t="s">
        <v>1177</v>
      </c>
      <c r="Q126" s="77">
        <v>46204</v>
      </c>
      <c r="R126" s="77" t="s">
        <v>163</v>
      </c>
      <c r="S126" s="77">
        <v>46210</v>
      </c>
      <c r="T126" s="25" t="s">
        <v>139</v>
      </c>
      <c r="U126" s="37" t="s">
        <v>243</v>
      </c>
      <c r="V126" s="37" t="s">
        <v>229</v>
      </c>
      <c r="W126" s="80" t="str" cm="1">
        <f t="array" ref="W126">IF(Q126&lt;&gt;"", INDEX(CI:CI, MATCH(1, (Q126&gt;=CG:CG)*(Q126&lt;=CH:CH), 0)), "")</f>
        <v>Regular Dates - Weekday</v>
      </c>
      <c r="X126" s="39">
        <v>3</v>
      </c>
      <c r="Y126" s="74">
        <v>19600</v>
      </c>
      <c r="Z126" s="74">
        <v>58800</v>
      </c>
      <c r="AA126" s="52" t="s">
        <v>1178</v>
      </c>
      <c r="AB126" s="52" t="s">
        <v>1179</v>
      </c>
      <c r="AC126" s="52" t="s">
        <v>76</v>
      </c>
      <c r="AD126" s="52" t="s">
        <v>198</v>
      </c>
      <c r="AE126" s="51" t="str">
        <f t="shared" si="5"/>
        <v>EXGWL05</v>
      </c>
      <c r="AF126" s="51" t="str">
        <f t="shared" si="6"/>
        <v>Marvels of Chambal &amp; Bundelkhand</v>
      </c>
      <c r="AG126" s="74" t="str">
        <f t="shared" si="7"/>
        <v>Quick Getaways</v>
      </c>
      <c r="AH126" s="73" t="str">
        <f t="shared" si="8"/>
        <v>North MP</v>
      </c>
      <c r="AI126" s="52" t="s">
        <v>77</v>
      </c>
      <c r="AJ126" s="56"/>
      <c r="AK126" s="59" t="s">
        <v>79</v>
      </c>
      <c r="AL126" s="60" t="s">
        <v>80</v>
      </c>
      <c r="AM126" s="54" t="s">
        <v>80</v>
      </c>
      <c r="AN126" s="14">
        <v>46195</v>
      </c>
      <c r="AO126" s="15"/>
      <c r="AP126" s="91"/>
      <c r="AQ126" s="87"/>
      <c r="AR126" s="26"/>
      <c r="AS126" s="65"/>
      <c r="AT126" s="88" t="s">
        <v>81</v>
      </c>
      <c r="AU126" s="67"/>
      <c r="BX126" s="1">
        <v>122</v>
      </c>
      <c r="CN126" t="s">
        <v>1180</v>
      </c>
      <c r="CU126" t="s">
        <v>92</v>
      </c>
      <c r="CV126" t="s">
        <v>121</v>
      </c>
      <c r="CW126" t="s">
        <v>1181</v>
      </c>
      <c r="CX126" s="124" t="s">
        <v>1182</v>
      </c>
      <c r="CY126" t="s">
        <v>125</v>
      </c>
      <c r="CZ126" s="124" t="s">
        <v>1183</v>
      </c>
      <c r="DA126" t="str" cm="1">
        <f t="array" ref="DA126:DZ126">IF(U126&lt;&gt;"", TRANSPOSE(_xlfn._xlws.FILTER(CZ:CZ, CY:CY=U126, "")), "")</f>
        <v>Ex Gwl | Gwl (2N) + Mor - Orc - Pan (2N) - Hjr (1N) - Dat - Son - Gwl (1N)</v>
      </c>
      <c r="DB126" t="str">
        <v>Ex Gwl | GWL (2N) + Mor - Shiv - Chan (2N) - Hjr (1N) - Orc (1N) - Dat - Gwl</v>
      </c>
      <c r="DC126" t="str">
        <v>Gwl (2N) + Mor - Son - Dat - Orc (1N) - Hjr (1N) - Ban (1N) - Jlr (1N)</v>
      </c>
      <c r="DD126" t="str">
        <v>Idr - Ujj (1N) - Omk - Mah (1N) - Man (2N) - Bhp (2N) + Bhim + Bhoj + San</v>
      </c>
      <c r="DE126" t="str">
        <v>Bhp (1N) + Bhim + Bhoj + San - Ujj (1N) - Man (2N) - Mah - Omk (1N) - Idr (1N)</v>
      </c>
      <c r="DF126" t="str">
        <v>Jlr (1N) - Ban (1N) - Hjr (1N) - Orc (1N) - Dat - Son - Gwl (2N) + Mor</v>
      </c>
      <c r="DG126" t="str">
        <v>Bho (1N) + San - Bhoj - Bhim - Tawa (1N) - Mad (1N) - Pch (2N) - Jlr (1N)</v>
      </c>
      <c r="DH126" t="str">
        <v>Bho (1N) + San + Udaygiri - Bhoj - Bhim - Pch (2N) - Kan(2N) - Jlr (1N)</v>
      </c>
      <c r="DI126" t="str">
        <v>Bho (1N) + Bhim + Bhoj - San - Ujj (1N) - Man (2N) - Mah - Omk (1N) - Idr (1N)</v>
      </c>
      <c r="DJ126" t="str">
        <v>Gwl (2N) + Mor - Son - Dat - Orc (1N) - Hjr (1N) - Jab (1N) - Kan (1N) - Nag</v>
      </c>
      <c r="DK126" t="str">
        <v>Bho (2N) + San + Bhoj + Bhim - Ujj (1N) - Omk - Mah (1N) - Man (1N) - Idr (1N)</v>
      </c>
      <c r="DL126" t="str">
        <v>Ex Nag | Nag - Pch (2N) - Bhim - Bhoj - Bho (2N) + San + Udaygiri - Jlr (1N) - Kan (1N) - Nag</v>
      </c>
      <c r="DM126" t="str">
        <v>Bho (1N) - Mad (2N) + Tawa Cruise Safari - Pch (2N) - Jlr (1N) - Nag</v>
      </c>
      <c r="DN126" t="str">
        <v>Idr - Man (2N) - Idr (1N) - Bho (1N) + San - Bhoj - Bhim - Pch (2N) - Bho</v>
      </c>
      <c r="DO126" t="str">
        <v>Rpr - kan (2N) - Ban (1N) - Jlr (1N) - Mad (2N) - Bhim - Bhoj - Bho</v>
      </c>
      <c r="DP126" t="str">
        <v>Jlr - Amar (1 N) - Ban (2 N) - Kan (1N) - Pch (2N) - Ppi</v>
      </c>
      <c r="DQ126" t="str">
        <v>Jlr - (2N) Kan - (1N) Jlr - Bhim - Bhoj - (2N) Bho  (Ex San &amp; Uda)  - (1N) Ujj - Idr</v>
      </c>
      <c r="DR126" t="str">
        <v>Ex Nag | Nag (2 N) Pach - Bhim - Bhij - (2 N) Bho (Ex San &amp; Uad) - (1 N) Jlr - (1 N) Kan - Nag</v>
      </c>
      <c r="DS126" t="str">
        <v>(2 N) Bho (Ex San, Bhoj &amp; Bhim) - (1 N) Ujj - Omk - (1 N) Mah - (1 N) Man - (1 N) Idr</v>
      </c>
      <c r="DT126" t="str">
        <v>(2 N) Gwl (Ex Mor) - Son - Dat - (1 N) Orc - (1 N) Hjr - (1 N) Jlr - (1 N) Kan - Nag</v>
      </c>
      <c r="DU126" t="str">
        <v>(1 N) Jlr - (2 N) Kanha - (2 N Pach) - (1 N) BHo</v>
      </c>
      <c r="DV126" t="str">
        <v>(2 N) Gwl - (1 N) Orc - (1 N) Hjr - (1 N) Ban - (1 N) Jlr</v>
      </c>
      <c r="DW126" t="str">
        <v>(2 N) BHo - (2 N) Madhai - (1 N) Pach - (1 N) Jlr</v>
      </c>
      <c r="DX126" t="str">
        <v>Ex Bhp | Bhp - Bhoj - Bhim - Pach (3N) - Tawa - Mad - Tawa (1N) - Mad (1N) - Bho (1N)</v>
      </c>
      <c r="DY126" t="str">
        <v>Ex Idr I Idr - 2N Ujj - 1N Man - 1N Mah - 1N Omk - 1N Idr</v>
      </c>
      <c r="DZ126" t="str">
        <v>1N Jlr - 1N Kan - 1N Ban - 1N Hjr -2N Gwl</v>
      </c>
    </row>
    <row r="127" spans="2:145" ht="15" customHeight="1">
      <c r="B127" s="34">
        <v>123</v>
      </c>
      <c r="C127" s="36" t="s">
        <v>1184</v>
      </c>
      <c r="D127" s="76">
        <v>46195</v>
      </c>
      <c r="E127" s="37" t="str">
        <f>IF(Table5[[#This Row],[Query Date]]&lt;&gt;"", TEXT(Table5[[#This Row],[Query Date]], "dddd"), "")</f>
        <v>Monday</v>
      </c>
      <c r="F127" s="37" t="str">
        <f>IF(Table5[[#This Row],[Query Date]]&lt;&gt;"", TEXT(Table5[[#This Row],[Query Date]], "mmmm"), "")</f>
        <v>June</v>
      </c>
      <c r="G127" s="28" t="s">
        <v>65</v>
      </c>
      <c r="H127" s="28" t="s">
        <v>99</v>
      </c>
      <c r="I127" s="28" t="s">
        <v>67</v>
      </c>
      <c r="J127" s="28" t="s">
        <v>68</v>
      </c>
      <c r="K127" s="28" t="s">
        <v>178</v>
      </c>
      <c r="L127" s="25" t="s">
        <v>70</v>
      </c>
      <c r="M127" s="112" t="s">
        <v>417</v>
      </c>
      <c r="N127" s="25" t="s">
        <v>418</v>
      </c>
      <c r="O127" s="130" t="s">
        <v>419</v>
      </c>
      <c r="P127" s="46" t="s">
        <v>420</v>
      </c>
      <c r="Q127" s="77">
        <v>46197</v>
      </c>
      <c r="R127" s="77" t="str">
        <f>IF(Table5[[#This Row],[Tour Starting Date]]&lt;&gt;"", TEXT(Table5[[#This Row],[Tour Starting Date]], "dddd"), "")</f>
        <v>Wednesday</v>
      </c>
      <c r="S127" s="77">
        <v>46198</v>
      </c>
      <c r="T127" s="25" t="str">
        <f>IF(Table5[[#This Row],[Tour Ending Date]]&lt;&gt;"", TEXT(Table5[[#This Row],[Tour Ending Date]], "dddd"), "")</f>
        <v>Thursday</v>
      </c>
      <c r="U127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1 Night &amp; 2 Days</v>
      </c>
      <c r="V127" s="37" t="str">
        <f>IF(Table5[[#This Row],[Tour Starting Date]]&lt;&gt;"", TEXT(Table5[[#This Row],[Tour Starting Date]], "mmmm"), "")</f>
        <v>June</v>
      </c>
      <c r="W127" s="80" t="str" cm="1">
        <f t="array" ref="W127">IF(Q127&lt;&gt;"", INDEX(CI:CI, MATCH(1, (Q127&gt;=CG:CG)*(Q127&lt;=CH:CH), 0)), "")</f>
        <v>Regular Dates - Weekday</v>
      </c>
      <c r="X127" s="39">
        <v>2</v>
      </c>
      <c r="Y127" s="74">
        <v>6600</v>
      </c>
      <c r="Z127" s="74">
        <f>IF(OR(Table5[[#This Row],[Per Person Package Cost]]="", Table5[[#This Row],[No. of Pax]]=""), "", Table5[[#This Row],[Per Person Package Cost]] * Table5[[#This Row],[No. of Pax]])</f>
        <v>13200</v>
      </c>
      <c r="AA127" s="52" t="s">
        <v>75</v>
      </c>
      <c r="AB127" s="52" t="s">
        <v>75</v>
      </c>
      <c r="AC127" s="52" t="s">
        <v>76</v>
      </c>
      <c r="AD127" s="52" t="s">
        <v>352</v>
      </c>
      <c r="AE127" s="51" t="str">
        <f t="shared" si="5"/>
        <v>EXIDR02</v>
      </c>
      <c r="AF127" s="51" t="str">
        <f t="shared" si="6"/>
        <v>Jyotirlinga Trails</v>
      </c>
      <c r="AG127" s="74" t="str">
        <f t="shared" si="7"/>
        <v>Quick Getaways</v>
      </c>
      <c r="AH127" s="73" t="str">
        <f t="shared" si="8"/>
        <v>West MP</v>
      </c>
      <c r="AI127" s="52" t="s">
        <v>107</v>
      </c>
      <c r="AJ127" s="56" t="s">
        <v>78</v>
      </c>
      <c r="AK127" s="59" t="s">
        <v>79</v>
      </c>
      <c r="AL127" s="60" t="s">
        <v>80</v>
      </c>
      <c r="AM127" s="54" t="s">
        <v>80</v>
      </c>
      <c r="AN127" s="14"/>
      <c r="AO127" s="15"/>
      <c r="AP127" s="91"/>
      <c r="AQ127" s="87"/>
      <c r="AR127" s="26"/>
      <c r="AS127" s="65"/>
      <c r="AT127" s="88" t="s">
        <v>85</v>
      </c>
      <c r="AU127" s="67"/>
      <c r="BX127" s="1">
        <v>123</v>
      </c>
      <c r="CN127" t="s">
        <v>1185</v>
      </c>
      <c r="CU127" t="s">
        <v>92</v>
      </c>
      <c r="CV127" t="s">
        <v>121</v>
      </c>
      <c r="CW127" t="s">
        <v>1186</v>
      </c>
      <c r="CX127" s="124" t="s">
        <v>1187</v>
      </c>
      <c r="CY127" t="s">
        <v>125</v>
      </c>
      <c r="CZ127" s="124" t="s">
        <v>1188</v>
      </c>
      <c r="DA127" t="str" cm="1">
        <f t="array" ref="DA127:DH127">IF(U127&lt;&gt;"", TRANSPOSE(_xlfn._xlws.FILTER(CZ:CZ, CY:CY=U127, "")), "")</f>
        <v>Gwl (1N)</v>
      </c>
      <c r="DB127" t="str">
        <v>Ex Idr | Idr - Ujj (1N) - Idr</v>
      </c>
      <c r="DC127" t="str">
        <v>Ex Idr | Idr - Ujj (1N) - Omk - Idr</v>
      </c>
      <c r="DD127" t="str">
        <v>Ex Idr | Idr - Ujj (1N) - Omk - Mah - Idr</v>
      </c>
      <c r="DE127" t="str">
        <v>Ex Idr | Ujj (1N) - Idr + HDCT</v>
      </c>
      <c r="DF127" t="str">
        <v>Ex Idr | Idr (1N)</v>
      </c>
      <c r="DG127" t="str">
        <v>Khandwa - Omk (1N) - Idr HDCT</v>
      </c>
      <c r="DH127" t="str">
        <v>Ex Ujj | Ujj (1N)</v>
      </c>
    </row>
    <row r="128" spans="2:145" ht="15" customHeight="1">
      <c r="B128" s="35">
        <v>124</v>
      </c>
      <c r="C128" s="36" t="s">
        <v>1189</v>
      </c>
      <c r="D128" s="76">
        <v>46195</v>
      </c>
      <c r="E128" s="37" t="str">
        <f>IF(Table5[[#This Row],[Query Date]]&lt;&gt;"", TEXT(Table5[[#This Row],[Query Date]], "dddd"), "")</f>
        <v>Monday</v>
      </c>
      <c r="F128" s="37" t="str">
        <f>IF(Table5[[#This Row],[Query Date]]&lt;&gt;"", TEXT(Table5[[#This Row],[Query Date]], "mmmm"), "")</f>
        <v>June</v>
      </c>
      <c r="G128" s="28" t="s">
        <v>65</v>
      </c>
      <c r="H128" s="28" t="s">
        <v>99</v>
      </c>
      <c r="I128" s="28" t="s">
        <v>67</v>
      </c>
      <c r="J128" s="28" t="s">
        <v>68</v>
      </c>
      <c r="K128" s="28" t="s">
        <v>246</v>
      </c>
      <c r="L128" s="25" t="s">
        <v>70</v>
      </c>
      <c r="M128" s="112" t="s">
        <v>493</v>
      </c>
      <c r="N128" s="25" t="s">
        <v>1190</v>
      </c>
      <c r="O128" s="130" t="s">
        <v>1191</v>
      </c>
      <c r="P128" s="46" t="s">
        <v>1192</v>
      </c>
      <c r="Q128" s="77">
        <v>46315</v>
      </c>
      <c r="R128" s="77" t="str">
        <f>IF(Table5[[#This Row],[Tour Starting Date]]&lt;&gt;"", TEXT(Table5[[#This Row],[Tour Starting Date]], "dddd"), "")</f>
        <v>Tuesday</v>
      </c>
      <c r="S128" s="77">
        <v>46323</v>
      </c>
      <c r="T128" s="25" t="str">
        <f>IF(Table5[[#This Row],[Tour Ending Date]]&lt;&gt;"", TEXT(Table5[[#This Row],[Tour Ending Date]], "dddd"), "")</f>
        <v>Wednesday</v>
      </c>
      <c r="U128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8 Nights &amp; 9 Days</v>
      </c>
      <c r="V128" s="37" t="str">
        <f>IF(Table5[[#This Row],[Tour Starting Date]]&lt;&gt;"", TEXT(Table5[[#This Row],[Tour Starting Date]], "mmmm"), "")</f>
        <v>October</v>
      </c>
      <c r="W128" s="80" t="str" cm="1">
        <f t="array" ref="W128">IF(Q128&lt;&gt;"", INDEX(CI:CI, MATCH(1, (Q128&gt;=CG:CG)*(Q128&lt;=CH:CH), 0)), "")</f>
        <v>Regular Dates - Weekday</v>
      </c>
      <c r="X128" s="39">
        <v>6</v>
      </c>
      <c r="Y128" s="74">
        <v>40800</v>
      </c>
      <c r="Z128" s="74">
        <f>IF(OR(Table5[[#This Row],[Per Person Package Cost]]="", Table5[[#This Row],[No. of Pax]]=""), "", Table5[[#This Row],[Per Person Package Cost]] * Table5[[#This Row],[No. of Pax]])</f>
        <v>244800</v>
      </c>
      <c r="AA128" s="52" t="s">
        <v>1193</v>
      </c>
      <c r="AB128" s="52" t="s">
        <v>133</v>
      </c>
      <c r="AC128" s="52" t="s">
        <v>76</v>
      </c>
      <c r="AD128" s="52" t="s">
        <v>1194</v>
      </c>
      <c r="AE128" s="51" t="str">
        <f t="shared" si="5"/>
        <v>EXNAG03</v>
      </c>
      <c r="AF128" s="51" t="str">
        <f t="shared" si="6"/>
        <v>Echoes of the Heartland</v>
      </c>
      <c r="AG128" s="74" t="str">
        <f t="shared" si="7"/>
        <v>Special Interest - Wildlife Tours</v>
      </c>
      <c r="AH128" s="73" t="str">
        <f t="shared" si="8"/>
        <v>North + East + South MP</v>
      </c>
      <c r="AI128" s="52" t="s">
        <v>159</v>
      </c>
      <c r="AJ128" s="56" t="s">
        <v>78</v>
      </c>
      <c r="AK128" s="59" t="s">
        <v>79</v>
      </c>
      <c r="AL128" s="60" t="s">
        <v>80</v>
      </c>
      <c r="AM128" s="54" t="s">
        <v>80</v>
      </c>
      <c r="AN128" s="14">
        <v>46198</v>
      </c>
      <c r="AO128" s="15">
        <v>46231</v>
      </c>
      <c r="AP128" s="91">
        <v>46254</v>
      </c>
      <c r="AQ128" s="87"/>
      <c r="AR128" s="26"/>
      <c r="AS128" s="65"/>
      <c r="AT128" s="88" t="s">
        <v>138</v>
      </c>
      <c r="AU128" s="67"/>
      <c r="BX128" s="1">
        <v>124</v>
      </c>
      <c r="CN128" t="s">
        <v>1195</v>
      </c>
      <c r="CU128" t="s">
        <v>92</v>
      </c>
      <c r="CV128" t="s">
        <v>121</v>
      </c>
      <c r="CW128" t="s">
        <v>1196</v>
      </c>
      <c r="CX128" s="124" t="s">
        <v>1197</v>
      </c>
      <c r="CY128" t="s">
        <v>151</v>
      </c>
      <c r="CZ128" s="124" t="s">
        <v>1198</v>
      </c>
      <c r="DA128" t="str" cm="1">
        <f t="array" ref="DA128:DC128">IF(U128&lt;&gt;"", TRANSPOSE(_xlfn._xlws.FILTER(CZ:CZ, CY:CY=U128, "")), "")</f>
        <v>Gwl (1N) - Dat - Orc (1N) - Hjr (1N) - San - Bho (2N) + Bhim + Bhoj - Ujj (1N) - Omk - Mah (1N) - Man (1N) - Idr</v>
      </c>
      <c r="DB128" t="str">
        <v>Bho - Bhoj - Bhim - Mad (1N) - Pen (1N) - Kan (2N) - Ban (2N) - Pan (1N) - Gwl (1N)</v>
      </c>
      <c r="DC128" t="str">
        <v>(1 N) Ujj - (2 N) Mah - (1 N) Idr - (1 N) Bho - (2 N) Pach - (1 N) Pench</v>
      </c>
    </row>
    <row r="129" spans="2:145" ht="15" customHeight="1">
      <c r="B129" s="34">
        <v>125</v>
      </c>
      <c r="C129" s="36" t="s">
        <v>1199</v>
      </c>
      <c r="D129" s="76">
        <v>46195</v>
      </c>
      <c r="E129" s="37" t="str">
        <f>IF(Table5[[#This Row],[Query Date]]&lt;&gt;"", TEXT(Table5[[#This Row],[Query Date]], "dddd"), "")</f>
        <v>Monday</v>
      </c>
      <c r="F129" s="37" t="str">
        <f>IF(Table5[[#This Row],[Query Date]]&lt;&gt;"", TEXT(Table5[[#This Row],[Query Date]], "mmmm"), "")</f>
        <v>June</v>
      </c>
      <c r="G129" s="28" t="s">
        <v>65</v>
      </c>
      <c r="H129" s="28" t="s">
        <v>99</v>
      </c>
      <c r="I129" s="28" t="s">
        <v>67</v>
      </c>
      <c r="J129" s="28" t="s">
        <v>145</v>
      </c>
      <c r="K129" s="28" t="s">
        <v>69</v>
      </c>
      <c r="L129" s="25" t="s">
        <v>70</v>
      </c>
      <c r="M129" s="112" t="s">
        <v>403</v>
      </c>
      <c r="N129" s="25" t="s">
        <v>1200</v>
      </c>
      <c r="O129" s="130" t="s">
        <v>1201</v>
      </c>
      <c r="P129" s="46" t="s">
        <v>1202</v>
      </c>
      <c r="Q129" s="77">
        <v>46196</v>
      </c>
      <c r="R129" s="77" t="str">
        <f>IF(Table5[[#This Row],[Tour Starting Date]]&lt;&gt;"", TEXT(Table5[[#This Row],[Tour Starting Date]], "dddd"), "")</f>
        <v>Tuesday</v>
      </c>
      <c r="S129" s="77">
        <v>46201</v>
      </c>
      <c r="T129" s="25" t="str">
        <f>IF(Table5[[#This Row],[Tour Ending Date]]&lt;&gt;"", TEXT(Table5[[#This Row],[Tour Ending Date]], "dddd"), "")</f>
        <v>Sunday</v>
      </c>
      <c r="U129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5 Nights &amp; 6 Days</v>
      </c>
      <c r="V129" s="37" t="str">
        <f>IF(Table5[[#This Row],[Tour Starting Date]]&lt;&gt;"", TEXT(Table5[[#This Row],[Tour Starting Date]], "mmmm"), "")</f>
        <v>June</v>
      </c>
      <c r="W129" s="80" t="str" cm="1">
        <f t="array" ref="W129">IF(Q129&lt;&gt;"", INDEX(CI:CI, MATCH(1, (Q129&gt;=CG:CG)*(Q129&lt;=CH:CH), 0)), "")</f>
        <v>Regular Dates - Weekday</v>
      </c>
      <c r="X129" s="39">
        <v>2</v>
      </c>
      <c r="Y129" s="74">
        <v>10762.5</v>
      </c>
      <c r="Z129" s="74">
        <f>IF(OR(Table5[[#This Row],[Per Person Package Cost]]="", Table5[[#This Row],[No. of Pax]]=""), "", Table5[[#This Row],[Per Person Package Cost]] * Table5[[#This Row],[No. of Pax]])</f>
        <v>21525</v>
      </c>
      <c r="AA129" s="52" t="s">
        <v>75</v>
      </c>
      <c r="AB129" s="52" t="s">
        <v>75</v>
      </c>
      <c r="AC129" s="52" t="s">
        <v>134</v>
      </c>
      <c r="AD129" s="52"/>
      <c r="AE129" s="51" t="str">
        <f t="shared" si="5"/>
        <v/>
      </c>
      <c r="AF129" s="51" t="str">
        <f t="shared" si="6"/>
        <v/>
      </c>
      <c r="AG129" s="74" t="str">
        <f t="shared" si="7"/>
        <v/>
      </c>
      <c r="AH129" s="73" t="str">
        <f t="shared" si="8"/>
        <v/>
      </c>
      <c r="AI129" s="52" t="s">
        <v>107</v>
      </c>
      <c r="AJ129" s="56" t="s">
        <v>78</v>
      </c>
      <c r="AK129" s="59" t="s">
        <v>79</v>
      </c>
      <c r="AL129" s="60" t="s">
        <v>80</v>
      </c>
      <c r="AM129" s="54" t="s">
        <v>80</v>
      </c>
      <c r="AN129" s="14"/>
      <c r="AO129" s="15"/>
      <c r="AP129" s="91"/>
      <c r="AQ129" s="87"/>
      <c r="AR129" s="26"/>
      <c r="AS129" s="65"/>
      <c r="AT129" s="88" t="s">
        <v>85</v>
      </c>
      <c r="AU129" s="67"/>
      <c r="BX129" s="1">
        <v>125</v>
      </c>
      <c r="CN129" t="s">
        <v>1203</v>
      </c>
      <c r="CU129" t="s">
        <v>92</v>
      </c>
      <c r="CV129" t="s">
        <v>121</v>
      </c>
      <c r="CW129" t="s">
        <v>1204</v>
      </c>
      <c r="CX129" s="124" t="s">
        <v>1205</v>
      </c>
      <c r="CY129" t="s">
        <v>125</v>
      </c>
      <c r="CZ129" s="124" t="s">
        <v>1206</v>
      </c>
      <c r="DA129" t="str" cm="1">
        <f t="array" ref="DA129:DW129">IF(U129&lt;&gt;"", TRANSPOSE(_xlfn._xlws.FILTER(CZ:CZ, CY:CY=U129, "")), "")</f>
        <v>Gwl (2N) + Mor - Son - Dat - Orc (1N) - Hjr (2N) + Panna</v>
      </c>
      <c r="DB129" t="str">
        <v>Ex Gwl | Gwl (2N) + Mor - Shiv - Chan (2N) - Orc (1N) - Dat - Son - Gwl</v>
      </c>
      <c r="DC129" t="str">
        <v>Gwl (2N) + Mor - Son - Dat - Orc (1N) - Hjr (1N) - Jlr (1N)</v>
      </c>
      <c r="DD129" t="str">
        <v>Ex Idr | Idr - Ujj (1N) - Omk (1N) - Mah (1N) - Man (1N) - Idr (1N)</v>
      </c>
      <c r="DE129" t="str">
        <v>Bhp (1N) + Bhim + Bhoj + San - Ujj (1N) - Man (2N) - Mah - Omk (1N) - Idr</v>
      </c>
      <c r="DF129" t="str">
        <v>Jlr (1N) - Hjr (1N) - Orc (1N) - Dat - Son - Gwl (2N) + Mor</v>
      </c>
      <c r="DG129" t="str">
        <v>Jlr (1N) - Kan (1N) - Pch (2N) - Bhim - Bhoj - Bho (1N) + Sanchi</v>
      </c>
      <c r="DH129" t="str">
        <v>Ex Bho | Bho (1N) + San - Bhoj - Bhim - Tawa (1N) - Mad (1N) - Pch (2N) - Bho</v>
      </c>
      <c r="DI129" t="str">
        <v>Bho (1N) + San + Udaygiri - Bhoj - Bhim - Pch (2N) - Kan(1N) - Jlr (1N)</v>
      </c>
      <c r="DJ129" t="str">
        <v>Bho (1N) + Bhim + Bhoj - San - Ujj (1N) - Man (2N) - Mah - Omk (1N) - Idr</v>
      </c>
      <c r="DK129" t="str">
        <v>Idr - Man (2N) - Idr (1N) - Bho (2N) + Bhim + Bhoj + Sanchi</v>
      </c>
      <c r="DL129" t="str">
        <v>Ex Bho | Bho (2N) + San + Udaygiri - Bhoj - Bhim - Pch (2N) - Tawa (1N) - Bho</v>
      </c>
      <c r="DM129" t="str">
        <v>Rpr - Kan (2N) - Pen (1N) - Pch (2N) - Bho</v>
      </c>
      <c r="DN129" t="str">
        <v>Nag - Pen (2N) - Pch (2N) - Bhim - Bhoj - Bho (1N) + San</v>
      </c>
      <c r="DO129" t="str">
        <v>Gwl (2N) (Ex Mor) - Orc (1N) - Chn (1N) - Shiv (1N) - Jhn</v>
      </c>
      <c r="DP129" t="str">
        <v>Gwl (2N) (Ex Mor) - Dat - Orc (1N) - Chn (1N) - Shiv (1N) - Jhn</v>
      </c>
      <c r="DQ129" t="str">
        <v>Nag - Pen (2N) - Kan (2N) - Jlr (1N)</v>
      </c>
      <c r="DR129" t="str">
        <v>Rpr - (2 N) Amr - (1 N) Ban - (1 N) Hjr - (1 N) Jlr</v>
      </c>
      <c r="DS129" t="str">
        <v>Gwl (2N) (Ex Mor) -Orc  - Hjr (1N) - Chn (1N) - Shiv (1N) - Jhn</v>
      </c>
      <c r="DT129" t="str">
        <v>(2 N) Gwl - (1 N) Orch - (1 N) Hjr - (1 N) Jlr</v>
      </c>
      <c r="DU129" t="str">
        <v xml:space="preserve">Arr Rpr - Amr (2N) - Par (2N) - Jlr (1N) </v>
      </c>
      <c r="DV129" t="str">
        <v>3N Idr (Ex Ujj - Man) - Bhim - Bhoj - San - 2N Bho</v>
      </c>
      <c r="DW129" t="str">
        <v>1N Jlr - 1N Kan - 3N Pch - Ppi</v>
      </c>
    </row>
    <row r="130" spans="2:145" ht="15" customHeight="1">
      <c r="B130" s="35">
        <v>126</v>
      </c>
      <c r="C130" s="36" t="s">
        <v>1207</v>
      </c>
      <c r="D130" s="76">
        <v>46195</v>
      </c>
      <c r="E130" s="37" t="str">
        <f>IF(Table5[[#This Row],[Query Date]]&lt;&gt;"", TEXT(Table5[[#This Row],[Query Date]], "dddd"), "")</f>
        <v>Monday</v>
      </c>
      <c r="F130" s="37" t="str">
        <f>IF(Table5[[#This Row],[Query Date]]&lt;&gt;"", TEXT(Table5[[#This Row],[Query Date]], "mmmm"), "")</f>
        <v>June</v>
      </c>
      <c r="G130" s="28" t="s">
        <v>65</v>
      </c>
      <c r="H130" s="28" t="s">
        <v>99</v>
      </c>
      <c r="I130" s="28" t="s">
        <v>67</v>
      </c>
      <c r="J130" s="28" t="s">
        <v>68</v>
      </c>
      <c r="K130" s="28" t="s">
        <v>128</v>
      </c>
      <c r="L130" s="25" t="s">
        <v>70</v>
      </c>
      <c r="M130" s="112" t="s">
        <v>565</v>
      </c>
      <c r="N130" s="25" t="s">
        <v>833</v>
      </c>
      <c r="O130" s="130" t="s">
        <v>1208</v>
      </c>
      <c r="P130" s="46" t="s">
        <v>835</v>
      </c>
      <c r="Q130" s="77">
        <v>46425</v>
      </c>
      <c r="R130" s="77" t="str">
        <f>IF(Table5[[#This Row],[Tour Starting Date]]&lt;&gt;"", TEXT(Table5[[#This Row],[Tour Starting Date]], "dddd"), "")</f>
        <v>Sunday</v>
      </c>
      <c r="S130" s="77">
        <v>46427</v>
      </c>
      <c r="T130" s="25" t="str">
        <f>IF(Table5[[#This Row],[Tour Ending Date]]&lt;&gt;"", TEXT(Table5[[#This Row],[Tour Ending Date]], "dddd"), "")</f>
        <v>Tuesday</v>
      </c>
      <c r="U130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130" s="37" t="str">
        <f>IF(Table5[[#This Row],[Tour Starting Date]]&lt;&gt;"", TEXT(Table5[[#This Row],[Tour Starting Date]], "mmmm"), "")</f>
        <v>February</v>
      </c>
      <c r="W130" s="80" t="str" cm="1">
        <f t="array" ref="W130">IF(Q130&lt;&gt;"", INDEX(CI:CI, MATCH(1, (Q130&gt;=CG:CG)*(Q130&lt;=CH:CH), 0)), "")</f>
        <v>Regular Dates - Weekend</v>
      </c>
      <c r="X130" s="39">
        <v>8</v>
      </c>
      <c r="Y130" s="74">
        <v>9700</v>
      </c>
      <c r="Z130" s="74">
        <f>IF(OR(Table5[[#This Row],[Per Person Package Cost]]="", Table5[[#This Row],[No. of Pax]]=""), "", Table5[[#This Row],[Per Person Package Cost]] * Table5[[#This Row],[No. of Pax]])</f>
        <v>77600</v>
      </c>
      <c r="AA130" s="52" t="s">
        <v>75</v>
      </c>
      <c r="AB130" s="52" t="s">
        <v>75</v>
      </c>
      <c r="AC130" s="52" t="s">
        <v>173</v>
      </c>
      <c r="AD130" s="52" t="s">
        <v>352</v>
      </c>
      <c r="AE130" s="51" t="str">
        <f t="shared" si="5"/>
        <v>EXIDR02</v>
      </c>
      <c r="AF130" s="51" t="str">
        <f t="shared" si="6"/>
        <v>Jyotirlinga Trails</v>
      </c>
      <c r="AG130" s="74" t="str">
        <f t="shared" si="7"/>
        <v>Quick Getaways</v>
      </c>
      <c r="AH130" s="73" t="str">
        <f t="shared" si="8"/>
        <v>West MP</v>
      </c>
      <c r="AI130" s="52" t="s">
        <v>159</v>
      </c>
      <c r="AJ130" s="56" t="s">
        <v>78</v>
      </c>
      <c r="AK130" s="59" t="s">
        <v>79</v>
      </c>
      <c r="AL130" s="60" t="s">
        <v>80</v>
      </c>
      <c r="AM130" s="54" t="s">
        <v>80</v>
      </c>
      <c r="AN130" s="14">
        <v>46248</v>
      </c>
      <c r="AO130" s="15"/>
      <c r="AP130" s="91"/>
      <c r="AQ130" s="87"/>
      <c r="AR130" s="26"/>
      <c r="AS130" s="65"/>
      <c r="AT130" s="88" t="s">
        <v>138</v>
      </c>
      <c r="AU130" s="67"/>
      <c r="BX130" s="1">
        <v>126</v>
      </c>
      <c r="CN130" t="s">
        <v>1209</v>
      </c>
      <c r="CU130" t="s">
        <v>92</v>
      </c>
      <c r="CV130" t="s">
        <v>121</v>
      </c>
      <c r="CW130" t="s">
        <v>1210</v>
      </c>
      <c r="CX130" s="124" t="s">
        <v>1211</v>
      </c>
      <c r="CY130" t="s">
        <v>151</v>
      </c>
      <c r="CZ130" s="124" t="s">
        <v>1212</v>
      </c>
      <c r="DA130" t="str" cm="1">
        <f t="array" ref="DA130:DY130">IF(U130&lt;&gt;"", TRANSPOSE(_xlfn._xlws.FILTER(CZ:CZ, CY:CY=U130, "")), "")</f>
        <v>Gwl (2N) + Mor</v>
      </c>
      <c r="DB130" t="str">
        <v>Ex Idr | Idr - Ujj (1N) - Omk - Mah (1N) - Man - Idr</v>
      </c>
      <c r="DC130" t="str">
        <v>Ujj (1N) - Omk - Idr (1N)</v>
      </c>
      <c r="DD130" t="str">
        <v>Ex Jlr | Jlr - Kan (2N) - Jlr</v>
      </c>
      <c r="DE130" t="str">
        <v>Ex Jlr | Jlr - Ban (2N) - Jlr</v>
      </c>
      <c r="DF130" t="str">
        <v>Ex Bho | Bho (2N) + Bhim + Bhoj + San</v>
      </c>
      <c r="DG130" t="str">
        <v>Ex Idr | Idr - Man (2N) - Idr</v>
      </c>
      <c r="DH130" t="str">
        <v>Ex Jlr | Jlr - Kan (2N) - Jlr</v>
      </c>
      <c r="DI130" t="str">
        <v>Ex Bho | Bho (2N) + Bhim + Bhoj + San + HDCT Bho</v>
      </c>
      <c r="DJ130" t="str">
        <v>Ex Bho | Bho - Bhim - Tawa (1N) - Mad (1N) - Bho</v>
      </c>
      <c r="DK130" t="str">
        <v>Ujj (1N) - Omk - Mah (1N) - Idr</v>
      </c>
      <c r="DL130" t="str">
        <v>Ujj (1N) -  Idr (1N)</v>
      </c>
      <c r="DM130" t="str">
        <v>Ex Idr | Idr (2N) + Ujj + Omk + Mah</v>
      </c>
      <c r="DN130" t="str">
        <v>Idr - Mah - Omk (1N) - Ujj (1N)</v>
      </c>
      <c r="DO130" t="str">
        <v>Idr - Ujj (1N) - Mah - Omk (1N) - Khandwa</v>
      </c>
      <c r="DP130" t="str">
        <v>Ex Idr | Idr (EX Ujj) (1N) - Mah - Omk (1N) - Idr HDCT</v>
      </c>
      <c r="DQ130" t="str">
        <v>Ujj (1N) - Sehor - Bho (1N) HDCT</v>
      </c>
      <c r="DR130" t="str">
        <v>Ex Jlr | Jlr (1N) - Ban (1N)</v>
      </c>
      <c r="DS130" t="str">
        <v>Ex Jlr | Ban (1N)</v>
      </c>
      <c r="DT130" t="str">
        <v>Ex Jlr | Jlr (2 N) Kan</v>
      </c>
      <c r="DU130" t="str">
        <v>Ex Jlr | Jlr - Amr (1 N) - (1 N) Ban</v>
      </c>
      <c r="DV130" t="str">
        <v>Ex Rpr | Rpr - (2N) Kan</v>
      </c>
      <c r="DW130" t="str">
        <v>Hjr (1N) - Mahi (1N) - Sat</v>
      </c>
      <c r="DX130" t="str">
        <v>Ex Bhp | Bhp - Bhim - Pch (2N) - Bhp</v>
      </c>
      <c r="DY130" t="str">
        <v xml:space="preserve">Ex Ujj I 2N Ujj </v>
      </c>
    </row>
    <row r="131" spans="2:145" ht="15" customHeight="1">
      <c r="B131" s="34">
        <v>127</v>
      </c>
      <c r="C131" s="36" t="s">
        <v>1213</v>
      </c>
      <c r="D131" s="76">
        <v>46195</v>
      </c>
      <c r="E131" s="37" t="str">
        <f>IF(Table5[[#This Row],[Query Date]]&lt;&gt;"", TEXT(Table5[[#This Row],[Query Date]], "dddd"), "")</f>
        <v>Monday</v>
      </c>
      <c r="F131" s="37" t="str">
        <f>IF(Table5[[#This Row],[Query Date]]&lt;&gt;"", TEXT(Table5[[#This Row],[Query Date]], "mmmm"), "")</f>
        <v>June</v>
      </c>
      <c r="G131" s="28" t="s">
        <v>65</v>
      </c>
      <c r="H131" s="28"/>
      <c r="I131" s="28" t="s">
        <v>67</v>
      </c>
      <c r="J131" s="28" t="s">
        <v>145</v>
      </c>
      <c r="K131" s="28"/>
      <c r="L131" s="25" t="s">
        <v>70</v>
      </c>
      <c r="M131" s="25" t="s">
        <v>1214</v>
      </c>
      <c r="N131" s="25" t="s">
        <v>1215</v>
      </c>
      <c r="O131" s="130"/>
      <c r="P131" s="106" t="s">
        <v>1216</v>
      </c>
      <c r="Q131" s="77">
        <v>46205</v>
      </c>
      <c r="R131" s="77" t="str">
        <f>IF(Table5[[#This Row],[Tour Starting Date]]&lt;&gt;"", TEXT(Table5[[#This Row],[Tour Starting Date]], "dddd"), "")</f>
        <v>Thursday</v>
      </c>
      <c r="S131" s="77">
        <v>46208</v>
      </c>
      <c r="T131" s="25" t="str">
        <f>IF(Table5[[#This Row],[Tour Ending Date]]&lt;&gt;"", TEXT(Table5[[#This Row],[Tour Ending Date]], "dddd"), "")</f>
        <v>Sunday</v>
      </c>
      <c r="U131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131" s="37" t="str">
        <f>IF(Table5[[#This Row],[Tour Starting Date]]&lt;&gt;"", TEXT(Table5[[#This Row],[Tour Starting Date]], "mmmm"), "")</f>
        <v>July</v>
      </c>
      <c r="W131" s="80" t="str" cm="1">
        <f t="array" ref="W131">IF(Q131&lt;&gt;"", INDEX(CI:CI, MATCH(1, (Q131&gt;=CG:CG)*(Q131&lt;=CH:CH), 0)), "")</f>
        <v>Regular Dates - Weekday</v>
      </c>
      <c r="X131" s="39"/>
      <c r="Y131" s="74">
        <v>15000</v>
      </c>
      <c r="Z131" s="74"/>
      <c r="AA131" s="52" t="s">
        <v>75</v>
      </c>
      <c r="AB131" s="52" t="s">
        <v>75</v>
      </c>
      <c r="AC131" s="52"/>
      <c r="AD131" s="52" t="s">
        <v>335</v>
      </c>
      <c r="AE131" s="51" t="str">
        <f t="shared" si="5"/>
        <v>EXIDR01</v>
      </c>
      <c r="AF131" s="51" t="str">
        <f t="shared" si="6"/>
        <v>Mahakaal Darshan</v>
      </c>
      <c r="AG131" s="74" t="str">
        <f t="shared" si="7"/>
        <v>Quick Getaways</v>
      </c>
      <c r="AH131" s="73" t="str">
        <f t="shared" si="8"/>
        <v>West MP</v>
      </c>
      <c r="AI131" s="52" t="s">
        <v>107</v>
      </c>
      <c r="AJ131" s="56" t="s">
        <v>78</v>
      </c>
      <c r="AK131" s="59" t="s">
        <v>79</v>
      </c>
      <c r="AL131" s="60" t="s">
        <v>80</v>
      </c>
      <c r="AM131" s="54" t="s">
        <v>80</v>
      </c>
      <c r="AN131" s="14">
        <v>46198</v>
      </c>
      <c r="AO131" s="15"/>
      <c r="AP131" s="91"/>
      <c r="AQ131" s="87"/>
      <c r="AR131" s="26"/>
      <c r="AS131" s="65"/>
      <c r="AT131" s="88" t="s">
        <v>81</v>
      </c>
      <c r="AU131" s="67" t="s">
        <v>342</v>
      </c>
      <c r="BX131" s="1">
        <v>127</v>
      </c>
      <c r="CN131" t="s">
        <v>1217</v>
      </c>
      <c r="CU131" t="s">
        <v>92</v>
      </c>
      <c r="CV131" t="s">
        <v>316</v>
      </c>
      <c r="CW131" t="s">
        <v>1218</v>
      </c>
      <c r="CX131" s="124" t="s">
        <v>1219</v>
      </c>
      <c r="CY131" t="s">
        <v>151</v>
      </c>
      <c r="CZ131" s="124" t="s">
        <v>1220</v>
      </c>
      <c r="DA131" t="str" cm="1">
        <f t="array" ref="DA131:EO131">IF(U131&lt;&gt;"", TRANSPOSE(_xlfn._xlws.FILTER(CZ:CZ, CY:CY=U131, "")), "")</f>
        <v>Gwl (3N) + Mor + Son + Dat + Orc</v>
      </c>
      <c r="DB131" t="str">
        <v>Ex Gwl | Gwl (1N) - Son - Dat - Orc (1N) - Gwl (1N)</v>
      </c>
      <c r="DC131" t="str">
        <v>Ex Idr | Idr - Ujj (1N) - Omk - Mah (1N) - Man (1N) - Idr</v>
      </c>
      <c r="DD131" t="str">
        <v>Ex Jlr | Jlr - Kan (2N) - Jlr (1N)</v>
      </c>
      <c r="DE131" t="str">
        <v>Ex Jlr | Jlr - Ban (2N) - Jlr (1N)</v>
      </c>
      <c r="DF131" t="str">
        <v>Ex Bho | Bho (1N) + San - Bhoj - Bhim - Pch (2N) - Bho</v>
      </c>
      <c r="DG131" t="str">
        <v>Ex Idr | Idr (1N) - Ujj (1N) - Omk (1N) - Mah - Idr</v>
      </c>
      <c r="DH131" t="str">
        <v>Gwl - Orc (1N) - Ckt (1N) - Myr (1N) - Jlr</v>
      </c>
      <c r="DI131" t="str">
        <v>Gwl - Orc (1N) - Ckt (2N) - Ixd</v>
      </c>
      <c r="DJ131" t="str">
        <v>Ex Idr | Idr - Ujj (1N) - Omk - Mah (1N) - Idr (1N)</v>
      </c>
      <c r="DK131" t="str">
        <v>Ex Jlr | Jlr - Kan (3N) - Jlr</v>
      </c>
      <c r="DL131" t="str">
        <v>Ex Bho | Bho (2N) + Bhim + Bhoj + San + Udaygiri + Vidisha + FDCT Bho</v>
      </c>
      <c r="DM131" t="str">
        <v>Bho (1N) + Bhim + Bhoj - HDCT  Bho + Sanchi - Ujj (2N)</v>
      </c>
      <c r="DN131" t="str">
        <v>Bho (1N) + Bhim + Bhoj - HDCT  Bho + Sanchi - Ujj (2N) - Idr</v>
      </c>
      <c r="DO131" t="str">
        <v>Ex Bho | Bho - Bhoj - Bhim - Mad (1N) - Pch (2N) - Bho</v>
      </c>
      <c r="DP131" t="str">
        <v>Ex Bho | Bho - Bhoj - Bhim - Mad (1N) - Pch (3N) - Bho</v>
      </c>
      <c r="DQ131" t="str">
        <v>Ex Bho | Bho - Bhoj - Bhim - Tawa (1N) - Mad (1N) - Bho (1N)</v>
      </c>
      <c r="DR131" t="str">
        <v>Bho (1N) - Bhim - Bhoj - San - Idr (2N) + Ujj</v>
      </c>
      <c r="DS131" t="str">
        <v>Bho (1N) - Bhoj - Bhim - Pch (2N) - Bho</v>
      </c>
      <c r="DT131" t="str">
        <v>Ujj (1N) - Omk - Mah (1N) - Idr (1N)</v>
      </c>
      <c r="DU131" t="str">
        <v>Ujj (1N) - Omk - Mah (1N) - Man (1N) - Idr</v>
      </c>
      <c r="DV131" t="str">
        <v>Ex Idr | Idr (1N) - Ujj (1N) - Omk - Mah (1N)</v>
      </c>
      <c r="DW131" t="str">
        <v>Ex Idr | Idr - Ujj (1N) - Omk (1N) - Mah (1N) - Idr</v>
      </c>
      <c r="DX131" t="str">
        <v>Khandwa - Omk (1N) - Mah (1N) - Ujj (1N) - Idr</v>
      </c>
      <c r="DY131" t="str">
        <v>Ex Idr | Idr - Ujj (1N) - Omk - Mah (1N) - Man - Idr (1N)</v>
      </c>
      <c r="DZ131" t="str">
        <v xml:space="preserve">Idr - Omk (1N) - Mah - Ujj (1N) San - Bho (1N) </v>
      </c>
      <c r="EA131" t="str">
        <v>Ex Idr | Idr - Man (1N) - Mah - Omk (1N) - Ujj (1N) - Idr</v>
      </c>
      <c r="EB131" t="str">
        <v>Khandwa - Omk (1N) - Mah - Ujj (2N)</v>
      </c>
      <c r="EC131" t="str">
        <v>Ex Jlr | Jlr (1N) - Amr (1N) - Ban (1N) - Jlr</v>
      </c>
      <c r="ED131" t="str">
        <v>Ex Jlr | Jlr - (1 N) Ban - (2 N) Amar</v>
      </c>
      <c r="EE131" t="str">
        <v>Jlr - Kan (1N) - Pch (2N)</v>
      </c>
      <c r="EF131" t="str">
        <v>Pi - Pch (2N)  - Kan (1N)</v>
      </c>
      <c r="EG131" t="str">
        <v>Ex Jlr | Jlr - Amr (1 N) - (1 N) Ban - (1 N) Jlr</v>
      </c>
      <c r="EH131" t="str">
        <v>Ppi - (2 N) Pch - (1 N) Pen</v>
      </c>
      <c r="EI131" t="str">
        <v>Bhp - Pch (2N) - Jlr (1N)</v>
      </c>
      <c r="EJ131" t="str">
        <v xml:space="preserve">Arr Jhn - Hjr (1N) - Orc - Gwl (2N) </v>
      </c>
      <c r="EK131" t="str">
        <v>(1 N) Ujj - (1 N) Mah - (1 N) Idr</v>
      </c>
      <c r="EL131" t="str">
        <v>Ex Bhp | Bhp - Bhoj - Bhim - Pch (3N) - Bhp</v>
      </c>
      <c r="EM131" t="str">
        <v>Ex Bhp | Bhp - Bhoj - Bhim - Pch (2N) - Mad (1N) - Bhp</v>
      </c>
      <c r="EN131" t="str">
        <v xml:space="preserve">Ex Nag - 3N Pch + Sat </v>
      </c>
      <c r="EO131" t="str">
        <v>1N Gwl - Son - Dat - 1N Hjr - 1N Orc - Jhn</v>
      </c>
    </row>
    <row r="132" spans="2:145" ht="15" customHeight="1">
      <c r="B132" s="35">
        <v>128</v>
      </c>
      <c r="C132" s="36" t="s">
        <v>1221</v>
      </c>
      <c r="D132" s="76">
        <v>46195</v>
      </c>
      <c r="E132" s="37" t="str">
        <f>IF(Table5[[#This Row],[Query Date]]&lt;&gt;"", TEXT(Table5[[#This Row],[Query Date]], "dddd"), "")</f>
        <v>Monday</v>
      </c>
      <c r="F132" s="37" t="str">
        <f>IF(Table5[[#This Row],[Query Date]]&lt;&gt;"", TEXT(Table5[[#This Row],[Query Date]], "mmmm"), "")</f>
        <v>June</v>
      </c>
      <c r="G132" s="28" t="s">
        <v>65</v>
      </c>
      <c r="H132" s="28" t="s">
        <v>66</v>
      </c>
      <c r="I132" s="28" t="s">
        <v>67</v>
      </c>
      <c r="J132" s="28" t="s">
        <v>68</v>
      </c>
      <c r="K132" s="28" t="s">
        <v>69</v>
      </c>
      <c r="L132" s="25" t="s">
        <v>70</v>
      </c>
      <c r="M132" s="112" t="s">
        <v>266</v>
      </c>
      <c r="N132" s="25" t="s">
        <v>386</v>
      </c>
      <c r="O132" s="130" t="s">
        <v>387</v>
      </c>
      <c r="P132" s="46" t="s">
        <v>388</v>
      </c>
      <c r="Q132" s="77">
        <v>46297</v>
      </c>
      <c r="R132" s="77" t="str">
        <f>IF(Table5[[#This Row],[Tour Starting Date]]&lt;&gt;"", TEXT(Table5[[#This Row],[Tour Starting Date]], "dddd"), "")</f>
        <v>Friday</v>
      </c>
      <c r="S132" s="77">
        <v>46299</v>
      </c>
      <c r="T132" s="25" t="str">
        <f>IF(Table5[[#This Row],[Tour Ending Date]]&lt;&gt;"", TEXT(Table5[[#This Row],[Tour Ending Date]], "dddd"), "")</f>
        <v>Sunday</v>
      </c>
      <c r="U132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132" s="37" t="str">
        <f>IF(Table5[[#This Row],[Tour Starting Date]]&lt;&gt;"", TEXT(Table5[[#This Row],[Tour Starting Date]], "mmmm"), "")</f>
        <v>October</v>
      </c>
      <c r="W132" s="80" t="str" cm="1">
        <f t="array" ref="W132">IF(Q132&lt;&gt;"", INDEX(CI:CI, MATCH(1, (Q132&gt;=CG:CG)*(Q132&lt;=CH:CH), 0)), "")</f>
        <v>Long Weekend - Gandhi Jayanti</v>
      </c>
      <c r="X132" s="39">
        <v>10</v>
      </c>
      <c r="Y132" s="74">
        <v>19500</v>
      </c>
      <c r="Z132" s="74">
        <f>IF(OR(Table5[[#This Row],[Per Person Package Cost]]="", Table5[[#This Row],[No. of Pax]]=""), "", Table5[[#This Row],[Per Person Package Cost]] * Table5[[#This Row],[No. of Pax]])</f>
        <v>195000</v>
      </c>
      <c r="AA132" s="52" t="s">
        <v>270</v>
      </c>
      <c r="AB132" s="52" t="s">
        <v>270</v>
      </c>
      <c r="AC132" s="52" t="s">
        <v>134</v>
      </c>
      <c r="AD132" s="52" t="s">
        <v>781</v>
      </c>
      <c r="AE132" s="51" t="str">
        <f t="shared" si="5"/>
        <v>EXJBP14</v>
      </c>
      <c r="AF132" s="51" t="str">
        <f t="shared" si="6"/>
        <v>Wilderness and Spiritual Elevations</v>
      </c>
      <c r="AG132" s="74" t="str">
        <f t="shared" si="7"/>
        <v>Quick Getaways</v>
      </c>
      <c r="AH132" s="73" t="str">
        <f t="shared" si="8"/>
        <v>South + East MP</v>
      </c>
      <c r="AI132" s="52" t="s">
        <v>107</v>
      </c>
      <c r="AJ132" s="56" t="s">
        <v>78</v>
      </c>
      <c r="AK132" s="59" t="s">
        <v>79</v>
      </c>
      <c r="AL132" s="60" t="s">
        <v>80</v>
      </c>
      <c r="AM132" s="54" t="s">
        <v>80</v>
      </c>
      <c r="AN132" s="14">
        <v>46248</v>
      </c>
      <c r="AO132" s="15">
        <v>46254</v>
      </c>
      <c r="AP132" s="91">
        <v>46266</v>
      </c>
      <c r="AQ132" s="87"/>
      <c r="AR132" s="26"/>
      <c r="AS132" s="65"/>
      <c r="AT132" s="88" t="s">
        <v>138</v>
      </c>
      <c r="AU132" s="67"/>
      <c r="BX132" s="1">
        <v>128</v>
      </c>
      <c r="CN132" t="s">
        <v>1222</v>
      </c>
      <c r="CU132" t="s">
        <v>92</v>
      </c>
      <c r="CV132" t="s">
        <v>121</v>
      </c>
      <c r="CW132" t="s">
        <v>1223</v>
      </c>
      <c r="CX132" s="124" t="s">
        <v>1224</v>
      </c>
      <c r="CY132" t="s">
        <v>125</v>
      </c>
      <c r="CZ132" s="124" t="s">
        <v>1225</v>
      </c>
      <c r="DA132" t="str" cm="1">
        <f t="array" ref="DA132:DY132">IF(U132&lt;&gt;"", TRANSPOSE(_xlfn._xlws.FILTER(CZ:CZ, CY:CY=U132, "")), "")</f>
        <v>Gwl (2N) + Mor</v>
      </c>
      <c r="DB132" t="str">
        <v>Ex Idr | Idr - Ujj (1N) - Omk - Mah (1N) - Man - Idr</v>
      </c>
      <c r="DC132" t="str">
        <v>Ujj (1N) - Omk - Idr (1N)</v>
      </c>
      <c r="DD132" t="str">
        <v>Ex Jlr | Jlr - Kan (2N) - Jlr</v>
      </c>
      <c r="DE132" t="str">
        <v>Ex Jlr | Jlr - Ban (2N) - Jlr</v>
      </c>
      <c r="DF132" t="str">
        <v>Ex Bho | Bho (2N) + Bhim + Bhoj + San</v>
      </c>
      <c r="DG132" t="str">
        <v>Ex Idr | Idr - Man (2N) - Idr</v>
      </c>
      <c r="DH132" t="str">
        <v>Ex Jlr | Jlr - Kan (2N) - Jlr</v>
      </c>
      <c r="DI132" t="str">
        <v>Ex Bho | Bho (2N) + Bhim + Bhoj + San + HDCT Bho</v>
      </c>
      <c r="DJ132" t="str">
        <v>Ex Bho | Bho - Bhim - Tawa (1N) - Mad (1N) - Bho</v>
      </c>
      <c r="DK132" t="str">
        <v>Ujj (1N) - Omk - Mah (1N) - Idr</v>
      </c>
      <c r="DL132" t="str">
        <v>Ujj (1N) -  Idr (1N)</v>
      </c>
      <c r="DM132" t="str">
        <v>Ex Idr | Idr (2N) + Ujj + Omk + Mah</v>
      </c>
      <c r="DN132" t="str">
        <v>Idr - Mah - Omk (1N) - Ujj (1N)</v>
      </c>
      <c r="DO132" t="str">
        <v>Idr - Ujj (1N) - Mah - Omk (1N) - Khandwa</v>
      </c>
      <c r="DP132" t="str">
        <v>Ex Idr | Idr (EX Ujj) (1N) - Mah - Omk (1N) - Idr HDCT</v>
      </c>
      <c r="DQ132" t="str">
        <v>Ujj (1N) - Sehor - Bho (1N) HDCT</v>
      </c>
      <c r="DR132" t="str">
        <v>Ex Jlr | Jlr (1N) - Ban (1N)</v>
      </c>
      <c r="DS132" t="str">
        <v>Ex Jlr | Ban (1N)</v>
      </c>
      <c r="DT132" t="str">
        <v>Ex Jlr | Jlr (2 N) Kan</v>
      </c>
      <c r="DU132" t="str">
        <v>Ex Jlr | Jlr - Amr (1 N) - (1 N) Ban</v>
      </c>
      <c r="DV132" t="str">
        <v>Ex Rpr | Rpr - (2N) Kan</v>
      </c>
      <c r="DW132" t="str">
        <v>Hjr (1N) - Mahi (1N) - Sat</v>
      </c>
      <c r="DX132" t="str">
        <v>Ex Bhp | Bhp - Bhim - Pch (2N) - Bhp</v>
      </c>
      <c r="DY132" t="str">
        <v xml:space="preserve">Ex Ujj I 2N Ujj </v>
      </c>
    </row>
    <row r="133" spans="2:145" ht="15" customHeight="1">
      <c r="B133" s="34">
        <v>129</v>
      </c>
      <c r="C133" s="36" t="s">
        <v>1226</v>
      </c>
      <c r="D133" s="76">
        <v>46196</v>
      </c>
      <c r="E133" s="37" t="str">
        <f>IF(Table5[[#This Row],[Query Date]]&lt;&gt;"", TEXT(Table5[[#This Row],[Query Date]], "dddd"), "")</f>
        <v>Tuesday</v>
      </c>
      <c r="F133" s="37" t="str">
        <f>IF(Table5[[#This Row],[Query Date]]&lt;&gt;"", TEXT(Table5[[#This Row],[Query Date]], "mmmm"), "")</f>
        <v>June</v>
      </c>
      <c r="G133" s="28" t="s">
        <v>65</v>
      </c>
      <c r="H133" s="28" t="s">
        <v>99</v>
      </c>
      <c r="I133" s="28" t="s">
        <v>67</v>
      </c>
      <c r="J133" s="28" t="s">
        <v>68</v>
      </c>
      <c r="K133" s="28" t="s">
        <v>1015</v>
      </c>
      <c r="L133" s="25" t="s">
        <v>70</v>
      </c>
      <c r="M133" s="112" t="s">
        <v>819</v>
      </c>
      <c r="N133" s="45" t="s">
        <v>820</v>
      </c>
      <c r="O133" s="130" t="s">
        <v>821</v>
      </c>
      <c r="P133" s="46" t="s">
        <v>822</v>
      </c>
      <c r="Q133" s="77">
        <v>46202</v>
      </c>
      <c r="R133" s="77" t="str">
        <f>IF(Table5[[#This Row],[Tour Starting Date]]&lt;&gt;"", TEXT(Table5[[#This Row],[Tour Starting Date]], "dddd"), "")</f>
        <v>Monday</v>
      </c>
      <c r="S133" s="77">
        <v>46204</v>
      </c>
      <c r="T133" s="25" t="str">
        <f>IF(Table5[[#This Row],[Tour Ending Date]]&lt;&gt;"", TEXT(Table5[[#This Row],[Tour Ending Date]], "dddd"), "")</f>
        <v>Wednesday</v>
      </c>
      <c r="U133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133" s="37" t="str">
        <f>IF(Table5[[#This Row],[Tour Starting Date]]&lt;&gt;"", TEXT(Table5[[#This Row],[Tour Starting Date]], "mmmm"), "")</f>
        <v>June</v>
      </c>
      <c r="W133" s="80" t="str" cm="1">
        <f t="array" ref="W133">IF(Q133&lt;&gt;"", INDEX(CI:CI, MATCH(1, (Q133&gt;=CG:CG)*(Q133&lt;=CH:CH), 0)), "")</f>
        <v>Regular Dates - Weekday</v>
      </c>
      <c r="X133" s="39">
        <v>6</v>
      </c>
      <c r="Y133" s="74">
        <v>10600</v>
      </c>
      <c r="Z133" s="74">
        <f>IF(OR(Table5[[#This Row],[Per Person Package Cost]]="", Table5[[#This Row],[No. of Pax]]=""), "", Table5[[#This Row],[Per Person Package Cost]] * Table5[[#This Row],[No. of Pax]])</f>
        <v>63600</v>
      </c>
      <c r="AA133" s="52" t="s">
        <v>205</v>
      </c>
      <c r="AB133" s="52" t="s">
        <v>75</v>
      </c>
      <c r="AC133" s="52" t="s">
        <v>134</v>
      </c>
      <c r="AD133" s="52" t="s">
        <v>461</v>
      </c>
      <c r="AE133" s="51" t="str">
        <f t="shared" ref="AE133:AE196" si="9">IF(AD133&lt;&gt;"", INDEX(CW:CW, MATCH(AD133, CZ:CZ, 0)), "")</f>
        <v>EXIDR13</v>
      </c>
      <c r="AF133" s="51" t="str">
        <f t="shared" ref="AF133:AF196" si="10">IF(AD133&lt;&gt;"", INDEX(CX:CX, MATCH(AD133, CZ:CZ, 0)), "")</f>
        <v>A Spiritual Odyssey of Madhya Pradesh</v>
      </c>
      <c r="AG133" s="74" t="str">
        <f t="shared" ref="AG133:AG196" si="11">IF(AE133&lt;&gt;"", INDEX(CU:CU, MATCH(AE133, CW:CW, 0)), "")</f>
        <v>Quick Getaways</v>
      </c>
      <c r="AH133" s="73" t="str">
        <f t="shared" si="8"/>
        <v>West MP</v>
      </c>
      <c r="AI133" s="52" t="s">
        <v>107</v>
      </c>
      <c r="AJ133" s="56" t="s">
        <v>78</v>
      </c>
      <c r="AK133" s="59" t="s">
        <v>79</v>
      </c>
      <c r="AL133" s="60" t="s">
        <v>80</v>
      </c>
      <c r="AM133" s="54" t="s">
        <v>80</v>
      </c>
      <c r="AN133" s="14">
        <v>46198</v>
      </c>
      <c r="AO133" s="15">
        <v>46200</v>
      </c>
      <c r="AP133" s="91"/>
      <c r="AQ133" s="87"/>
      <c r="AR133" s="26"/>
      <c r="AS133" s="65"/>
      <c r="AT133" s="88" t="s">
        <v>81</v>
      </c>
      <c r="AU133" s="67"/>
      <c r="BX133" s="1">
        <v>129</v>
      </c>
      <c r="CN133" t="s">
        <v>1227</v>
      </c>
      <c r="CU133" t="s">
        <v>92</v>
      </c>
      <c r="CV133" t="s">
        <v>121</v>
      </c>
      <c r="CW133" t="s">
        <v>1228</v>
      </c>
      <c r="CX133" s="124" t="s">
        <v>1229</v>
      </c>
      <c r="CY133" t="s">
        <v>151</v>
      </c>
      <c r="CZ133" s="124" t="s">
        <v>1230</v>
      </c>
      <c r="DA133" t="str" cm="1">
        <f t="array" ref="DA133:DY133">IF(U133&lt;&gt;"", TRANSPOSE(_xlfn._xlws.FILTER(CZ:CZ, CY:CY=U133, "")), "")</f>
        <v>Gwl (2N) + Mor</v>
      </c>
      <c r="DB133" t="str">
        <v>Ex Idr | Idr - Ujj (1N) - Omk - Mah (1N) - Man - Idr</v>
      </c>
      <c r="DC133" t="str">
        <v>Ujj (1N) - Omk - Idr (1N)</v>
      </c>
      <c r="DD133" t="str">
        <v>Ex Jlr | Jlr - Kan (2N) - Jlr</v>
      </c>
      <c r="DE133" t="str">
        <v>Ex Jlr | Jlr - Ban (2N) - Jlr</v>
      </c>
      <c r="DF133" t="str">
        <v>Ex Bho | Bho (2N) + Bhim + Bhoj + San</v>
      </c>
      <c r="DG133" t="str">
        <v>Ex Idr | Idr - Man (2N) - Idr</v>
      </c>
      <c r="DH133" t="str">
        <v>Ex Jlr | Jlr - Kan (2N) - Jlr</v>
      </c>
      <c r="DI133" t="str">
        <v>Ex Bho | Bho (2N) + Bhim + Bhoj + San + HDCT Bho</v>
      </c>
      <c r="DJ133" t="str">
        <v>Ex Bho | Bho - Bhim - Tawa (1N) - Mad (1N) - Bho</v>
      </c>
      <c r="DK133" t="str">
        <v>Ujj (1N) - Omk - Mah (1N) - Idr</v>
      </c>
      <c r="DL133" t="str">
        <v>Ujj (1N) -  Idr (1N)</v>
      </c>
      <c r="DM133" t="str">
        <v>Ex Idr | Idr (2N) + Ujj + Omk + Mah</v>
      </c>
      <c r="DN133" t="str">
        <v>Idr - Mah - Omk (1N) - Ujj (1N)</v>
      </c>
      <c r="DO133" t="str">
        <v>Idr - Ujj (1N) - Mah - Omk (1N) - Khandwa</v>
      </c>
      <c r="DP133" t="str">
        <v>Ex Idr | Idr (EX Ujj) (1N) - Mah - Omk (1N) - Idr HDCT</v>
      </c>
      <c r="DQ133" t="str">
        <v>Ujj (1N) - Sehor - Bho (1N) HDCT</v>
      </c>
      <c r="DR133" t="str">
        <v>Ex Jlr | Jlr (1N) - Ban (1N)</v>
      </c>
      <c r="DS133" t="str">
        <v>Ex Jlr | Ban (1N)</v>
      </c>
      <c r="DT133" t="str">
        <v>Ex Jlr | Jlr (2 N) Kan</v>
      </c>
      <c r="DU133" t="str">
        <v>Ex Jlr | Jlr - Amr (1 N) - (1 N) Ban</v>
      </c>
      <c r="DV133" t="str">
        <v>Ex Rpr | Rpr - (2N) Kan</v>
      </c>
      <c r="DW133" t="str">
        <v>Hjr (1N) - Mahi (1N) - Sat</v>
      </c>
      <c r="DX133" t="str">
        <v>Ex Bhp | Bhp - Bhim - Pch (2N) - Bhp</v>
      </c>
      <c r="DY133" t="str">
        <v xml:space="preserve">Ex Ujj I 2N Ujj </v>
      </c>
    </row>
    <row r="134" spans="2:145" ht="15" customHeight="1">
      <c r="B134" s="35">
        <v>130</v>
      </c>
      <c r="C134" s="36" t="s">
        <v>1231</v>
      </c>
      <c r="D134" s="76">
        <v>46198</v>
      </c>
      <c r="E134" s="37" t="str">
        <f>IF(Table5[[#This Row],[Query Date]]&lt;&gt;"", TEXT(Table5[[#This Row],[Query Date]], "dddd"), "")</f>
        <v>Thursday</v>
      </c>
      <c r="F134" s="37" t="str">
        <f>IF(Table5[[#This Row],[Query Date]]&lt;&gt;"", TEXT(Table5[[#This Row],[Query Date]], "mmmm"), "")</f>
        <v>June</v>
      </c>
      <c r="G134" s="28" t="s">
        <v>65</v>
      </c>
      <c r="H134" s="28" t="s">
        <v>66</v>
      </c>
      <c r="I134" s="28" t="s">
        <v>67</v>
      </c>
      <c r="J134" s="28" t="s">
        <v>145</v>
      </c>
      <c r="K134" s="28" t="s">
        <v>69</v>
      </c>
      <c r="L134" s="25" t="s">
        <v>70</v>
      </c>
      <c r="M134" s="112" t="s">
        <v>266</v>
      </c>
      <c r="N134" s="25" t="s">
        <v>900</v>
      </c>
      <c r="O134" s="130" t="s">
        <v>387</v>
      </c>
      <c r="P134" s="46" t="s">
        <v>902</v>
      </c>
      <c r="Q134" s="77">
        <v>46220</v>
      </c>
      <c r="R134" s="77" t="str">
        <f>IF(Table5[[#This Row],[Tour Starting Date]]&lt;&gt;"", TEXT(Table5[[#This Row],[Tour Starting Date]], "dddd"), "")</f>
        <v>Friday</v>
      </c>
      <c r="S134" s="77">
        <v>46222</v>
      </c>
      <c r="T134" s="25" t="str">
        <f>IF(Table5[[#This Row],[Tour Ending Date]]&lt;&gt;"", TEXT(Table5[[#This Row],[Tour Ending Date]], "dddd"), "")</f>
        <v>Sunday</v>
      </c>
      <c r="U134" s="127"/>
      <c r="V134" s="37" t="str">
        <f>IF(Table5[[#This Row],[Tour Starting Date]]&lt;&gt;"", TEXT(Table5[[#This Row],[Tour Starting Date]], "mmmm"), "")</f>
        <v>July</v>
      </c>
      <c r="W134" s="80" t="str" cm="1">
        <f t="array" ref="W134">IF(Q134&lt;&gt;"", INDEX(CI:CI, MATCH(1, (Q134&gt;=CG:CG)*(Q134&lt;=CH:CH), 0)), "")</f>
        <v>Regular Dates - Weekend</v>
      </c>
      <c r="X134" s="39">
        <v>3</v>
      </c>
      <c r="Y134" s="74">
        <v>21000</v>
      </c>
      <c r="Z134" s="74">
        <f>IF(OR(Table5[[#This Row],[Per Person Package Cost]]="", Table5[[#This Row],[No. of Pax]]=""), "", Table5[[#This Row],[Per Person Package Cost]] * Table5[[#This Row],[No. of Pax]])</f>
        <v>63000</v>
      </c>
      <c r="AA134" s="52" t="s">
        <v>75</v>
      </c>
      <c r="AB134" s="52" t="s">
        <v>75</v>
      </c>
      <c r="AC134" s="52" t="s">
        <v>134</v>
      </c>
      <c r="AD134" s="52" t="s">
        <v>335</v>
      </c>
      <c r="AE134" s="51" t="str">
        <f t="shared" si="9"/>
        <v>EXIDR01</v>
      </c>
      <c r="AF134" s="51" t="str">
        <f t="shared" si="10"/>
        <v>Mahakaal Darshan</v>
      </c>
      <c r="AG134" s="74" t="str">
        <f t="shared" si="11"/>
        <v>Quick Getaways</v>
      </c>
      <c r="AH134" s="73" t="str">
        <f t="shared" si="8"/>
        <v>West MP</v>
      </c>
      <c r="AI134" s="52" t="s">
        <v>77</v>
      </c>
      <c r="AJ134" s="56" t="s">
        <v>78</v>
      </c>
      <c r="AK134" s="59" t="s">
        <v>79</v>
      </c>
      <c r="AL134" s="60" t="s">
        <v>80</v>
      </c>
      <c r="AM134" s="54" t="s">
        <v>80</v>
      </c>
      <c r="AN134" s="14">
        <v>46210</v>
      </c>
      <c r="AO134" s="15">
        <v>46213</v>
      </c>
      <c r="AP134" s="91"/>
      <c r="AQ134" s="87"/>
      <c r="AR134" s="26"/>
      <c r="AS134" s="65"/>
      <c r="AT134" s="88" t="s">
        <v>81</v>
      </c>
      <c r="AU134" s="67"/>
      <c r="BX134" s="1">
        <v>130</v>
      </c>
      <c r="CN134" t="s">
        <v>1232</v>
      </c>
      <c r="CU134" t="s">
        <v>92</v>
      </c>
      <c r="CV134" t="s">
        <v>316</v>
      </c>
      <c r="CW134" t="s">
        <v>1233</v>
      </c>
      <c r="CX134" s="124" t="s">
        <v>1234</v>
      </c>
      <c r="CY134" t="s">
        <v>151</v>
      </c>
      <c r="CZ134" s="124" t="s">
        <v>1235</v>
      </c>
      <c r="DA134" t="str" cm="1">
        <f t="array" ref="DA134">IF(U134&lt;&gt;"", TRANSPOSE(_xlfn._xlws.FILTER(CZ:CZ, CY:CY=U134, "")), "")</f>
        <v/>
      </c>
    </row>
    <row r="135" spans="2:145" ht="15" customHeight="1">
      <c r="B135" s="34">
        <v>131</v>
      </c>
      <c r="C135" s="36" t="s">
        <v>1236</v>
      </c>
      <c r="D135" s="76">
        <v>46193</v>
      </c>
      <c r="E135" s="37" t="str">
        <f>IF(Table5[[#This Row],[Query Date]]&lt;&gt;"", TEXT(Table5[[#This Row],[Query Date]], "dddd"), "")</f>
        <v>Saturday</v>
      </c>
      <c r="F135" s="37" t="str">
        <f>IF(Table5[[#This Row],[Query Date]]&lt;&gt;"", TEXT(Table5[[#This Row],[Query Date]], "mmmm"), "")</f>
        <v>June</v>
      </c>
      <c r="G135" s="28" t="s">
        <v>65</v>
      </c>
      <c r="H135" s="28" t="s">
        <v>66</v>
      </c>
      <c r="I135" s="28" t="s">
        <v>67</v>
      </c>
      <c r="J135" s="28" t="s">
        <v>68</v>
      </c>
      <c r="K135" s="28" t="s">
        <v>178</v>
      </c>
      <c r="L135" s="25" t="s">
        <v>70</v>
      </c>
      <c r="M135" s="112" t="s">
        <v>1060</v>
      </c>
      <c r="N135" s="25" t="s">
        <v>1237</v>
      </c>
      <c r="O135" s="130" t="s">
        <v>1238</v>
      </c>
      <c r="P135" s="46" t="s">
        <v>1063</v>
      </c>
      <c r="Q135" s="77">
        <v>46296</v>
      </c>
      <c r="R135" s="77" t="str">
        <f>IF(Table5[[#This Row],[Tour Starting Date]]&lt;&gt;"", TEXT(Table5[[#This Row],[Tour Starting Date]], "dddd"), "")</f>
        <v>Thursday</v>
      </c>
      <c r="S135" s="77">
        <v>46300</v>
      </c>
      <c r="T135" s="25" t="str">
        <f>IF(Table5[[#This Row],[Tour Ending Date]]&lt;&gt;"", TEXT(Table5[[#This Row],[Tour Ending Date]], "dddd"), "")</f>
        <v>Monday</v>
      </c>
      <c r="U135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4 Nights &amp; 5 Days</v>
      </c>
      <c r="V135" s="37" t="str">
        <f>IF(Table5[[#This Row],[Tour Starting Date]]&lt;&gt;"", TEXT(Table5[[#This Row],[Tour Starting Date]], "mmmm"), "")</f>
        <v>October</v>
      </c>
      <c r="W135" s="80" t="str" cm="1">
        <f t="array" ref="W135">IF(Q135&lt;&gt;"", INDEX(CI:CI, MATCH(1, (Q135&gt;=CG:CG)*(Q135&lt;=CH:CH), 0)), "")</f>
        <v>Regular Dates - Weekday</v>
      </c>
      <c r="X135" s="39">
        <v>9</v>
      </c>
      <c r="Y135" s="74">
        <v>134000</v>
      </c>
      <c r="Z135" s="74">
        <f>IF(OR(Table5[[#This Row],[Per Person Package Cost]]="", Table5[[#This Row],[No. of Pax]]=""), "", Table5[[#This Row],[Per Person Package Cost]] * Table5[[#This Row],[No. of Pax]])</f>
        <v>1206000</v>
      </c>
      <c r="AA135" s="52" t="s">
        <v>509</v>
      </c>
      <c r="AB135" s="52" t="s">
        <v>509</v>
      </c>
      <c r="AC135" s="52" t="s">
        <v>240</v>
      </c>
      <c r="AD135" s="52" t="s">
        <v>198</v>
      </c>
      <c r="AE135" s="51" t="str">
        <f t="shared" si="9"/>
        <v>EXGWL05</v>
      </c>
      <c r="AF135" s="51" t="str">
        <f t="shared" si="10"/>
        <v>Marvels of Chambal &amp; Bundelkhand</v>
      </c>
      <c r="AG135" s="74" t="str">
        <f t="shared" si="11"/>
        <v>Quick Getaways</v>
      </c>
      <c r="AH135" s="73" t="str">
        <f t="shared" si="8"/>
        <v>North MP</v>
      </c>
      <c r="AI135" s="52" t="s">
        <v>107</v>
      </c>
      <c r="AJ135" s="56" t="s">
        <v>78</v>
      </c>
      <c r="AK135" s="59" t="s">
        <v>79</v>
      </c>
      <c r="AL135" s="60" t="s">
        <v>80</v>
      </c>
      <c r="AM135" s="54" t="s">
        <v>80</v>
      </c>
      <c r="AN135" s="14">
        <v>46200</v>
      </c>
      <c r="AO135" s="15">
        <v>46240</v>
      </c>
      <c r="AP135" s="91"/>
      <c r="AQ135" s="87"/>
      <c r="AR135" s="26"/>
      <c r="AS135" s="65"/>
      <c r="AT135" s="88" t="s">
        <v>138</v>
      </c>
      <c r="AU135" s="67"/>
      <c r="BX135" s="1">
        <v>131</v>
      </c>
      <c r="CN135" t="s">
        <v>1239</v>
      </c>
      <c r="CU135" t="s">
        <v>92</v>
      </c>
      <c r="CV135" t="s">
        <v>121</v>
      </c>
      <c r="CW135" t="s">
        <v>1240</v>
      </c>
      <c r="CX135" s="124" t="s">
        <v>1241</v>
      </c>
      <c r="CY135" t="s">
        <v>151</v>
      </c>
      <c r="CZ135" s="124" t="s">
        <v>1242</v>
      </c>
      <c r="DA135" t="str" cm="1">
        <f t="array" ref="DA135:EJ135">IF(U135&lt;&gt;"", TRANSPOSE(_xlfn._xlws.FILTER(CZ:CZ, CY:CY=U135, "")), "")</f>
        <v>Ex Gwl | Gwl (2N) + Mor - Son - Dat - Orc (1N) - Hjr (1N) - Gwl</v>
      </c>
      <c r="DB135" t="str">
        <v>Ex Idr | Idr - Ujj (1N) - Omk - Mah (1N) - Man (1N) - Idr (1N)</v>
      </c>
      <c r="DC135" t="str">
        <v>Ex Idr | Idr - Ujj (1N) - Omk (1N) - Mah (1N) - Man (1N) - Idr</v>
      </c>
      <c r="DD135" t="str">
        <v>Ex Jlr | Jlr - Kan (2N) - Amk (1N) - Jlr (1N)</v>
      </c>
      <c r="DE135" t="str">
        <v>Ex Jlr | Jlr - Ban (2N) - Amk (1N) - Jlr (1N)</v>
      </c>
      <c r="DF135" t="str">
        <v>Ex Jlr | Jlr (1N) - Hjr (1N) - Ban (2N) - Jlr</v>
      </c>
      <c r="DG135" t="str">
        <v>Ex Jlr | Jlr (1N) - Kan (1N) - Ban (2N) - Jlr</v>
      </c>
      <c r="DH135" t="str">
        <v>Ex Bho | Bho (1N) + San + Bhoj + Bhim - Tawa - Mad (1N) - Pch (2N) - Bho</v>
      </c>
      <c r="DI135" t="str">
        <v>Ex Idr | Idr - Ujj (1N) - Omk - Mah (1N) - Man (1N) - Idr (1N)</v>
      </c>
      <c r="DJ135" t="str">
        <v>Ex Bho | Bho (1N) - Bhoj - Bhim - Pch (3N) - Bho</v>
      </c>
      <c r="DK135" t="str">
        <v>Gwl (1N) - Dat (Pitambara Peeth) - Orc (1N) - Ckt (2N) - Ixd</v>
      </c>
      <c r="DL135" t="str">
        <v>Ex Jlr | Jlr - Ban (2N) - Kan (2N) - Jlr</v>
      </c>
      <c r="DM135" t="str">
        <v>Jlr - Ban (1N) - Kan (1N) - Pen (2N) - Nag</v>
      </c>
      <c r="DN135" t="str">
        <v>Ex Bho | Bho (1N) - Bhoj - Bhim - Pch (3N) - Bho</v>
      </c>
      <c r="DO135" t="str">
        <v>Ex Bho | Bho (2N) + Sanchi + Bhoj + Bhim - Tawa - Mad (1N) - Bho (1N)</v>
      </c>
      <c r="DP135" t="str">
        <v>Ex Bho | Bho - Bhoj - Bhim - Tawa (1N) - Mad (1N) - Pch (2N) - Bho</v>
      </c>
      <c r="DQ135" t="str">
        <v>Bho - Bhoj - Bhim - Pch (2N) - Kan (1N) - Jlr (1N)</v>
      </c>
      <c r="DR135" t="str">
        <v>Bho - Bhoj - Bhim - Pch (2N) - Kan (1N) - Amk (1N) - Jlr</v>
      </c>
      <c r="DS135" t="str">
        <v xml:space="preserve">Bho (1N) + Bhim + Bhoj + San - Ujj (1N) - Omk - Mah (1N) - Idr (1N) </v>
      </c>
      <c r="DT135" t="str">
        <v>Ex Gwl | Gwl - Hjr (1N) - Orc (1N) - Dat - Son - Gwl (2N)</v>
      </c>
      <c r="DU135" t="str">
        <v>Ex Gwl | Gwl - Orc (1N) - Hjr (1N) - Chn (1N) - Shiv (1N) - Gwl</v>
      </c>
      <c r="DV135" t="str">
        <v>Gwl - Hjr (1N) - Panna (1N) - Chit (1N) - Mahi (1N) - Sat</v>
      </c>
      <c r="DW135" t="str">
        <v>Jlr - (2 N) Kan - (2 N) Pch - Bhim - Bhoj - Bhp</v>
      </c>
      <c r="DX135" t="str">
        <v>Jlr - (2 N) Kan - (2 N) Pen - Rpr</v>
      </c>
      <c r="DY135" t="str">
        <v>Gwl (2N) (Ex Mor) - Dat -Orc (1N) - Hjr (1N) - Jhn</v>
      </c>
      <c r="DZ135" t="str">
        <v>Ex Gwl | Gwl (1N) - Son - Dat - Orc (1N) - Hjr (2N) (Ex Panna) - Gwl</v>
      </c>
      <c r="EA135" t="str">
        <v>Hjr (1N) - Orc (1N) - Dat - son - Gwl (2N)(Ex Mor)</v>
      </c>
      <c r="EB135" t="str">
        <v>(2 N) Gwl - (1 N) Orch - (1 N) Hjr</v>
      </c>
      <c r="EC135" t="str">
        <v>Ex Bhp | Bhp - Bhoj - Bhim - Pch (2N) - Mad (1N) - Tawa (1N) - Bhp</v>
      </c>
      <c r="ED135" t="str">
        <v>Ex Bhp | Bhp - Bhoj - Bhim - Pch (2N) - Mad (2N) - Bhp</v>
      </c>
      <c r="EE135" t="str">
        <v>Ex Idr | Idr - Ujj (1N) - Omk (1N) - Mah (2N) (Ex Man) - Idr (HDCT)</v>
      </c>
      <c r="EF135" t="str">
        <v>Arr Rpr - Amr (2N) - Par (2N) - IXD</v>
      </c>
      <c r="EG135" t="str">
        <v>1N Gwl - Orc - 2N Hjr - Jhn - 1N Gwl</v>
      </c>
      <c r="EH135" t="str">
        <v>1N Orc - 1N Hjr - 2N Gwl Ex Mor</v>
      </c>
      <c r="EI135" t="str">
        <v>1N Idr - Omk - 1N Mah - 1N Ujj - Seh - 1N Bho</v>
      </c>
      <c r="EJ135" t="str">
        <v>Ex Idr I 1N Idr - 1N Ujj - Omk - 2N Mah - Man - Idr</v>
      </c>
    </row>
    <row r="136" spans="2:145" ht="15" customHeight="1">
      <c r="B136" s="35">
        <v>132</v>
      </c>
      <c r="C136" s="36" t="s">
        <v>1243</v>
      </c>
      <c r="D136" s="76">
        <v>46199</v>
      </c>
      <c r="E136" s="37" t="str">
        <f>IF(Table5[[#This Row],[Query Date]]&lt;&gt;"", TEXT(Table5[[#This Row],[Query Date]], "dddd"), "")</f>
        <v>Friday</v>
      </c>
      <c r="F136" s="37" t="str">
        <f>IF(Table5[[#This Row],[Query Date]]&lt;&gt;"", TEXT(Table5[[#This Row],[Query Date]], "mmmm"), "")</f>
        <v>June</v>
      </c>
      <c r="G136" s="28" t="s">
        <v>65</v>
      </c>
      <c r="H136" s="28"/>
      <c r="I136" s="28" t="s">
        <v>67</v>
      </c>
      <c r="J136" s="28" t="s">
        <v>145</v>
      </c>
      <c r="K136" s="28" t="s">
        <v>128</v>
      </c>
      <c r="L136" s="25" t="s">
        <v>70</v>
      </c>
      <c r="M136" s="112" t="s">
        <v>1244</v>
      </c>
      <c r="N136" s="25" t="s">
        <v>1245</v>
      </c>
      <c r="O136" s="130"/>
      <c r="P136" s="106" t="s">
        <v>1246</v>
      </c>
      <c r="Q136" s="77"/>
      <c r="R136" s="77" t="str">
        <f>IF(Table5[[#This Row],[Tour Starting Date]]&lt;&gt;"", TEXT(Table5[[#This Row],[Tour Starting Date]], "dddd"), "")</f>
        <v/>
      </c>
      <c r="S136" s="77"/>
      <c r="T136" s="25" t="str">
        <f>IF(Table5[[#This Row],[Tour Ending Date]]&lt;&gt;"", TEXT(Table5[[#This Row],[Tour Ending Date]], "dddd"), "")</f>
        <v/>
      </c>
      <c r="U136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/>
      </c>
      <c r="V136" s="37" t="str">
        <f>IF(Table5[[#This Row],[Tour Starting Date]]&lt;&gt;"", TEXT(Table5[[#This Row],[Tour Starting Date]], "mmmm"), "")</f>
        <v/>
      </c>
      <c r="W136" s="80" t="str" cm="1">
        <f t="array" ref="W136">IF(Q136&lt;&gt;"", INDEX(CI:CI, MATCH(1, (Q136&gt;=CG:CG)*(Q136&lt;=CH:CH), 0)), "")</f>
        <v/>
      </c>
      <c r="X136" s="39"/>
      <c r="Y136" s="74">
        <v>38500</v>
      </c>
      <c r="Z136" s="74" t="str">
        <f>IF(OR(Table5[[#This Row],[Per Person Package Cost]]="", Table5[[#This Row],[No. of Pax]]=""), "", Table5[[#This Row],[Per Person Package Cost]] * Table5[[#This Row],[No. of Pax]])</f>
        <v/>
      </c>
      <c r="AA136" s="52" t="s">
        <v>1247</v>
      </c>
      <c r="AB136" s="52" t="s">
        <v>270</v>
      </c>
      <c r="AC136" s="52"/>
      <c r="AD136" s="52"/>
      <c r="AE136" s="51" t="str">
        <f t="shared" si="9"/>
        <v/>
      </c>
      <c r="AF136" s="51" t="str">
        <f t="shared" si="10"/>
        <v/>
      </c>
      <c r="AG136" s="74" t="str">
        <f t="shared" si="11"/>
        <v/>
      </c>
      <c r="AH136" s="73" t="str">
        <f t="shared" si="8"/>
        <v/>
      </c>
      <c r="AI136" s="52" t="s">
        <v>107</v>
      </c>
      <c r="AJ136" s="56" t="s">
        <v>78</v>
      </c>
      <c r="AK136" s="59" t="s">
        <v>79</v>
      </c>
      <c r="AL136" s="60" t="s">
        <v>80</v>
      </c>
      <c r="AM136" s="54" t="s">
        <v>80</v>
      </c>
      <c r="AN136" s="14">
        <v>46201</v>
      </c>
      <c r="AO136" s="15">
        <v>46254</v>
      </c>
      <c r="AP136" s="91"/>
      <c r="AQ136" s="87"/>
      <c r="AR136" s="26"/>
      <c r="AS136" s="65"/>
      <c r="AT136" s="88" t="s">
        <v>138</v>
      </c>
      <c r="AU136" s="67"/>
      <c r="BX136" s="1">
        <v>132</v>
      </c>
      <c r="CN136" t="s">
        <v>1248</v>
      </c>
      <c r="CU136" t="s">
        <v>92</v>
      </c>
      <c r="CV136" t="s">
        <v>316</v>
      </c>
      <c r="CW136" t="s">
        <v>1249</v>
      </c>
      <c r="CX136" s="124" t="s">
        <v>1250</v>
      </c>
      <c r="CY136" t="s">
        <v>197</v>
      </c>
      <c r="CZ136" s="124" t="s">
        <v>1251</v>
      </c>
      <c r="DA136" t="str" cm="1">
        <f t="array" ref="DA136">IF(U136&lt;&gt;"", TRANSPOSE(_xlfn._xlws.FILTER(CZ:CZ, CY:CY=U136, "")), "")</f>
        <v/>
      </c>
    </row>
    <row r="137" spans="2:145" ht="15" customHeight="1">
      <c r="B137" s="34">
        <v>133</v>
      </c>
      <c r="C137" s="36" t="s">
        <v>1252</v>
      </c>
      <c r="D137" s="76">
        <v>46202</v>
      </c>
      <c r="E137" s="37" t="str">
        <f>IF(Table5[[#This Row],[Query Date]]&lt;&gt;"", TEXT(Table5[[#This Row],[Query Date]], "dddd"), "")</f>
        <v>Monday</v>
      </c>
      <c r="F137" s="37" t="str">
        <f>IF(Table5[[#This Row],[Query Date]]&lt;&gt;"", TEXT(Table5[[#This Row],[Query Date]], "mmmm"), "")</f>
        <v>June</v>
      </c>
      <c r="G137" s="28" t="s">
        <v>65</v>
      </c>
      <c r="H137" s="28" t="s">
        <v>66</v>
      </c>
      <c r="I137" s="28" t="s">
        <v>100</v>
      </c>
      <c r="J137" s="28" t="s">
        <v>68</v>
      </c>
      <c r="K137" s="28" t="s">
        <v>1253</v>
      </c>
      <c r="L137" s="25" t="s">
        <v>70</v>
      </c>
      <c r="M137" s="25"/>
      <c r="N137" s="25" t="s">
        <v>1254</v>
      </c>
      <c r="O137" s="130" t="s">
        <v>1255</v>
      </c>
      <c r="P137" s="46" t="s">
        <v>1256</v>
      </c>
      <c r="Q137" s="77">
        <v>46205</v>
      </c>
      <c r="R137" s="77" t="str">
        <f>IF(Table5[[#This Row],[Tour Starting Date]]&lt;&gt;"", TEXT(Table5[[#This Row],[Tour Starting Date]], "dddd"), "")</f>
        <v>Thursday</v>
      </c>
      <c r="S137" s="77">
        <v>46208</v>
      </c>
      <c r="T137" s="25" t="str">
        <f>IF(Table5[[#This Row],[Tour Ending Date]]&lt;&gt;"", TEXT(Table5[[#This Row],[Tour Ending Date]], "dddd"), "")</f>
        <v>Sunday</v>
      </c>
      <c r="U137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137" s="37" t="str">
        <f>IF(Table5[[#This Row],[Tour Starting Date]]&lt;&gt;"", TEXT(Table5[[#This Row],[Tour Starting Date]], "mmmm"), "")</f>
        <v>July</v>
      </c>
      <c r="W137" s="80" t="str" cm="1">
        <f t="array" ref="W137">IF(Q137&lt;&gt;"", INDEX(CI:CI, MATCH(1, (Q137&gt;=CG:CG)*(Q137&lt;=CH:CH), 0)), "")</f>
        <v>Regular Dates - Weekday</v>
      </c>
      <c r="X137" s="39">
        <v>17</v>
      </c>
      <c r="Y137" s="74">
        <v>16300</v>
      </c>
      <c r="Z137" s="74">
        <f>IF(OR(Table5[[#This Row],[Per Person Package Cost]]="", Table5[[#This Row],[No. of Pax]]=""), "", Table5[[#This Row],[Per Person Package Cost]] * Table5[[#This Row],[No. of Pax]])</f>
        <v>277100</v>
      </c>
      <c r="AA137" s="52" t="s">
        <v>520</v>
      </c>
      <c r="AB137" s="52" t="s">
        <v>520</v>
      </c>
      <c r="AC137" s="52" t="s">
        <v>76</v>
      </c>
      <c r="AD137" s="52" t="s">
        <v>1242</v>
      </c>
      <c r="AE137" s="51" t="str">
        <f t="shared" si="9"/>
        <v>EXJBP24</v>
      </c>
      <c r="AF137" s="51" t="str">
        <f t="shared" si="10"/>
        <v>Majestic Peaks &amp; River Trails</v>
      </c>
      <c r="AG137" s="74" t="str">
        <f t="shared" si="11"/>
        <v>Quick Getaways</v>
      </c>
      <c r="AH137" s="73" t="str">
        <f t="shared" si="8"/>
        <v>East MP</v>
      </c>
      <c r="AI137" s="52" t="s">
        <v>159</v>
      </c>
      <c r="AJ137" s="56" t="s">
        <v>78</v>
      </c>
      <c r="AK137" s="59" t="s">
        <v>79</v>
      </c>
      <c r="AL137" s="60" t="s">
        <v>80</v>
      </c>
      <c r="AM137" s="54" t="s">
        <v>80</v>
      </c>
      <c r="AN137" s="14"/>
      <c r="AO137" s="15"/>
      <c r="AP137" s="91"/>
      <c r="AQ137" s="87"/>
      <c r="AR137" s="26"/>
      <c r="AS137" s="65"/>
      <c r="AT137" s="88" t="s">
        <v>81</v>
      </c>
      <c r="AU137" s="67"/>
      <c r="BX137" s="1">
        <v>133</v>
      </c>
      <c r="CN137" t="s">
        <v>1257</v>
      </c>
      <c r="CU137" t="s">
        <v>92</v>
      </c>
      <c r="CV137" t="s">
        <v>193</v>
      </c>
      <c r="CW137" t="s">
        <v>1258</v>
      </c>
      <c r="CX137" s="124" t="s">
        <v>1259</v>
      </c>
      <c r="CY137" t="s">
        <v>223</v>
      </c>
      <c r="CZ137" s="124" t="s">
        <v>1260</v>
      </c>
      <c r="DA137" t="str" cm="1">
        <f t="array" ref="DA137:EO137">IF(U137&lt;&gt;"", TRANSPOSE(_xlfn._xlws.FILTER(CZ:CZ, CY:CY=U137, "")), "")</f>
        <v>Gwl (3N) + Mor + Son + Dat + Orc</v>
      </c>
      <c r="DB137" t="str">
        <v>Ex Gwl | Gwl (1N) - Son - Dat - Orc (1N) - Gwl (1N)</v>
      </c>
      <c r="DC137" t="str">
        <v>Ex Idr | Idr - Ujj (1N) - Omk - Mah (1N) - Man (1N) - Idr</v>
      </c>
      <c r="DD137" t="str">
        <v>Ex Jlr | Jlr - Kan (2N) - Jlr (1N)</v>
      </c>
      <c r="DE137" t="str">
        <v>Ex Jlr | Jlr - Ban (2N) - Jlr (1N)</v>
      </c>
      <c r="DF137" t="str">
        <v>Ex Bho | Bho (1N) + San - Bhoj - Bhim - Pch (2N) - Bho</v>
      </c>
      <c r="DG137" t="str">
        <v>Ex Idr | Idr (1N) - Ujj (1N) - Omk (1N) - Mah - Idr</v>
      </c>
      <c r="DH137" t="str">
        <v>Gwl - Orc (1N) - Ckt (1N) - Myr (1N) - Jlr</v>
      </c>
      <c r="DI137" t="str">
        <v>Gwl - Orc (1N) - Ckt (2N) - Ixd</v>
      </c>
      <c r="DJ137" t="str">
        <v>Ex Idr | Idr - Ujj (1N) - Omk - Mah (1N) - Idr (1N)</v>
      </c>
      <c r="DK137" t="str">
        <v>Ex Jlr | Jlr - Kan (3N) - Jlr</v>
      </c>
      <c r="DL137" t="str">
        <v>Ex Bho | Bho (2N) + Bhim + Bhoj + San + Udaygiri + Vidisha + FDCT Bho</v>
      </c>
      <c r="DM137" t="str">
        <v>Bho (1N) + Bhim + Bhoj - HDCT  Bho + Sanchi - Ujj (2N)</v>
      </c>
      <c r="DN137" t="str">
        <v>Bho (1N) + Bhim + Bhoj - HDCT  Bho + Sanchi - Ujj (2N) - Idr</v>
      </c>
      <c r="DO137" t="str">
        <v>Ex Bho | Bho - Bhoj - Bhim - Mad (1N) - Pch (2N) - Bho</v>
      </c>
      <c r="DP137" t="str">
        <v>Ex Bho | Bho - Bhoj - Bhim - Mad (1N) - Pch (3N) - Bho</v>
      </c>
      <c r="DQ137" t="str">
        <v>Ex Bho | Bho - Bhoj - Bhim - Tawa (1N) - Mad (1N) - Bho (1N)</v>
      </c>
      <c r="DR137" t="str">
        <v>Bho (1N) - Bhim - Bhoj - San - Idr (2N) + Ujj</v>
      </c>
      <c r="DS137" t="str">
        <v>Bho (1N) - Bhoj - Bhim - Pch (2N) - Bho</v>
      </c>
      <c r="DT137" t="str">
        <v>Ujj (1N) - Omk - Mah (1N) - Idr (1N)</v>
      </c>
      <c r="DU137" t="str">
        <v>Ujj (1N) - Omk - Mah (1N) - Man (1N) - Idr</v>
      </c>
      <c r="DV137" t="str">
        <v>Ex Idr | Idr (1N) - Ujj (1N) - Omk - Mah (1N)</v>
      </c>
      <c r="DW137" t="str">
        <v>Ex Idr | Idr - Ujj (1N) - Omk (1N) - Mah (1N) - Idr</v>
      </c>
      <c r="DX137" t="str">
        <v>Khandwa - Omk (1N) - Mah (1N) - Ujj (1N) - Idr</v>
      </c>
      <c r="DY137" t="str">
        <v>Ex Idr | Idr - Ujj (1N) - Omk - Mah (1N) - Man - Idr (1N)</v>
      </c>
      <c r="DZ137" t="str">
        <v xml:space="preserve">Idr - Omk (1N) - Mah - Ujj (1N) San - Bho (1N) </v>
      </c>
      <c r="EA137" t="str">
        <v>Ex Idr | Idr - Man (1N) - Mah - Omk (1N) - Ujj (1N) - Idr</v>
      </c>
      <c r="EB137" t="str">
        <v>Khandwa - Omk (1N) - Mah - Ujj (2N)</v>
      </c>
      <c r="EC137" t="str">
        <v>Ex Jlr | Jlr (1N) - Amr (1N) - Ban (1N) - Jlr</v>
      </c>
      <c r="ED137" t="str">
        <v>Ex Jlr | Jlr - (1 N) Ban - (2 N) Amar</v>
      </c>
      <c r="EE137" t="str">
        <v>Jlr - Kan (1N) - Pch (2N)</v>
      </c>
      <c r="EF137" t="str">
        <v>Pi - Pch (2N)  - Kan (1N)</v>
      </c>
      <c r="EG137" t="str">
        <v>Ex Jlr | Jlr - Amr (1 N) - (1 N) Ban - (1 N) Jlr</v>
      </c>
      <c r="EH137" t="str">
        <v>Ppi - (2 N) Pch - (1 N) Pen</v>
      </c>
      <c r="EI137" t="str">
        <v>Bhp - Pch (2N) - Jlr (1N)</v>
      </c>
      <c r="EJ137" t="str">
        <v xml:space="preserve">Arr Jhn - Hjr (1N) - Orc - Gwl (2N) </v>
      </c>
      <c r="EK137" t="str">
        <v>(1 N) Ujj - (1 N) Mah - (1 N) Idr</v>
      </c>
      <c r="EL137" t="str">
        <v>Ex Bhp | Bhp - Bhoj - Bhim - Pch (3N) - Bhp</v>
      </c>
      <c r="EM137" t="str">
        <v>Ex Bhp | Bhp - Bhoj - Bhim - Pch (2N) - Mad (1N) - Bhp</v>
      </c>
      <c r="EN137" t="str">
        <v xml:space="preserve">Ex Nag - 3N Pch + Sat </v>
      </c>
      <c r="EO137" t="str">
        <v>1N Gwl - Son - Dat - 1N Hjr - 1N Orc - Jhn</v>
      </c>
    </row>
    <row r="138" spans="2:145" ht="15" customHeight="1">
      <c r="B138" s="35">
        <v>134</v>
      </c>
      <c r="C138" s="36" t="s">
        <v>1261</v>
      </c>
      <c r="D138" s="76">
        <v>46202</v>
      </c>
      <c r="E138" s="37" t="str">
        <f>IF(Table5[[#This Row],[Query Date]]&lt;&gt;"", TEXT(Table5[[#This Row],[Query Date]], "dddd"), "")</f>
        <v>Monday</v>
      </c>
      <c r="F138" s="37" t="str">
        <f>IF(Table5[[#This Row],[Query Date]]&lt;&gt;"", TEXT(Table5[[#This Row],[Query Date]], "mmmm"), "")</f>
        <v>June</v>
      </c>
      <c r="G138" s="28" t="s">
        <v>65</v>
      </c>
      <c r="H138" s="28" t="s">
        <v>66</v>
      </c>
      <c r="I138" s="28" t="s">
        <v>67</v>
      </c>
      <c r="J138" s="28" t="s">
        <v>145</v>
      </c>
      <c r="K138" s="28" t="s">
        <v>69</v>
      </c>
      <c r="L138" s="25" t="s">
        <v>70</v>
      </c>
      <c r="M138" s="112" t="s">
        <v>266</v>
      </c>
      <c r="N138" s="25" t="s">
        <v>267</v>
      </c>
      <c r="O138" s="130" t="s">
        <v>268</v>
      </c>
      <c r="P138" s="25" t="s">
        <v>269</v>
      </c>
      <c r="Q138" s="77">
        <v>46208</v>
      </c>
      <c r="R138" s="77" t="str">
        <f>IF(Table5[[#This Row],[Tour Starting Date]]&lt;&gt;"", TEXT(Table5[[#This Row],[Tour Starting Date]], "dddd"), "")</f>
        <v>Sunday</v>
      </c>
      <c r="S138" s="77">
        <v>46209</v>
      </c>
      <c r="T138" s="25" t="str">
        <f>IF(Table5[[#This Row],[Tour Ending Date]]&lt;&gt;"", TEXT(Table5[[#This Row],[Tour Ending Date]], "dddd"), "")</f>
        <v>Monday</v>
      </c>
      <c r="U138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1 Night &amp; 2 Days</v>
      </c>
      <c r="V138" s="37" t="str">
        <f>IF(Table5[[#This Row],[Tour Starting Date]]&lt;&gt;"", TEXT(Table5[[#This Row],[Tour Starting Date]], "mmmm"), "")</f>
        <v>July</v>
      </c>
      <c r="W138" s="80" t="str" cm="1">
        <f t="array" ref="W138">IF(Q138&lt;&gt;"", INDEX(CI:CI, MATCH(1, (Q138&gt;=CG:CG)*(Q138&lt;=CH:CH), 0)), "")</f>
        <v>Regular Dates - Weekend</v>
      </c>
      <c r="X138" s="39"/>
      <c r="Y138" s="74">
        <v>3800</v>
      </c>
      <c r="Z138" s="74" t="str">
        <f>IF(OR(Table5[[#This Row],[Per Person Package Cost]]="", Table5[[#This Row],[No. of Pax]]=""), "", Table5[[#This Row],[Per Person Package Cost]] * Table5[[#This Row],[No. of Pax]])</f>
        <v/>
      </c>
      <c r="AA138" s="52" t="s">
        <v>509</v>
      </c>
      <c r="AB138" s="52" t="s">
        <v>509</v>
      </c>
      <c r="AC138" s="52"/>
      <c r="AD138" s="52"/>
      <c r="AE138" s="51" t="str">
        <f t="shared" si="9"/>
        <v/>
      </c>
      <c r="AF138" s="51" t="str">
        <f t="shared" si="10"/>
        <v/>
      </c>
      <c r="AG138" s="74" t="str">
        <f t="shared" si="11"/>
        <v/>
      </c>
      <c r="AH138" s="73" t="str">
        <f t="shared" si="8"/>
        <v/>
      </c>
      <c r="AI138" s="52" t="s">
        <v>107</v>
      </c>
      <c r="AJ138" s="56" t="s">
        <v>78</v>
      </c>
      <c r="AK138" s="59" t="s">
        <v>79</v>
      </c>
      <c r="AL138" s="60" t="s">
        <v>80</v>
      </c>
      <c r="AM138" s="54" t="s">
        <v>80</v>
      </c>
      <c r="AN138" s="14">
        <v>46205</v>
      </c>
      <c r="AO138" s="15"/>
      <c r="AP138" s="91"/>
      <c r="AQ138" s="87"/>
      <c r="AR138" s="26"/>
      <c r="AS138" s="65"/>
      <c r="AT138" s="88" t="s">
        <v>85</v>
      </c>
      <c r="AU138" s="67"/>
      <c r="BX138" s="1">
        <v>134</v>
      </c>
      <c r="CN138" t="s">
        <v>1262</v>
      </c>
      <c r="CU138" t="s">
        <v>92</v>
      </c>
      <c r="CV138" t="s">
        <v>348</v>
      </c>
      <c r="CW138" t="s">
        <v>1263</v>
      </c>
      <c r="CX138" s="124" t="s">
        <v>1264</v>
      </c>
      <c r="CY138" t="s">
        <v>243</v>
      </c>
      <c r="CZ138" s="124" t="s">
        <v>1265</v>
      </c>
      <c r="DA138" t="str" cm="1">
        <f t="array" ref="DA138:DH138">IF(U138&lt;&gt;"", TRANSPOSE(_xlfn._xlws.FILTER(CZ:CZ, CY:CY=U138, "")), "")</f>
        <v>Gwl (1N)</v>
      </c>
      <c r="DB138" t="str">
        <v>Ex Idr | Idr - Ujj (1N) - Idr</v>
      </c>
      <c r="DC138" t="str">
        <v>Ex Idr | Idr - Ujj (1N) - Omk - Idr</v>
      </c>
      <c r="DD138" t="str">
        <v>Ex Idr | Idr - Ujj (1N) - Omk - Mah - Idr</v>
      </c>
      <c r="DE138" t="str">
        <v>Ex Idr | Ujj (1N) - Idr + HDCT</v>
      </c>
      <c r="DF138" t="str">
        <v>Ex Idr | Idr (1N)</v>
      </c>
      <c r="DG138" t="str">
        <v>Khandwa - Omk (1N) - Idr HDCT</v>
      </c>
      <c r="DH138" t="str">
        <v>Ex Ujj | Ujj (1N)</v>
      </c>
    </row>
    <row r="139" spans="2:145" ht="15" customHeight="1">
      <c r="B139" s="34">
        <v>135</v>
      </c>
      <c r="C139" s="36" t="s">
        <v>1266</v>
      </c>
      <c r="D139" s="76">
        <v>46202</v>
      </c>
      <c r="E139" s="37" t="str">
        <f>IF(Table5[[#This Row],[Query Date]]&lt;&gt;"", TEXT(Table5[[#This Row],[Query Date]], "dddd"), "")</f>
        <v>Monday</v>
      </c>
      <c r="F139" s="37" t="str">
        <f>IF(Table5[[#This Row],[Query Date]]&lt;&gt;"", TEXT(Table5[[#This Row],[Query Date]], "mmmm"), "")</f>
        <v>June</v>
      </c>
      <c r="G139" s="28" t="s">
        <v>65</v>
      </c>
      <c r="H139" s="28" t="s">
        <v>66</v>
      </c>
      <c r="I139" s="28" t="s">
        <v>67</v>
      </c>
      <c r="J139" s="28" t="s">
        <v>68</v>
      </c>
      <c r="K139" s="28" t="s">
        <v>128</v>
      </c>
      <c r="L139" s="25" t="s">
        <v>70</v>
      </c>
      <c r="M139" s="112" t="s">
        <v>295</v>
      </c>
      <c r="N139" s="25" t="s">
        <v>1267</v>
      </c>
      <c r="O139" s="130" t="s">
        <v>1268</v>
      </c>
      <c r="P139" s="106" t="s">
        <v>1269</v>
      </c>
      <c r="Q139" s="77">
        <v>46390</v>
      </c>
      <c r="R139" s="77" t="str">
        <f>IF(Table5[[#This Row],[Tour Starting Date]]&lt;&gt;"", TEXT(Table5[[#This Row],[Tour Starting Date]], "dddd"), "")</f>
        <v>Sunday</v>
      </c>
      <c r="S139" s="77">
        <v>46392</v>
      </c>
      <c r="T139" s="25" t="str">
        <f>IF(Table5[[#This Row],[Tour Ending Date]]&lt;&gt;"", TEXT(Table5[[#This Row],[Tour Ending Date]], "dddd"), "")</f>
        <v>Tuesday</v>
      </c>
      <c r="U139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139" s="37" t="str">
        <f>IF(Table5[[#This Row],[Tour Starting Date]]&lt;&gt;"", TEXT(Table5[[#This Row],[Tour Starting Date]], "mmmm"), "")</f>
        <v>January</v>
      </c>
      <c r="W139" s="80" t="str" cm="1">
        <f t="array" ref="W139">IF(Q139&lt;&gt;"", INDEX(CI:CI, MATCH(1, (Q139&gt;=CG:CG)*(Q139&lt;=CH:CH), 0)), "")</f>
        <v>Long Weekend - New Year</v>
      </c>
      <c r="X139" s="39">
        <v>5</v>
      </c>
      <c r="Y139" s="74">
        <v>25000</v>
      </c>
      <c r="Z139" s="74">
        <f>IF(OR(Table5[[#This Row],[Per Person Package Cost]]="", Table5[[#This Row],[No. of Pax]]=""), "", Table5[[#This Row],[Per Person Package Cost]] * Table5[[#This Row],[No. of Pax]])</f>
        <v>125000</v>
      </c>
      <c r="AA139" s="52" t="s">
        <v>75</v>
      </c>
      <c r="AB139" s="52" t="s">
        <v>75</v>
      </c>
      <c r="AC139" s="52" t="s">
        <v>240</v>
      </c>
      <c r="AD139" s="52" t="s">
        <v>106</v>
      </c>
      <c r="AE139" s="51" t="str">
        <f t="shared" si="9"/>
        <v>EXIDR04</v>
      </c>
      <c r="AF139" s="51" t="str">
        <f t="shared" si="10"/>
        <v>Heritage Pilgrimage</v>
      </c>
      <c r="AG139" s="74" t="str">
        <f t="shared" si="11"/>
        <v>Quick Getaways</v>
      </c>
      <c r="AH139" s="73" t="str">
        <f t="shared" si="8"/>
        <v>West MP</v>
      </c>
      <c r="AI139" s="52" t="s">
        <v>107</v>
      </c>
      <c r="AJ139" s="56" t="s">
        <v>78</v>
      </c>
      <c r="AK139" s="59" t="s">
        <v>79</v>
      </c>
      <c r="AL139" s="60" t="s">
        <v>80</v>
      </c>
      <c r="AM139" s="54" t="s">
        <v>80</v>
      </c>
      <c r="AN139" s="14">
        <v>46205</v>
      </c>
      <c r="AO139" s="15">
        <v>46240</v>
      </c>
      <c r="AP139" s="91">
        <v>46248</v>
      </c>
      <c r="AQ139" s="87"/>
      <c r="AR139" s="26"/>
      <c r="AS139" s="65"/>
      <c r="AT139" s="88" t="s">
        <v>138</v>
      </c>
      <c r="AU139" s="67"/>
      <c r="BX139" s="1">
        <v>135</v>
      </c>
      <c r="CN139" t="s">
        <v>1270</v>
      </c>
      <c r="CU139" t="s">
        <v>92</v>
      </c>
      <c r="CV139" t="s">
        <v>121</v>
      </c>
      <c r="CW139" t="s">
        <v>1271</v>
      </c>
      <c r="CX139" s="124" t="s">
        <v>1205</v>
      </c>
      <c r="CY139" t="s">
        <v>125</v>
      </c>
      <c r="CZ139" s="124" t="s">
        <v>1272</v>
      </c>
      <c r="DA139" t="str" cm="1">
        <f t="array" ref="DA139:DY139">IF(U139&lt;&gt;"", TRANSPOSE(_xlfn._xlws.FILTER(CZ:CZ, CY:CY=U139, "")), "")</f>
        <v>Gwl (2N) + Mor</v>
      </c>
      <c r="DB139" t="str">
        <v>Ex Idr | Idr - Ujj (1N) - Omk - Mah (1N) - Man - Idr</v>
      </c>
      <c r="DC139" t="str">
        <v>Ujj (1N) - Omk - Idr (1N)</v>
      </c>
      <c r="DD139" t="str">
        <v>Ex Jlr | Jlr - Kan (2N) - Jlr</v>
      </c>
      <c r="DE139" t="str">
        <v>Ex Jlr | Jlr - Ban (2N) - Jlr</v>
      </c>
      <c r="DF139" t="str">
        <v>Ex Bho | Bho (2N) + Bhim + Bhoj + San</v>
      </c>
      <c r="DG139" t="str">
        <v>Ex Idr | Idr - Man (2N) - Idr</v>
      </c>
      <c r="DH139" t="str">
        <v>Ex Jlr | Jlr - Kan (2N) - Jlr</v>
      </c>
      <c r="DI139" t="str">
        <v>Ex Bho | Bho (2N) + Bhim + Bhoj + San + HDCT Bho</v>
      </c>
      <c r="DJ139" t="str">
        <v>Ex Bho | Bho - Bhim - Tawa (1N) - Mad (1N) - Bho</v>
      </c>
      <c r="DK139" t="str">
        <v>Ujj (1N) - Omk - Mah (1N) - Idr</v>
      </c>
      <c r="DL139" t="str">
        <v>Ujj (1N) -  Idr (1N)</v>
      </c>
      <c r="DM139" t="str">
        <v>Ex Idr | Idr (2N) + Ujj + Omk + Mah</v>
      </c>
      <c r="DN139" t="str">
        <v>Idr - Mah - Omk (1N) - Ujj (1N)</v>
      </c>
      <c r="DO139" t="str">
        <v>Idr - Ujj (1N) - Mah - Omk (1N) - Khandwa</v>
      </c>
      <c r="DP139" t="str">
        <v>Ex Idr | Idr (EX Ujj) (1N) - Mah - Omk (1N) - Idr HDCT</v>
      </c>
      <c r="DQ139" t="str">
        <v>Ujj (1N) - Sehor - Bho (1N) HDCT</v>
      </c>
      <c r="DR139" t="str">
        <v>Ex Jlr | Jlr (1N) - Ban (1N)</v>
      </c>
      <c r="DS139" t="str">
        <v>Ex Jlr | Ban (1N)</v>
      </c>
      <c r="DT139" t="str">
        <v>Ex Jlr | Jlr (2 N) Kan</v>
      </c>
      <c r="DU139" t="str">
        <v>Ex Jlr | Jlr - Amr (1 N) - (1 N) Ban</v>
      </c>
      <c r="DV139" t="str">
        <v>Ex Rpr | Rpr - (2N) Kan</v>
      </c>
      <c r="DW139" t="str">
        <v>Hjr (1N) - Mahi (1N) - Sat</v>
      </c>
      <c r="DX139" t="str">
        <v>Ex Bhp | Bhp - Bhim - Pch (2N) - Bhp</v>
      </c>
      <c r="DY139" t="str">
        <v xml:space="preserve">Ex Ujj I 2N Ujj </v>
      </c>
    </row>
    <row r="140" spans="2:145" ht="15" customHeight="1">
      <c r="B140" s="35">
        <v>136</v>
      </c>
      <c r="C140" s="36" t="s">
        <v>1273</v>
      </c>
      <c r="D140" s="76">
        <v>46203</v>
      </c>
      <c r="E140" s="37" t="str">
        <f>IF(Table5[[#This Row],[Query Date]]&lt;&gt;"", TEXT(Table5[[#This Row],[Query Date]], "dddd"), "")</f>
        <v>Tuesday</v>
      </c>
      <c r="F140" s="37" t="str">
        <f>IF(Table5[[#This Row],[Query Date]]&lt;&gt;"", TEXT(Table5[[#This Row],[Query Date]], "mmmm"), "")</f>
        <v>June</v>
      </c>
      <c r="G140" s="28" t="s">
        <v>113</v>
      </c>
      <c r="H140" s="28" t="s">
        <v>66</v>
      </c>
      <c r="I140" s="28" t="s">
        <v>67</v>
      </c>
      <c r="J140" s="28" t="s">
        <v>145</v>
      </c>
      <c r="K140" s="28"/>
      <c r="L140" s="25" t="s">
        <v>160</v>
      </c>
      <c r="M140" s="112" t="s">
        <v>90</v>
      </c>
      <c r="N140" s="25" t="s">
        <v>1274</v>
      </c>
      <c r="O140" s="130"/>
      <c r="P140" s="46"/>
      <c r="Q140" s="77">
        <v>46205</v>
      </c>
      <c r="R140" s="77" t="str">
        <f>IF(Table5[[#This Row],[Tour Starting Date]]&lt;&gt;"", TEXT(Table5[[#This Row],[Tour Starting Date]], "dddd"), "")</f>
        <v>Thursday</v>
      </c>
      <c r="S140" s="77">
        <v>46205</v>
      </c>
      <c r="T140" s="25" t="str">
        <f>IF(Table5[[#This Row],[Tour Ending Date]]&lt;&gt;"", TEXT(Table5[[#This Row],[Tour Ending Date]], "dddd"), "")</f>
        <v>Thursday</v>
      </c>
      <c r="U140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0 Nights &amp; 1 Days</v>
      </c>
      <c r="V140" s="37" t="str">
        <f>IF(Table5[[#This Row],[Tour Starting Date]]&lt;&gt;"", TEXT(Table5[[#This Row],[Tour Starting Date]], "mmmm"), "")</f>
        <v>July</v>
      </c>
      <c r="W140" s="80" t="str" cm="1">
        <f t="array" ref="W140">IF(Q140&lt;&gt;"", INDEX(CI:CI, MATCH(1, (Q140&gt;=CG:CG)*(Q140&lt;=CH:CH), 0)), "")</f>
        <v>Regular Dates - Weekday</v>
      </c>
      <c r="X140" s="39">
        <v>1</v>
      </c>
      <c r="Y140" s="74">
        <v>10500</v>
      </c>
      <c r="Z140" s="74">
        <f>IF(OR(Table5[[#This Row],[Per Person Package Cost]]="", Table5[[#This Row],[No. of Pax]]=""), "", Table5[[#This Row],[Per Person Package Cost]] * Table5[[#This Row],[No. of Pax]])</f>
        <v>10500</v>
      </c>
      <c r="AA140" s="52" t="s">
        <v>590</v>
      </c>
      <c r="AB140" s="52" t="s">
        <v>306</v>
      </c>
      <c r="AC140" s="52" t="s">
        <v>240</v>
      </c>
      <c r="AD140" s="52"/>
      <c r="AE140" s="51" t="str">
        <f t="shared" si="9"/>
        <v/>
      </c>
      <c r="AF140" s="51" t="str">
        <f t="shared" si="10"/>
        <v/>
      </c>
      <c r="AG140" s="74" t="str">
        <f t="shared" si="11"/>
        <v/>
      </c>
      <c r="AH140" s="73" t="str">
        <f t="shared" si="8"/>
        <v/>
      </c>
      <c r="AI140" s="52" t="s">
        <v>84</v>
      </c>
      <c r="AJ140" s="56" t="s">
        <v>115</v>
      </c>
      <c r="AK140" s="59" t="s">
        <v>79</v>
      </c>
      <c r="AL140" s="60" t="s">
        <v>80</v>
      </c>
      <c r="AM140" s="54" t="s">
        <v>80</v>
      </c>
      <c r="AN140" s="14">
        <v>46203</v>
      </c>
      <c r="AO140" s="15"/>
      <c r="AP140" s="91"/>
      <c r="AQ140" s="87"/>
      <c r="AR140" s="26"/>
      <c r="AS140" s="65"/>
      <c r="AT140" s="88" t="s">
        <v>85</v>
      </c>
      <c r="AU140" s="67"/>
      <c r="BX140" s="1">
        <v>136</v>
      </c>
      <c r="CN140" t="s">
        <v>1275</v>
      </c>
      <c r="CU140" t="s">
        <v>92</v>
      </c>
      <c r="CV140" t="s">
        <v>348</v>
      </c>
      <c r="CW140" t="s">
        <v>1276</v>
      </c>
      <c r="CX140" s="124" t="s">
        <v>1277</v>
      </c>
      <c r="CY140" t="s">
        <v>450</v>
      </c>
      <c r="CZ140" s="124" t="s">
        <v>1278</v>
      </c>
      <c r="DA140" t="str" cm="1">
        <f t="array" ref="DA140">IF(U140&lt;&gt;"", TRANSPOSE(_xlfn._xlws.FILTER(CZ:CZ, CY:CY=U140, "")), "")</f>
        <v/>
      </c>
    </row>
    <row r="141" spans="2:145" ht="15" customHeight="1">
      <c r="B141" s="34">
        <v>137</v>
      </c>
      <c r="C141" s="36" t="s">
        <v>1279</v>
      </c>
      <c r="D141" s="76">
        <v>46202</v>
      </c>
      <c r="E141" s="37" t="str">
        <f>IF(Table5[[#This Row],[Query Date]]&lt;&gt;"", TEXT(Table5[[#This Row],[Query Date]], "dddd"), "")</f>
        <v>Monday</v>
      </c>
      <c r="F141" s="37" t="str">
        <f>IF(Table5[[#This Row],[Query Date]]&lt;&gt;"", TEXT(Table5[[#This Row],[Query Date]], "mmmm"), "")</f>
        <v>June</v>
      </c>
      <c r="G141" s="28" t="s">
        <v>113</v>
      </c>
      <c r="H141" s="28" t="s">
        <v>66</v>
      </c>
      <c r="I141" s="28" t="s">
        <v>67</v>
      </c>
      <c r="J141" s="28" t="s">
        <v>68</v>
      </c>
      <c r="K141" s="28" t="s">
        <v>69</v>
      </c>
      <c r="L141" s="25" t="s">
        <v>160</v>
      </c>
      <c r="M141" s="112" t="s">
        <v>90</v>
      </c>
      <c r="N141" s="25" t="s">
        <v>1280</v>
      </c>
      <c r="O141" s="130" t="s">
        <v>1281</v>
      </c>
      <c r="P141" s="31"/>
      <c r="Q141" s="77">
        <v>46203</v>
      </c>
      <c r="R141" s="77" t="str">
        <f>IF(Table5[[#This Row],[Tour Starting Date]]&lt;&gt;"", TEXT(Table5[[#This Row],[Tour Starting Date]], "dddd"), "")</f>
        <v>Tuesday</v>
      </c>
      <c r="S141" s="77">
        <v>46205</v>
      </c>
      <c r="T141" s="25" t="str">
        <f>IF(Table5[[#This Row],[Tour Ending Date]]&lt;&gt;"", TEXT(Table5[[#This Row],[Tour Ending Date]], "dddd"), "")</f>
        <v>Thursday</v>
      </c>
      <c r="U141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141" s="37" t="str">
        <f>IF(Table5[[#This Row],[Tour Starting Date]]&lt;&gt;"", TEXT(Table5[[#This Row],[Tour Starting Date]], "mmmm"), "")</f>
        <v>June</v>
      </c>
      <c r="W141" s="80" t="str" cm="1">
        <f t="array" ref="W141">IF(Q141&lt;&gt;"", INDEX(CI:CI, MATCH(1, (Q141&gt;=CG:CG)*(Q141&lt;=CH:CH), 0)), "")</f>
        <v>Regular Dates - Weekday</v>
      </c>
      <c r="X141" s="39">
        <v>6</v>
      </c>
      <c r="Y141" s="74">
        <v>8900</v>
      </c>
      <c r="Z141" s="74">
        <f>IF(OR(Table5[[#This Row],[Per Person Package Cost]]="", Table5[[#This Row],[No. of Pax]]=""), "", Table5[[#This Row],[Per Person Package Cost]] * Table5[[#This Row],[No. of Pax]])</f>
        <v>53400</v>
      </c>
      <c r="AA141" s="52" t="s">
        <v>75</v>
      </c>
      <c r="AB141" s="52" t="s">
        <v>75</v>
      </c>
      <c r="AC141" s="52" t="s">
        <v>76</v>
      </c>
      <c r="AD141" s="52" t="s">
        <v>352</v>
      </c>
      <c r="AE141" s="51" t="str">
        <f t="shared" si="9"/>
        <v>EXIDR02</v>
      </c>
      <c r="AF141" s="51" t="str">
        <f t="shared" si="10"/>
        <v>Jyotirlinga Trails</v>
      </c>
      <c r="AG141" s="74" t="str">
        <f t="shared" si="11"/>
        <v>Quick Getaways</v>
      </c>
      <c r="AH141" s="73" t="str">
        <f t="shared" si="8"/>
        <v>West MP</v>
      </c>
      <c r="AI141" s="52" t="s">
        <v>77</v>
      </c>
      <c r="AJ141" s="56" t="s">
        <v>115</v>
      </c>
      <c r="AK141" s="59" t="s">
        <v>79</v>
      </c>
      <c r="AL141" s="60" t="s">
        <v>80</v>
      </c>
      <c r="AM141" s="54" t="s">
        <v>80</v>
      </c>
      <c r="AN141" s="14">
        <v>46205</v>
      </c>
      <c r="AO141" s="15"/>
      <c r="AP141" s="91"/>
      <c r="AQ141" s="87"/>
      <c r="AR141" s="26"/>
      <c r="AS141" s="65"/>
      <c r="AT141" s="88" t="s">
        <v>138</v>
      </c>
      <c r="AU141" s="67"/>
      <c r="BX141" s="1">
        <v>137</v>
      </c>
      <c r="CN141" t="s">
        <v>1282</v>
      </c>
      <c r="CU141" t="s">
        <v>92</v>
      </c>
      <c r="CV141" t="s">
        <v>121</v>
      </c>
      <c r="CW141" t="s">
        <v>1283</v>
      </c>
      <c r="CX141" s="124" t="s">
        <v>1284</v>
      </c>
      <c r="CY141" t="s">
        <v>197</v>
      </c>
      <c r="CZ141" s="124" t="s">
        <v>1285</v>
      </c>
      <c r="DA141" t="str" cm="1">
        <f t="array" ref="DA141:DY141">IF(U141&lt;&gt;"", TRANSPOSE(_xlfn._xlws.FILTER(CZ:CZ, CY:CY=U141, "")), "")</f>
        <v>Gwl (2N) + Mor</v>
      </c>
      <c r="DB141" t="str">
        <v>Ex Idr | Idr - Ujj (1N) - Omk - Mah (1N) - Man - Idr</v>
      </c>
      <c r="DC141" t="str">
        <v>Ujj (1N) - Omk - Idr (1N)</v>
      </c>
      <c r="DD141" t="str">
        <v>Ex Jlr | Jlr - Kan (2N) - Jlr</v>
      </c>
      <c r="DE141" t="str">
        <v>Ex Jlr | Jlr - Ban (2N) - Jlr</v>
      </c>
      <c r="DF141" t="str">
        <v>Ex Bho | Bho (2N) + Bhim + Bhoj + San</v>
      </c>
      <c r="DG141" t="str">
        <v>Ex Idr | Idr - Man (2N) - Idr</v>
      </c>
      <c r="DH141" t="str">
        <v>Ex Jlr | Jlr - Kan (2N) - Jlr</v>
      </c>
      <c r="DI141" t="str">
        <v>Ex Bho | Bho (2N) + Bhim + Bhoj + San + HDCT Bho</v>
      </c>
      <c r="DJ141" t="str">
        <v>Ex Bho | Bho - Bhim - Tawa (1N) - Mad (1N) - Bho</v>
      </c>
      <c r="DK141" t="str">
        <v>Ujj (1N) - Omk - Mah (1N) - Idr</v>
      </c>
      <c r="DL141" t="str">
        <v>Ujj (1N) -  Idr (1N)</v>
      </c>
      <c r="DM141" t="str">
        <v>Ex Idr | Idr (2N) + Ujj + Omk + Mah</v>
      </c>
      <c r="DN141" t="str">
        <v>Idr - Mah - Omk (1N) - Ujj (1N)</v>
      </c>
      <c r="DO141" t="str">
        <v>Idr - Ujj (1N) - Mah - Omk (1N) - Khandwa</v>
      </c>
      <c r="DP141" t="str">
        <v>Ex Idr | Idr (EX Ujj) (1N) - Mah - Omk (1N) - Idr HDCT</v>
      </c>
      <c r="DQ141" t="str">
        <v>Ujj (1N) - Sehor - Bho (1N) HDCT</v>
      </c>
      <c r="DR141" t="str">
        <v>Ex Jlr | Jlr (1N) - Ban (1N)</v>
      </c>
      <c r="DS141" t="str">
        <v>Ex Jlr | Ban (1N)</v>
      </c>
      <c r="DT141" t="str">
        <v>Ex Jlr | Jlr (2 N) Kan</v>
      </c>
      <c r="DU141" t="str">
        <v>Ex Jlr | Jlr - Amr (1 N) - (1 N) Ban</v>
      </c>
      <c r="DV141" t="str">
        <v>Ex Rpr | Rpr - (2N) Kan</v>
      </c>
      <c r="DW141" t="str">
        <v>Hjr (1N) - Mahi (1N) - Sat</v>
      </c>
      <c r="DX141" t="str">
        <v>Ex Bhp | Bhp - Bhim - Pch (2N) - Bhp</v>
      </c>
      <c r="DY141" t="str">
        <v xml:space="preserve">Ex Ujj I 2N Ujj </v>
      </c>
    </row>
    <row r="142" spans="2:145" ht="15" customHeight="1">
      <c r="B142" s="35">
        <v>138</v>
      </c>
      <c r="C142" s="36" t="s">
        <v>1286</v>
      </c>
      <c r="D142" s="76">
        <v>46202</v>
      </c>
      <c r="E142" s="37" t="str">
        <f>IF(Table5[[#This Row],[Query Date]]&lt;&gt;"", TEXT(Table5[[#This Row],[Query Date]], "dddd"), "")</f>
        <v>Monday</v>
      </c>
      <c r="F142" s="37" t="str">
        <f>IF(Table5[[#This Row],[Query Date]]&lt;&gt;"", TEXT(Table5[[#This Row],[Query Date]], "mmmm"), "")</f>
        <v>June</v>
      </c>
      <c r="G142" s="28" t="s">
        <v>113</v>
      </c>
      <c r="H142" s="28" t="s">
        <v>66</v>
      </c>
      <c r="I142" s="28" t="s">
        <v>67</v>
      </c>
      <c r="J142" s="28" t="s">
        <v>68</v>
      </c>
      <c r="K142" s="28" t="s">
        <v>644</v>
      </c>
      <c r="L142" s="25" t="s">
        <v>160</v>
      </c>
      <c r="M142" s="112" t="s">
        <v>90</v>
      </c>
      <c r="N142" s="25" t="s">
        <v>1287</v>
      </c>
      <c r="O142" s="130" t="s">
        <v>1288</v>
      </c>
      <c r="P142" s="46"/>
      <c r="Q142" s="77">
        <v>46208</v>
      </c>
      <c r="R142" s="77" t="str">
        <f>IF(Table5[[#This Row],[Tour Starting Date]]&lt;&gt;"", TEXT(Table5[[#This Row],[Tour Starting Date]], "dddd"), "")</f>
        <v>Sunday</v>
      </c>
      <c r="S142" s="77">
        <v>46210</v>
      </c>
      <c r="T142" s="25" t="str">
        <f>IF(Table5[[#This Row],[Tour Ending Date]]&lt;&gt;"", TEXT(Table5[[#This Row],[Tour Ending Date]], "dddd"), "")</f>
        <v>Tuesday</v>
      </c>
      <c r="U142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142" s="37" t="str">
        <f>IF(Table5[[#This Row],[Tour Starting Date]]&lt;&gt;"", TEXT(Table5[[#This Row],[Tour Starting Date]], "mmmm"), "")</f>
        <v>July</v>
      </c>
      <c r="W142" s="80" t="str" cm="1">
        <f t="array" ref="W142">IF(Q142&lt;&gt;"", INDEX(CI:CI, MATCH(1, (Q142&gt;=CG:CG)*(Q142&lt;=CH:CH), 0)), "")</f>
        <v>Regular Dates - Weekend</v>
      </c>
      <c r="X142" s="39">
        <v>3</v>
      </c>
      <c r="Y142" s="74">
        <v>8100</v>
      </c>
      <c r="Z142" s="74">
        <f>IF(OR(Table5[[#This Row],[Per Person Package Cost]]="", Table5[[#This Row],[No. of Pax]]=""), "", Table5[[#This Row],[Per Person Package Cost]] * Table5[[#This Row],[No. of Pax]])</f>
        <v>24300</v>
      </c>
      <c r="AA142" s="52" t="s">
        <v>205</v>
      </c>
      <c r="AB142" s="52" t="s">
        <v>75</v>
      </c>
      <c r="AC142" s="52" t="s">
        <v>76</v>
      </c>
      <c r="AD142" s="52" t="s">
        <v>352</v>
      </c>
      <c r="AE142" s="51" t="str">
        <f t="shared" si="9"/>
        <v>EXIDR02</v>
      </c>
      <c r="AF142" s="51" t="str">
        <f t="shared" si="10"/>
        <v>Jyotirlinga Trails</v>
      </c>
      <c r="AG142" s="74" t="str">
        <f t="shared" si="11"/>
        <v>Quick Getaways</v>
      </c>
      <c r="AH142" s="73" t="str">
        <f t="shared" si="8"/>
        <v>West MP</v>
      </c>
      <c r="AI142" s="52" t="s">
        <v>77</v>
      </c>
      <c r="AJ142" s="56" t="s">
        <v>115</v>
      </c>
      <c r="AK142" s="59" t="s">
        <v>79</v>
      </c>
      <c r="AL142" s="60" t="s">
        <v>80</v>
      </c>
      <c r="AM142" s="54" t="s">
        <v>80</v>
      </c>
      <c r="AN142" s="14">
        <v>46205</v>
      </c>
      <c r="AO142" s="15"/>
      <c r="AP142" s="91"/>
      <c r="AQ142" s="87"/>
      <c r="AR142" s="26"/>
      <c r="AS142" s="65"/>
      <c r="AT142" s="88" t="s">
        <v>81</v>
      </c>
      <c r="AU142" s="67"/>
      <c r="BX142" s="1">
        <v>138</v>
      </c>
      <c r="CN142" t="s">
        <v>1289</v>
      </c>
      <c r="CU142" t="s">
        <v>92</v>
      </c>
      <c r="CV142" t="s">
        <v>91</v>
      </c>
      <c r="CW142" t="s">
        <v>1290</v>
      </c>
      <c r="CX142" s="124" t="s">
        <v>1291</v>
      </c>
      <c r="CY142" t="s">
        <v>151</v>
      </c>
      <c r="CZ142" s="124" t="s">
        <v>1292</v>
      </c>
      <c r="DA142" t="str" cm="1">
        <f t="array" ref="DA142:DY142">IF(U142&lt;&gt;"", TRANSPOSE(_xlfn._xlws.FILTER(CZ:CZ, CY:CY=U142, "")), "")</f>
        <v>Gwl (2N) + Mor</v>
      </c>
      <c r="DB142" t="str">
        <v>Ex Idr | Idr - Ujj (1N) - Omk - Mah (1N) - Man - Idr</v>
      </c>
      <c r="DC142" t="str">
        <v>Ujj (1N) - Omk - Idr (1N)</v>
      </c>
      <c r="DD142" t="str">
        <v>Ex Jlr | Jlr - Kan (2N) - Jlr</v>
      </c>
      <c r="DE142" t="str">
        <v>Ex Jlr | Jlr - Ban (2N) - Jlr</v>
      </c>
      <c r="DF142" t="str">
        <v>Ex Bho | Bho (2N) + Bhim + Bhoj + San</v>
      </c>
      <c r="DG142" t="str">
        <v>Ex Idr | Idr - Man (2N) - Idr</v>
      </c>
      <c r="DH142" t="str">
        <v>Ex Jlr | Jlr - Kan (2N) - Jlr</v>
      </c>
      <c r="DI142" t="str">
        <v>Ex Bho | Bho (2N) + Bhim + Bhoj + San + HDCT Bho</v>
      </c>
      <c r="DJ142" t="str">
        <v>Ex Bho | Bho - Bhim - Tawa (1N) - Mad (1N) - Bho</v>
      </c>
      <c r="DK142" t="str">
        <v>Ujj (1N) - Omk - Mah (1N) - Idr</v>
      </c>
      <c r="DL142" t="str">
        <v>Ujj (1N) -  Idr (1N)</v>
      </c>
      <c r="DM142" t="str">
        <v>Ex Idr | Idr (2N) + Ujj + Omk + Mah</v>
      </c>
      <c r="DN142" t="str">
        <v>Idr - Mah - Omk (1N) - Ujj (1N)</v>
      </c>
      <c r="DO142" t="str">
        <v>Idr - Ujj (1N) - Mah - Omk (1N) - Khandwa</v>
      </c>
      <c r="DP142" t="str">
        <v>Ex Idr | Idr (EX Ujj) (1N) - Mah - Omk (1N) - Idr HDCT</v>
      </c>
      <c r="DQ142" t="str">
        <v>Ujj (1N) - Sehor - Bho (1N) HDCT</v>
      </c>
      <c r="DR142" t="str">
        <v>Ex Jlr | Jlr (1N) - Ban (1N)</v>
      </c>
      <c r="DS142" t="str">
        <v>Ex Jlr | Ban (1N)</v>
      </c>
      <c r="DT142" t="str">
        <v>Ex Jlr | Jlr (2 N) Kan</v>
      </c>
      <c r="DU142" t="str">
        <v>Ex Jlr | Jlr - Amr (1 N) - (1 N) Ban</v>
      </c>
      <c r="DV142" t="str">
        <v>Ex Rpr | Rpr - (2N) Kan</v>
      </c>
      <c r="DW142" t="str">
        <v>Hjr (1N) - Mahi (1N) - Sat</v>
      </c>
      <c r="DX142" t="str">
        <v>Ex Bhp | Bhp - Bhim - Pch (2N) - Bhp</v>
      </c>
      <c r="DY142" t="str">
        <v xml:space="preserve">Ex Ujj I 2N Ujj </v>
      </c>
    </row>
    <row r="143" spans="2:145" ht="15" customHeight="1">
      <c r="B143" s="34">
        <v>139</v>
      </c>
      <c r="C143" s="36" t="s">
        <v>1293</v>
      </c>
      <c r="D143" s="76">
        <v>46202</v>
      </c>
      <c r="E143" s="37" t="str">
        <f>IF(Table5[[#This Row],[Query Date]]&lt;&gt;"", TEXT(Table5[[#This Row],[Query Date]], "dddd"), "")</f>
        <v>Monday</v>
      </c>
      <c r="F143" s="37" t="str">
        <f>IF(Table5[[#This Row],[Query Date]]&lt;&gt;"", TEXT(Table5[[#This Row],[Query Date]], "mmmm"), "")</f>
        <v>June</v>
      </c>
      <c r="G143" s="28" t="s">
        <v>113</v>
      </c>
      <c r="H143" s="28" t="s">
        <v>66</v>
      </c>
      <c r="I143" s="28" t="s">
        <v>67</v>
      </c>
      <c r="J143" s="28" t="s">
        <v>68</v>
      </c>
      <c r="K143" s="28" t="s">
        <v>69</v>
      </c>
      <c r="L143" s="25" t="s">
        <v>160</v>
      </c>
      <c r="M143" s="112" t="s">
        <v>90</v>
      </c>
      <c r="N143" s="25" t="s">
        <v>1294</v>
      </c>
      <c r="O143" s="130" t="s">
        <v>1295</v>
      </c>
      <c r="P143" s="106"/>
      <c r="Q143" s="77">
        <v>46266</v>
      </c>
      <c r="R143" s="77" t="str">
        <f>IF(Table5[[#This Row],[Tour Starting Date]]&lt;&gt;"", TEXT(Table5[[#This Row],[Tour Starting Date]], "dddd"), "")</f>
        <v>Tuesday</v>
      </c>
      <c r="S143" s="77">
        <v>46269</v>
      </c>
      <c r="T143" s="25" t="str">
        <f>IF(Table5[[#This Row],[Tour Ending Date]]&lt;&gt;"", TEXT(Table5[[#This Row],[Tour Ending Date]], "dddd"), "")</f>
        <v>Friday</v>
      </c>
      <c r="U143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143" s="37" t="str">
        <f>IF(Table5[[#This Row],[Tour Starting Date]]&lt;&gt;"", TEXT(Table5[[#This Row],[Tour Starting Date]], "mmmm"), "")</f>
        <v>September</v>
      </c>
      <c r="W143" s="80" t="str" cm="1">
        <f t="array" ref="W143">IF(Q143&lt;&gt;"", INDEX(CI:CI, MATCH(1, (Q143&gt;=CG:CG)*(Q143&lt;=CH:CH), 0)), "")</f>
        <v>Regular Dates - Weekday</v>
      </c>
      <c r="X143" s="39">
        <v>4</v>
      </c>
      <c r="Y143" s="74">
        <v>13500</v>
      </c>
      <c r="Z143" s="74">
        <f>IF(OR(Table5[[#This Row],[Per Person Package Cost]]="", Table5[[#This Row],[No. of Pax]]=""), "", Table5[[#This Row],[Per Person Package Cost]] * Table5[[#This Row],[No. of Pax]])</f>
        <v>54000</v>
      </c>
      <c r="AA143" s="52" t="s">
        <v>69</v>
      </c>
      <c r="AB143" s="52" t="s">
        <v>69</v>
      </c>
      <c r="AC143" s="52" t="s">
        <v>173</v>
      </c>
      <c r="AD143" s="52"/>
      <c r="AE143" s="51" t="str">
        <f t="shared" si="9"/>
        <v/>
      </c>
      <c r="AF143" s="51" t="str">
        <f t="shared" si="10"/>
        <v/>
      </c>
      <c r="AG143" s="74" t="str">
        <f t="shared" si="11"/>
        <v/>
      </c>
      <c r="AH143" s="73" t="str">
        <f t="shared" si="8"/>
        <v/>
      </c>
      <c r="AI143" s="52" t="s">
        <v>77</v>
      </c>
      <c r="AJ143" s="56" t="s">
        <v>115</v>
      </c>
      <c r="AK143" s="59" t="s">
        <v>79</v>
      </c>
      <c r="AL143" s="60" t="s">
        <v>80</v>
      </c>
      <c r="AM143" s="54" t="s">
        <v>80</v>
      </c>
      <c r="AN143" s="14">
        <v>46205</v>
      </c>
      <c r="AO143" s="15"/>
      <c r="AP143" s="91"/>
      <c r="AQ143" s="87"/>
      <c r="AR143" s="26"/>
      <c r="AS143" s="65"/>
      <c r="AT143" s="88" t="s">
        <v>138</v>
      </c>
      <c r="AU143" s="67"/>
      <c r="BX143" s="1">
        <v>139</v>
      </c>
      <c r="CN143" t="s">
        <v>1296</v>
      </c>
      <c r="CU143" t="s">
        <v>92</v>
      </c>
      <c r="CV143" t="s">
        <v>91</v>
      </c>
      <c r="CW143" t="s">
        <v>1297</v>
      </c>
      <c r="CX143" s="124" t="s">
        <v>1298</v>
      </c>
      <c r="CY143" t="s">
        <v>197</v>
      </c>
      <c r="CZ143" s="124" t="s">
        <v>1299</v>
      </c>
      <c r="DA143" t="str" cm="1">
        <f t="array" ref="DA143:EO143">IF(U143&lt;&gt;"", TRANSPOSE(_xlfn._xlws.FILTER(CZ:CZ, CY:CY=U143, "")), "")</f>
        <v>Gwl (3N) + Mor + Son + Dat + Orc</v>
      </c>
      <c r="DB143" t="str">
        <v>Ex Gwl | Gwl (1N) - Son - Dat - Orc (1N) - Gwl (1N)</v>
      </c>
      <c r="DC143" t="str">
        <v>Ex Idr | Idr - Ujj (1N) - Omk - Mah (1N) - Man (1N) - Idr</v>
      </c>
      <c r="DD143" t="str">
        <v>Ex Jlr | Jlr - Kan (2N) - Jlr (1N)</v>
      </c>
      <c r="DE143" t="str">
        <v>Ex Jlr | Jlr - Ban (2N) - Jlr (1N)</v>
      </c>
      <c r="DF143" t="str">
        <v>Ex Bho | Bho (1N) + San - Bhoj - Bhim - Pch (2N) - Bho</v>
      </c>
      <c r="DG143" t="str">
        <v>Ex Idr | Idr (1N) - Ujj (1N) - Omk (1N) - Mah - Idr</v>
      </c>
      <c r="DH143" t="str">
        <v>Gwl - Orc (1N) - Ckt (1N) - Myr (1N) - Jlr</v>
      </c>
      <c r="DI143" t="str">
        <v>Gwl - Orc (1N) - Ckt (2N) - Ixd</v>
      </c>
      <c r="DJ143" t="str">
        <v>Ex Idr | Idr - Ujj (1N) - Omk - Mah (1N) - Idr (1N)</v>
      </c>
      <c r="DK143" t="str">
        <v>Ex Jlr | Jlr - Kan (3N) - Jlr</v>
      </c>
      <c r="DL143" t="str">
        <v>Ex Bho | Bho (2N) + Bhim + Bhoj + San + Udaygiri + Vidisha + FDCT Bho</v>
      </c>
      <c r="DM143" t="str">
        <v>Bho (1N) + Bhim + Bhoj - HDCT  Bho + Sanchi - Ujj (2N)</v>
      </c>
      <c r="DN143" t="str">
        <v>Bho (1N) + Bhim + Bhoj - HDCT  Bho + Sanchi - Ujj (2N) - Idr</v>
      </c>
      <c r="DO143" t="str">
        <v>Ex Bho | Bho - Bhoj - Bhim - Mad (1N) - Pch (2N) - Bho</v>
      </c>
      <c r="DP143" t="str">
        <v>Ex Bho | Bho - Bhoj - Bhim - Mad (1N) - Pch (3N) - Bho</v>
      </c>
      <c r="DQ143" t="str">
        <v>Ex Bho | Bho - Bhoj - Bhim - Tawa (1N) - Mad (1N) - Bho (1N)</v>
      </c>
      <c r="DR143" t="str">
        <v>Bho (1N) - Bhim - Bhoj - San - Idr (2N) + Ujj</v>
      </c>
      <c r="DS143" t="str">
        <v>Bho (1N) - Bhoj - Bhim - Pch (2N) - Bho</v>
      </c>
      <c r="DT143" t="str">
        <v>Ujj (1N) - Omk - Mah (1N) - Idr (1N)</v>
      </c>
      <c r="DU143" t="str">
        <v>Ujj (1N) - Omk - Mah (1N) - Man (1N) - Idr</v>
      </c>
      <c r="DV143" t="str">
        <v>Ex Idr | Idr (1N) - Ujj (1N) - Omk - Mah (1N)</v>
      </c>
      <c r="DW143" t="str">
        <v>Ex Idr | Idr - Ujj (1N) - Omk (1N) - Mah (1N) - Idr</v>
      </c>
      <c r="DX143" t="str">
        <v>Khandwa - Omk (1N) - Mah (1N) - Ujj (1N) - Idr</v>
      </c>
      <c r="DY143" t="str">
        <v>Ex Idr | Idr - Ujj (1N) - Omk - Mah (1N) - Man - Idr (1N)</v>
      </c>
      <c r="DZ143" t="str">
        <v xml:space="preserve">Idr - Omk (1N) - Mah - Ujj (1N) San - Bho (1N) </v>
      </c>
      <c r="EA143" t="str">
        <v>Ex Idr | Idr - Man (1N) - Mah - Omk (1N) - Ujj (1N) - Idr</v>
      </c>
      <c r="EB143" t="str">
        <v>Khandwa - Omk (1N) - Mah - Ujj (2N)</v>
      </c>
      <c r="EC143" t="str">
        <v>Ex Jlr | Jlr (1N) - Amr (1N) - Ban (1N) - Jlr</v>
      </c>
      <c r="ED143" t="str">
        <v>Ex Jlr | Jlr - (1 N) Ban - (2 N) Amar</v>
      </c>
      <c r="EE143" t="str">
        <v>Jlr - Kan (1N) - Pch (2N)</v>
      </c>
      <c r="EF143" t="str">
        <v>Pi - Pch (2N)  - Kan (1N)</v>
      </c>
      <c r="EG143" t="str">
        <v>Ex Jlr | Jlr - Amr (1 N) - (1 N) Ban - (1 N) Jlr</v>
      </c>
      <c r="EH143" t="str">
        <v>Ppi - (2 N) Pch - (1 N) Pen</v>
      </c>
      <c r="EI143" t="str">
        <v>Bhp - Pch (2N) - Jlr (1N)</v>
      </c>
      <c r="EJ143" t="str">
        <v xml:space="preserve">Arr Jhn - Hjr (1N) - Orc - Gwl (2N) </v>
      </c>
      <c r="EK143" t="str">
        <v>(1 N) Ujj - (1 N) Mah - (1 N) Idr</v>
      </c>
      <c r="EL143" t="str">
        <v>Ex Bhp | Bhp - Bhoj - Bhim - Pch (3N) - Bhp</v>
      </c>
      <c r="EM143" t="str">
        <v>Ex Bhp | Bhp - Bhoj - Bhim - Pch (2N) - Mad (1N) - Bhp</v>
      </c>
      <c r="EN143" t="str">
        <v xml:space="preserve">Ex Nag - 3N Pch + Sat </v>
      </c>
      <c r="EO143" t="str">
        <v>1N Gwl - Son - Dat - 1N Hjr - 1N Orc - Jhn</v>
      </c>
    </row>
    <row r="144" spans="2:145" ht="15" customHeight="1">
      <c r="B144" s="35">
        <v>140</v>
      </c>
      <c r="C144" s="36" t="s">
        <v>1300</v>
      </c>
      <c r="D144" s="76">
        <v>46202</v>
      </c>
      <c r="E144" s="37" t="str">
        <f>IF(Table5[[#This Row],[Query Date]]&lt;&gt;"", TEXT(Table5[[#This Row],[Query Date]], "dddd"), "")</f>
        <v>Monday</v>
      </c>
      <c r="F144" s="37" t="str">
        <f>IF(Table5[[#This Row],[Query Date]]&lt;&gt;"", TEXT(Table5[[#This Row],[Query Date]], "mmmm"), "")</f>
        <v>June</v>
      </c>
      <c r="G144" s="28" t="s">
        <v>113</v>
      </c>
      <c r="H144" s="28" t="s">
        <v>99</v>
      </c>
      <c r="I144" s="28" t="s">
        <v>67</v>
      </c>
      <c r="J144" s="28" t="s">
        <v>68</v>
      </c>
      <c r="K144" s="28" t="s">
        <v>128</v>
      </c>
      <c r="L144" s="25" t="s">
        <v>160</v>
      </c>
      <c r="M144" s="112" t="s">
        <v>90</v>
      </c>
      <c r="N144" s="25" t="s">
        <v>1301</v>
      </c>
      <c r="O144" s="130" t="s">
        <v>1302</v>
      </c>
      <c r="P144" s="46"/>
      <c r="Q144" s="77">
        <v>46205</v>
      </c>
      <c r="R144" s="77" t="str">
        <f>IF(Table5[[#This Row],[Tour Starting Date]]&lt;&gt;"", TEXT(Table5[[#This Row],[Tour Starting Date]], "dddd"), "")</f>
        <v>Thursday</v>
      </c>
      <c r="S144" s="77">
        <v>46207</v>
      </c>
      <c r="T144" s="25" t="str">
        <f>IF(Table5[[#This Row],[Tour Ending Date]]&lt;&gt;"", TEXT(Table5[[#This Row],[Tour Ending Date]], "dddd"), "")</f>
        <v>Saturday</v>
      </c>
      <c r="U144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144" s="37" t="str">
        <f>IF(Table5[[#This Row],[Tour Starting Date]]&lt;&gt;"", TEXT(Table5[[#This Row],[Tour Starting Date]], "mmmm"), "")</f>
        <v>July</v>
      </c>
      <c r="W144" s="80" t="str" cm="1">
        <f t="array" ref="W144">IF(Q144&lt;&gt;"", INDEX(CI:CI, MATCH(1, (Q144&gt;=CG:CG)*(Q144&lt;=CH:CH), 0)), "")</f>
        <v>Regular Dates - Weekday</v>
      </c>
      <c r="X144" s="39">
        <v>4</v>
      </c>
      <c r="Y144" s="74">
        <v>9800</v>
      </c>
      <c r="Z144" s="74">
        <f>IF(OR(Table5[[#This Row],[Per Person Package Cost]]="", Table5[[#This Row],[No. of Pax]]=""), "", Table5[[#This Row],[Per Person Package Cost]] * Table5[[#This Row],[No. of Pax]])</f>
        <v>39200</v>
      </c>
      <c r="AA144" s="52" t="s">
        <v>75</v>
      </c>
      <c r="AB144" s="52" t="s">
        <v>75</v>
      </c>
      <c r="AC144" s="52" t="s">
        <v>76</v>
      </c>
      <c r="AD144" s="52" t="s">
        <v>352</v>
      </c>
      <c r="AE144" s="51" t="str">
        <f t="shared" si="9"/>
        <v>EXIDR02</v>
      </c>
      <c r="AF144" s="51" t="str">
        <f t="shared" si="10"/>
        <v>Jyotirlinga Trails</v>
      </c>
      <c r="AG144" s="74" t="str">
        <f t="shared" si="11"/>
        <v>Quick Getaways</v>
      </c>
      <c r="AH144" s="73" t="str">
        <f t="shared" si="8"/>
        <v>West MP</v>
      </c>
      <c r="AI144" s="52" t="s">
        <v>77</v>
      </c>
      <c r="AJ144" s="56" t="s">
        <v>115</v>
      </c>
      <c r="AK144" s="59" t="s">
        <v>79</v>
      </c>
      <c r="AL144" s="60" t="s">
        <v>80</v>
      </c>
      <c r="AM144" s="54" t="s">
        <v>80</v>
      </c>
      <c r="AN144" s="14">
        <v>46205</v>
      </c>
      <c r="AO144" s="15"/>
      <c r="AP144" s="91"/>
      <c r="AQ144" s="87"/>
      <c r="AR144" s="26"/>
      <c r="AS144" s="65"/>
      <c r="AT144" s="88" t="s">
        <v>81</v>
      </c>
      <c r="AU144" s="67"/>
      <c r="BX144" s="1">
        <v>140</v>
      </c>
      <c r="CN144" t="s">
        <v>1303</v>
      </c>
      <c r="CU144" t="s">
        <v>92</v>
      </c>
      <c r="CV144" t="s">
        <v>193</v>
      </c>
      <c r="CW144" t="s">
        <v>1304</v>
      </c>
      <c r="CX144" s="124" t="s">
        <v>1305</v>
      </c>
      <c r="CY144" t="s">
        <v>197</v>
      </c>
      <c r="CZ144" s="124" t="s">
        <v>1306</v>
      </c>
      <c r="DA144" t="str" cm="1">
        <f t="array" ref="DA144:DY144">IF(U144&lt;&gt;"", TRANSPOSE(_xlfn._xlws.FILTER(CZ:CZ, CY:CY=U144, "")), "")</f>
        <v>Gwl (2N) + Mor</v>
      </c>
      <c r="DB144" t="str">
        <v>Ex Idr | Idr - Ujj (1N) - Omk - Mah (1N) - Man - Idr</v>
      </c>
      <c r="DC144" t="str">
        <v>Ujj (1N) - Omk - Idr (1N)</v>
      </c>
      <c r="DD144" t="str">
        <v>Ex Jlr | Jlr - Kan (2N) - Jlr</v>
      </c>
      <c r="DE144" t="str">
        <v>Ex Jlr | Jlr - Ban (2N) - Jlr</v>
      </c>
      <c r="DF144" t="str">
        <v>Ex Bho | Bho (2N) + Bhim + Bhoj + San</v>
      </c>
      <c r="DG144" t="str">
        <v>Ex Idr | Idr - Man (2N) - Idr</v>
      </c>
      <c r="DH144" t="str">
        <v>Ex Jlr | Jlr - Kan (2N) - Jlr</v>
      </c>
      <c r="DI144" t="str">
        <v>Ex Bho | Bho (2N) + Bhim + Bhoj + San + HDCT Bho</v>
      </c>
      <c r="DJ144" t="str">
        <v>Ex Bho | Bho - Bhim - Tawa (1N) - Mad (1N) - Bho</v>
      </c>
      <c r="DK144" t="str">
        <v>Ujj (1N) - Omk - Mah (1N) - Idr</v>
      </c>
      <c r="DL144" t="str">
        <v>Ujj (1N) -  Idr (1N)</v>
      </c>
      <c r="DM144" t="str">
        <v>Ex Idr | Idr (2N) + Ujj + Omk + Mah</v>
      </c>
      <c r="DN144" t="str">
        <v>Idr - Mah - Omk (1N) - Ujj (1N)</v>
      </c>
      <c r="DO144" t="str">
        <v>Idr - Ujj (1N) - Mah - Omk (1N) - Khandwa</v>
      </c>
      <c r="DP144" t="str">
        <v>Ex Idr | Idr (EX Ujj) (1N) - Mah - Omk (1N) - Idr HDCT</v>
      </c>
      <c r="DQ144" t="str">
        <v>Ujj (1N) - Sehor - Bho (1N) HDCT</v>
      </c>
      <c r="DR144" t="str">
        <v>Ex Jlr | Jlr (1N) - Ban (1N)</v>
      </c>
      <c r="DS144" t="str">
        <v>Ex Jlr | Ban (1N)</v>
      </c>
      <c r="DT144" t="str">
        <v>Ex Jlr | Jlr (2 N) Kan</v>
      </c>
      <c r="DU144" t="str">
        <v>Ex Jlr | Jlr - Amr (1 N) - (1 N) Ban</v>
      </c>
      <c r="DV144" t="str">
        <v>Ex Rpr | Rpr - (2N) Kan</v>
      </c>
      <c r="DW144" t="str">
        <v>Hjr (1N) - Mahi (1N) - Sat</v>
      </c>
      <c r="DX144" t="str">
        <v>Ex Bhp | Bhp - Bhim - Pch (2N) - Bhp</v>
      </c>
      <c r="DY144" t="str">
        <v xml:space="preserve">Ex Ujj I 2N Ujj </v>
      </c>
    </row>
    <row r="145" spans="2:145" ht="15" customHeight="1">
      <c r="B145" s="34">
        <v>141</v>
      </c>
      <c r="C145" s="36" t="s">
        <v>1307</v>
      </c>
      <c r="D145" s="76">
        <v>46202</v>
      </c>
      <c r="E145" s="37" t="str">
        <f>IF(Table5[[#This Row],[Query Date]]&lt;&gt;"", TEXT(Table5[[#This Row],[Query Date]], "dddd"), "")</f>
        <v>Monday</v>
      </c>
      <c r="F145" s="37" t="str">
        <f>IF(Table5[[#This Row],[Query Date]]&lt;&gt;"", TEXT(Table5[[#This Row],[Query Date]], "mmmm"), "")</f>
        <v>June</v>
      </c>
      <c r="G145" s="28" t="s">
        <v>113</v>
      </c>
      <c r="H145" s="28" t="s">
        <v>120</v>
      </c>
      <c r="I145" s="28" t="s">
        <v>67</v>
      </c>
      <c r="J145" s="28" t="s">
        <v>68</v>
      </c>
      <c r="K145" s="28" t="s">
        <v>246</v>
      </c>
      <c r="L145" s="25" t="s">
        <v>160</v>
      </c>
      <c r="M145" s="112" t="s">
        <v>90</v>
      </c>
      <c r="N145" s="25"/>
      <c r="O145" s="130" t="s">
        <v>1308</v>
      </c>
      <c r="P145" s="46"/>
      <c r="Q145" s="77">
        <v>46250</v>
      </c>
      <c r="R145" s="77" t="str">
        <f>IF(Table5[[#This Row],[Tour Starting Date]]&lt;&gt;"", TEXT(Table5[[#This Row],[Tour Starting Date]], "dddd"), "")</f>
        <v>Sunday</v>
      </c>
      <c r="S145" s="77">
        <v>46252</v>
      </c>
      <c r="T145" s="25" t="str">
        <f>IF(Table5[[#This Row],[Tour Ending Date]]&lt;&gt;"", TEXT(Table5[[#This Row],[Tour Ending Date]], "dddd"), "")</f>
        <v>Tuesday</v>
      </c>
      <c r="U145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145" s="37" t="str">
        <f>IF(Table5[[#This Row],[Tour Starting Date]]&lt;&gt;"", TEXT(Table5[[#This Row],[Tour Starting Date]], "mmmm"), "")</f>
        <v>August</v>
      </c>
      <c r="W145" s="80" t="str" cm="1">
        <f t="array" ref="W145">IF(Q145&lt;&gt;"", INDEX(CI:CI, MATCH(1, (Q145&gt;=CG:CG)*(Q145&lt;=CH:CH), 0)), "")</f>
        <v>Long Weekend - Independence Day</v>
      </c>
      <c r="X145" s="39">
        <v>8</v>
      </c>
      <c r="Y145" s="74">
        <v>7200</v>
      </c>
      <c r="Z145" s="74">
        <f>IF(OR(Table5[[#This Row],[Per Person Package Cost]]="", Table5[[#This Row],[No. of Pax]]=""), "", Table5[[#This Row],[Per Person Package Cost]] * Table5[[#This Row],[No. of Pax]])</f>
        <v>57600</v>
      </c>
      <c r="AA145" s="52" t="s">
        <v>205</v>
      </c>
      <c r="AB145" s="52" t="s">
        <v>205</v>
      </c>
      <c r="AC145" s="52" t="s">
        <v>105</v>
      </c>
      <c r="AD145" s="52" t="s">
        <v>251</v>
      </c>
      <c r="AE145" s="51" t="str">
        <f t="shared" si="9"/>
        <v>EXIDR14</v>
      </c>
      <c r="AF145" s="51" t="str">
        <f t="shared" si="10"/>
        <v>Spirit of the Jyotirlingas</v>
      </c>
      <c r="AG145" s="74" t="str">
        <f t="shared" si="11"/>
        <v>Quick Getaways</v>
      </c>
      <c r="AH145" s="73" t="str">
        <f t="shared" si="8"/>
        <v>West MP</v>
      </c>
      <c r="AI145" s="52" t="s">
        <v>77</v>
      </c>
      <c r="AJ145" s="56" t="s">
        <v>115</v>
      </c>
      <c r="AK145" s="59" t="s">
        <v>79</v>
      </c>
      <c r="AL145" s="60" t="s">
        <v>80</v>
      </c>
      <c r="AM145" s="54" t="s">
        <v>80</v>
      </c>
      <c r="AN145" s="14">
        <v>46213</v>
      </c>
      <c r="AO145" s="15"/>
      <c r="AP145" s="91"/>
      <c r="AQ145" s="87"/>
      <c r="AR145" s="26"/>
      <c r="AS145" s="65"/>
      <c r="AT145" s="88" t="s">
        <v>81</v>
      </c>
      <c r="AU145" s="67" t="s">
        <v>82</v>
      </c>
      <c r="BX145" s="1">
        <v>141</v>
      </c>
      <c r="CN145" t="s">
        <v>1309</v>
      </c>
      <c r="CU145" t="s">
        <v>92</v>
      </c>
      <c r="CV145" t="s">
        <v>279</v>
      </c>
      <c r="CW145" t="s">
        <v>1310</v>
      </c>
      <c r="CX145" s="124" t="s">
        <v>1311</v>
      </c>
      <c r="CY145" s="124" t="s">
        <v>223</v>
      </c>
      <c r="CZ145" s="124" t="s">
        <v>1312</v>
      </c>
      <c r="DA145" t="str" cm="1">
        <f t="array" ref="DA145:DY145">IF(U145&lt;&gt;"", TRANSPOSE(_xlfn._xlws.FILTER(CZ:CZ, CY:CY=U145, "")), "")</f>
        <v>Gwl (2N) + Mor</v>
      </c>
      <c r="DB145" t="str">
        <v>Ex Idr | Idr - Ujj (1N) - Omk - Mah (1N) - Man - Idr</v>
      </c>
      <c r="DC145" t="str">
        <v>Ujj (1N) - Omk - Idr (1N)</v>
      </c>
      <c r="DD145" t="str">
        <v>Ex Jlr | Jlr - Kan (2N) - Jlr</v>
      </c>
      <c r="DE145" t="str">
        <v>Ex Jlr | Jlr - Ban (2N) - Jlr</v>
      </c>
      <c r="DF145" t="str">
        <v>Ex Bho | Bho (2N) + Bhim + Bhoj + San</v>
      </c>
      <c r="DG145" t="str">
        <v>Ex Idr | Idr - Man (2N) - Idr</v>
      </c>
      <c r="DH145" t="str">
        <v>Ex Jlr | Jlr - Kan (2N) - Jlr</v>
      </c>
      <c r="DI145" t="str">
        <v>Ex Bho | Bho (2N) + Bhim + Bhoj + San + HDCT Bho</v>
      </c>
      <c r="DJ145" t="str">
        <v>Ex Bho | Bho - Bhim - Tawa (1N) - Mad (1N) - Bho</v>
      </c>
      <c r="DK145" t="str">
        <v>Ujj (1N) - Omk - Mah (1N) - Idr</v>
      </c>
      <c r="DL145" t="str">
        <v>Ujj (1N) -  Idr (1N)</v>
      </c>
      <c r="DM145" t="str">
        <v>Ex Idr | Idr (2N) + Ujj + Omk + Mah</v>
      </c>
      <c r="DN145" t="str">
        <v>Idr - Mah - Omk (1N) - Ujj (1N)</v>
      </c>
      <c r="DO145" t="str">
        <v>Idr - Ujj (1N) - Mah - Omk (1N) - Khandwa</v>
      </c>
      <c r="DP145" t="str">
        <v>Ex Idr | Idr (EX Ujj) (1N) - Mah - Omk (1N) - Idr HDCT</v>
      </c>
      <c r="DQ145" t="str">
        <v>Ujj (1N) - Sehor - Bho (1N) HDCT</v>
      </c>
      <c r="DR145" t="str">
        <v>Ex Jlr | Jlr (1N) - Ban (1N)</v>
      </c>
      <c r="DS145" t="str">
        <v>Ex Jlr | Ban (1N)</v>
      </c>
      <c r="DT145" t="str">
        <v>Ex Jlr | Jlr (2 N) Kan</v>
      </c>
      <c r="DU145" t="str">
        <v>Ex Jlr | Jlr - Amr (1 N) - (1 N) Ban</v>
      </c>
      <c r="DV145" t="str">
        <v>Ex Rpr | Rpr - (2N) Kan</v>
      </c>
      <c r="DW145" t="str">
        <v>Hjr (1N) - Mahi (1N) - Sat</v>
      </c>
      <c r="DX145" t="str">
        <v>Ex Bhp | Bhp - Bhim - Pch (2N) - Bhp</v>
      </c>
      <c r="DY145" t="str">
        <v xml:space="preserve">Ex Ujj I 2N Ujj </v>
      </c>
    </row>
    <row r="146" spans="2:145" ht="15" customHeight="1">
      <c r="B146" s="35">
        <v>142</v>
      </c>
      <c r="C146" s="36" t="s">
        <v>1313</v>
      </c>
      <c r="D146" s="76">
        <v>46202</v>
      </c>
      <c r="E146" s="37" t="str">
        <f>IF(Table5[[#This Row],[Query Date]]&lt;&gt;"", TEXT(Table5[[#This Row],[Query Date]], "dddd"), "")</f>
        <v>Monday</v>
      </c>
      <c r="F146" s="37" t="str">
        <f>IF(Table5[[#This Row],[Query Date]]&lt;&gt;"", TEXT(Table5[[#This Row],[Query Date]], "mmmm"), "")</f>
        <v>June</v>
      </c>
      <c r="G146" s="28" t="s">
        <v>113</v>
      </c>
      <c r="H146" s="28" t="s">
        <v>66</v>
      </c>
      <c r="I146" s="28" t="s">
        <v>67</v>
      </c>
      <c r="J146" s="28" t="s">
        <v>68</v>
      </c>
      <c r="K146" s="28" t="s">
        <v>128</v>
      </c>
      <c r="L146" s="25" t="s">
        <v>160</v>
      </c>
      <c r="M146" s="112" t="s">
        <v>90</v>
      </c>
      <c r="N146" s="25" t="s">
        <v>1314</v>
      </c>
      <c r="O146" s="130" t="s">
        <v>1315</v>
      </c>
      <c r="P146" s="25"/>
      <c r="Q146" s="77">
        <v>46240</v>
      </c>
      <c r="R146" s="77" t="str">
        <f>IF(Table5[[#This Row],[Tour Starting Date]]&lt;&gt;"", TEXT(Table5[[#This Row],[Tour Starting Date]], "dddd"), "")</f>
        <v>Thursday</v>
      </c>
      <c r="S146" s="77">
        <v>46242</v>
      </c>
      <c r="T146" s="25" t="str">
        <f>IF(Table5[[#This Row],[Tour Ending Date]]&lt;&gt;"", TEXT(Table5[[#This Row],[Tour Ending Date]], "dddd"), "")</f>
        <v>Saturday</v>
      </c>
      <c r="U146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146" s="37" t="str">
        <f>IF(Table5[[#This Row],[Tour Starting Date]]&lt;&gt;"", TEXT(Table5[[#This Row],[Tour Starting Date]], "mmmm"), "")</f>
        <v>August</v>
      </c>
      <c r="W146" s="80" t="str" cm="1">
        <f t="array" ref="W146">IF(Q146&lt;&gt;"", INDEX(CI:CI, MATCH(1, (Q146&gt;=CG:CG)*(Q146&lt;=CH:CH), 0)), "")</f>
        <v>Regular Dates - Weekday</v>
      </c>
      <c r="X146" s="39">
        <v>4</v>
      </c>
      <c r="Y146" s="74">
        <v>9000</v>
      </c>
      <c r="Z146" s="74">
        <f>IF(OR(Table5[[#This Row],[Per Person Package Cost]]="", Table5[[#This Row],[No. of Pax]]=""), "", Table5[[#This Row],[Per Person Package Cost]] * Table5[[#This Row],[No. of Pax]])</f>
        <v>36000</v>
      </c>
      <c r="AA146" s="52" t="s">
        <v>205</v>
      </c>
      <c r="AB146" s="52" t="s">
        <v>1316</v>
      </c>
      <c r="AC146" s="52" t="s">
        <v>173</v>
      </c>
      <c r="AD146" s="52" t="s">
        <v>461</v>
      </c>
      <c r="AE146" s="51" t="str">
        <f t="shared" si="9"/>
        <v>EXIDR13</v>
      </c>
      <c r="AF146" s="51" t="str">
        <f t="shared" si="10"/>
        <v>A Spiritual Odyssey of Madhya Pradesh</v>
      </c>
      <c r="AG146" s="74" t="str">
        <f t="shared" si="11"/>
        <v>Quick Getaways</v>
      </c>
      <c r="AH146" s="73" t="str">
        <f t="shared" si="8"/>
        <v>West MP</v>
      </c>
      <c r="AI146" s="52" t="s">
        <v>77</v>
      </c>
      <c r="AJ146" s="56" t="s">
        <v>115</v>
      </c>
      <c r="AK146" s="59" t="s">
        <v>79</v>
      </c>
      <c r="AL146" s="60" t="s">
        <v>80</v>
      </c>
      <c r="AM146" s="54" t="s">
        <v>80</v>
      </c>
      <c r="AN146" s="14">
        <v>46205</v>
      </c>
      <c r="AO146" s="15"/>
      <c r="AP146" s="91"/>
      <c r="AQ146" s="87"/>
      <c r="AR146" s="26"/>
      <c r="AS146" s="65"/>
      <c r="AT146" s="88" t="s">
        <v>81</v>
      </c>
      <c r="AU146" s="67"/>
      <c r="BX146" s="1">
        <v>142</v>
      </c>
      <c r="CN146" t="s">
        <v>1317</v>
      </c>
      <c r="CU146" t="s">
        <v>92</v>
      </c>
      <c r="CV146" t="s">
        <v>193</v>
      </c>
      <c r="CW146" t="s">
        <v>1318</v>
      </c>
      <c r="CX146" s="124" t="s">
        <v>1319</v>
      </c>
      <c r="CY146" s="124" t="s">
        <v>125</v>
      </c>
      <c r="CZ146" s="124" t="s">
        <v>1320</v>
      </c>
      <c r="DA146" t="str" cm="1">
        <f t="array" ref="DA146:DY146">IF(U146&lt;&gt;"", TRANSPOSE(_xlfn._xlws.FILTER(CZ:CZ, CY:CY=U146, "")), "")</f>
        <v>Gwl (2N) + Mor</v>
      </c>
      <c r="DB146" t="str">
        <v>Ex Idr | Idr - Ujj (1N) - Omk - Mah (1N) - Man - Idr</v>
      </c>
      <c r="DC146" t="str">
        <v>Ujj (1N) - Omk - Idr (1N)</v>
      </c>
      <c r="DD146" t="str">
        <v>Ex Jlr | Jlr - Kan (2N) - Jlr</v>
      </c>
      <c r="DE146" t="str">
        <v>Ex Jlr | Jlr - Ban (2N) - Jlr</v>
      </c>
      <c r="DF146" t="str">
        <v>Ex Bho | Bho (2N) + Bhim + Bhoj + San</v>
      </c>
      <c r="DG146" t="str">
        <v>Ex Idr | Idr - Man (2N) - Idr</v>
      </c>
      <c r="DH146" t="str">
        <v>Ex Jlr | Jlr - Kan (2N) - Jlr</v>
      </c>
      <c r="DI146" t="str">
        <v>Ex Bho | Bho (2N) + Bhim + Bhoj + San + HDCT Bho</v>
      </c>
      <c r="DJ146" t="str">
        <v>Ex Bho | Bho - Bhim - Tawa (1N) - Mad (1N) - Bho</v>
      </c>
      <c r="DK146" t="str">
        <v>Ujj (1N) - Omk - Mah (1N) - Idr</v>
      </c>
      <c r="DL146" t="str">
        <v>Ujj (1N) -  Idr (1N)</v>
      </c>
      <c r="DM146" t="str">
        <v>Ex Idr | Idr (2N) + Ujj + Omk + Mah</v>
      </c>
      <c r="DN146" t="str">
        <v>Idr - Mah - Omk (1N) - Ujj (1N)</v>
      </c>
      <c r="DO146" t="str">
        <v>Idr - Ujj (1N) - Mah - Omk (1N) - Khandwa</v>
      </c>
      <c r="DP146" t="str">
        <v>Ex Idr | Idr (EX Ujj) (1N) - Mah - Omk (1N) - Idr HDCT</v>
      </c>
      <c r="DQ146" t="str">
        <v>Ujj (1N) - Sehor - Bho (1N) HDCT</v>
      </c>
      <c r="DR146" t="str">
        <v>Ex Jlr | Jlr (1N) - Ban (1N)</v>
      </c>
      <c r="DS146" t="str">
        <v>Ex Jlr | Ban (1N)</v>
      </c>
      <c r="DT146" t="str">
        <v>Ex Jlr | Jlr (2 N) Kan</v>
      </c>
      <c r="DU146" t="str">
        <v>Ex Jlr | Jlr - Amr (1 N) - (1 N) Ban</v>
      </c>
      <c r="DV146" t="str">
        <v>Ex Rpr | Rpr - (2N) Kan</v>
      </c>
      <c r="DW146" t="str">
        <v>Hjr (1N) - Mahi (1N) - Sat</v>
      </c>
      <c r="DX146" t="str">
        <v>Ex Bhp | Bhp - Bhim - Pch (2N) - Bhp</v>
      </c>
      <c r="DY146" t="str">
        <v xml:space="preserve">Ex Ujj I 2N Ujj </v>
      </c>
    </row>
    <row r="147" spans="2:145" ht="15" customHeight="1">
      <c r="B147" s="34">
        <v>143</v>
      </c>
      <c r="C147" s="36" t="s">
        <v>1321</v>
      </c>
      <c r="D147" s="76">
        <v>46202</v>
      </c>
      <c r="E147" s="37" t="str">
        <f>IF(Table5[[#This Row],[Query Date]]&lt;&gt;"", TEXT(Table5[[#This Row],[Query Date]], "dddd"), "")</f>
        <v>Monday</v>
      </c>
      <c r="F147" s="37" t="str">
        <f>IF(Table5[[#This Row],[Query Date]]&lt;&gt;"", TEXT(Table5[[#This Row],[Query Date]], "mmmm"), "")</f>
        <v>June</v>
      </c>
      <c r="G147" s="28" t="s">
        <v>113</v>
      </c>
      <c r="H147" s="28" t="s">
        <v>66</v>
      </c>
      <c r="I147" s="28" t="s">
        <v>67</v>
      </c>
      <c r="J147" s="28" t="s">
        <v>68</v>
      </c>
      <c r="K147" s="28" t="s">
        <v>644</v>
      </c>
      <c r="L147" s="25" t="s">
        <v>160</v>
      </c>
      <c r="M147" s="112" t="s">
        <v>90</v>
      </c>
      <c r="N147" s="25"/>
      <c r="O147" s="130" t="s">
        <v>1322</v>
      </c>
      <c r="P147" s="46"/>
      <c r="Q147" s="77">
        <v>46218</v>
      </c>
      <c r="R147" s="77" t="str">
        <f>IF(Table5[[#This Row],[Tour Starting Date]]&lt;&gt;"", TEXT(Table5[[#This Row],[Tour Starting Date]], "dddd"), "")</f>
        <v>Wednesday</v>
      </c>
      <c r="S147" s="77">
        <v>46222</v>
      </c>
      <c r="T147" s="25" t="str">
        <f>IF(Table5[[#This Row],[Tour Ending Date]]&lt;&gt;"", TEXT(Table5[[#This Row],[Tour Ending Date]], "dddd"), "")</f>
        <v>Sunday</v>
      </c>
      <c r="U147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4 Nights &amp; 5 Days</v>
      </c>
      <c r="V147" s="37" t="str">
        <f>IF(Table5[[#This Row],[Tour Starting Date]]&lt;&gt;"", TEXT(Table5[[#This Row],[Tour Starting Date]], "mmmm"), "")</f>
        <v>July</v>
      </c>
      <c r="W147" s="80" t="str" cm="1">
        <f t="array" ref="W147">IF(Q147&lt;&gt;"", INDEX(CI:CI, MATCH(1, (Q147&gt;=CG:CG)*(Q147&lt;=CH:CH), 0)), "")</f>
        <v>Regular Dates - Weekday</v>
      </c>
      <c r="X147" s="39">
        <v>3</v>
      </c>
      <c r="Y147" s="74">
        <v>12500</v>
      </c>
      <c r="Z147" s="74">
        <f>IF(OR(Table5[[#This Row],[Per Person Package Cost]]="", Table5[[#This Row],[No. of Pax]]=""), "", Table5[[#This Row],[Per Person Package Cost]] * Table5[[#This Row],[No. of Pax]])</f>
        <v>37500</v>
      </c>
      <c r="AA147" s="52" t="s">
        <v>75</v>
      </c>
      <c r="AB147" s="52" t="s">
        <v>1316</v>
      </c>
      <c r="AC147" s="52" t="s">
        <v>105</v>
      </c>
      <c r="AD147" s="52" t="s">
        <v>106</v>
      </c>
      <c r="AE147" s="51" t="str">
        <f t="shared" si="9"/>
        <v>EXIDR04</v>
      </c>
      <c r="AF147" s="51" t="str">
        <f t="shared" si="10"/>
        <v>Heritage Pilgrimage</v>
      </c>
      <c r="AG147" s="74" t="str">
        <f t="shared" si="11"/>
        <v>Quick Getaways</v>
      </c>
      <c r="AH147" s="73" t="str">
        <f t="shared" si="8"/>
        <v>West MP</v>
      </c>
      <c r="AI147" s="52" t="s">
        <v>159</v>
      </c>
      <c r="AJ147" s="56" t="s">
        <v>115</v>
      </c>
      <c r="AK147" s="59" t="s">
        <v>79</v>
      </c>
      <c r="AL147" s="60" t="s">
        <v>80</v>
      </c>
      <c r="AM147" s="54" t="s">
        <v>80</v>
      </c>
      <c r="AN147" s="14">
        <v>46205</v>
      </c>
      <c r="AO147" s="15"/>
      <c r="AP147" s="91"/>
      <c r="AQ147" s="87"/>
      <c r="AR147" s="26"/>
      <c r="AS147" s="65"/>
      <c r="AT147" s="88" t="s">
        <v>138</v>
      </c>
      <c r="AU147" s="67"/>
      <c r="BX147" s="1">
        <v>143</v>
      </c>
      <c r="CN147" t="s">
        <v>1323</v>
      </c>
      <c r="CU147" t="s">
        <v>92</v>
      </c>
      <c r="CV147" t="s">
        <v>91</v>
      </c>
      <c r="CW147" t="s">
        <v>1324</v>
      </c>
      <c r="CX147" s="124" t="s">
        <v>1325</v>
      </c>
      <c r="CY147" s="124" t="s">
        <v>197</v>
      </c>
      <c r="CZ147" s="124" t="s">
        <v>1326</v>
      </c>
      <c r="DA147" t="str" cm="1">
        <f t="array" ref="DA147:EJ147">IF(U147&lt;&gt;"", TRANSPOSE(_xlfn._xlws.FILTER(CZ:CZ, CY:CY=U147, "")), "")</f>
        <v>Ex Gwl | Gwl (2N) + Mor - Son - Dat - Orc (1N) - Hjr (1N) - Gwl</v>
      </c>
      <c r="DB147" t="str">
        <v>Ex Idr | Idr - Ujj (1N) - Omk - Mah (1N) - Man (1N) - Idr (1N)</v>
      </c>
      <c r="DC147" t="str">
        <v>Ex Idr | Idr - Ujj (1N) - Omk (1N) - Mah (1N) - Man (1N) - Idr</v>
      </c>
      <c r="DD147" t="str">
        <v>Ex Jlr | Jlr - Kan (2N) - Amk (1N) - Jlr (1N)</v>
      </c>
      <c r="DE147" t="str">
        <v>Ex Jlr | Jlr - Ban (2N) - Amk (1N) - Jlr (1N)</v>
      </c>
      <c r="DF147" t="str">
        <v>Ex Jlr | Jlr (1N) - Hjr (1N) - Ban (2N) - Jlr</v>
      </c>
      <c r="DG147" t="str">
        <v>Ex Jlr | Jlr (1N) - Kan (1N) - Ban (2N) - Jlr</v>
      </c>
      <c r="DH147" t="str">
        <v>Ex Bho | Bho (1N) + San + Bhoj + Bhim - Tawa - Mad (1N) - Pch (2N) - Bho</v>
      </c>
      <c r="DI147" t="str">
        <v>Ex Idr | Idr - Ujj (1N) - Omk - Mah (1N) - Man (1N) - Idr (1N)</v>
      </c>
      <c r="DJ147" t="str">
        <v>Ex Bho | Bho (1N) - Bhoj - Bhim - Pch (3N) - Bho</v>
      </c>
      <c r="DK147" t="str">
        <v>Gwl (1N) - Dat (Pitambara Peeth) - Orc (1N) - Ckt (2N) - Ixd</v>
      </c>
      <c r="DL147" t="str">
        <v>Ex Jlr | Jlr - Ban (2N) - Kan (2N) - Jlr</v>
      </c>
      <c r="DM147" t="str">
        <v>Jlr - Ban (1N) - Kan (1N) - Pen (2N) - Nag</v>
      </c>
      <c r="DN147" t="str">
        <v>Ex Bho | Bho (1N) - Bhoj - Bhim - Pch (3N) - Bho</v>
      </c>
      <c r="DO147" t="str">
        <v>Ex Bho | Bho (2N) + Sanchi + Bhoj + Bhim - Tawa - Mad (1N) - Bho (1N)</v>
      </c>
      <c r="DP147" t="str">
        <v>Ex Bho | Bho - Bhoj - Bhim - Tawa (1N) - Mad (1N) - Pch (2N) - Bho</v>
      </c>
      <c r="DQ147" t="str">
        <v>Bho - Bhoj - Bhim - Pch (2N) - Kan (1N) - Jlr (1N)</v>
      </c>
      <c r="DR147" t="str">
        <v>Bho - Bhoj - Bhim - Pch (2N) - Kan (1N) - Amk (1N) - Jlr</v>
      </c>
      <c r="DS147" t="str">
        <v xml:space="preserve">Bho (1N) + Bhim + Bhoj + San - Ujj (1N) - Omk - Mah (1N) - Idr (1N) </v>
      </c>
      <c r="DT147" t="str">
        <v>Ex Gwl | Gwl - Hjr (1N) - Orc (1N) - Dat - Son - Gwl (2N)</v>
      </c>
      <c r="DU147" t="str">
        <v>Ex Gwl | Gwl - Orc (1N) - Hjr (1N) - Chn (1N) - Shiv (1N) - Gwl</v>
      </c>
      <c r="DV147" t="str">
        <v>Gwl - Hjr (1N) - Panna (1N) - Chit (1N) - Mahi (1N) - Sat</v>
      </c>
      <c r="DW147" t="str">
        <v>Jlr - (2 N) Kan - (2 N) Pch - Bhim - Bhoj - Bhp</v>
      </c>
      <c r="DX147" t="str">
        <v>Jlr - (2 N) Kan - (2 N) Pen - Rpr</v>
      </c>
      <c r="DY147" t="str">
        <v>Gwl (2N) (Ex Mor) - Dat -Orc (1N) - Hjr (1N) - Jhn</v>
      </c>
      <c r="DZ147" t="str">
        <v>Ex Gwl | Gwl (1N) - Son - Dat - Orc (1N) - Hjr (2N) (Ex Panna) - Gwl</v>
      </c>
      <c r="EA147" t="str">
        <v>Hjr (1N) - Orc (1N) - Dat - son - Gwl (2N)(Ex Mor)</v>
      </c>
      <c r="EB147" t="str">
        <v>(2 N) Gwl - (1 N) Orch - (1 N) Hjr</v>
      </c>
      <c r="EC147" t="str">
        <v>Ex Bhp | Bhp - Bhoj - Bhim - Pch (2N) - Mad (1N) - Tawa (1N) - Bhp</v>
      </c>
      <c r="ED147" t="str">
        <v>Ex Bhp | Bhp - Bhoj - Bhim - Pch (2N) - Mad (2N) - Bhp</v>
      </c>
      <c r="EE147" t="str">
        <v>Ex Idr | Idr - Ujj (1N) - Omk (1N) - Mah (2N) (Ex Man) - Idr (HDCT)</v>
      </c>
      <c r="EF147" t="str">
        <v>Arr Rpr - Amr (2N) - Par (2N) - IXD</v>
      </c>
      <c r="EG147" t="str">
        <v>1N Gwl - Orc - 2N Hjr - Jhn - 1N Gwl</v>
      </c>
      <c r="EH147" t="str">
        <v>1N Orc - 1N Hjr - 2N Gwl Ex Mor</v>
      </c>
      <c r="EI147" t="str">
        <v>1N Idr - Omk - 1N Mah - 1N Ujj - Seh - 1N Bho</v>
      </c>
      <c r="EJ147" t="str">
        <v>Ex Idr I 1N Idr - 1N Ujj - Omk - 2N Mah - Man - Idr</v>
      </c>
    </row>
    <row r="148" spans="2:145" ht="15" customHeight="1">
      <c r="B148" s="35">
        <v>144</v>
      </c>
      <c r="C148" s="36" t="s">
        <v>1327</v>
      </c>
      <c r="D148" s="76">
        <v>46202</v>
      </c>
      <c r="E148" s="37" t="str">
        <f>IF(Table5[[#This Row],[Query Date]]&lt;&gt;"", TEXT(Table5[[#This Row],[Query Date]], "dddd"), "")</f>
        <v>Monday</v>
      </c>
      <c r="F148" s="37" t="str">
        <f>IF(Table5[[#This Row],[Query Date]]&lt;&gt;"", TEXT(Table5[[#This Row],[Query Date]], "mmmm"), "")</f>
        <v>June</v>
      </c>
      <c r="G148" s="28" t="s">
        <v>113</v>
      </c>
      <c r="H148" s="28" t="s">
        <v>66</v>
      </c>
      <c r="I148" s="28" t="s">
        <v>67</v>
      </c>
      <c r="J148" s="28" t="s">
        <v>145</v>
      </c>
      <c r="K148" s="28" t="s">
        <v>520</v>
      </c>
      <c r="L148" s="25" t="s">
        <v>160</v>
      </c>
      <c r="M148" s="112" t="s">
        <v>90</v>
      </c>
      <c r="N148" s="25" t="s">
        <v>1328</v>
      </c>
      <c r="O148" s="130"/>
      <c r="P148" s="46"/>
      <c r="Q148" s="77">
        <v>46198</v>
      </c>
      <c r="R148" s="77" t="str">
        <f>IF(Table5[[#This Row],[Tour Starting Date]]&lt;&gt;"", TEXT(Table5[[#This Row],[Tour Starting Date]], "dddd"), "")</f>
        <v>Thursday</v>
      </c>
      <c r="S148" s="77">
        <v>46201</v>
      </c>
      <c r="T148" s="25" t="str">
        <f>IF(Table5[[#This Row],[Tour Ending Date]]&lt;&gt;"", TEXT(Table5[[#This Row],[Tour Ending Date]], "dddd"), "")</f>
        <v>Sunday</v>
      </c>
      <c r="U148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148" s="37" t="str">
        <f>IF(Table5[[#This Row],[Tour Starting Date]]&lt;&gt;"", TEXT(Table5[[#This Row],[Tour Starting Date]], "mmmm"), "")</f>
        <v>June</v>
      </c>
      <c r="W148" s="80" t="str" cm="1">
        <f t="array" ref="W148">IF(Q148&lt;&gt;"", INDEX(CI:CI, MATCH(1, (Q148&gt;=CG:CG)*(Q148&lt;=CH:CH), 0)), "")</f>
        <v>Long Weekend - Eid-ul-Fitr</v>
      </c>
      <c r="X148" s="39">
        <v>1</v>
      </c>
      <c r="Y148" s="74"/>
      <c r="Z148" s="74" t="str">
        <f>IF(OR(Table5[[#This Row],[Per Person Package Cost]]="", Table5[[#This Row],[No. of Pax]]=""), "", Table5[[#This Row],[Per Person Package Cost]] * Table5[[#This Row],[No. of Pax]])</f>
        <v/>
      </c>
      <c r="AA148" s="52" t="s">
        <v>1329</v>
      </c>
      <c r="AB148" s="52" t="s">
        <v>1329</v>
      </c>
      <c r="AC148" s="52" t="s">
        <v>76</v>
      </c>
      <c r="AD148" s="52"/>
      <c r="AE148" s="51" t="str">
        <f t="shared" si="9"/>
        <v/>
      </c>
      <c r="AF148" s="51" t="str">
        <f t="shared" si="10"/>
        <v/>
      </c>
      <c r="AG148" s="74" t="str">
        <f t="shared" si="11"/>
        <v/>
      </c>
      <c r="AH148" s="73" t="str">
        <f t="shared" ref="AH148:AH211" si="12">IF(AD148&lt;&gt;"", INDEX(CV:CV, MATCH(AD148, CZ:CZ, 0)), "")</f>
        <v/>
      </c>
      <c r="AI148" s="52" t="s">
        <v>77</v>
      </c>
      <c r="AJ148" s="56" t="s">
        <v>115</v>
      </c>
      <c r="AK148" s="59" t="s">
        <v>79</v>
      </c>
      <c r="AL148" s="60" t="s">
        <v>80</v>
      </c>
      <c r="AM148" s="54" t="s">
        <v>80</v>
      </c>
      <c r="AN148" s="14"/>
      <c r="AO148" s="15"/>
      <c r="AP148" s="91"/>
      <c r="AQ148" s="87"/>
      <c r="AR148" s="26"/>
      <c r="AS148" s="65"/>
      <c r="AT148" s="88" t="s">
        <v>85</v>
      </c>
      <c r="AU148" s="67"/>
      <c r="BX148" s="1">
        <v>144</v>
      </c>
      <c r="CN148" t="s">
        <v>1330</v>
      </c>
      <c r="CU148" t="s">
        <v>148</v>
      </c>
      <c r="CV148" t="s">
        <v>299</v>
      </c>
      <c r="CW148" t="s">
        <v>1331</v>
      </c>
      <c r="CX148" s="124" t="s">
        <v>1332</v>
      </c>
      <c r="CY148" s="124" t="s">
        <v>1333</v>
      </c>
      <c r="CZ148" s="124" t="s">
        <v>1334</v>
      </c>
      <c r="DA148" t="str" cm="1">
        <f t="array" ref="DA148:EO148">IF(U148&lt;&gt;"", TRANSPOSE(_xlfn._xlws.FILTER(CZ:CZ, CY:CY=U148, "")), "")</f>
        <v>Gwl (3N) + Mor + Son + Dat + Orc</v>
      </c>
      <c r="DB148" t="str">
        <v>Ex Gwl | Gwl (1N) - Son - Dat - Orc (1N) - Gwl (1N)</v>
      </c>
      <c r="DC148" t="str">
        <v>Ex Idr | Idr - Ujj (1N) - Omk - Mah (1N) - Man (1N) - Idr</v>
      </c>
      <c r="DD148" t="str">
        <v>Ex Jlr | Jlr - Kan (2N) - Jlr (1N)</v>
      </c>
      <c r="DE148" t="str">
        <v>Ex Jlr | Jlr - Ban (2N) - Jlr (1N)</v>
      </c>
      <c r="DF148" t="str">
        <v>Ex Bho | Bho (1N) + San - Bhoj - Bhim - Pch (2N) - Bho</v>
      </c>
      <c r="DG148" t="str">
        <v>Ex Idr | Idr (1N) - Ujj (1N) - Omk (1N) - Mah - Idr</v>
      </c>
      <c r="DH148" t="str">
        <v>Gwl - Orc (1N) - Ckt (1N) - Myr (1N) - Jlr</v>
      </c>
      <c r="DI148" t="str">
        <v>Gwl - Orc (1N) - Ckt (2N) - Ixd</v>
      </c>
      <c r="DJ148" t="str">
        <v>Ex Idr | Idr - Ujj (1N) - Omk - Mah (1N) - Idr (1N)</v>
      </c>
      <c r="DK148" t="str">
        <v>Ex Jlr | Jlr - Kan (3N) - Jlr</v>
      </c>
      <c r="DL148" t="str">
        <v>Ex Bho | Bho (2N) + Bhim + Bhoj + San + Udaygiri + Vidisha + FDCT Bho</v>
      </c>
      <c r="DM148" t="str">
        <v>Bho (1N) + Bhim + Bhoj - HDCT  Bho + Sanchi - Ujj (2N)</v>
      </c>
      <c r="DN148" t="str">
        <v>Bho (1N) + Bhim + Bhoj - HDCT  Bho + Sanchi - Ujj (2N) - Idr</v>
      </c>
      <c r="DO148" t="str">
        <v>Ex Bho | Bho - Bhoj - Bhim - Mad (1N) - Pch (2N) - Bho</v>
      </c>
      <c r="DP148" t="str">
        <v>Ex Bho | Bho - Bhoj - Bhim - Mad (1N) - Pch (3N) - Bho</v>
      </c>
      <c r="DQ148" t="str">
        <v>Ex Bho | Bho - Bhoj - Bhim - Tawa (1N) - Mad (1N) - Bho (1N)</v>
      </c>
      <c r="DR148" t="str">
        <v>Bho (1N) - Bhim - Bhoj - San - Idr (2N) + Ujj</v>
      </c>
      <c r="DS148" t="str">
        <v>Bho (1N) - Bhoj - Bhim - Pch (2N) - Bho</v>
      </c>
      <c r="DT148" t="str">
        <v>Ujj (1N) - Omk - Mah (1N) - Idr (1N)</v>
      </c>
      <c r="DU148" t="str">
        <v>Ujj (1N) - Omk - Mah (1N) - Man (1N) - Idr</v>
      </c>
      <c r="DV148" t="str">
        <v>Ex Idr | Idr (1N) - Ujj (1N) - Omk - Mah (1N)</v>
      </c>
      <c r="DW148" t="str">
        <v>Ex Idr | Idr - Ujj (1N) - Omk (1N) - Mah (1N) - Idr</v>
      </c>
      <c r="DX148" t="str">
        <v>Khandwa - Omk (1N) - Mah (1N) - Ujj (1N) - Idr</v>
      </c>
      <c r="DY148" t="str">
        <v>Ex Idr | Idr - Ujj (1N) - Omk - Mah (1N) - Man - Idr (1N)</v>
      </c>
      <c r="DZ148" t="str">
        <v xml:space="preserve">Idr - Omk (1N) - Mah - Ujj (1N) San - Bho (1N) </v>
      </c>
      <c r="EA148" t="str">
        <v>Ex Idr | Idr - Man (1N) - Mah - Omk (1N) - Ujj (1N) - Idr</v>
      </c>
      <c r="EB148" t="str">
        <v>Khandwa - Omk (1N) - Mah - Ujj (2N)</v>
      </c>
      <c r="EC148" t="str">
        <v>Ex Jlr | Jlr (1N) - Amr (1N) - Ban (1N) - Jlr</v>
      </c>
      <c r="ED148" t="str">
        <v>Ex Jlr | Jlr - (1 N) Ban - (2 N) Amar</v>
      </c>
      <c r="EE148" t="str">
        <v>Jlr - Kan (1N) - Pch (2N)</v>
      </c>
      <c r="EF148" t="str">
        <v>Pi - Pch (2N)  - Kan (1N)</v>
      </c>
      <c r="EG148" t="str">
        <v>Ex Jlr | Jlr - Amr (1 N) - (1 N) Ban - (1 N) Jlr</v>
      </c>
      <c r="EH148" t="str">
        <v>Ppi - (2 N) Pch - (1 N) Pen</v>
      </c>
      <c r="EI148" t="str">
        <v>Bhp - Pch (2N) - Jlr (1N)</v>
      </c>
      <c r="EJ148" t="str">
        <v xml:space="preserve">Arr Jhn - Hjr (1N) - Orc - Gwl (2N) </v>
      </c>
      <c r="EK148" t="str">
        <v>(1 N) Ujj - (1 N) Mah - (1 N) Idr</v>
      </c>
      <c r="EL148" t="str">
        <v>Ex Bhp | Bhp - Bhoj - Bhim - Pch (3N) - Bhp</v>
      </c>
      <c r="EM148" t="str">
        <v>Ex Bhp | Bhp - Bhoj - Bhim - Pch (2N) - Mad (1N) - Bhp</v>
      </c>
      <c r="EN148" t="str">
        <v xml:space="preserve">Ex Nag - 3N Pch + Sat </v>
      </c>
      <c r="EO148" t="str">
        <v>1N Gwl - Son - Dat - 1N Hjr - 1N Orc - Jhn</v>
      </c>
    </row>
    <row r="149" spans="2:145" ht="15" customHeight="1">
      <c r="B149" s="34">
        <v>145</v>
      </c>
      <c r="C149" s="36" t="s">
        <v>1335</v>
      </c>
      <c r="D149" s="76">
        <v>46203</v>
      </c>
      <c r="E149" s="37" t="str">
        <f>IF(Table5[[#This Row],[Query Date]]&lt;&gt;"", TEXT(Table5[[#This Row],[Query Date]], "dddd"), "")</f>
        <v>Tuesday</v>
      </c>
      <c r="F149" s="37" t="str">
        <f>IF(Table5[[#This Row],[Query Date]]&lt;&gt;"", TEXT(Table5[[#This Row],[Query Date]], "mmmm"), "")</f>
        <v>June</v>
      </c>
      <c r="G149" s="28" t="s">
        <v>113</v>
      </c>
      <c r="H149" s="28" t="s">
        <v>66</v>
      </c>
      <c r="I149" s="28" t="s">
        <v>67</v>
      </c>
      <c r="J149" s="28" t="s">
        <v>68</v>
      </c>
      <c r="K149" s="28" t="s">
        <v>128</v>
      </c>
      <c r="L149" s="25" t="s">
        <v>160</v>
      </c>
      <c r="M149" s="112" t="s">
        <v>90</v>
      </c>
      <c r="N149" s="25" t="s">
        <v>1336</v>
      </c>
      <c r="O149" s="130" t="s">
        <v>1337</v>
      </c>
      <c r="P149" s="46"/>
      <c r="Q149" s="77">
        <v>46230</v>
      </c>
      <c r="R149" s="77" t="str">
        <f>IF(Table5[[#This Row],[Tour Starting Date]]&lt;&gt;"", TEXT(Table5[[#This Row],[Tour Starting Date]], "dddd"), "")</f>
        <v>Monday</v>
      </c>
      <c r="S149" s="77">
        <v>46232</v>
      </c>
      <c r="T149" s="25" t="str">
        <f>IF(Table5[[#This Row],[Tour Ending Date]]&lt;&gt;"", TEXT(Table5[[#This Row],[Tour Ending Date]], "dddd"), "")</f>
        <v>Wednesday</v>
      </c>
      <c r="U149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149" s="37" t="str">
        <f>IF(Table5[[#This Row],[Tour Starting Date]]&lt;&gt;"", TEXT(Table5[[#This Row],[Tour Starting Date]], "mmmm"), "")</f>
        <v>July</v>
      </c>
      <c r="W149" s="80" t="str" cm="1">
        <f t="array" ref="W149">IF(Q149&lt;&gt;"", INDEX(CI:CI, MATCH(1, (Q149&gt;=CG:CG)*(Q149&lt;=CH:CH), 0)), "")</f>
        <v>Regular Dates - Weekday</v>
      </c>
      <c r="X149" s="39">
        <v>2</v>
      </c>
      <c r="Y149" s="74">
        <v>9900</v>
      </c>
      <c r="Z149" s="74">
        <f>IF(OR(Table5[[#This Row],[Per Person Package Cost]]="", Table5[[#This Row],[No. of Pax]]=""), "", Table5[[#This Row],[Per Person Package Cost]] * Table5[[#This Row],[No. of Pax]])</f>
        <v>19800</v>
      </c>
      <c r="AA149" s="52" t="s">
        <v>75</v>
      </c>
      <c r="AB149" s="52" t="s">
        <v>75</v>
      </c>
      <c r="AC149" s="52" t="s">
        <v>76</v>
      </c>
      <c r="AD149" s="52" t="s">
        <v>461</v>
      </c>
      <c r="AE149" s="51" t="str">
        <f t="shared" si="9"/>
        <v>EXIDR13</v>
      </c>
      <c r="AF149" s="51" t="str">
        <f t="shared" si="10"/>
        <v>A Spiritual Odyssey of Madhya Pradesh</v>
      </c>
      <c r="AG149" s="74" t="str">
        <f t="shared" si="11"/>
        <v>Quick Getaways</v>
      </c>
      <c r="AH149" s="73" t="str">
        <f t="shared" si="12"/>
        <v>West MP</v>
      </c>
      <c r="AI149" s="52" t="s">
        <v>159</v>
      </c>
      <c r="AJ149" s="56" t="s">
        <v>115</v>
      </c>
      <c r="AK149" s="59" t="s">
        <v>79</v>
      </c>
      <c r="AL149" s="60" t="s">
        <v>80</v>
      </c>
      <c r="AM149" s="54" t="s">
        <v>80</v>
      </c>
      <c r="AN149" s="14"/>
      <c r="AO149" s="15"/>
      <c r="AP149" s="91"/>
      <c r="AQ149" s="87"/>
      <c r="AR149" s="26"/>
      <c r="AS149" s="65"/>
      <c r="AT149" s="88" t="s">
        <v>138</v>
      </c>
      <c r="AU149" s="67"/>
      <c r="BX149" s="1">
        <v>145</v>
      </c>
      <c r="CN149" t="s">
        <v>1338</v>
      </c>
      <c r="CU149" t="s">
        <v>148</v>
      </c>
      <c r="CV149" t="s">
        <v>259</v>
      </c>
      <c r="CW149" t="s">
        <v>1339</v>
      </c>
      <c r="CX149" s="124" t="s">
        <v>1340</v>
      </c>
      <c r="CY149" s="124" t="s">
        <v>1333</v>
      </c>
      <c r="CZ149" s="124" t="s">
        <v>1341</v>
      </c>
      <c r="DA149" t="str" cm="1">
        <f t="array" ref="DA149:DY149">IF(U149&lt;&gt;"", TRANSPOSE(_xlfn._xlws.FILTER(CZ:CZ, CY:CY=U149, "")), "")</f>
        <v>Gwl (2N) + Mor</v>
      </c>
      <c r="DB149" t="str">
        <v>Ex Idr | Idr - Ujj (1N) - Omk - Mah (1N) - Man - Idr</v>
      </c>
      <c r="DC149" t="str">
        <v>Ujj (1N) - Omk - Idr (1N)</v>
      </c>
      <c r="DD149" t="str">
        <v>Ex Jlr | Jlr - Kan (2N) - Jlr</v>
      </c>
      <c r="DE149" t="str">
        <v>Ex Jlr | Jlr - Ban (2N) - Jlr</v>
      </c>
      <c r="DF149" t="str">
        <v>Ex Bho | Bho (2N) + Bhim + Bhoj + San</v>
      </c>
      <c r="DG149" t="str">
        <v>Ex Idr | Idr - Man (2N) - Idr</v>
      </c>
      <c r="DH149" t="str">
        <v>Ex Jlr | Jlr - Kan (2N) - Jlr</v>
      </c>
      <c r="DI149" t="str">
        <v>Ex Bho | Bho (2N) + Bhim + Bhoj + San + HDCT Bho</v>
      </c>
      <c r="DJ149" t="str">
        <v>Ex Bho | Bho - Bhim - Tawa (1N) - Mad (1N) - Bho</v>
      </c>
      <c r="DK149" t="str">
        <v>Ujj (1N) - Omk - Mah (1N) - Idr</v>
      </c>
      <c r="DL149" t="str">
        <v>Ujj (1N) -  Idr (1N)</v>
      </c>
      <c r="DM149" t="str">
        <v>Ex Idr | Idr (2N) + Ujj + Omk + Mah</v>
      </c>
      <c r="DN149" t="str">
        <v>Idr - Mah - Omk (1N) - Ujj (1N)</v>
      </c>
      <c r="DO149" t="str">
        <v>Idr - Ujj (1N) - Mah - Omk (1N) - Khandwa</v>
      </c>
      <c r="DP149" t="str">
        <v>Ex Idr | Idr (EX Ujj) (1N) - Mah - Omk (1N) - Idr HDCT</v>
      </c>
      <c r="DQ149" t="str">
        <v>Ujj (1N) - Sehor - Bho (1N) HDCT</v>
      </c>
      <c r="DR149" t="str">
        <v>Ex Jlr | Jlr (1N) - Ban (1N)</v>
      </c>
      <c r="DS149" t="str">
        <v>Ex Jlr | Ban (1N)</v>
      </c>
      <c r="DT149" t="str">
        <v>Ex Jlr | Jlr (2 N) Kan</v>
      </c>
      <c r="DU149" t="str">
        <v>Ex Jlr | Jlr - Amr (1 N) - (1 N) Ban</v>
      </c>
      <c r="DV149" t="str">
        <v>Ex Rpr | Rpr - (2N) Kan</v>
      </c>
      <c r="DW149" t="str">
        <v>Hjr (1N) - Mahi (1N) - Sat</v>
      </c>
      <c r="DX149" t="str">
        <v>Ex Bhp | Bhp - Bhim - Pch (2N) - Bhp</v>
      </c>
      <c r="DY149" t="str">
        <v xml:space="preserve">Ex Ujj I 2N Ujj </v>
      </c>
    </row>
    <row r="150" spans="2:145" ht="15" customHeight="1">
      <c r="B150" s="35">
        <v>146</v>
      </c>
      <c r="C150" s="36" t="s">
        <v>1342</v>
      </c>
      <c r="D150" s="76">
        <v>46204</v>
      </c>
      <c r="E150" s="37" t="str">
        <f>IF(Table5[[#This Row],[Query Date]]&lt;&gt;"", TEXT(Table5[[#This Row],[Query Date]], "dddd"), "")</f>
        <v>Wednesday</v>
      </c>
      <c r="F150" s="37" t="str">
        <f>IF(Table5[[#This Row],[Query Date]]&lt;&gt;"", TEXT(Table5[[#This Row],[Query Date]], "mmmm"), "")</f>
        <v>July</v>
      </c>
      <c r="G150" s="28" t="s">
        <v>65</v>
      </c>
      <c r="H150" s="28" t="s">
        <v>99</v>
      </c>
      <c r="I150" s="28" t="s">
        <v>67</v>
      </c>
      <c r="J150" s="28" t="s">
        <v>68</v>
      </c>
      <c r="K150" s="28" t="s">
        <v>178</v>
      </c>
      <c r="L150" s="25" t="s">
        <v>70</v>
      </c>
      <c r="M150" s="112" t="s">
        <v>417</v>
      </c>
      <c r="N150" s="25" t="s">
        <v>418</v>
      </c>
      <c r="O150" s="130" t="s">
        <v>419</v>
      </c>
      <c r="P150" s="46" t="s">
        <v>420</v>
      </c>
      <c r="Q150" s="77">
        <v>46261</v>
      </c>
      <c r="R150" s="77" t="str">
        <f>IF(Table5[[#This Row],[Tour Starting Date]]&lt;&gt;"", TEXT(Table5[[#This Row],[Tour Starting Date]], "dddd"), "")</f>
        <v>Thursday</v>
      </c>
      <c r="S150" s="77">
        <v>46264</v>
      </c>
      <c r="T150" s="25" t="str">
        <f>IF(Table5[[#This Row],[Tour Ending Date]]&lt;&gt;"", TEXT(Table5[[#This Row],[Tour Ending Date]], "dddd"), "")</f>
        <v>Sunday</v>
      </c>
      <c r="U150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150" s="37" t="str">
        <f>IF(Table5[[#This Row],[Tour Starting Date]]&lt;&gt;"", TEXT(Table5[[#This Row],[Tour Starting Date]], "mmmm"), "")</f>
        <v>August</v>
      </c>
      <c r="W150" s="80" t="str" cm="1">
        <f t="array" ref="W150">IF(Q150&lt;&gt;"", INDEX(CI:CI, MATCH(1, (Q150&gt;=CG:CG)*(Q150&lt;=CH:CH), 0)), "")</f>
        <v>Regular Dates - Weekday</v>
      </c>
      <c r="X150" s="39">
        <v>2</v>
      </c>
      <c r="Y150" s="74">
        <v>15200</v>
      </c>
      <c r="Z150" s="74">
        <f>IF(OR(Table5[[#This Row],[Per Person Package Cost]]="", Table5[[#This Row],[No. of Pax]]=""), "", Table5[[#This Row],[Per Person Package Cost]] * Table5[[#This Row],[No. of Pax]])</f>
        <v>30400</v>
      </c>
      <c r="AA150" s="52" t="s">
        <v>75</v>
      </c>
      <c r="AB150" s="52" t="s">
        <v>75</v>
      </c>
      <c r="AC150" s="52" t="s">
        <v>76</v>
      </c>
      <c r="AD150" s="52" t="s">
        <v>106</v>
      </c>
      <c r="AE150" s="51" t="str">
        <f t="shared" si="9"/>
        <v>EXIDR04</v>
      </c>
      <c r="AF150" s="51" t="str">
        <f t="shared" si="10"/>
        <v>Heritage Pilgrimage</v>
      </c>
      <c r="AG150" s="74" t="str">
        <f t="shared" si="11"/>
        <v>Quick Getaways</v>
      </c>
      <c r="AH150" s="73" t="str">
        <f t="shared" si="12"/>
        <v>West MP</v>
      </c>
      <c r="AI150" s="52" t="s">
        <v>107</v>
      </c>
      <c r="AJ150" s="56" t="s">
        <v>78</v>
      </c>
      <c r="AK150" s="59" t="s">
        <v>79</v>
      </c>
      <c r="AL150" s="60" t="s">
        <v>80</v>
      </c>
      <c r="AM150" s="54" t="s">
        <v>80</v>
      </c>
      <c r="AN150" s="14">
        <v>46206</v>
      </c>
      <c r="AO150" s="15">
        <v>46224</v>
      </c>
      <c r="AP150" s="91">
        <v>46237</v>
      </c>
      <c r="AQ150" s="87"/>
      <c r="AR150" s="26"/>
      <c r="AS150" s="65"/>
      <c r="AT150" s="88" t="s">
        <v>81</v>
      </c>
      <c r="AU150" s="67" t="s">
        <v>82</v>
      </c>
      <c r="BX150" s="1">
        <v>146</v>
      </c>
      <c r="CN150" t="s">
        <v>1343</v>
      </c>
      <c r="CU150" t="s">
        <v>148</v>
      </c>
      <c r="CV150" t="s">
        <v>316</v>
      </c>
      <c r="CW150" t="s">
        <v>1344</v>
      </c>
      <c r="CX150" s="124" t="s">
        <v>1345</v>
      </c>
      <c r="CY150" s="124" t="s">
        <v>243</v>
      </c>
      <c r="CZ150" s="124" t="s">
        <v>1346</v>
      </c>
      <c r="DA150" t="str" cm="1">
        <f t="array" ref="DA150:EO150">IF(U150&lt;&gt;"", TRANSPOSE(_xlfn._xlws.FILTER(CZ:CZ, CY:CY=U150, "")), "")</f>
        <v>Gwl (3N) + Mor + Son + Dat + Orc</v>
      </c>
      <c r="DB150" t="str">
        <v>Ex Gwl | Gwl (1N) - Son - Dat - Orc (1N) - Gwl (1N)</v>
      </c>
      <c r="DC150" t="str">
        <v>Ex Idr | Idr - Ujj (1N) - Omk - Mah (1N) - Man (1N) - Idr</v>
      </c>
      <c r="DD150" t="str">
        <v>Ex Jlr | Jlr - Kan (2N) - Jlr (1N)</v>
      </c>
      <c r="DE150" t="str">
        <v>Ex Jlr | Jlr - Ban (2N) - Jlr (1N)</v>
      </c>
      <c r="DF150" t="str">
        <v>Ex Bho | Bho (1N) + San - Bhoj - Bhim - Pch (2N) - Bho</v>
      </c>
      <c r="DG150" t="str">
        <v>Ex Idr | Idr (1N) - Ujj (1N) - Omk (1N) - Mah - Idr</v>
      </c>
      <c r="DH150" t="str">
        <v>Gwl - Orc (1N) - Ckt (1N) - Myr (1N) - Jlr</v>
      </c>
      <c r="DI150" t="str">
        <v>Gwl - Orc (1N) - Ckt (2N) - Ixd</v>
      </c>
      <c r="DJ150" t="str">
        <v>Ex Idr | Idr - Ujj (1N) - Omk - Mah (1N) - Idr (1N)</v>
      </c>
      <c r="DK150" t="str">
        <v>Ex Jlr | Jlr - Kan (3N) - Jlr</v>
      </c>
      <c r="DL150" t="str">
        <v>Ex Bho | Bho (2N) + Bhim + Bhoj + San + Udaygiri + Vidisha + FDCT Bho</v>
      </c>
      <c r="DM150" t="str">
        <v>Bho (1N) + Bhim + Bhoj - HDCT  Bho + Sanchi - Ujj (2N)</v>
      </c>
      <c r="DN150" t="str">
        <v>Bho (1N) + Bhim + Bhoj - HDCT  Bho + Sanchi - Ujj (2N) - Idr</v>
      </c>
      <c r="DO150" t="str">
        <v>Ex Bho | Bho - Bhoj - Bhim - Mad (1N) - Pch (2N) - Bho</v>
      </c>
      <c r="DP150" t="str">
        <v>Ex Bho | Bho - Bhoj - Bhim - Mad (1N) - Pch (3N) - Bho</v>
      </c>
      <c r="DQ150" t="str">
        <v>Ex Bho | Bho - Bhoj - Bhim - Tawa (1N) - Mad (1N) - Bho (1N)</v>
      </c>
      <c r="DR150" t="str">
        <v>Bho (1N) - Bhim - Bhoj - San - Idr (2N) + Ujj</v>
      </c>
      <c r="DS150" t="str">
        <v>Bho (1N) - Bhoj - Bhim - Pch (2N) - Bho</v>
      </c>
      <c r="DT150" t="str">
        <v>Ujj (1N) - Omk - Mah (1N) - Idr (1N)</v>
      </c>
      <c r="DU150" t="str">
        <v>Ujj (1N) - Omk - Mah (1N) - Man (1N) - Idr</v>
      </c>
      <c r="DV150" t="str">
        <v>Ex Idr | Idr (1N) - Ujj (1N) - Omk - Mah (1N)</v>
      </c>
      <c r="DW150" t="str">
        <v>Ex Idr | Idr - Ujj (1N) - Omk (1N) - Mah (1N) - Idr</v>
      </c>
      <c r="DX150" t="str">
        <v>Khandwa - Omk (1N) - Mah (1N) - Ujj (1N) - Idr</v>
      </c>
      <c r="DY150" t="str">
        <v>Ex Idr | Idr - Ujj (1N) - Omk - Mah (1N) - Man - Idr (1N)</v>
      </c>
      <c r="DZ150" t="str">
        <v xml:space="preserve">Idr - Omk (1N) - Mah - Ujj (1N) San - Bho (1N) </v>
      </c>
      <c r="EA150" t="str">
        <v>Ex Idr | Idr - Man (1N) - Mah - Omk (1N) - Ujj (1N) - Idr</v>
      </c>
      <c r="EB150" t="str">
        <v>Khandwa - Omk (1N) - Mah - Ujj (2N)</v>
      </c>
      <c r="EC150" t="str">
        <v>Ex Jlr | Jlr (1N) - Amr (1N) - Ban (1N) - Jlr</v>
      </c>
      <c r="ED150" t="str">
        <v>Ex Jlr | Jlr - (1 N) Ban - (2 N) Amar</v>
      </c>
      <c r="EE150" t="str">
        <v>Jlr - Kan (1N) - Pch (2N)</v>
      </c>
      <c r="EF150" t="str">
        <v>Pi - Pch (2N)  - Kan (1N)</v>
      </c>
      <c r="EG150" t="str">
        <v>Ex Jlr | Jlr - Amr (1 N) - (1 N) Ban - (1 N) Jlr</v>
      </c>
      <c r="EH150" t="str">
        <v>Ppi - (2 N) Pch - (1 N) Pen</v>
      </c>
      <c r="EI150" t="str">
        <v>Bhp - Pch (2N) - Jlr (1N)</v>
      </c>
      <c r="EJ150" t="str">
        <v xml:space="preserve">Arr Jhn - Hjr (1N) - Orc - Gwl (2N) </v>
      </c>
      <c r="EK150" t="str">
        <v>(1 N) Ujj - (1 N) Mah - (1 N) Idr</v>
      </c>
      <c r="EL150" t="str">
        <v>Ex Bhp | Bhp - Bhoj - Bhim - Pch (3N) - Bhp</v>
      </c>
      <c r="EM150" t="str">
        <v>Ex Bhp | Bhp - Bhoj - Bhim - Pch (2N) - Mad (1N) - Bhp</v>
      </c>
      <c r="EN150" t="str">
        <v xml:space="preserve">Ex Nag - 3N Pch + Sat </v>
      </c>
      <c r="EO150" t="str">
        <v>1N Gwl - Son - Dat - 1N Hjr - 1N Orc - Jhn</v>
      </c>
    </row>
    <row r="151" spans="2:145" ht="15" customHeight="1">
      <c r="B151" s="34">
        <v>147</v>
      </c>
      <c r="C151" s="36" t="s">
        <v>1347</v>
      </c>
      <c r="D151" s="76">
        <v>46203</v>
      </c>
      <c r="E151" s="37" t="str">
        <f>IF(Table5[[#This Row],[Query Date]]&lt;&gt;"", TEXT(Table5[[#This Row],[Query Date]], "dddd"), "")</f>
        <v>Tuesday</v>
      </c>
      <c r="F151" s="37" t="str">
        <f>IF(Table5[[#This Row],[Query Date]]&lt;&gt;"", TEXT(Table5[[#This Row],[Query Date]], "mmmm"), "")</f>
        <v>June</v>
      </c>
      <c r="G151" s="28" t="s">
        <v>113</v>
      </c>
      <c r="H151" s="28" t="s">
        <v>99</v>
      </c>
      <c r="I151" s="28" t="s">
        <v>67</v>
      </c>
      <c r="J151" s="28" t="s">
        <v>68</v>
      </c>
      <c r="K151" s="28" t="s">
        <v>1348</v>
      </c>
      <c r="L151" s="25" t="s">
        <v>160</v>
      </c>
      <c r="M151" s="112" t="s">
        <v>90</v>
      </c>
      <c r="N151" s="25" t="s">
        <v>1349</v>
      </c>
      <c r="O151" s="130" t="s">
        <v>1350</v>
      </c>
      <c r="P151" s="46"/>
      <c r="Q151" s="77">
        <v>46213</v>
      </c>
      <c r="R151" s="77" t="str">
        <f>IF(Table5[[#This Row],[Tour Starting Date]]&lt;&gt;"", TEXT(Table5[[#This Row],[Tour Starting Date]], "dddd"), "")</f>
        <v>Friday</v>
      </c>
      <c r="S151" s="77">
        <v>46215</v>
      </c>
      <c r="T151" s="25" t="str">
        <f>IF(Table5[[#This Row],[Tour Ending Date]]&lt;&gt;"", TEXT(Table5[[#This Row],[Tour Ending Date]], "dddd"), "")</f>
        <v>Sunday</v>
      </c>
      <c r="U151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151" s="37" t="str">
        <f>IF(Table5[[#This Row],[Tour Starting Date]]&lt;&gt;"", TEXT(Table5[[#This Row],[Tour Starting Date]], "mmmm"), "")</f>
        <v>July</v>
      </c>
      <c r="W151" s="80" t="str" cm="1">
        <f t="array" ref="W151">IF(Q151&lt;&gt;"", INDEX(CI:CI, MATCH(1, (Q151&gt;=CG:CG)*(Q151&lt;=CH:CH), 0)), "")</f>
        <v>Regular Dates - Weekend</v>
      </c>
      <c r="X151" s="39">
        <v>2</v>
      </c>
      <c r="Y151" s="74">
        <v>11000</v>
      </c>
      <c r="Z151" s="74">
        <f>IF(OR(Table5[[#This Row],[Per Person Package Cost]]="", Table5[[#This Row],[No. of Pax]]=""), "", Table5[[#This Row],[Per Person Package Cost]] * Table5[[#This Row],[No. of Pax]])</f>
        <v>22000</v>
      </c>
      <c r="AA151" s="52" t="s">
        <v>205</v>
      </c>
      <c r="AB151" s="52" t="s">
        <v>205</v>
      </c>
      <c r="AC151" s="52" t="s">
        <v>76</v>
      </c>
      <c r="AD151" s="52" t="s">
        <v>251</v>
      </c>
      <c r="AE151" s="51" t="str">
        <f t="shared" si="9"/>
        <v>EXIDR14</v>
      </c>
      <c r="AF151" s="51" t="str">
        <f t="shared" si="10"/>
        <v>Spirit of the Jyotirlingas</v>
      </c>
      <c r="AG151" s="74" t="str">
        <f t="shared" si="11"/>
        <v>Quick Getaways</v>
      </c>
      <c r="AH151" s="73" t="str">
        <f t="shared" si="12"/>
        <v>West MP</v>
      </c>
      <c r="AI151" s="52" t="s">
        <v>77</v>
      </c>
      <c r="AJ151" s="56" t="s">
        <v>115</v>
      </c>
      <c r="AK151" s="59" t="s">
        <v>79</v>
      </c>
      <c r="AL151" s="60" t="s">
        <v>80</v>
      </c>
      <c r="AM151" s="54" t="s">
        <v>80</v>
      </c>
      <c r="AN151" s="14">
        <v>46205</v>
      </c>
      <c r="AO151" s="15"/>
      <c r="AP151" s="91"/>
      <c r="AQ151" s="87"/>
      <c r="AR151" s="26"/>
      <c r="AS151" s="65"/>
      <c r="AT151" s="88" t="s">
        <v>81</v>
      </c>
      <c r="AU151" s="67"/>
      <c r="BX151" s="1">
        <v>147</v>
      </c>
      <c r="CN151" t="s">
        <v>1351</v>
      </c>
      <c r="CU151" t="s">
        <v>148</v>
      </c>
      <c r="CV151" t="s">
        <v>299</v>
      </c>
      <c r="CW151" t="s">
        <v>1352</v>
      </c>
      <c r="CX151" s="124" t="s">
        <v>1353</v>
      </c>
      <c r="CY151" s="124" t="s">
        <v>243</v>
      </c>
      <c r="CZ151" s="124" t="s">
        <v>1354</v>
      </c>
      <c r="DA151" t="str" cm="1">
        <f t="array" ref="DA151:DY151">IF(U151&lt;&gt;"", TRANSPOSE(_xlfn._xlws.FILTER(CZ:CZ, CY:CY=U151, "")), "")</f>
        <v>Gwl (2N) + Mor</v>
      </c>
      <c r="DB151" t="str">
        <v>Ex Idr | Idr - Ujj (1N) - Omk - Mah (1N) - Man - Idr</v>
      </c>
      <c r="DC151" t="str">
        <v>Ujj (1N) - Omk - Idr (1N)</v>
      </c>
      <c r="DD151" t="str">
        <v>Ex Jlr | Jlr - Kan (2N) - Jlr</v>
      </c>
      <c r="DE151" t="str">
        <v>Ex Jlr | Jlr - Ban (2N) - Jlr</v>
      </c>
      <c r="DF151" t="str">
        <v>Ex Bho | Bho (2N) + Bhim + Bhoj + San</v>
      </c>
      <c r="DG151" t="str">
        <v>Ex Idr | Idr - Man (2N) - Idr</v>
      </c>
      <c r="DH151" t="str">
        <v>Ex Jlr | Jlr - Kan (2N) - Jlr</v>
      </c>
      <c r="DI151" t="str">
        <v>Ex Bho | Bho (2N) + Bhim + Bhoj + San + HDCT Bho</v>
      </c>
      <c r="DJ151" t="str">
        <v>Ex Bho | Bho - Bhim - Tawa (1N) - Mad (1N) - Bho</v>
      </c>
      <c r="DK151" t="str">
        <v>Ujj (1N) - Omk - Mah (1N) - Idr</v>
      </c>
      <c r="DL151" t="str">
        <v>Ujj (1N) -  Idr (1N)</v>
      </c>
      <c r="DM151" t="str">
        <v>Ex Idr | Idr (2N) + Ujj + Omk + Mah</v>
      </c>
      <c r="DN151" t="str">
        <v>Idr - Mah - Omk (1N) - Ujj (1N)</v>
      </c>
      <c r="DO151" t="str">
        <v>Idr - Ujj (1N) - Mah - Omk (1N) - Khandwa</v>
      </c>
      <c r="DP151" t="str">
        <v>Ex Idr | Idr (EX Ujj) (1N) - Mah - Omk (1N) - Idr HDCT</v>
      </c>
      <c r="DQ151" t="str">
        <v>Ujj (1N) - Sehor - Bho (1N) HDCT</v>
      </c>
      <c r="DR151" t="str">
        <v>Ex Jlr | Jlr (1N) - Ban (1N)</v>
      </c>
      <c r="DS151" t="str">
        <v>Ex Jlr | Ban (1N)</v>
      </c>
      <c r="DT151" t="str">
        <v>Ex Jlr | Jlr (2 N) Kan</v>
      </c>
      <c r="DU151" t="str">
        <v>Ex Jlr | Jlr - Amr (1 N) - (1 N) Ban</v>
      </c>
      <c r="DV151" t="str">
        <v>Ex Rpr | Rpr - (2N) Kan</v>
      </c>
      <c r="DW151" t="str">
        <v>Hjr (1N) - Mahi (1N) - Sat</v>
      </c>
      <c r="DX151" t="str">
        <v>Ex Bhp | Bhp - Bhim - Pch (2N) - Bhp</v>
      </c>
      <c r="DY151" t="str">
        <v xml:space="preserve">Ex Ujj I 2N Ujj </v>
      </c>
    </row>
    <row r="152" spans="2:145" ht="15" customHeight="1">
      <c r="B152" s="35">
        <v>148</v>
      </c>
      <c r="C152" s="36" t="s">
        <v>1355</v>
      </c>
      <c r="D152" s="76">
        <v>46203</v>
      </c>
      <c r="E152" s="37" t="str">
        <f>IF(Table5[[#This Row],[Query Date]]&lt;&gt;"", TEXT(Table5[[#This Row],[Query Date]], "dddd"), "")</f>
        <v>Tuesday</v>
      </c>
      <c r="F152" s="37" t="str">
        <f>IF(Table5[[#This Row],[Query Date]]&lt;&gt;"", TEXT(Table5[[#This Row],[Query Date]], "mmmm"), "")</f>
        <v>June</v>
      </c>
      <c r="G152" s="28" t="s">
        <v>113</v>
      </c>
      <c r="H152" s="28" t="s">
        <v>66</v>
      </c>
      <c r="I152" s="28" t="s">
        <v>67</v>
      </c>
      <c r="J152" s="28" t="s">
        <v>68</v>
      </c>
      <c r="K152" s="28" t="s">
        <v>1356</v>
      </c>
      <c r="L152" s="25" t="s">
        <v>160</v>
      </c>
      <c r="M152" s="112" t="s">
        <v>90</v>
      </c>
      <c r="N152" s="25" t="s">
        <v>1357</v>
      </c>
      <c r="O152" s="130"/>
      <c r="P152" s="31"/>
      <c r="Q152" s="77">
        <v>46249</v>
      </c>
      <c r="R152" s="77" t="str">
        <f>IF(Table5[[#This Row],[Tour Starting Date]]&lt;&gt;"", TEXT(Table5[[#This Row],[Tour Starting Date]], "dddd"), "")</f>
        <v>Saturday</v>
      </c>
      <c r="S152" s="77">
        <v>46251</v>
      </c>
      <c r="T152" s="25" t="str">
        <f>IF(Table5[[#This Row],[Tour Ending Date]]&lt;&gt;"", TEXT(Table5[[#This Row],[Tour Ending Date]], "dddd"), "")</f>
        <v>Monday</v>
      </c>
      <c r="U152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152" s="37" t="str">
        <f>IF(Table5[[#This Row],[Tour Starting Date]]&lt;&gt;"", TEXT(Table5[[#This Row],[Tour Starting Date]], "mmmm"), "")</f>
        <v>August</v>
      </c>
      <c r="W152" s="80" t="str" cm="1">
        <f t="array" ref="W152">IF(Q152&lt;&gt;"", INDEX(CI:CI, MATCH(1, (Q152&gt;=CG:CG)*(Q152&lt;=CH:CH), 0)), "")</f>
        <v>Long Weekend - Independence Day</v>
      </c>
      <c r="X152" s="39">
        <v>2</v>
      </c>
      <c r="Y152" s="74">
        <v>2300</v>
      </c>
      <c r="Z152" s="74">
        <f>IF(OR(Table5[[#This Row],[Per Person Package Cost]]="", Table5[[#This Row],[No. of Pax]]=""), "", Table5[[#This Row],[Per Person Package Cost]] * Table5[[#This Row],[No. of Pax]])</f>
        <v>4600</v>
      </c>
      <c r="AA152" s="52" t="s">
        <v>205</v>
      </c>
      <c r="AB152" s="52" t="s">
        <v>205</v>
      </c>
      <c r="AC152" s="52" t="s">
        <v>134</v>
      </c>
      <c r="AD152" s="52" t="s">
        <v>251</v>
      </c>
      <c r="AE152" s="51" t="str">
        <f t="shared" si="9"/>
        <v>EXIDR14</v>
      </c>
      <c r="AF152" s="51" t="str">
        <f t="shared" si="10"/>
        <v>Spirit of the Jyotirlingas</v>
      </c>
      <c r="AG152" s="74" t="str">
        <f t="shared" si="11"/>
        <v>Quick Getaways</v>
      </c>
      <c r="AH152" s="73" t="str">
        <f t="shared" si="12"/>
        <v>West MP</v>
      </c>
      <c r="AI152" s="52" t="s">
        <v>159</v>
      </c>
      <c r="AJ152" s="56" t="s">
        <v>115</v>
      </c>
      <c r="AK152" s="59" t="s">
        <v>79</v>
      </c>
      <c r="AL152" s="60" t="s">
        <v>80</v>
      </c>
      <c r="AM152" s="54" t="s">
        <v>80</v>
      </c>
      <c r="AN152" s="14">
        <v>46205</v>
      </c>
      <c r="AO152" s="15"/>
      <c r="AP152" s="91"/>
      <c r="AQ152" s="87"/>
      <c r="AR152" s="26"/>
      <c r="AS152" s="65"/>
      <c r="AT152" s="88" t="s">
        <v>81</v>
      </c>
      <c r="AU152" s="67"/>
      <c r="BX152" s="1">
        <v>148</v>
      </c>
      <c r="CN152" t="s">
        <v>1244</v>
      </c>
      <c r="CU152" t="s">
        <v>148</v>
      </c>
      <c r="CV152" t="s">
        <v>193</v>
      </c>
      <c r="CW152" t="s">
        <v>1358</v>
      </c>
      <c r="CX152" s="124" t="s">
        <v>1359</v>
      </c>
      <c r="CY152" s="124" t="s">
        <v>243</v>
      </c>
      <c r="CZ152" s="124" t="s">
        <v>1360</v>
      </c>
      <c r="DA152" t="str" cm="1">
        <f t="array" ref="DA152:DY152">IF(U152&lt;&gt;"", TRANSPOSE(_xlfn._xlws.FILTER(CZ:CZ, CY:CY=U152, "")), "")</f>
        <v>Gwl (2N) + Mor</v>
      </c>
      <c r="DB152" t="str">
        <v>Ex Idr | Idr - Ujj (1N) - Omk - Mah (1N) - Man - Idr</v>
      </c>
      <c r="DC152" t="str">
        <v>Ujj (1N) - Omk - Idr (1N)</v>
      </c>
      <c r="DD152" t="str">
        <v>Ex Jlr | Jlr - Kan (2N) - Jlr</v>
      </c>
      <c r="DE152" t="str">
        <v>Ex Jlr | Jlr - Ban (2N) - Jlr</v>
      </c>
      <c r="DF152" t="str">
        <v>Ex Bho | Bho (2N) + Bhim + Bhoj + San</v>
      </c>
      <c r="DG152" t="str">
        <v>Ex Idr | Idr - Man (2N) - Idr</v>
      </c>
      <c r="DH152" t="str">
        <v>Ex Jlr | Jlr - Kan (2N) - Jlr</v>
      </c>
      <c r="DI152" t="str">
        <v>Ex Bho | Bho (2N) + Bhim + Bhoj + San + HDCT Bho</v>
      </c>
      <c r="DJ152" t="str">
        <v>Ex Bho | Bho - Bhim - Tawa (1N) - Mad (1N) - Bho</v>
      </c>
      <c r="DK152" t="str">
        <v>Ujj (1N) - Omk - Mah (1N) - Idr</v>
      </c>
      <c r="DL152" t="str">
        <v>Ujj (1N) -  Idr (1N)</v>
      </c>
      <c r="DM152" t="str">
        <v>Ex Idr | Idr (2N) + Ujj + Omk + Mah</v>
      </c>
      <c r="DN152" t="str">
        <v>Idr - Mah - Omk (1N) - Ujj (1N)</v>
      </c>
      <c r="DO152" t="str">
        <v>Idr - Ujj (1N) - Mah - Omk (1N) - Khandwa</v>
      </c>
      <c r="DP152" t="str">
        <v>Ex Idr | Idr (EX Ujj) (1N) - Mah - Omk (1N) - Idr HDCT</v>
      </c>
      <c r="DQ152" t="str">
        <v>Ujj (1N) - Sehor - Bho (1N) HDCT</v>
      </c>
      <c r="DR152" t="str">
        <v>Ex Jlr | Jlr (1N) - Ban (1N)</v>
      </c>
      <c r="DS152" t="str">
        <v>Ex Jlr | Ban (1N)</v>
      </c>
      <c r="DT152" t="str">
        <v>Ex Jlr | Jlr (2 N) Kan</v>
      </c>
      <c r="DU152" t="str">
        <v>Ex Jlr | Jlr - Amr (1 N) - (1 N) Ban</v>
      </c>
      <c r="DV152" t="str">
        <v>Ex Rpr | Rpr - (2N) Kan</v>
      </c>
      <c r="DW152" t="str">
        <v>Hjr (1N) - Mahi (1N) - Sat</v>
      </c>
      <c r="DX152" t="str">
        <v>Ex Bhp | Bhp - Bhim - Pch (2N) - Bhp</v>
      </c>
      <c r="DY152" t="str">
        <v xml:space="preserve">Ex Ujj I 2N Ujj </v>
      </c>
    </row>
    <row r="153" spans="2:145" ht="15" customHeight="1">
      <c r="B153" s="34">
        <v>149</v>
      </c>
      <c r="C153" s="36" t="s">
        <v>1361</v>
      </c>
      <c r="D153" s="76">
        <v>46204</v>
      </c>
      <c r="E153" s="37" t="str">
        <f>IF(Table5[[#This Row],[Query Date]]&lt;&gt;"", TEXT(Table5[[#This Row],[Query Date]], "dddd"), "")</f>
        <v>Wednesday</v>
      </c>
      <c r="F153" s="37" t="str">
        <f>IF(Table5[[#This Row],[Query Date]]&lt;&gt;"", TEXT(Table5[[#This Row],[Query Date]], "mmmm"), "")</f>
        <v>July</v>
      </c>
      <c r="G153" s="28" t="s">
        <v>113</v>
      </c>
      <c r="H153" s="28" t="s">
        <v>99</v>
      </c>
      <c r="I153" s="28" t="s">
        <v>67</v>
      </c>
      <c r="J153" s="28" t="s">
        <v>68</v>
      </c>
      <c r="K153" s="28" t="s">
        <v>178</v>
      </c>
      <c r="L153" s="25" t="s">
        <v>160</v>
      </c>
      <c r="M153" s="112" t="s">
        <v>90</v>
      </c>
      <c r="N153" s="45" t="s">
        <v>1362</v>
      </c>
      <c r="O153" s="130"/>
      <c r="P153" s="46"/>
      <c r="Q153" s="77">
        <v>46280</v>
      </c>
      <c r="R153" s="77" t="str">
        <f>IF(Table5[[#This Row],[Tour Starting Date]]&lt;&gt;"", TEXT(Table5[[#This Row],[Tour Starting Date]], "dddd"), "")</f>
        <v>Tuesday</v>
      </c>
      <c r="S153" s="77">
        <v>46282</v>
      </c>
      <c r="T153" s="25" t="str">
        <f>IF(Table5[[#This Row],[Tour Ending Date]]&lt;&gt;"", TEXT(Table5[[#This Row],[Tour Ending Date]], "dddd"), "")</f>
        <v>Thursday</v>
      </c>
      <c r="U153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153" s="37" t="str">
        <f>IF(Table5[[#This Row],[Tour Starting Date]]&lt;&gt;"", TEXT(Table5[[#This Row],[Tour Starting Date]], "mmmm"), "")</f>
        <v>September</v>
      </c>
      <c r="W153" s="80" t="str" cm="1">
        <f t="array" ref="W153">IF(Q153&lt;&gt;"", INDEX(CI:CI, MATCH(1, (Q153&gt;=CG:CG)*(Q153&lt;=CH:CH), 0)), "")</f>
        <v>Regular Dates - Weekday</v>
      </c>
      <c r="X153" s="39">
        <v>3</v>
      </c>
      <c r="Y153" s="74">
        <v>13600</v>
      </c>
      <c r="Z153" s="74">
        <f>IF(OR(Table5[[#This Row],[Per Person Package Cost]]="", Table5[[#This Row],[No. of Pax]]=""), "", Table5[[#This Row],[Per Person Package Cost]] * Table5[[#This Row],[No. of Pax]])</f>
        <v>40800</v>
      </c>
      <c r="AA153" s="52" t="s">
        <v>75</v>
      </c>
      <c r="AB153" s="52" t="s">
        <v>75</v>
      </c>
      <c r="AC153" s="52" t="s">
        <v>134</v>
      </c>
      <c r="AD153" s="52" t="s">
        <v>1363</v>
      </c>
      <c r="AE153" s="51" t="str">
        <f t="shared" si="9"/>
        <v>EXIDR34</v>
      </c>
      <c r="AF153" s="51" t="str">
        <f t="shared" si="10"/>
        <v>Sacred Malwa Circuit</v>
      </c>
      <c r="AG153" s="74" t="str">
        <f t="shared" si="11"/>
        <v>Quick Getaways</v>
      </c>
      <c r="AH153" s="73" t="str">
        <f t="shared" si="12"/>
        <v>West MP</v>
      </c>
      <c r="AI153" s="52" t="s">
        <v>159</v>
      </c>
      <c r="AJ153" s="56" t="s">
        <v>115</v>
      </c>
      <c r="AK153" s="59" t="s">
        <v>79</v>
      </c>
      <c r="AL153" s="60" t="s">
        <v>80</v>
      </c>
      <c r="AM153" s="54" t="s">
        <v>80</v>
      </c>
      <c r="AN153" s="14">
        <v>46206</v>
      </c>
      <c r="AO153" s="15"/>
      <c r="AP153" s="91"/>
      <c r="AQ153" s="87"/>
      <c r="AR153" s="26"/>
      <c r="AS153" s="65"/>
      <c r="AT153" s="88" t="s">
        <v>138</v>
      </c>
      <c r="AU153" s="67"/>
      <c r="BX153" s="1">
        <v>149</v>
      </c>
      <c r="CN153" t="s">
        <v>1364</v>
      </c>
      <c r="CU153" t="s">
        <v>361</v>
      </c>
      <c r="CV153" t="s">
        <v>316</v>
      </c>
      <c r="CW153" t="s">
        <v>1365</v>
      </c>
      <c r="CX153" t="s">
        <v>1366</v>
      </c>
      <c r="CY153" t="s">
        <v>243</v>
      </c>
      <c r="CZ153" t="s">
        <v>521</v>
      </c>
      <c r="DA153" t="str" cm="1">
        <f t="array" ref="DA153:DY153">IF(U153&lt;&gt;"", TRANSPOSE(_xlfn._xlws.FILTER(CZ:CZ, CY:CY=U153, "")), "")</f>
        <v>Gwl (2N) + Mor</v>
      </c>
      <c r="DB153" t="str">
        <v>Ex Idr | Idr - Ujj (1N) - Omk - Mah (1N) - Man - Idr</v>
      </c>
      <c r="DC153" t="str">
        <v>Ujj (1N) - Omk - Idr (1N)</v>
      </c>
      <c r="DD153" t="str">
        <v>Ex Jlr | Jlr - Kan (2N) - Jlr</v>
      </c>
      <c r="DE153" t="str">
        <v>Ex Jlr | Jlr - Ban (2N) - Jlr</v>
      </c>
      <c r="DF153" t="str">
        <v>Ex Bho | Bho (2N) + Bhim + Bhoj + San</v>
      </c>
      <c r="DG153" t="str">
        <v>Ex Idr | Idr - Man (2N) - Idr</v>
      </c>
      <c r="DH153" t="str">
        <v>Ex Jlr | Jlr - Kan (2N) - Jlr</v>
      </c>
      <c r="DI153" t="str">
        <v>Ex Bho | Bho (2N) + Bhim + Bhoj + San + HDCT Bho</v>
      </c>
      <c r="DJ153" t="str">
        <v>Ex Bho | Bho - Bhim - Tawa (1N) - Mad (1N) - Bho</v>
      </c>
      <c r="DK153" t="str">
        <v>Ujj (1N) - Omk - Mah (1N) - Idr</v>
      </c>
      <c r="DL153" t="str">
        <v>Ujj (1N) -  Idr (1N)</v>
      </c>
      <c r="DM153" t="str">
        <v>Ex Idr | Idr (2N) + Ujj + Omk + Mah</v>
      </c>
      <c r="DN153" t="str">
        <v>Idr - Mah - Omk (1N) - Ujj (1N)</v>
      </c>
      <c r="DO153" t="str">
        <v>Idr - Ujj (1N) - Mah - Omk (1N) - Khandwa</v>
      </c>
      <c r="DP153" t="str">
        <v>Ex Idr | Idr (EX Ujj) (1N) - Mah - Omk (1N) - Idr HDCT</v>
      </c>
      <c r="DQ153" t="str">
        <v>Ujj (1N) - Sehor - Bho (1N) HDCT</v>
      </c>
      <c r="DR153" t="str">
        <v>Ex Jlr | Jlr (1N) - Ban (1N)</v>
      </c>
      <c r="DS153" t="str">
        <v>Ex Jlr | Ban (1N)</v>
      </c>
      <c r="DT153" t="str">
        <v>Ex Jlr | Jlr (2 N) Kan</v>
      </c>
      <c r="DU153" t="str">
        <v>Ex Jlr | Jlr - Amr (1 N) - (1 N) Ban</v>
      </c>
      <c r="DV153" t="str">
        <v>Ex Rpr | Rpr - (2N) Kan</v>
      </c>
      <c r="DW153" t="str">
        <v>Hjr (1N) - Mahi (1N) - Sat</v>
      </c>
      <c r="DX153" t="str">
        <v>Ex Bhp | Bhp - Bhim - Pch (2N) - Bhp</v>
      </c>
      <c r="DY153" t="str">
        <v xml:space="preserve">Ex Ujj I 2N Ujj </v>
      </c>
    </row>
    <row r="154" spans="2:145" ht="15" customHeight="1">
      <c r="B154" s="35">
        <v>150</v>
      </c>
      <c r="C154" s="36" t="s">
        <v>1367</v>
      </c>
      <c r="D154" s="76">
        <v>46204</v>
      </c>
      <c r="E154" s="37" t="str">
        <f>IF(Table5[[#This Row],[Query Date]]&lt;&gt;"", TEXT(Table5[[#This Row],[Query Date]], "dddd"), "")</f>
        <v>Wednesday</v>
      </c>
      <c r="F154" s="37" t="str">
        <f>IF(Table5[[#This Row],[Query Date]]&lt;&gt;"", TEXT(Table5[[#This Row],[Query Date]], "mmmm"), "")</f>
        <v>July</v>
      </c>
      <c r="G154" s="28" t="s">
        <v>113</v>
      </c>
      <c r="H154" s="28" t="s">
        <v>99</v>
      </c>
      <c r="I154" s="28" t="s">
        <v>67</v>
      </c>
      <c r="J154" s="28" t="s">
        <v>68</v>
      </c>
      <c r="K154" s="28" t="s">
        <v>1368</v>
      </c>
      <c r="L154" s="25" t="s">
        <v>160</v>
      </c>
      <c r="M154" s="112" t="s">
        <v>90</v>
      </c>
      <c r="N154" s="25" t="s">
        <v>1369</v>
      </c>
      <c r="O154" s="130" t="s">
        <v>1370</v>
      </c>
      <c r="P154" s="46"/>
      <c r="Q154" s="77">
        <v>46282</v>
      </c>
      <c r="R154" s="77" t="str">
        <f>IF(Table5[[#This Row],[Tour Starting Date]]&lt;&gt;"", TEXT(Table5[[#This Row],[Tour Starting Date]], "dddd"), "")</f>
        <v>Thursday</v>
      </c>
      <c r="S154" s="77">
        <v>46285</v>
      </c>
      <c r="T154" s="25" t="str">
        <f>IF(Table5[[#This Row],[Tour Ending Date]]&lt;&gt;"", TEXT(Table5[[#This Row],[Tour Ending Date]], "dddd"), "")</f>
        <v>Sunday</v>
      </c>
      <c r="U154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154" s="37" t="str">
        <f>IF(Table5[[#This Row],[Tour Starting Date]]&lt;&gt;"", TEXT(Table5[[#This Row],[Tour Starting Date]], "mmmm"), "")</f>
        <v>September</v>
      </c>
      <c r="W154" s="80" t="str" cm="1">
        <f t="array" ref="W154">IF(Q154&lt;&gt;"", INDEX(CI:CI, MATCH(1, (Q154&gt;=CG:CG)*(Q154&lt;=CH:CH), 0)), "")</f>
        <v>Regular Dates - Weekday</v>
      </c>
      <c r="X154" s="39">
        <v>3</v>
      </c>
      <c r="Y154" s="74">
        <v>13300</v>
      </c>
      <c r="Z154" s="74">
        <f>IF(OR(Table5[[#This Row],[Per Person Package Cost]]="", Table5[[#This Row],[No. of Pax]]=""), "", Table5[[#This Row],[Per Person Package Cost]] * Table5[[#This Row],[No. of Pax]])</f>
        <v>39900</v>
      </c>
      <c r="AA154" s="52" t="s">
        <v>75</v>
      </c>
      <c r="AB154" s="52" t="s">
        <v>75</v>
      </c>
      <c r="AC154" s="52" t="s">
        <v>173</v>
      </c>
      <c r="AD154" s="52" t="s">
        <v>1363</v>
      </c>
      <c r="AE154" s="51" t="str">
        <f t="shared" si="9"/>
        <v>EXIDR34</v>
      </c>
      <c r="AF154" s="51" t="str">
        <f t="shared" si="10"/>
        <v>Sacred Malwa Circuit</v>
      </c>
      <c r="AG154" s="74" t="str">
        <f t="shared" si="11"/>
        <v>Quick Getaways</v>
      </c>
      <c r="AH154" s="73" t="str">
        <f t="shared" si="12"/>
        <v>West MP</v>
      </c>
      <c r="AI154" s="52" t="s">
        <v>77</v>
      </c>
      <c r="AJ154" s="56" t="s">
        <v>115</v>
      </c>
      <c r="AK154" s="59" t="s">
        <v>79</v>
      </c>
      <c r="AL154" s="60" t="s">
        <v>80</v>
      </c>
      <c r="AM154" s="54" t="s">
        <v>80</v>
      </c>
      <c r="AN154" s="14">
        <v>46206</v>
      </c>
      <c r="AO154" s="15"/>
      <c r="AP154" s="91"/>
      <c r="AQ154" s="87"/>
      <c r="AR154" s="26"/>
      <c r="AS154" s="65"/>
      <c r="AT154" s="88" t="s">
        <v>138</v>
      </c>
      <c r="AU154" s="67"/>
      <c r="BX154" s="1">
        <v>150</v>
      </c>
      <c r="CN154" t="s">
        <v>1371</v>
      </c>
      <c r="CU154" t="s">
        <v>361</v>
      </c>
      <c r="CV154" t="s">
        <v>193</v>
      </c>
      <c r="CW154" t="s">
        <v>1372</v>
      </c>
      <c r="CX154" t="s">
        <v>1373</v>
      </c>
      <c r="CY154" t="s">
        <v>223</v>
      </c>
      <c r="CZ154" t="s">
        <v>1374</v>
      </c>
      <c r="DA154" t="str" cm="1">
        <f t="array" ref="DA154:EO154">IF(U154&lt;&gt;"", TRANSPOSE(_xlfn._xlws.FILTER(CZ:CZ, CY:CY=U154, "")), "")</f>
        <v>Gwl (3N) + Mor + Son + Dat + Orc</v>
      </c>
      <c r="DB154" t="str">
        <v>Ex Gwl | Gwl (1N) - Son - Dat - Orc (1N) - Gwl (1N)</v>
      </c>
      <c r="DC154" t="str">
        <v>Ex Idr | Idr - Ujj (1N) - Omk - Mah (1N) - Man (1N) - Idr</v>
      </c>
      <c r="DD154" t="str">
        <v>Ex Jlr | Jlr - Kan (2N) - Jlr (1N)</v>
      </c>
      <c r="DE154" t="str">
        <v>Ex Jlr | Jlr - Ban (2N) - Jlr (1N)</v>
      </c>
      <c r="DF154" t="str">
        <v>Ex Bho | Bho (1N) + San - Bhoj - Bhim - Pch (2N) - Bho</v>
      </c>
      <c r="DG154" t="str">
        <v>Ex Idr | Idr (1N) - Ujj (1N) - Omk (1N) - Mah - Idr</v>
      </c>
      <c r="DH154" t="str">
        <v>Gwl - Orc (1N) - Ckt (1N) - Myr (1N) - Jlr</v>
      </c>
      <c r="DI154" t="str">
        <v>Gwl - Orc (1N) - Ckt (2N) - Ixd</v>
      </c>
      <c r="DJ154" t="str">
        <v>Ex Idr | Idr - Ujj (1N) - Omk - Mah (1N) - Idr (1N)</v>
      </c>
      <c r="DK154" t="str">
        <v>Ex Jlr | Jlr - Kan (3N) - Jlr</v>
      </c>
      <c r="DL154" t="str">
        <v>Ex Bho | Bho (2N) + Bhim + Bhoj + San + Udaygiri + Vidisha + FDCT Bho</v>
      </c>
      <c r="DM154" t="str">
        <v>Bho (1N) + Bhim + Bhoj - HDCT  Bho + Sanchi - Ujj (2N)</v>
      </c>
      <c r="DN154" t="str">
        <v>Bho (1N) + Bhim + Bhoj - HDCT  Bho + Sanchi - Ujj (2N) - Idr</v>
      </c>
      <c r="DO154" t="str">
        <v>Ex Bho | Bho - Bhoj - Bhim - Mad (1N) - Pch (2N) - Bho</v>
      </c>
      <c r="DP154" t="str">
        <v>Ex Bho | Bho - Bhoj - Bhim - Mad (1N) - Pch (3N) - Bho</v>
      </c>
      <c r="DQ154" t="str">
        <v>Ex Bho | Bho - Bhoj - Bhim - Tawa (1N) - Mad (1N) - Bho (1N)</v>
      </c>
      <c r="DR154" t="str">
        <v>Bho (1N) - Bhim - Bhoj - San - Idr (2N) + Ujj</v>
      </c>
      <c r="DS154" t="str">
        <v>Bho (1N) - Bhoj - Bhim - Pch (2N) - Bho</v>
      </c>
      <c r="DT154" t="str">
        <v>Ujj (1N) - Omk - Mah (1N) - Idr (1N)</v>
      </c>
      <c r="DU154" t="str">
        <v>Ujj (1N) - Omk - Mah (1N) - Man (1N) - Idr</v>
      </c>
      <c r="DV154" t="str">
        <v>Ex Idr | Idr (1N) - Ujj (1N) - Omk - Mah (1N)</v>
      </c>
      <c r="DW154" t="str">
        <v>Ex Idr | Idr - Ujj (1N) - Omk (1N) - Mah (1N) - Idr</v>
      </c>
      <c r="DX154" t="str">
        <v>Khandwa - Omk (1N) - Mah (1N) - Ujj (1N) - Idr</v>
      </c>
      <c r="DY154" t="str">
        <v>Ex Idr | Idr - Ujj (1N) - Omk - Mah (1N) - Man - Idr (1N)</v>
      </c>
      <c r="DZ154" t="str">
        <v xml:space="preserve">Idr - Omk (1N) - Mah - Ujj (1N) San - Bho (1N) </v>
      </c>
      <c r="EA154" t="str">
        <v>Ex Idr | Idr - Man (1N) - Mah - Omk (1N) - Ujj (1N) - Idr</v>
      </c>
      <c r="EB154" t="str">
        <v>Khandwa - Omk (1N) - Mah - Ujj (2N)</v>
      </c>
      <c r="EC154" t="str">
        <v>Ex Jlr | Jlr (1N) - Amr (1N) - Ban (1N) - Jlr</v>
      </c>
      <c r="ED154" t="str">
        <v>Ex Jlr | Jlr - (1 N) Ban - (2 N) Amar</v>
      </c>
      <c r="EE154" t="str">
        <v>Jlr - Kan (1N) - Pch (2N)</v>
      </c>
      <c r="EF154" t="str">
        <v>Pi - Pch (2N)  - Kan (1N)</v>
      </c>
      <c r="EG154" t="str">
        <v>Ex Jlr | Jlr - Amr (1 N) - (1 N) Ban - (1 N) Jlr</v>
      </c>
      <c r="EH154" t="str">
        <v>Ppi - (2 N) Pch - (1 N) Pen</v>
      </c>
      <c r="EI154" t="str">
        <v>Bhp - Pch (2N) - Jlr (1N)</v>
      </c>
      <c r="EJ154" t="str">
        <v xml:space="preserve">Arr Jhn - Hjr (1N) - Orc - Gwl (2N) </v>
      </c>
      <c r="EK154" t="str">
        <v>(1 N) Ujj - (1 N) Mah - (1 N) Idr</v>
      </c>
      <c r="EL154" t="str">
        <v>Ex Bhp | Bhp - Bhoj - Bhim - Pch (3N) - Bhp</v>
      </c>
      <c r="EM154" t="str">
        <v>Ex Bhp | Bhp - Bhoj - Bhim - Pch (2N) - Mad (1N) - Bhp</v>
      </c>
      <c r="EN154" t="str">
        <v xml:space="preserve">Ex Nag - 3N Pch + Sat </v>
      </c>
      <c r="EO154" t="str">
        <v>1N Gwl - Son - Dat - 1N Hjr - 1N Orc - Jhn</v>
      </c>
    </row>
    <row r="155" spans="2:145" ht="15" customHeight="1">
      <c r="B155" s="34">
        <v>151</v>
      </c>
      <c r="C155" s="36" t="s">
        <v>1375</v>
      </c>
      <c r="D155" s="76">
        <v>46204</v>
      </c>
      <c r="E155" s="37" t="str">
        <f>IF(Table5[[#This Row],[Query Date]]&lt;&gt;"", TEXT(Table5[[#This Row],[Query Date]], "dddd"), "")</f>
        <v>Wednesday</v>
      </c>
      <c r="F155" s="37" t="str">
        <f>IF(Table5[[#This Row],[Query Date]]&lt;&gt;"", TEXT(Table5[[#This Row],[Query Date]], "mmmm"), "")</f>
        <v>July</v>
      </c>
      <c r="G155" s="28" t="s">
        <v>113</v>
      </c>
      <c r="H155" s="28" t="s">
        <v>99</v>
      </c>
      <c r="I155" s="28" t="s">
        <v>67</v>
      </c>
      <c r="J155" s="28" t="s">
        <v>68</v>
      </c>
      <c r="K155" s="28" t="s">
        <v>178</v>
      </c>
      <c r="L155" s="25" t="s">
        <v>160</v>
      </c>
      <c r="M155" s="112" t="s">
        <v>90</v>
      </c>
      <c r="N155" s="25" t="s">
        <v>1376</v>
      </c>
      <c r="O155" s="130"/>
      <c r="P155" s="46"/>
      <c r="Q155" s="77">
        <v>46219</v>
      </c>
      <c r="R155" s="77" t="str">
        <f>IF(Table5[[#This Row],[Tour Starting Date]]&lt;&gt;"", TEXT(Table5[[#This Row],[Tour Starting Date]], "dddd"), "")</f>
        <v>Thursday</v>
      </c>
      <c r="S155" s="77">
        <v>46221</v>
      </c>
      <c r="T155" s="25" t="str">
        <f>IF(Table5[[#This Row],[Tour Ending Date]]&lt;&gt;"", TEXT(Table5[[#This Row],[Tour Ending Date]], "dddd"), "")</f>
        <v>Saturday</v>
      </c>
      <c r="U155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155" s="37" t="str">
        <f>IF(Table5[[#This Row],[Tour Starting Date]]&lt;&gt;"", TEXT(Table5[[#This Row],[Tour Starting Date]], "mmmm"), "")</f>
        <v>July</v>
      </c>
      <c r="W155" s="80" t="str" cm="1">
        <f t="array" ref="W155">IF(Q155&lt;&gt;"", INDEX(CI:CI, MATCH(1, (Q155&gt;=CG:CG)*(Q155&lt;=CH:CH), 0)), "")</f>
        <v>Regular Dates - Weekday</v>
      </c>
      <c r="X155" s="39">
        <v>6</v>
      </c>
      <c r="Y155" s="74">
        <v>5600</v>
      </c>
      <c r="Z155" s="74">
        <f>IF(OR(Table5[[#This Row],[Per Person Package Cost]]="", Table5[[#This Row],[No. of Pax]]=""), "", Table5[[#This Row],[Per Person Package Cost]] * Table5[[#This Row],[No. of Pax]])</f>
        <v>33600</v>
      </c>
      <c r="AA155" s="52" t="s">
        <v>205</v>
      </c>
      <c r="AB155" s="52" t="s">
        <v>205</v>
      </c>
      <c r="AC155" s="52" t="s">
        <v>76</v>
      </c>
      <c r="AD155" s="52" t="s">
        <v>1013</v>
      </c>
      <c r="AE155" s="51" t="str">
        <f t="shared" si="9"/>
        <v>EXIDR17</v>
      </c>
      <c r="AF155" s="51" t="str">
        <f t="shared" si="10"/>
        <v>Essence of Ujjain</v>
      </c>
      <c r="AG155" s="74" t="str">
        <f t="shared" si="11"/>
        <v>Quick Getaways</v>
      </c>
      <c r="AH155" s="73" t="str">
        <f t="shared" si="12"/>
        <v>West MP</v>
      </c>
      <c r="AI155" s="52" t="s">
        <v>77</v>
      </c>
      <c r="AJ155" s="56" t="s">
        <v>115</v>
      </c>
      <c r="AK155" s="59" t="s">
        <v>79</v>
      </c>
      <c r="AL155" s="60" t="s">
        <v>80</v>
      </c>
      <c r="AM155" s="54" t="s">
        <v>80</v>
      </c>
      <c r="AN155" s="14">
        <v>46206</v>
      </c>
      <c r="AO155" s="15"/>
      <c r="AP155" s="91"/>
      <c r="AQ155" s="87"/>
      <c r="AR155" s="26"/>
      <c r="AS155" s="65"/>
      <c r="AT155" s="88" t="s">
        <v>81</v>
      </c>
      <c r="AU155" s="67"/>
      <c r="BX155" s="1">
        <v>151</v>
      </c>
      <c r="CN155" t="s">
        <v>1377</v>
      </c>
      <c r="CU155" t="s">
        <v>361</v>
      </c>
      <c r="CV155" t="s">
        <v>91</v>
      </c>
      <c r="CW155" t="s">
        <v>1378</v>
      </c>
      <c r="CX155" t="s">
        <v>1379</v>
      </c>
      <c r="CY155" t="s">
        <v>197</v>
      </c>
      <c r="CZ155" t="s">
        <v>1380</v>
      </c>
      <c r="DA155" t="str" cm="1">
        <f t="array" ref="DA155:DY155">IF(U155&lt;&gt;"", TRANSPOSE(_xlfn._xlws.FILTER(CZ:CZ, CY:CY=U155, "")), "")</f>
        <v>Gwl (2N) + Mor</v>
      </c>
      <c r="DB155" t="str">
        <v>Ex Idr | Idr - Ujj (1N) - Omk - Mah (1N) - Man - Idr</v>
      </c>
      <c r="DC155" t="str">
        <v>Ujj (1N) - Omk - Idr (1N)</v>
      </c>
      <c r="DD155" t="str">
        <v>Ex Jlr | Jlr - Kan (2N) - Jlr</v>
      </c>
      <c r="DE155" t="str">
        <v>Ex Jlr | Jlr - Ban (2N) - Jlr</v>
      </c>
      <c r="DF155" t="str">
        <v>Ex Bho | Bho (2N) + Bhim + Bhoj + San</v>
      </c>
      <c r="DG155" t="str">
        <v>Ex Idr | Idr - Man (2N) - Idr</v>
      </c>
      <c r="DH155" t="str">
        <v>Ex Jlr | Jlr - Kan (2N) - Jlr</v>
      </c>
      <c r="DI155" t="str">
        <v>Ex Bho | Bho (2N) + Bhim + Bhoj + San + HDCT Bho</v>
      </c>
      <c r="DJ155" t="str">
        <v>Ex Bho | Bho - Bhim - Tawa (1N) - Mad (1N) - Bho</v>
      </c>
      <c r="DK155" t="str">
        <v>Ujj (1N) - Omk - Mah (1N) - Idr</v>
      </c>
      <c r="DL155" t="str">
        <v>Ujj (1N) -  Idr (1N)</v>
      </c>
      <c r="DM155" t="str">
        <v>Ex Idr | Idr (2N) + Ujj + Omk + Mah</v>
      </c>
      <c r="DN155" t="str">
        <v>Idr - Mah - Omk (1N) - Ujj (1N)</v>
      </c>
      <c r="DO155" t="str">
        <v>Idr - Ujj (1N) - Mah - Omk (1N) - Khandwa</v>
      </c>
      <c r="DP155" t="str">
        <v>Ex Idr | Idr (EX Ujj) (1N) - Mah - Omk (1N) - Idr HDCT</v>
      </c>
      <c r="DQ155" t="str">
        <v>Ujj (1N) - Sehor - Bho (1N) HDCT</v>
      </c>
      <c r="DR155" t="str">
        <v>Ex Jlr | Jlr (1N) - Ban (1N)</v>
      </c>
      <c r="DS155" t="str">
        <v>Ex Jlr | Ban (1N)</v>
      </c>
      <c r="DT155" t="str">
        <v>Ex Jlr | Jlr (2 N) Kan</v>
      </c>
      <c r="DU155" t="str">
        <v>Ex Jlr | Jlr - Amr (1 N) - (1 N) Ban</v>
      </c>
      <c r="DV155" t="str">
        <v>Ex Rpr | Rpr - (2N) Kan</v>
      </c>
      <c r="DW155" t="str">
        <v>Hjr (1N) - Mahi (1N) - Sat</v>
      </c>
      <c r="DX155" t="str">
        <v>Ex Bhp | Bhp - Bhim - Pch (2N) - Bhp</v>
      </c>
      <c r="DY155" t="str">
        <v xml:space="preserve">Ex Ujj I 2N Ujj </v>
      </c>
    </row>
    <row r="156" spans="2:145" ht="15" customHeight="1">
      <c r="B156" s="35">
        <v>152</v>
      </c>
      <c r="C156" s="36" t="s">
        <v>1381</v>
      </c>
      <c r="D156" s="76">
        <v>46204</v>
      </c>
      <c r="E156" s="37" t="str">
        <f>IF(Table5[[#This Row],[Query Date]]&lt;&gt;"", TEXT(Table5[[#This Row],[Query Date]], "dddd"), "")</f>
        <v>Wednesday</v>
      </c>
      <c r="F156" s="37" t="str">
        <f>IF(Table5[[#This Row],[Query Date]]&lt;&gt;"", TEXT(Table5[[#This Row],[Query Date]], "mmmm"), "")</f>
        <v>July</v>
      </c>
      <c r="G156" s="28" t="s">
        <v>65</v>
      </c>
      <c r="H156" s="28" t="s">
        <v>99</v>
      </c>
      <c r="I156" s="28" t="s">
        <v>67</v>
      </c>
      <c r="J156" s="28" t="s">
        <v>68</v>
      </c>
      <c r="K156" s="28" t="s">
        <v>178</v>
      </c>
      <c r="L156" s="25" t="s">
        <v>70</v>
      </c>
      <c r="M156" s="112" t="s">
        <v>417</v>
      </c>
      <c r="N156" s="25" t="s">
        <v>1382</v>
      </c>
      <c r="O156" s="136" t="s">
        <v>1383</v>
      </c>
      <c r="P156" s="46" t="s">
        <v>1384</v>
      </c>
      <c r="Q156" s="77">
        <v>46210</v>
      </c>
      <c r="R156" s="77" t="str">
        <f>IF(Table5[[#This Row],[Tour Starting Date]]&lt;&gt;"", TEXT(Table5[[#This Row],[Tour Starting Date]], "dddd"), "")</f>
        <v>Tuesday</v>
      </c>
      <c r="S156" s="77">
        <v>46212</v>
      </c>
      <c r="T156" s="25" t="str">
        <f>IF(Table5[[#This Row],[Tour Ending Date]]&lt;&gt;"", TEXT(Table5[[#This Row],[Tour Ending Date]], "dddd"), "")</f>
        <v>Thursday</v>
      </c>
      <c r="U156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156" s="37" t="str">
        <f>IF(Table5[[#This Row],[Tour Starting Date]]&lt;&gt;"", TEXT(Table5[[#This Row],[Tour Starting Date]], "mmmm"), "")</f>
        <v>July</v>
      </c>
      <c r="W156" s="80" t="str" cm="1">
        <f t="array" ref="W156">IF(Q156&lt;&gt;"", INDEX(CI:CI, MATCH(1, (Q156&gt;=CG:CG)*(Q156&lt;=CH:CH), 0)), "")</f>
        <v>Regular Dates - Weekday</v>
      </c>
      <c r="X156" s="39">
        <v>4</v>
      </c>
      <c r="Y156" s="74">
        <v>8900</v>
      </c>
      <c r="Z156" s="74">
        <f>IF(OR(Table5[[#This Row],[Per Person Package Cost]]="", Table5[[#This Row],[No. of Pax]]=""), "", Table5[[#This Row],[Per Person Package Cost]] * Table5[[#This Row],[No. of Pax]])</f>
        <v>35600</v>
      </c>
      <c r="AA156" s="52" t="s">
        <v>400</v>
      </c>
      <c r="AB156" s="52" t="s">
        <v>75</v>
      </c>
      <c r="AC156" s="52" t="s">
        <v>76</v>
      </c>
      <c r="AD156" s="52" t="s">
        <v>364</v>
      </c>
      <c r="AE156" s="51" t="str">
        <f t="shared" si="9"/>
        <v>EXIDR03</v>
      </c>
      <c r="AF156" s="51" t="str">
        <f t="shared" si="10"/>
        <v>Temple Fort Odyssey</v>
      </c>
      <c r="AG156" s="74" t="str">
        <f t="shared" si="11"/>
        <v>Quick Getaways</v>
      </c>
      <c r="AH156" s="73" t="str">
        <f t="shared" si="12"/>
        <v>West MP</v>
      </c>
      <c r="AI156" s="52" t="s">
        <v>107</v>
      </c>
      <c r="AJ156" s="56" t="s">
        <v>78</v>
      </c>
      <c r="AK156" s="59" t="s">
        <v>79</v>
      </c>
      <c r="AL156" s="60" t="s">
        <v>80</v>
      </c>
      <c r="AM156" s="54" t="s">
        <v>80</v>
      </c>
      <c r="AN156" s="14">
        <v>46206</v>
      </c>
      <c r="AO156" s="15"/>
      <c r="AP156" s="91"/>
      <c r="AQ156" s="87"/>
      <c r="AR156" s="26"/>
      <c r="AS156" s="65"/>
      <c r="AT156" s="88" t="s">
        <v>81</v>
      </c>
      <c r="AU156" s="67"/>
      <c r="BX156" s="1">
        <v>152</v>
      </c>
      <c r="CN156" t="s">
        <v>1385</v>
      </c>
      <c r="CU156" t="s">
        <v>361</v>
      </c>
      <c r="CV156" t="s">
        <v>348</v>
      </c>
      <c r="CW156" t="s">
        <v>1386</v>
      </c>
      <c r="CX156" t="s">
        <v>1387</v>
      </c>
      <c r="CY156" t="s">
        <v>651</v>
      </c>
      <c r="CZ156" t="s">
        <v>1388</v>
      </c>
      <c r="DA156" t="str" cm="1">
        <f t="array" ref="DA156:DY156">IF(U156&lt;&gt;"", TRANSPOSE(_xlfn._xlws.FILTER(CZ:CZ, CY:CY=U156, "")), "")</f>
        <v>Gwl (2N) + Mor</v>
      </c>
      <c r="DB156" t="str">
        <v>Ex Idr | Idr - Ujj (1N) - Omk - Mah (1N) - Man - Idr</v>
      </c>
      <c r="DC156" t="str">
        <v>Ujj (1N) - Omk - Idr (1N)</v>
      </c>
      <c r="DD156" t="str">
        <v>Ex Jlr | Jlr - Kan (2N) - Jlr</v>
      </c>
      <c r="DE156" t="str">
        <v>Ex Jlr | Jlr - Ban (2N) - Jlr</v>
      </c>
      <c r="DF156" t="str">
        <v>Ex Bho | Bho (2N) + Bhim + Bhoj + San</v>
      </c>
      <c r="DG156" t="str">
        <v>Ex Idr | Idr - Man (2N) - Idr</v>
      </c>
      <c r="DH156" t="str">
        <v>Ex Jlr | Jlr - Kan (2N) - Jlr</v>
      </c>
      <c r="DI156" t="str">
        <v>Ex Bho | Bho (2N) + Bhim + Bhoj + San + HDCT Bho</v>
      </c>
      <c r="DJ156" t="str">
        <v>Ex Bho | Bho - Bhim - Tawa (1N) - Mad (1N) - Bho</v>
      </c>
      <c r="DK156" t="str">
        <v>Ujj (1N) - Omk - Mah (1N) - Idr</v>
      </c>
      <c r="DL156" t="str">
        <v>Ujj (1N) -  Idr (1N)</v>
      </c>
      <c r="DM156" t="str">
        <v>Ex Idr | Idr (2N) + Ujj + Omk + Mah</v>
      </c>
      <c r="DN156" t="str">
        <v>Idr - Mah - Omk (1N) - Ujj (1N)</v>
      </c>
      <c r="DO156" t="str">
        <v>Idr - Ujj (1N) - Mah - Omk (1N) - Khandwa</v>
      </c>
      <c r="DP156" t="str">
        <v>Ex Idr | Idr (EX Ujj) (1N) - Mah - Omk (1N) - Idr HDCT</v>
      </c>
      <c r="DQ156" t="str">
        <v>Ujj (1N) - Sehor - Bho (1N) HDCT</v>
      </c>
      <c r="DR156" t="str">
        <v>Ex Jlr | Jlr (1N) - Ban (1N)</v>
      </c>
      <c r="DS156" t="str">
        <v>Ex Jlr | Ban (1N)</v>
      </c>
      <c r="DT156" t="str">
        <v>Ex Jlr | Jlr (2 N) Kan</v>
      </c>
      <c r="DU156" t="str">
        <v>Ex Jlr | Jlr - Amr (1 N) - (1 N) Ban</v>
      </c>
      <c r="DV156" t="str">
        <v>Ex Rpr | Rpr - (2N) Kan</v>
      </c>
      <c r="DW156" t="str">
        <v>Hjr (1N) - Mahi (1N) - Sat</v>
      </c>
      <c r="DX156" t="str">
        <v>Ex Bhp | Bhp - Bhim - Pch (2N) - Bhp</v>
      </c>
      <c r="DY156" t="str">
        <v xml:space="preserve">Ex Ujj I 2N Ujj </v>
      </c>
    </row>
    <row r="157" spans="2:145" ht="15" customHeight="1">
      <c r="B157" s="34">
        <v>153</v>
      </c>
      <c r="C157" s="36" t="s">
        <v>1389</v>
      </c>
      <c r="D157" s="76">
        <v>46204</v>
      </c>
      <c r="E157" s="37" t="str">
        <f>IF(Table5[[#This Row],[Query Date]]&lt;&gt;"", TEXT(Table5[[#This Row],[Query Date]], "dddd"), "")</f>
        <v>Wednesday</v>
      </c>
      <c r="F157" s="37" t="str">
        <f>IF(Table5[[#This Row],[Query Date]]&lt;&gt;"", TEXT(Table5[[#This Row],[Query Date]], "mmmm"), "")</f>
        <v>July</v>
      </c>
      <c r="G157" s="28" t="s">
        <v>65</v>
      </c>
      <c r="H157" s="28" t="s">
        <v>99</v>
      </c>
      <c r="I157" s="28" t="s">
        <v>67</v>
      </c>
      <c r="J157" s="28" t="s">
        <v>68</v>
      </c>
      <c r="K157" s="28" t="s">
        <v>178</v>
      </c>
      <c r="L157" s="25" t="s">
        <v>70</v>
      </c>
      <c r="M157" s="112" t="s">
        <v>1390</v>
      </c>
      <c r="N157" s="25" t="s">
        <v>1175</v>
      </c>
      <c r="O157" s="130" t="s">
        <v>1391</v>
      </c>
      <c r="P157" s="46" t="s">
        <v>1392</v>
      </c>
      <c r="Q157" s="77">
        <v>46231</v>
      </c>
      <c r="R157" s="77" t="str">
        <f>IF(Table5[[#This Row],[Tour Starting Date]]&lt;&gt;"", TEXT(Table5[[#This Row],[Tour Starting Date]], "dddd"), "")</f>
        <v>Tuesday</v>
      </c>
      <c r="S157" s="77">
        <v>46233</v>
      </c>
      <c r="T157" s="25" t="str">
        <f>IF(Table5[[#This Row],[Tour Ending Date]]&lt;&gt;"", TEXT(Table5[[#This Row],[Tour Ending Date]], "dddd"), "")</f>
        <v>Thursday</v>
      </c>
      <c r="U157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157" s="37" t="str">
        <f>IF(Table5[[#This Row],[Tour Starting Date]]&lt;&gt;"", TEXT(Table5[[#This Row],[Tour Starting Date]], "mmmm"), "")</f>
        <v>July</v>
      </c>
      <c r="W157" s="80" t="str" cm="1">
        <f t="array" ref="W157">IF(Q157&lt;&gt;"", INDEX(CI:CI, MATCH(1, (Q157&gt;=CG:CG)*(Q157&lt;=CH:CH), 0)), "")</f>
        <v>Regular Dates - Weekday</v>
      </c>
      <c r="X157" s="39">
        <v>10</v>
      </c>
      <c r="Y157" s="74">
        <v>11500</v>
      </c>
      <c r="Z157" s="74">
        <f>IF(OR(Table5[[#This Row],[Per Person Package Cost]]="", Table5[[#This Row],[No. of Pax]]=""), "", Table5[[#This Row],[Per Person Package Cost]] * Table5[[#This Row],[No. of Pax]])</f>
        <v>115000</v>
      </c>
      <c r="AA157" s="52" t="s">
        <v>75</v>
      </c>
      <c r="AB157" s="52" t="s">
        <v>75</v>
      </c>
      <c r="AC157" s="52" t="s">
        <v>134</v>
      </c>
      <c r="AD157" s="52" t="s">
        <v>364</v>
      </c>
      <c r="AE157" s="51" t="str">
        <f t="shared" si="9"/>
        <v>EXIDR03</v>
      </c>
      <c r="AF157" s="51" t="str">
        <f t="shared" si="10"/>
        <v>Temple Fort Odyssey</v>
      </c>
      <c r="AG157" s="74" t="str">
        <f t="shared" si="11"/>
        <v>Quick Getaways</v>
      </c>
      <c r="AH157" s="73" t="str">
        <f t="shared" si="12"/>
        <v>West MP</v>
      </c>
      <c r="AI157" s="52" t="s">
        <v>159</v>
      </c>
      <c r="AJ157" s="56" t="s">
        <v>78</v>
      </c>
      <c r="AK157" s="59" t="s">
        <v>79</v>
      </c>
      <c r="AL157" s="60" t="s">
        <v>80</v>
      </c>
      <c r="AM157" s="54" t="s">
        <v>80</v>
      </c>
      <c r="AN157" s="14">
        <v>46213</v>
      </c>
      <c r="AO157" s="15">
        <v>46224</v>
      </c>
      <c r="AP157" s="91"/>
      <c r="AQ157" s="87"/>
      <c r="AR157" s="26"/>
      <c r="AS157" s="65"/>
      <c r="AT157" s="88" t="s">
        <v>81</v>
      </c>
      <c r="AU157" s="67"/>
      <c r="BX157" s="1">
        <v>153</v>
      </c>
      <c r="CN157" t="s">
        <v>1393</v>
      </c>
      <c r="CU157" t="s">
        <v>361</v>
      </c>
      <c r="CV157" t="s">
        <v>193</v>
      </c>
      <c r="CW157" t="s">
        <v>1394</v>
      </c>
      <c r="CX157" t="s">
        <v>1395</v>
      </c>
      <c r="CY157" t="s">
        <v>243</v>
      </c>
      <c r="CZ157" t="s">
        <v>1396</v>
      </c>
      <c r="DA157" t="str" cm="1">
        <f t="array" ref="DA157:DY157">IF(U157&lt;&gt;"", TRANSPOSE(_xlfn._xlws.FILTER(CZ:CZ, CY:CY=U157, "")), "")</f>
        <v>Gwl (2N) + Mor</v>
      </c>
      <c r="DB157" t="str">
        <v>Ex Idr | Idr - Ujj (1N) - Omk - Mah (1N) - Man - Idr</v>
      </c>
      <c r="DC157" t="str">
        <v>Ujj (1N) - Omk - Idr (1N)</v>
      </c>
      <c r="DD157" t="str">
        <v>Ex Jlr | Jlr - Kan (2N) - Jlr</v>
      </c>
      <c r="DE157" t="str">
        <v>Ex Jlr | Jlr - Ban (2N) - Jlr</v>
      </c>
      <c r="DF157" t="str">
        <v>Ex Bho | Bho (2N) + Bhim + Bhoj + San</v>
      </c>
      <c r="DG157" t="str">
        <v>Ex Idr | Idr - Man (2N) - Idr</v>
      </c>
      <c r="DH157" t="str">
        <v>Ex Jlr | Jlr - Kan (2N) - Jlr</v>
      </c>
      <c r="DI157" t="str">
        <v>Ex Bho | Bho (2N) + Bhim + Bhoj + San + HDCT Bho</v>
      </c>
      <c r="DJ157" t="str">
        <v>Ex Bho | Bho - Bhim - Tawa (1N) - Mad (1N) - Bho</v>
      </c>
      <c r="DK157" t="str">
        <v>Ujj (1N) - Omk - Mah (1N) - Idr</v>
      </c>
      <c r="DL157" t="str">
        <v>Ujj (1N) -  Idr (1N)</v>
      </c>
      <c r="DM157" t="str">
        <v>Ex Idr | Idr (2N) + Ujj + Omk + Mah</v>
      </c>
      <c r="DN157" t="str">
        <v>Idr - Mah - Omk (1N) - Ujj (1N)</v>
      </c>
      <c r="DO157" t="str">
        <v>Idr - Ujj (1N) - Mah - Omk (1N) - Khandwa</v>
      </c>
      <c r="DP157" t="str">
        <v>Ex Idr | Idr (EX Ujj) (1N) - Mah - Omk (1N) - Idr HDCT</v>
      </c>
      <c r="DQ157" t="str">
        <v>Ujj (1N) - Sehor - Bho (1N) HDCT</v>
      </c>
      <c r="DR157" t="str">
        <v>Ex Jlr | Jlr (1N) - Ban (1N)</v>
      </c>
      <c r="DS157" t="str">
        <v>Ex Jlr | Ban (1N)</v>
      </c>
      <c r="DT157" t="str">
        <v>Ex Jlr | Jlr (2 N) Kan</v>
      </c>
      <c r="DU157" t="str">
        <v>Ex Jlr | Jlr - Amr (1 N) - (1 N) Ban</v>
      </c>
      <c r="DV157" t="str">
        <v>Ex Rpr | Rpr - (2N) Kan</v>
      </c>
      <c r="DW157" t="str">
        <v>Hjr (1N) - Mahi (1N) - Sat</v>
      </c>
      <c r="DX157" t="str">
        <v>Ex Bhp | Bhp - Bhim - Pch (2N) - Bhp</v>
      </c>
      <c r="DY157" t="str">
        <v xml:space="preserve">Ex Ujj I 2N Ujj </v>
      </c>
    </row>
    <row r="158" spans="2:145" ht="15" customHeight="1">
      <c r="B158" s="35">
        <v>154</v>
      </c>
      <c r="C158" s="36" t="s">
        <v>1397</v>
      </c>
      <c r="D158" s="76">
        <v>46205</v>
      </c>
      <c r="E158" s="37" t="str">
        <f>IF(Table5[[#This Row],[Query Date]]&lt;&gt;"", TEXT(Table5[[#This Row],[Query Date]], "dddd"), "")</f>
        <v>Thursday</v>
      </c>
      <c r="F158" s="37" t="str">
        <f>IF(Table5[[#This Row],[Query Date]]&lt;&gt;"", TEXT(Table5[[#This Row],[Query Date]], "mmmm"), "")</f>
        <v>July</v>
      </c>
      <c r="G158" s="28" t="s">
        <v>65</v>
      </c>
      <c r="H158" s="28" t="s">
        <v>66</v>
      </c>
      <c r="I158" s="28" t="s">
        <v>67</v>
      </c>
      <c r="J158" s="28" t="s">
        <v>313</v>
      </c>
      <c r="K158" s="28" t="s">
        <v>128</v>
      </c>
      <c r="L158" s="25" t="s">
        <v>70</v>
      </c>
      <c r="M158" s="112" t="s">
        <v>129</v>
      </c>
      <c r="N158" s="25" t="s">
        <v>1007</v>
      </c>
      <c r="O158" s="130" t="s">
        <v>1008</v>
      </c>
      <c r="P158" s="46" t="s">
        <v>1009</v>
      </c>
      <c r="Q158" s="77">
        <v>46405</v>
      </c>
      <c r="R158" s="77" t="str">
        <f>IF(Table5[[#This Row],[Tour Starting Date]]&lt;&gt;"", TEXT(Table5[[#This Row],[Tour Starting Date]], "dddd"), "")</f>
        <v>Monday</v>
      </c>
      <c r="S158" s="77">
        <v>46407</v>
      </c>
      <c r="T158" s="25" t="str">
        <f>IF(Table5[[#This Row],[Tour Ending Date]]&lt;&gt;"", TEXT(Table5[[#This Row],[Tour Ending Date]], "dddd"), "")</f>
        <v>Wednesday</v>
      </c>
      <c r="U158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158" s="37" t="str">
        <f>IF(Table5[[#This Row],[Tour Starting Date]]&lt;&gt;"", TEXT(Table5[[#This Row],[Tour Starting Date]], "mmmm"), "")</f>
        <v>January</v>
      </c>
      <c r="W158" s="80" t="str" cm="1">
        <f t="array" ref="W158">IF(Q158&lt;&gt;"", INDEX(CI:CI, MATCH(1, (Q158&gt;=CG:CG)*(Q158&lt;=CH:CH), 0)), "")</f>
        <v>Regular Dates - Weekday</v>
      </c>
      <c r="X158" s="39">
        <v>3</v>
      </c>
      <c r="Y158" s="74">
        <v>10666.67</v>
      </c>
      <c r="Z158" s="74">
        <f>IF(OR(Table5[[#This Row],[Per Person Package Cost]]="", Table5[[#This Row],[No. of Pax]]=""), "", Table5[[#This Row],[Per Person Package Cost]] * Table5[[#This Row],[No. of Pax]])</f>
        <v>32000.010000000002</v>
      </c>
      <c r="AA158" s="52" t="s">
        <v>1398</v>
      </c>
      <c r="AB158" s="52" t="s">
        <v>1399</v>
      </c>
      <c r="AC158" s="52" t="s">
        <v>134</v>
      </c>
      <c r="AD158" s="52"/>
      <c r="AE158" s="51" t="str">
        <f t="shared" si="9"/>
        <v/>
      </c>
      <c r="AF158" s="51" t="str">
        <f t="shared" si="10"/>
        <v/>
      </c>
      <c r="AG158" s="74" t="str">
        <f t="shared" si="11"/>
        <v/>
      </c>
      <c r="AH158" s="73" t="str">
        <f t="shared" si="12"/>
        <v/>
      </c>
      <c r="AI158" s="52" t="s">
        <v>107</v>
      </c>
      <c r="AJ158" s="56" t="s">
        <v>78</v>
      </c>
      <c r="AK158" s="59" t="s">
        <v>79</v>
      </c>
      <c r="AL158" s="60" t="s">
        <v>80</v>
      </c>
      <c r="AM158" s="54" t="s">
        <v>80</v>
      </c>
      <c r="AN158" s="14">
        <v>46209</v>
      </c>
      <c r="AO158" s="15">
        <v>46254</v>
      </c>
      <c r="AP158" s="91"/>
      <c r="AQ158" s="87"/>
      <c r="AR158" s="26"/>
      <c r="AS158" s="65"/>
      <c r="AT158" s="88" t="s">
        <v>138</v>
      </c>
      <c r="AU158" s="67"/>
      <c r="BX158" s="1">
        <v>154</v>
      </c>
      <c r="CN158" t="s">
        <v>731</v>
      </c>
      <c r="CU158" t="s">
        <v>361</v>
      </c>
      <c r="CV158" t="s">
        <v>171</v>
      </c>
      <c r="CW158" t="s">
        <v>1400</v>
      </c>
      <c r="CX158" t="s">
        <v>1401</v>
      </c>
      <c r="CY158" t="s">
        <v>151</v>
      </c>
      <c r="CZ158" t="s">
        <v>1402</v>
      </c>
      <c r="DA158" t="str" cm="1">
        <f t="array" ref="DA158:DY158">IF(U158&lt;&gt;"", TRANSPOSE(_xlfn._xlws.FILTER(CZ:CZ, CY:CY=U158, "")), "")</f>
        <v>Gwl (2N) + Mor</v>
      </c>
      <c r="DB158" t="str">
        <v>Ex Idr | Idr - Ujj (1N) - Omk - Mah (1N) - Man - Idr</v>
      </c>
      <c r="DC158" t="str">
        <v>Ujj (1N) - Omk - Idr (1N)</v>
      </c>
      <c r="DD158" t="str">
        <v>Ex Jlr | Jlr - Kan (2N) - Jlr</v>
      </c>
      <c r="DE158" t="str">
        <v>Ex Jlr | Jlr - Ban (2N) - Jlr</v>
      </c>
      <c r="DF158" t="str">
        <v>Ex Bho | Bho (2N) + Bhim + Bhoj + San</v>
      </c>
      <c r="DG158" t="str">
        <v>Ex Idr | Idr - Man (2N) - Idr</v>
      </c>
      <c r="DH158" t="str">
        <v>Ex Jlr | Jlr - Kan (2N) - Jlr</v>
      </c>
      <c r="DI158" t="str">
        <v>Ex Bho | Bho (2N) + Bhim + Bhoj + San + HDCT Bho</v>
      </c>
      <c r="DJ158" t="str">
        <v>Ex Bho | Bho - Bhim - Tawa (1N) - Mad (1N) - Bho</v>
      </c>
      <c r="DK158" t="str">
        <v>Ujj (1N) - Omk - Mah (1N) - Idr</v>
      </c>
      <c r="DL158" t="str">
        <v>Ujj (1N) -  Idr (1N)</v>
      </c>
      <c r="DM158" t="str">
        <v>Ex Idr | Idr (2N) + Ujj + Omk + Mah</v>
      </c>
      <c r="DN158" t="str">
        <v>Idr - Mah - Omk (1N) - Ujj (1N)</v>
      </c>
      <c r="DO158" t="str">
        <v>Idr - Ujj (1N) - Mah - Omk (1N) - Khandwa</v>
      </c>
      <c r="DP158" t="str">
        <v>Ex Idr | Idr (EX Ujj) (1N) - Mah - Omk (1N) - Idr HDCT</v>
      </c>
      <c r="DQ158" t="str">
        <v>Ujj (1N) - Sehor - Bho (1N) HDCT</v>
      </c>
      <c r="DR158" t="str">
        <v>Ex Jlr | Jlr (1N) - Ban (1N)</v>
      </c>
      <c r="DS158" t="str">
        <v>Ex Jlr | Ban (1N)</v>
      </c>
      <c r="DT158" t="str">
        <v>Ex Jlr | Jlr (2 N) Kan</v>
      </c>
      <c r="DU158" t="str">
        <v>Ex Jlr | Jlr - Amr (1 N) - (1 N) Ban</v>
      </c>
      <c r="DV158" t="str">
        <v>Ex Rpr | Rpr - (2N) Kan</v>
      </c>
      <c r="DW158" t="str">
        <v>Hjr (1N) - Mahi (1N) - Sat</v>
      </c>
      <c r="DX158" t="str">
        <v>Ex Bhp | Bhp - Bhim - Pch (2N) - Bhp</v>
      </c>
      <c r="DY158" t="str">
        <v xml:space="preserve">Ex Ujj I 2N Ujj </v>
      </c>
    </row>
    <row r="159" spans="2:145" ht="15" customHeight="1">
      <c r="B159" s="34">
        <v>155</v>
      </c>
      <c r="C159" s="36" t="s">
        <v>1403</v>
      </c>
      <c r="D159" s="76">
        <v>46205</v>
      </c>
      <c r="E159" s="37" t="str">
        <f>IF(Table5[[#This Row],[Query Date]]&lt;&gt;"", TEXT(Table5[[#This Row],[Query Date]], "dddd"), "")</f>
        <v>Thursday</v>
      </c>
      <c r="F159" s="37" t="str">
        <f>IF(Table5[[#This Row],[Query Date]]&lt;&gt;"", TEXT(Table5[[#This Row],[Query Date]], "mmmm"), "")</f>
        <v>July</v>
      </c>
      <c r="G159" s="28" t="s">
        <v>65</v>
      </c>
      <c r="H159" s="28" t="s">
        <v>99</v>
      </c>
      <c r="I159" s="28" t="s">
        <v>67</v>
      </c>
      <c r="J159" s="28" t="s">
        <v>68</v>
      </c>
      <c r="K159" s="28" t="s">
        <v>178</v>
      </c>
      <c r="L159" s="25" t="s">
        <v>70</v>
      </c>
      <c r="M159" s="112" t="s">
        <v>417</v>
      </c>
      <c r="N159" s="25" t="s">
        <v>1404</v>
      </c>
      <c r="O159" s="130" t="s">
        <v>1405</v>
      </c>
      <c r="P159" s="46" t="s">
        <v>1406</v>
      </c>
      <c r="Q159" s="77">
        <v>46240</v>
      </c>
      <c r="R159" s="77" t="str">
        <f>IF(Table5[[#This Row],[Tour Starting Date]]&lt;&gt;"", TEXT(Table5[[#This Row],[Tour Starting Date]], "dddd"), "")</f>
        <v>Thursday</v>
      </c>
      <c r="S159" s="77">
        <v>46243</v>
      </c>
      <c r="T159" s="25" t="str">
        <f>IF(Table5[[#This Row],[Tour Ending Date]]&lt;&gt;"", TEXT(Table5[[#This Row],[Tour Ending Date]], "dddd"), "")</f>
        <v>Sunday</v>
      </c>
      <c r="U159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159" s="37" t="str">
        <f>IF(Table5[[#This Row],[Tour Starting Date]]&lt;&gt;"", TEXT(Table5[[#This Row],[Tour Starting Date]], "mmmm"), "")</f>
        <v>August</v>
      </c>
      <c r="W159" s="80" t="str" cm="1">
        <f t="array" ref="W159">IF(Q159&lt;&gt;"", INDEX(CI:CI, MATCH(1, (Q159&gt;=CG:CG)*(Q159&lt;=CH:CH), 0)), "")</f>
        <v>Regular Dates - Weekday</v>
      </c>
      <c r="X159" s="39">
        <v>4</v>
      </c>
      <c r="Y159" s="74">
        <v>33900</v>
      </c>
      <c r="Z159" s="74">
        <f>IF(OR(Table5[[#This Row],[Per Person Package Cost]]="", Table5[[#This Row],[No. of Pax]]=""), "", Table5[[#This Row],[Per Person Package Cost]] * Table5[[#This Row],[No. of Pax]])</f>
        <v>135600</v>
      </c>
      <c r="AA159" s="52" t="s">
        <v>75</v>
      </c>
      <c r="AB159" s="52" t="s">
        <v>75</v>
      </c>
      <c r="AC159" s="52" t="s">
        <v>240</v>
      </c>
      <c r="AD159" s="52" t="s">
        <v>364</v>
      </c>
      <c r="AE159" s="51" t="str">
        <f t="shared" si="9"/>
        <v>EXIDR03</v>
      </c>
      <c r="AF159" s="51" t="str">
        <f t="shared" si="10"/>
        <v>Temple Fort Odyssey</v>
      </c>
      <c r="AG159" s="74" t="str">
        <f t="shared" si="11"/>
        <v>Quick Getaways</v>
      </c>
      <c r="AH159" s="73" t="str">
        <f t="shared" si="12"/>
        <v>West MP</v>
      </c>
      <c r="AI159" s="52" t="s">
        <v>159</v>
      </c>
      <c r="AJ159" s="56" t="s">
        <v>78</v>
      </c>
      <c r="AK159" s="59" t="s">
        <v>79</v>
      </c>
      <c r="AL159" s="60" t="s">
        <v>80</v>
      </c>
      <c r="AM159" s="54" t="s">
        <v>80</v>
      </c>
      <c r="AN159" s="14">
        <v>46208</v>
      </c>
      <c r="AO159" s="15">
        <v>46224</v>
      </c>
      <c r="AP159" s="91"/>
      <c r="AQ159" s="87"/>
      <c r="AR159" s="26"/>
      <c r="AS159" s="65"/>
      <c r="AT159" s="88" t="s">
        <v>81</v>
      </c>
      <c r="AU159" s="67" t="s">
        <v>82</v>
      </c>
      <c r="BX159" s="1">
        <v>155</v>
      </c>
      <c r="CN159" t="s">
        <v>1407</v>
      </c>
      <c r="CU159" t="s">
        <v>361</v>
      </c>
      <c r="CV159" t="s">
        <v>316</v>
      </c>
      <c r="CW159" t="s">
        <v>1408</v>
      </c>
      <c r="CX159" t="s">
        <v>1409</v>
      </c>
      <c r="CY159" t="s">
        <v>243</v>
      </c>
      <c r="CZ159" t="s">
        <v>1410</v>
      </c>
      <c r="DA159" t="str" cm="1">
        <f t="array" ref="DA159:EO159">IF(U159&lt;&gt;"", TRANSPOSE(_xlfn._xlws.FILTER(CZ:CZ, CY:CY=U159, "")), "")</f>
        <v>Gwl (3N) + Mor + Son + Dat + Orc</v>
      </c>
      <c r="DB159" t="str">
        <v>Ex Gwl | Gwl (1N) - Son - Dat - Orc (1N) - Gwl (1N)</v>
      </c>
      <c r="DC159" t="str">
        <v>Ex Idr | Idr - Ujj (1N) - Omk - Mah (1N) - Man (1N) - Idr</v>
      </c>
      <c r="DD159" t="str">
        <v>Ex Jlr | Jlr - Kan (2N) - Jlr (1N)</v>
      </c>
      <c r="DE159" t="str">
        <v>Ex Jlr | Jlr - Ban (2N) - Jlr (1N)</v>
      </c>
      <c r="DF159" t="str">
        <v>Ex Bho | Bho (1N) + San - Bhoj - Bhim - Pch (2N) - Bho</v>
      </c>
      <c r="DG159" t="str">
        <v>Ex Idr | Idr (1N) - Ujj (1N) - Omk (1N) - Mah - Idr</v>
      </c>
      <c r="DH159" t="str">
        <v>Gwl - Orc (1N) - Ckt (1N) - Myr (1N) - Jlr</v>
      </c>
      <c r="DI159" t="str">
        <v>Gwl - Orc (1N) - Ckt (2N) - Ixd</v>
      </c>
      <c r="DJ159" t="str">
        <v>Ex Idr | Idr - Ujj (1N) - Omk - Mah (1N) - Idr (1N)</v>
      </c>
      <c r="DK159" t="str">
        <v>Ex Jlr | Jlr - Kan (3N) - Jlr</v>
      </c>
      <c r="DL159" t="str">
        <v>Ex Bho | Bho (2N) + Bhim + Bhoj + San + Udaygiri + Vidisha + FDCT Bho</v>
      </c>
      <c r="DM159" t="str">
        <v>Bho (1N) + Bhim + Bhoj - HDCT  Bho + Sanchi - Ujj (2N)</v>
      </c>
      <c r="DN159" t="str">
        <v>Bho (1N) + Bhim + Bhoj - HDCT  Bho + Sanchi - Ujj (2N) - Idr</v>
      </c>
      <c r="DO159" t="str">
        <v>Ex Bho | Bho - Bhoj - Bhim - Mad (1N) - Pch (2N) - Bho</v>
      </c>
      <c r="DP159" t="str">
        <v>Ex Bho | Bho - Bhoj - Bhim - Mad (1N) - Pch (3N) - Bho</v>
      </c>
      <c r="DQ159" t="str">
        <v>Ex Bho | Bho - Bhoj - Bhim - Tawa (1N) - Mad (1N) - Bho (1N)</v>
      </c>
      <c r="DR159" t="str">
        <v>Bho (1N) - Bhim - Bhoj - San - Idr (2N) + Ujj</v>
      </c>
      <c r="DS159" t="str">
        <v>Bho (1N) - Bhoj - Bhim - Pch (2N) - Bho</v>
      </c>
      <c r="DT159" t="str">
        <v>Ujj (1N) - Omk - Mah (1N) - Idr (1N)</v>
      </c>
      <c r="DU159" t="str">
        <v>Ujj (1N) - Omk - Mah (1N) - Man (1N) - Idr</v>
      </c>
      <c r="DV159" t="str">
        <v>Ex Idr | Idr (1N) - Ujj (1N) - Omk - Mah (1N)</v>
      </c>
      <c r="DW159" t="str">
        <v>Ex Idr | Idr - Ujj (1N) - Omk (1N) - Mah (1N) - Idr</v>
      </c>
      <c r="DX159" t="str">
        <v>Khandwa - Omk (1N) - Mah (1N) - Ujj (1N) - Idr</v>
      </c>
      <c r="DY159" t="str">
        <v>Ex Idr | Idr - Ujj (1N) - Omk - Mah (1N) - Man - Idr (1N)</v>
      </c>
      <c r="DZ159" t="str">
        <v xml:space="preserve">Idr - Omk (1N) - Mah - Ujj (1N) San - Bho (1N) </v>
      </c>
      <c r="EA159" t="str">
        <v>Ex Idr | Idr - Man (1N) - Mah - Omk (1N) - Ujj (1N) - Idr</v>
      </c>
      <c r="EB159" t="str">
        <v>Khandwa - Omk (1N) - Mah - Ujj (2N)</v>
      </c>
      <c r="EC159" t="str">
        <v>Ex Jlr | Jlr (1N) - Amr (1N) - Ban (1N) - Jlr</v>
      </c>
      <c r="ED159" t="str">
        <v>Ex Jlr | Jlr - (1 N) Ban - (2 N) Amar</v>
      </c>
      <c r="EE159" t="str">
        <v>Jlr - Kan (1N) - Pch (2N)</v>
      </c>
      <c r="EF159" t="str">
        <v>Pi - Pch (2N)  - Kan (1N)</v>
      </c>
      <c r="EG159" t="str">
        <v>Ex Jlr | Jlr - Amr (1 N) - (1 N) Ban - (1 N) Jlr</v>
      </c>
      <c r="EH159" t="str">
        <v>Ppi - (2 N) Pch - (1 N) Pen</v>
      </c>
      <c r="EI159" t="str">
        <v>Bhp - Pch (2N) - Jlr (1N)</v>
      </c>
      <c r="EJ159" t="str">
        <v xml:space="preserve">Arr Jhn - Hjr (1N) - Orc - Gwl (2N) </v>
      </c>
      <c r="EK159" t="str">
        <v>(1 N) Ujj - (1 N) Mah - (1 N) Idr</v>
      </c>
      <c r="EL159" t="str">
        <v>Ex Bhp | Bhp - Bhoj - Bhim - Pch (3N) - Bhp</v>
      </c>
      <c r="EM159" t="str">
        <v>Ex Bhp | Bhp - Bhoj - Bhim - Pch (2N) - Mad (1N) - Bhp</v>
      </c>
      <c r="EN159" t="str">
        <v xml:space="preserve">Ex Nag - 3N Pch + Sat </v>
      </c>
      <c r="EO159" t="str">
        <v>1N Gwl - Son - Dat - 1N Hjr - 1N Orc - Jhn</v>
      </c>
    </row>
    <row r="160" spans="2:145" ht="15" customHeight="1">
      <c r="B160" s="35">
        <v>156</v>
      </c>
      <c r="C160" s="36" t="s">
        <v>1411</v>
      </c>
      <c r="D160" s="76">
        <v>46205</v>
      </c>
      <c r="E160" s="37" t="str">
        <f>IF(Table5[[#This Row],[Query Date]]&lt;&gt;"", TEXT(Table5[[#This Row],[Query Date]], "dddd"), "")</f>
        <v>Thursday</v>
      </c>
      <c r="F160" s="37" t="str">
        <f>IF(Table5[[#This Row],[Query Date]]&lt;&gt;"", TEXT(Table5[[#This Row],[Query Date]], "mmmm"), "")</f>
        <v>July</v>
      </c>
      <c r="G160" s="28" t="s">
        <v>65</v>
      </c>
      <c r="H160" s="28" t="s">
        <v>99</v>
      </c>
      <c r="I160" s="28" t="s">
        <v>67</v>
      </c>
      <c r="J160" s="28" t="s">
        <v>68</v>
      </c>
      <c r="K160" s="28" t="s">
        <v>178</v>
      </c>
      <c r="L160" s="25" t="s">
        <v>70</v>
      </c>
      <c r="M160" s="112" t="s">
        <v>417</v>
      </c>
      <c r="N160" s="25" t="s">
        <v>1412</v>
      </c>
      <c r="O160" s="130" t="s">
        <v>1413</v>
      </c>
      <c r="P160" s="106" t="s">
        <v>888</v>
      </c>
      <c r="Q160" s="77">
        <v>46213</v>
      </c>
      <c r="R160" s="77" t="str">
        <f>IF(Table5[[#This Row],[Tour Starting Date]]&lt;&gt;"", TEXT(Table5[[#This Row],[Tour Starting Date]], "dddd"), "")</f>
        <v>Friday</v>
      </c>
      <c r="S160" s="77">
        <v>46214</v>
      </c>
      <c r="T160" s="25" t="str">
        <f>IF(Table5[[#This Row],[Tour Ending Date]]&lt;&gt;"", TEXT(Table5[[#This Row],[Tour Ending Date]], "dddd"), "")</f>
        <v>Saturday</v>
      </c>
      <c r="U160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1 Night &amp; 2 Days</v>
      </c>
      <c r="V160" s="37" t="str">
        <f>IF(Table5[[#This Row],[Tour Starting Date]]&lt;&gt;"", TEXT(Table5[[#This Row],[Tour Starting Date]], "mmmm"), "")</f>
        <v>July</v>
      </c>
      <c r="W160" s="80" t="str" cm="1">
        <f t="array" ref="W160">IF(Q160&lt;&gt;"", INDEX(CI:CI, MATCH(1, (Q160&gt;=CG:CG)*(Q160&lt;=CH:CH), 0)), "")</f>
        <v>Regular Dates - Weekend</v>
      </c>
      <c r="X160" s="39">
        <v>2</v>
      </c>
      <c r="Y160" s="74">
        <v>9100</v>
      </c>
      <c r="Z160" s="74">
        <f>IF(OR(Table5[[#This Row],[Per Person Package Cost]]="", Table5[[#This Row],[No. of Pax]]=""), "", Table5[[#This Row],[Per Person Package Cost]] * Table5[[#This Row],[No. of Pax]])</f>
        <v>18200</v>
      </c>
      <c r="AA160" s="52" t="s">
        <v>75</v>
      </c>
      <c r="AB160" s="52" t="s">
        <v>75</v>
      </c>
      <c r="AC160" s="52" t="s">
        <v>76</v>
      </c>
      <c r="AD160" s="52"/>
      <c r="AE160" s="51" t="str">
        <f t="shared" si="9"/>
        <v/>
      </c>
      <c r="AF160" s="51" t="str">
        <f t="shared" si="10"/>
        <v/>
      </c>
      <c r="AG160" s="74" t="str">
        <f t="shared" si="11"/>
        <v/>
      </c>
      <c r="AH160" s="73" t="str">
        <f t="shared" si="12"/>
        <v/>
      </c>
      <c r="AI160" s="52" t="s">
        <v>159</v>
      </c>
      <c r="AJ160" s="56" t="s">
        <v>78</v>
      </c>
      <c r="AK160" s="59" t="s">
        <v>79</v>
      </c>
      <c r="AL160" s="60" t="s">
        <v>80</v>
      </c>
      <c r="AM160" s="54" t="s">
        <v>80</v>
      </c>
      <c r="AN160" s="14">
        <v>46208</v>
      </c>
      <c r="AO160" s="15"/>
      <c r="AP160" s="91"/>
      <c r="AQ160" s="87"/>
      <c r="AR160" s="26"/>
      <c r="AS160" s="65"/>
      <c r="AT160" s="88" t="s">
        <v>81</v>
      </c>
      <c r="AU160" s="67"/>
      <c r="BX160" s="1">
        <v>156</v>
      </c>
      <c r="CN160" t="s">
        <v>1414</v>
      </c>
      <c r="CU160" t="s">
        <v>361</v>
      </c>
      <c r="CV160" t="s">
        <v>316</v>
      </c>
      <c r="CW160" t="s">
        <v>1415</v>
      </c>
      <c r="CX160" s="124" t="s">
        <v>1416</v>
      </c>
      <c r="CY160" s="124" t="s">
        <v>243</v>
      </c>
      <c r="CZ160" s="124" t="s">
        <v>1417</v>
      </c>
      <c r="DA160" t="str" cm="1">
        <f t="array" ref="DA160:DH160">IF(U160&lt;&gt;"", TRANSPOSE(_xlfn._xlws.FILTER(CZ:CZ, CY:CY=U160, "")), "")</f>
        <v>Gwl (1N)</v>
      </c>
      <c r="DB160" t="str">
        <v>Ex Idr | Idr - Ujj (1N) - Idr</v>
      </c>
      <c r="DC160" t="str">
        <v>Ex Idr | Idr - Ujj (1N) - Omk - Idr</v>
      </c>
      <c r="DD160" t="str">
        <v>Ex Idr | Idr - Ujj (1N) - Omk - Mah - Idr</v>
      </c>
      <c r="DE160" t="str">
        <v>Ex Idr | Ujj (1N) - Idr + HDCT</v>
      </c>
      <c r="DF160" t="str">
        <v>Ex Idr | Idr (1N)</v>
      </c>
      <c r="DG160" t="str">
        <v>Khandwa - Omk (1N) - Idr HDCT</v>
      </c>
      <c r="DH160" t="str">
        <v>Ex Ujj | Ujj (1N)</v>
      </c>
    </row>
    <row r="161" spans="2:145" ht="15" customHeight="1">
      <c r="B161" s="34">
        <v>157</v>
      </c>
      <c r="C161" s="36" t="s">
        <v>1418</v>
      </c>
      <c r="D161" s="76">
        <v>46205</v>
      </c>
      <c r="E161" s="37" t="str">
        <f>IF(Table5[[#This Row],[Query Date]]&lt;&gt;"", TEXT(Table5[[#This Row],[Query Date]], "dddd"), "")</f>
        <v>Thursday</v>
      </c>
      <c r="F161" s="37" t="str">
        <f>IF(Table5[[#This Row],[Query Date]]&lt;&gt;"", TEXT(Table5[[#This Row],[Query Date]], "mmmm"), "")</f>
        <v>July</v>
      </c>
      <c r="G161" s="28" t="s">
        <v>113</v>
      </c>
      <c r="H161" s="28" t="s">
        <v>99</v>
      </c>
      <c r="I161" s="28" t="s">
        <v>67</v>
      </c>
      <c r="J161" s="28" t="s">
        <v>68</v>
      </c>
      <c r="K161" s="28" t="s">
        <v>178</v>
      </c>
      <c r="L161" s="25" t="s">
        <v>160</v>
      </c>
      <c r="M161" s="112" t="s">
        <v>90</v>
      </c>
      <c r="N161" s="25" t="s">
        <v>1419</v>
      </c>
      <c r="O161" s="130" t="s">
        <v>1420</v>
      </c>
      <c r="P161" s="106"/>
      <c r="Q161" s="77">
        <v>46250</v>
      </c>
      <c r="R161" s="77" t="str">
        <f>IF(Table5[[#This Row],[Tour Starting Date]]&lt;&gt;"", TEXT(Table5[[#This Row],[Tour Starting Date]], "dddd"), "")</f>
        <v>Sunday</v>
      </c>
      <c r="S161" s="77">
        <v>46253</v>
      </c>
      <c r="T161" s="25" t="str">
        <f>IF(Table5[[#This Row],[Tour Ending Date]]&lt;&gt;"", TEXT(Table5[[#This Row],[Tour Ending Date]], "dddd"), "")</f>
        <v>Wednesday</v>
      </c>
      <c r="U161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161" s="37" t="str">
        <f>IF(Table5[[#This Row],[Tour Starting Date]]&lt;&gt;"", TEXT(Table5[[#This Row],[Tour Starting Date]], "mmmm"), "")</f>
        <v>August</v>
      </c>
      <c r="W161" s="80" t="str" cm="1">
        <f t="array" ref="W161">IF(Q161&lt;&gt;"", INDEX(CI:CI, MATCH(1, (Q161&gt;=CG:CG)*(Q161&lt;=CH:CH), 0)), "")</f>
        <v>Long Weekend - Independence Day</v>
      </c>
      <c r="X161" s="39">
        <v>1</v>
      </c>
      <c r="Y161" s="74">
        <v>29800</v>
      </c>
      <c r="Z161" s="74">
        <f>IF(OR(Table5[[#This Row],[Per Person Package Cost]]="", Table5[[#This Row],[No. of Pax]]=""), "", Table5[[#This Row],[Per Person Package Cost]] * Table5[[#This Row],[No. of Pax]])</f>
        <v>29800</v>
      </c>
      <c r="AA161" s="52" t="s">
        <v>75</v>
      </c>
      <c r="AB161" s="52" t="s">
        <v>75</v>
      </c>
      <c r="AC161" s="52" t="s">
        <v>173</v>
      </c>
      <c r="AD161" s="52" t="s">
        <v>352</v>
      </c>
      <c r="AE161" s="51" t="str">
        <f t="shared" si="9"/>
        <v>EXIDR02</v>
      </c>
      <c r="AF161" s="51" t="str">
        <f t="shared" si="10"/>
        <v>Jyotirlinga Trails</v>
      </c>
      <c r="AG161" s="74" t="str">
        <f t="shared" si="11"/>
        <v>Quick Getaways</v>
      </c>
      <c r="AH161" s="73" t="str">
        <f t="shared" si="12"/>
        <v>West MP</v>
      </c>
      <c r="AI161" s="52" t="s">
        <v>77</v>
      </c>
      <c r="AJ161" s="56" t="s">
        <v>115</v>
      </c>
      <c r="AK161" s="59" t="s">
        <v>79</v>
      </c>
      <c r="AL161" s="60" t="s">
        <v>80</v>
      </c>
      <c r="AM161" s="54" t="s">
        <v>80</v>
      </c>
      <c r="AN161" s="14">
        <v>46208</v>
      </c>
      <c r="AO161" s="15"/>
      <c r="AP161" s="91"/>
      <c r="AQ161" s="87"/>
      <c r="AR161" s="26"/>
      <c r="AS161" s="65"/>
      <c r="AT161" s="88" t="s">
        <v>81</v>
      </c>
      <c r="AU161" s="67" t="s">
        <v>82</v>
      </c>
      <c r="BX161" s="1">
        <v>157</v>
      </c>
      <c r="CN161" t="s">
        <v>1421</v>
      </c>
      <c r="CU161" t="s">
        <v>361</v>
      </c>
      <c r="CV161" t="s">
        <v>316</v>
      </c>
      <c r="CW161" t="s">
        <v>1422</v>
      </c>
      <c r="CX161" s="124" t="s">
        <v>1423</v>
      </c>
      <c r="CY161" s="124" t="s">
        <v>125</v>
      </c>
      <c r="CZ161" s="124" t="s">
        <v>1424</v>
      </c>
      <c r="DA161" t="str" cm="1">
        <f t="array" ref="DA161:EO161">IF(U161&lt;&gt;"", TRANSPOSE(_xlfn._xlws.FILTER(CZ:CZ, CY:CY=U161, "")), "")</f>
        <v>Gwl (3N) + Mor + Son + Dat + Orc</v>
      </c>
      <c r="DB161" t="str">
        <v>Ex Gwl | Gwl (1N) - Son - Dat - Orc (1N) - Gwl (1N)</v>
      </c>
      <c r="DC161" t="str">
        <v>Ex Idr | Idr - Ujj (1N) - Omk - Mah (1N) - Man (1N) - Idr</v>
      </c>
      <c r="DD161" t="str">
        <v>Ex Jlr | Jlr - Kan (2N) - Jlr (1N)</v>
      </c>
      <c r="DE161" t="str">
        <v>Ex Jlr | Jlr - Ban (2N) - Jlr (1N)</v>
      </c>
      <c r="DF161" t="str">
        <v>Ex Bho | Bho (1N) + San - Bhoj - Bhim - Pch (2N) - Bho</v>
      </c>
      <c r="DG161" t="str">
        <v>Ex Idr | Idr (1N) - Ujj (1N) - Omk (1N) - Mah - Idr</v>
      </c>
      <c r="DH161" t="str">
        <v>Gwl - Orc (1N) - Ckt (1N) - Myr (1N) - Jlr</v>
      </c>
      <c r="DI161" t="str">
        <v>Gwl - Orc (1N) - Ckt (2N) - Ixd</v>
      </c>
      <c r="DJ161" t="str">
        <v>Ex Idr | Idr - Ujj (1N) - Omk - Mah (1N) - Idr (1N)</v>
      </c>
      <c r="DK161" t="str">
        <v>Ex Jlr | Jlr - Kan (3N) - Jlr</v>
      </c>
      <c r="DL161" t="str">
        <v>Ex Bho | Bho (2N) + Bhim + Bhoj + San + Udaygiri + Vidisha + FDCT Bho</v>
      </c>
      <c r="DM161" t="str">
        <v>Bho (1N) + Bhim + Bhoj - HDCT  Bho + Sanchi - Ujj (2N)</v>
      </c>
      <c r="DN161" t="str">
        <v>Bho (1N) + Bhim + Bhoj - HDCT  Bho + Sanchi - Ujj (2N) - Idr</v>
      </c>
      <c r="DO161" t="str">
        <v>Ex Bho | Bho - Bhoj - Bhim - Mad (1N) - Pch (2N) - Bho</v>
      </c>
      <c r="DP161" t="str">
        <v>Ex Bho | Bho - Bhoj - Bhim - Mad (1N) - Pch (3N) - Bho</v>
      </c>
      <c r="DQ161" t="str">
        <v>Ex Bho | Bho - Bhoj - Bhim - Tawa (1N) - Mad (1N) - Bho (1N)</v>
      </c>
      <c r="DR161" t="str">
        <v>Bho (1N) - Bhim - Bhoj - San - Idr (2N) + Ujj</v>
      </c>
      <c r="DS161" t="str">
        <v>Bho (1N) - Bhoj - Bhim - Pch (2N) - Bho</v>
      </c>
      <c r="DT161" t="str">
        <v>Ujj (1N) - Omk - Mah (1N) - Idr (1N)</v>
      </c>
      <c r="DU161" t="str">
        <v>Ujj (1N) - Omk - Mah (1N) - Man (1N) - Idr</v>
      </c>
      <c r="DV161" t="str">
        <v>Ex Idr | Idr (1N) - Ujj (1N) - Omk - Mah (1N)</v>
      </c>
      <c r="DW161" t="str">
        <v>Ex Idr | Idr - Ujj (1N) - Omk (1N) - Mah (1N) - Idr</v>
      </c>
      <c r="DX161" t="str">
        <v>Khandwa - Omk (1N) - Mah (1N) - Ujj (1N) - Idr</v>
      </c>
      <c r="DY161" t="str">
        <v>Ex Idr | Idr - Ujj (1N) - Omk - Mah (1N) - Man - Idr (1N)</v>
      </c>
      <c r="DZ161" t="str">
        <v xml:space="preserve">Idr - Omk (1N) - Mah - Ujj (1N) San - Bho (1N) </v>
      </c>
      <c r="EA161" t="str">
        <v>Ex Idr | Idr - Man (1N) - Mah - Omk (1N) - Ujj (1N) - Idr</v>
      </c>
      <c r="EB161" t="str">
        <v>Khandwa - Omk (1N) - Mah - Ujj (2N)</v>
      </c>
      <c r="EC161" t="str">
        <v>Ex Jlr | Jlr (1N) - Amr (1N) - Ban (1N) - Jlr</v>
      </c>
      <c r="ED161" t="str">
        <v>Ex Jlr | Jlr - (1 N) Ban - (2 N) Amar</v>
      </c>
      <c r="EE161" t="str">
        <v>Jlr - Kan (1N) - Pch (2N)</v>
      </c>
      <c r="EF161" t="str">
        <v>Pi - Pch (2N)  - Kan (1N)</v>
      </c>
      <c r="EG161" t="str">
        <v>Ex Jlr | Jlr - Amr (1 N) - (1 N) Ban - (1 N) Jlr</v>
      </c>
      <c r="EH161" t="str">
        <v>Ppi - (2 N) Pch - (1 N) Pen</v>
      </c>
      <c r="EI161" t="str">
        <v>Bhp - Pch (2N) - Jlr (1N)</v>
      </c>
      <c r="EJ161" t="str">
        <v xml:space="preserve">Arr Jhn - Hjr (1N) - Orc - Gwl (2N) </v>
      </c>
      <c r="EK161" t="str">
        <v>(1 N) Ujj - (1 N) Mah - (1 N) Idr</v>
      </c>
      <c r="EL161" t="str">
        <v>Ex Bhp | Bhp - Bhoj - Bhim - Pch (3N) - Bhp</v>
      </c>
      <c r="EM161" t="str">
        <v>Ex Bhp | Bhp - Bhoj - Bhim - Pch (2N) - Mad (1N) - Bhp</v>
      </c>
      <c r="EN161" t="str">
        <v xml:space="preserve">Ex Nag - 3N Pch + Sat </v>
      </c>
      <c r="EO161" t="str">
        <v>1N Gwl - Son - Dat - 1N Hjr - 1N Orc - Jhn</v>
      </c>
    </row>
    <row r="162" spans="2:145" ht="15" customHeight="1">
      <c r="B162" s="35">
        <v>158</v>
      </c>
      <c r="C162" s="36" t="s">
        <v>1425</v>
      </c>
      <c r="D162" s="76">
        <v>46205</v>
      </c>
      <c r="E162" s="37" t="str">
        <f>IF(Table5[[#This Row],[Query Date]]&lt;&gt;"", TEXT(Table5[[#This Row],[Query Date]], "dddd"), "")</f>
        <v>Thursday</v>
      </c>
      <c r="F162" s="37" t="str">
        <f>IF(Table5[[#This Row],[Query Date]]&lt;&gt;"", TEXT(Table5[[#This Row],[Query Date]], "mmmm"), "")</f>
        <v>July</v>
      </c>
      <c r="G162" s="28" t="s">
        <v>113</v>
      </c>
      <c r="H162" s="28" t="s">
        <v>99</v>
      </c>
      <c r="I162" s="28" t="s">
        <v>67</v>
      </c>
      <c r="J162" s="28" t="s">
        <v>68</v>
      </c>
      <c r="K162" s="28" t="s">
        <v>178</v>
      </c>
      <c r="L162" s="25" t="s">
        <v>160</v>
      </c>
      <c r="M162" s="112" t="s">
        <v>90</v>
      </c>
      <c r="N162" s="25" t="s">
        <v>1426</v>
      </c>
      <c r="O162" s="130" t="s">
        <v>1427</v>
      </c>
      <c r="P162" s="106"/>
      <c r="Q162" s="77">
        <v>46285</v>
      </c>
      <c r="R162" s="77" t="str">
        <f>IF(Table5[[#This Row],[Tour Starting Date]]&lt;&gt;"", TEXT(Table5[[#This Row],[Tour Starting Date]], "dddd"), "")</f>
        <v>Sunday</v>
      </c>
      <c r="S162" s="77">
        <v>46287</v>
      </c>
      <c r="T162" s="25" t="str">
        <f>IF(Table5[[#This Row],[Tour Ending Date]]&lt;&gt;"", TEXT(Table5[[#This Row],[Tour Ending Date]], "dddd"), "")</f>
        <v>Tuesday</v>
      </c>
      <c r="U162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162" s="37" t="str">
        <f>IF(Table5[[#This Row],[Tour Starting Date]]&lt;&gt;"", TEXT(Table5[[#This Row],[Tour Starting Date]], "mmmm"), "")</f>
        <v>September</v>
      </c>
      <c r="W162" s="80" t="str" cm="1">
        <f t="array" ref="W162">IF(Q162&lt;&gt;"", INDEX(CI:CI, MATCH(1, (Q162&gt;=CG:CG)*(Q162&lt;=CH:CH), 0)), "")</f>
        <v>Regular Dates - Weekend</v>
      </c>
      <c r="X162" s="39">
        <v>2</v>
      </c>
      <c r="Y162" s="74">
        <v>26000</v>
      </c>
      <c r="Z162" s="74">
        <f>IF(OR(Table5[[#This Row],[Per Person Package Cost]]="", Table5[[#This Row],[No. of Pax]]=""), "", Table5[[#This Row],[Per Person Package Cost]] * Table5[[#This Row],[No. of Pax]])</f>
        <v>52000</v>
      </c>
      <c r="AA162" s="52" t="s">
        <v>75</v>
      </c>
      <c r="AB162" s="52" t="s">
        <v>75</v>
      </c>
      <c r="AC162" s="52" t="s">
        <v>134</v>
      </c>
      <c r="AD162" s="52" t="s">
        <v>352</v>
      </c>
      <c r="AE162" s="51" t="str">
        <f t="shared" si="9"/>
        <v>EXIDR02</v>
      </c>
      <c r="AF162" s="51" t="str">
        <f t="shared" si="10"/>
        <v>Jyotirlinga Trails</v>
      </c>
      <c r="AG162" s="74" t="str">
        <f t="shared" si="11"/>
        <v>Quick Getaways</v>
      </c>
      <c r="AH162" s="73" t="str">
        <f t="shared" si="12"/>
        <v>West MP</v>
      </c>
      <c r="AI162" s="52" t="s">
        <v>77</v>
      </c>
      <c r="AJ162" s="56" t="s">
        <v>115</v>
      </c>
      <c r="AK162" s="59" t="s">
        <v>79</v>
      </c>
      <c r="AL162" s="60" t="s">
        <v>80</v>
      </c>
      <c r="AM162" s="54" t="s">
        <v>80</v>
      </c>
      <c r="AN162" s="14">
        <v>46208</v>
      </c>
      <c r="AO162" s="15"/>
      <c r="AP162" s="91"/>
      <c r="AQ162" s="87"/>
      <c r="AR162" s="26"/>
      <c r="AS162" s="65"/>
      <c r="AT162" s="88" t="s">
        <v>138</v>
      </c>
      <c r="AU162" s="67"/>
      <c r="BX162" s="1">
        <v>158</v>
      </c>
      <c r="CN162" t="s">
        <v>1428</v>
      </c>
      <c r="CU162" t="s">
        <v>361</v>
      </c>
      <c r="CV162" t="s">
        <v>316</v>
      </c>
      <c r="CW162" t="s">
        <v>1429</v>
      </c>
      <c r="CX162" s="124" t="s">
        <v>1430</v>
      </c>
      <c r="CY162" s="124" t="s">
        <v>151</v>
      </c>
      <c r="CZ162" s="124" t="s">
        <v>1431</v>
      </c>
      <c r="DA162" t="str" cm="1">
        <f t="array" ref="DA162:DY162">IF(U162&lt;&gt;"", TRANSPOSE(_xlfn._xlws.FILTER(CZ:CZ, CY:CY=U162, "")), "")</f>
        <v>Gwl (2N) + Mor</v>
      </c>
      <c r="DB162" t="str">
        <v>Ex Idr | Idr - Ujj (1N) - Omk - Mah (1N) - Man - Idr</v>
      </c>
      <c r="DC162" t="str">
        <v>Ujj (1N) - Omk - Idr (1N)</v>
      </c>
      <c r="DD162" t="str">
        <v>Ex Jlr | Jlr - Kan (2N) - Jlr</v>
      </c>
      <c r="DE162" t="str">
        <v>Ex Jlr | Jlr - Ban (2N) - Jlr</v>
      </c>
      <c r="DF162" t="str">
        <v>Ex Bho | Bho (2N) + Bhim + Bhoj + San</v>
      </c>
      <c r="DG162" t="str">
        <v>Ex Idr | Idr - Man (2N) - Idr</v>
      </c>
      <c r="DH162" t="str">
        <v>Ex Jlr | Jlr - Kan (2N) - Jlr</v>
      </c>
      <c r="DI162" t="str">
        <v>Ex Bho | Bho (2N) + Bhim + Bhoj + San + HDCT Bho</v>
      </c>
      <c r="DJ162" t="str">
        <v>Ex Bho | Bho - Bhim - Tawa (1N) - Mad (1N) - Bho</v>
      </c>
      <c r="DK162" t="str">
        <v>Ujj (1N) - Omk - Mah (1N) - Idr</v>
      </c>
      <c r="DL162" t="str">
        <v>Ujj (1N) -  Idr (1N)</v>
      </c>
      <c r="DM162" t="str">
        <v>Ex Idr | Idr (2N) + Ujj + Omk + Mah</v>
      </c>
      <c r="DN162" t="str">
        <v>Idr - Mah - Omk (1N) - Ujj (1N)</v>
      </c>
      <c r="DO162" t="str">
        <v>Idr - Ujj (1N) - Mah - Omk (1N) - Khandwa</v>
      </c>
      <c r="DP162" t="str">
        <v>Ex Idr | Idr (EX Ujj) (1N) - Mah - Omk (1N) - Idr HDCT</v>
      </c>
      <c r="DQ162" t="str">
        <v>Ujj (1N) - Sehor - Bho (1N) HDCT</v>
      </c>
      <c r="DR162" t="str">
        <v>Ex Jlr | Jlr (1N) - Ban (1N)</v>
      </c>
      <c r="DS162" t="str">
        <v>Ex Jlr | Ban (1N)</v>
      </c>
      <c r="DT162" t="str">
        <v>Ex Jlr | Jlr (2 N) Kan</v>
      </c>
      <c r="DU162" t="str">
        <v>Ex Jlr | Jlr - Amr (1 N) - (1 N) Ban</v>
      </c>
      <c r="DV162" t="str">
        <v>Ex Rpr | Rpr - (2N) Kan</v>
      </c>
      <c r="DW162" t="str">
        <v>Hjr (1N) - Mahi (1N) - Sat</v>
      </c>
      <c r="DX162" t="str">
        <v>Ex Bhp | Bhp - Bhim - Pch (2N) - Bhp</v>
      </c>
      <c r="DY162" t="str">
        <v xml:space="preserve">Ex Ujj I 2N Ujj </v>
      </c>
    </row>
    <row r="163" spans="2:145" ht="15" customHeight="1">
      <c r="B163" s="34">
        <v>159</v>
      </c>
      <c r="C163" s="36" t="s">
        <v>1432</v>
      </c>
      <c r="D163" s="76">
        <v>46206</v>
      </c>
      <c r="E163" s="37" t="str">
        <f>IF(Table5[[#This Row],[Query Date]]&lt;&gt;"", TEXT(Table5[[#This Row],[Query Date]], "dddd"), "")</f>
        <v>Friday</v>
      </c>
      <c r="F163" s="37" t="str">
        <f>IF(Table5[[#This Row],[Query Date]]&lt;&gt;"", TEXT(Table5[[#This Row],[Query Date]], "mmmm"), "")</f>
        <v>July</v>
      </c>
      <c r="G163" s="28" t="s">
        <v>113</v>
      </c>
      <c r="H163" s="28" t="s">
        <v>99</v>
      </c>
      <c r="I163" s="28" t="s">
        <v>67</v>
      </c>
      <c r="J163" s="28" t="s">
        <v>68</v>
      </c>
      <c r="K163" s="28" t="s">
        <v>178</v>
      </c>
      <c r="L163" s="25" t="s">
        <v>160</v>
      </c>
      <c r="M163" s="112" t="s">
        <v>90</v>
      </c>
      <c r="N163" s="25" t="s">
        <v>1433</v>
      </c>
      <c r="O163" s="130" t="s">
        <v>1434</v>
      </c>
      <c r="P163" s="31"/>
      <c r="Q163" s="77">
        <v>46213</v>
      </c>
      <c r="R163" s="77" t="str">
        <f>IF(Table5[[#This Row],[Tour Starting Date]]&lt;&gt;"", TEXT(Table5[[#This Row],[Tour Starting Date]], "dddd"), "")</f>
        <v>Friday</v>
      </c>
      <c r="S163" s="77">
        <v>46217</v>
      </c>
      <c r="T163" s="25" t="str">
        <f>IF(Table5[[#This Row],[Tour Ending Date]]&lt;&gt;"", TEXT(Table5[[#This Row],[Tour Ending Date]], "dddd"), "")</f>
        <v>Tuesday</v>
      </c>
      <c r="U163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4 Nights &amp; 5 Days</v>
      </c>
      <c r="V163" s="37" t="str">
        <f>IF(Table5[[#This Row],[Tour Starting Date]]&lt;&gt;"", TEXT(Table5[[#This Row],[Tour Starting Date]], "mmmm"), "")</f>
        <v>July</v>
      </c>
      <c r="W163" s="80" t="str" cm="1">
        <f t="array" ref="W163">IF(Q163&lt;&gt;"", INDEX(CI:CI, MATCH(1, (Q163&gt;=CG:CG)*(Q163&lt;=CH:CH), 0)), "")</f>
        <v>Regular Dates - Weekend</v>
      </c>
      <c r="X163" s="39">
        <v>1</v>
      </c>
      <c r="Y163" s="74">
        <v>31600</v>
      </c>
      <c r="Z163" s="74">
        <f>IF(OR(Table5[[#This Row],[Per Person Package Cost]]="", Table5[[#This Row],[No. of Pax]]=""), "", Table5[[#This Row],[Per Person Package Cost]] * Table5[[#This Row],[No. of Pax]])</f>
        <v>31600</v>
      </c>
      <c r="AA163" s="52" t="s">
        <v>75</v>
      </c>
      <c r="AB163" s="52" t="s">
        <v>75</v>
      </c>
      <c r="AC163" s="52" t="s">
        <v>105</v>
      </c>
      <c r="AD163" s="52" t="s">
        <v>395</v>
      </c>
      <c r="AE163" s="51" t="str">
        <f t="shared" si="9"/>
        <v>EXIDR06</v>
      </c>
      <c r="AF163" s="51" t="str">
        <f t="shared" si="10"/>
        <v>Jyotirlinga &amp; Heritage Trails of Madhya Pradesh</v>
      </c>
      <c r="AG163" s="74" t="str">
        <f t="shared" si="11"/>
        <v>Quick Getaways</v>
      </c>
      <c r="AH163" s="73" t="str">
        <f t="shared" si="12"/>
        <v>West MP</v>
      </c>
      <c r="AI163" s="52" t="s">
        <v>159</v>
      </c>
      <c r="AJ163" s="56"/>
      <c r="AK163" s="59" t="s">
        <v>79</v>
      </c>
      <c r="AL163" s="60" t="s">
        <v>80</v>
      </c>
      <c r="AM163" s="54" t="s">
        <v>80</v>
      </c>
      <c r="AN163" s="14">
        <v>46209</v>
      </c>
      <c r="AO163" s="15"/>
      <c r="AP163" s="91"/>
      <c r="AQ163" s="87"/>
      <c r="AR163" s="26"/>
      <c r="AS163" s="65"/>
      <c r="AT163" s="88" t="s">
        <v>81</v>
      </c>
      <c r="AU163" s="67"/>
      <c r="BX163" s="1">
        <v>159</v>
      </c>
      <c r="CN163" t="s">
        <v>1435</v>
      </c>
      <c r="CU163" t="s">
        <v>361</v>
      </c>
      <c r="CV163" t="s">
        <v>316</v>
      </c>
      <c r="CW163" t="s">
        <v>1436</v>
      </c>
      <c r="CX163" s="124" t="s">
        <v>1437</v>
      </c>
      <c r="CY163" s="124" t="s">
        <v>151</v>
      </c>
      <c r="CZ163" s="124" t="s">
        <v>1438</v>
      </c>
      <c r="DA163" t="str" cm="1">
        <f t="array" ref="DA163:EJ163">IF(U163&lt;&gt;"", TRANSPOSE(_xlfn._xlws.FILTER(CZ:CZ, CY:CY=U163, "")), "")</f>
        <v>Ex Gwl | Gwl (2N) + Mor - Son - Dat - Orc (1N) - Hjr (1N) - Gwl</v>
      </c>
      <c r="DB163" t="str">
        <v>Ex Idr | Idr - Ujj (1N) - Omk - Mah (1N) - Man (1N) - Idr (1N)</v>
      </c>
      <c r="DC163" t="str">
        <v>Ex Idr | Idr - Ujj (1N) - Omk (1N) - Mah (1N) - Man (1N) - Idr</v>
      </c>
      <c r="DD163" t="str">
        <v>Ex Jlr | Jlr - Kan (2N) - Amk (1N) - Jlr (1N)</v>
      </c>
      <c r="DE163" t="str">
        <v>Ex Jlr | Jlr - Ban (2N) - Amk (1N) - Jlr (1N)</v>
      </c>
      <c r="DF163" t="str">
        <v>Ex Jlr | Jlr (1N) - Hjr (1N) - Ban (2N) - Jlr</v>
      </c>
      <c r="DG163" t="str">
        <v>Ex Jlr | Jlr (1N) - Kan (1N) - Ban (2N) - Jlr</v>
      </c>
      <c r="DH163" t="str">
        <v>Ex Bho | Bho (1N) + San + Bhoj + Bhim - Tawa - Mad (1N) - Pch (2N) - Bho</v>
      </c>
      <c r="DI163" t="str">
        <v>Ex Idr | Idr - Ujj (1N) - Omk - Mah (1N) - Man (1N) - Idr (1N)</v>
      </c>
      <c r="DJ163" t="str">
        <v>Ex Bho | Bho (1N) - Bhoj - Bhim - Pch (3N) - Bho</v>
      </c>
      <c r="DK163" t="str">
        <v>Gwl (1N) - Dat (Pitambara Peeth) - Orc (1N) - Ckt (2N) - Ixd</v>
      </c>
      <c r="DL163" t="str">
        <v>Ex Jlr | Jlr - Ban (2N) - Kan (2N) - Jlr</v>
      </c>
      <c r="DM163" t="str">
        <v>Jlr - Ban (1N) - Kan (1N) - Pen (2N) - Nag</v>
      </c>
      <c r="DN163" t="str">
        <v>Ex Bho | Bho (1N) - Bhoj - Bhim - Pch (3N) - Bho</v>
      </c>
      <c r="DO163" t="str">
        <v>Ex Bho | Bho (2N) + Sanchi + Bhoj + Bhim - Tawa - Mad (1N) - Bho (1N)</v>
      </c>
      <c r="DP163" t="str">
        <v>Ex Bho | Bho - Bhoj - Bhim - Tawa (1N) - Mad (1N) - Pch (2N) - Bho</v>
      </c>
      <c r="DQ163" t="str">
        <v>Bho - Bhoj - Bhim - Pch (2N) - Kan (1N) - Jlr (1N)</v>
      </c>
      <c r="DR163" t="str">
        <v>Bho - Bhoj - Bhim - Pch (2N) - Kan (1N) - Amk (1N) - Jlr</v>
      </c>
      <c r="DS163" t="str">
        <v xml:space="preserve">Bho (1N) + Bhim + Bhoj + San - Ujj (1N) - Omk - Mah (1N) - Idr (1N) </v>
      </c>
      <c r="DT163" t="str">
        <v>Ex Gwl | Gwl - Hjr (1N) - Orc (1N) - Dat - Son - Gwl (2N)</v>
      </c>
      <c r="DU163" t="str">
        <v>Ex Gwl | Gwl - Orc (1N) - Hjr (1N) - Chn (1N) - Shiv (1N) - Gwl</v>
      </c>
      <c r="DV163" t="str">
        <v>Gwl - Hjr (1N) - Panna (1N) - Chit (1N) - Mahi (1N) - Sat</v>
      </c>
      <c r="DW163" t="str">
        <v>Jlr - (2 N) Kan - (2 N) Pch - Bhim - Bhoj - Bhp</v>
      </c>
      <c r="DX163" t="str">
        <v>Jlr - (2 N) Kan - (2 N) Pen - Rpr</v>
      </c>
      <c r="DY163" t="str">
        <v>Gwl (2N) (Ex Mor) - Dat -Orc (1N) - Hjr (1N) - Jhn</v>
      </c>
      <c r="DZ163" t="str">
        <v>Ex Gwl | Gwl (1N) - Son - Dat - Orc (1N) - Hjr (2N) (Ex Panna) - Gwl</v>
      </c>
      <c r="EA163" t="str">
        <v>Hjr (1N) - Orc (1N) - Dat - son - Gwl (2N)(Ex Mor)</v>
      </c>
      <c r="EB163" t="str">
        <v>(2 N) Gwl - (1 N) Orch - (1 N) Hjr</v>
      </c>
      <c r="EC163" t="str">
        <v>Ex Bhp | Bhp - Bhoj - Bhim - Pch (2N) - Mad (1N) - Tawa (1N) - Bhp</v>
      </c>
      <c r="ED163" t="str">
        <v>Ex Bhp | Bhp - Bhoj - Bhim - Pch (2N) - Mad (2N) - Bhp</v>
      </c>
      <c r="EE163" t="str">
        <v>Ex Idr | Idr - Ujj (1N) - Omk (1N) - Mah (2N) (Ex Man) - Idr (HDCT)</v>
      </c>
      <c r="EF163" t="str">
        <v>Arr Rpr - Amr (2N) - Par (2N) - IXD</v>
      </c>
      <c r="EG163" t="str">
        <v>1N Gwl - Orc - 2N Hjr - Jhn - 1N Gwl</v>
      </c>
      <c r="EH163" t="str">
        <v>1N Orc - 1N Hjr - 2N Gwl Ex Mor</v>
      </c>
      <c r="EI163" t="str">
        <v>1N Idr - Omk - 1N Mah - 1N Ujj - Seh - 1N Bho</v>
      </c>
      <c r="EJ163" t="str">
        <v>Ex Idr I 1N Idr - 1N Ujj - Omk - 2N Mah - Man - Idr</v>
      </c>
    </row>
    <row r="164" spans="2:145" ht="15" customHeight="1">
      <c r="B164" s="35">
        <v>160</v>
      </c>
      <c r="C164" s="36" t="s">
        <v>1439</v>
      </c>
      <c r="D164" s="76">
        <v>46206</v>
      </c>
      <c r="E164" s="37" t="str">
        <f>IF(Table5[[#This Row],[Query Date]]&lt;&gt;"", TEXT(Table5[[#This Row],[Query Date]], "dddd"), "")</f>
        <v>Friday</v>
      </c>
      <c r="F164" s="37" t="str">
        <f>IF(Table5[[#This Row],[Query Date]]&lt;&gt;"", TEXT(Table5[[#This Row],[Query Date]], "mmmm"), "")</f>
        <v>July</v>
      </c>
      <c r="G164" s="28" t="s">
        <v>65</v>
      </c>
      <c r="H164" s="28" t="s">
        <v>120</v>
      </c>
      <c r="I164" s="28" t="s">
        <v>67</v>
      </c>
      <c r="J164" s="28" t="s">
        <v>68</v>
      </c>
      <c r="K164" s="28" t="s">
        <v>488</v>
      </c>
      <c r="L164" s="25" t="s">
        <v>70</v>
      </c>
      <c r="M164" s="112" t="s">
        <v>736</v>
      </c>
      <c r="N164" s="25" t="s">
        <v>1440</v>
      </c>
      <c r="O164" s="130" t="s">
        <v>1441</v>
      </c>
      <c r="P164" s="46" t="s">
        <v>1442</v>
      </c>
      <c r="Q164" s="77">
        <v>46213</v>
      </c>
      <c r="R164" s="77" t="str">
        <f>IF(Table5[[#This Row],[Tour Starting Date]]&lt;&gt;"", TEXT(Table5[[#This Row],[Tour Starting Date]], "dddd"), "")</f>
        <v>Friday</v>
      </c>
      <c r="S164" s="77">
        <v>46217</v>
      </c>
      <c r="T164" s="25" t="str">
        <f>IF(Table5[[#This Row],[Tour Ending Date]]&lt;&gt;"", TEXT(Table5[[#This Row],[Tour Ending Date]], "dddd"), "")</f>
        <v>Tuesday</v>
      </c>
      <c r="U164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4 Nights &amp; 5 Days</v>
      </c>
      <c r="V164" s="37" t="str">
        <f>IF(Table5[[#This Row],[Tour Starting Date]]&lt;&gt;"", TEXT(Table5[[#This Row],[Tour Starting Date]], "mmmm"), "")</f>
        <v>July</v>
      </c>
      <c r="W164" s="80" t="str" cm="1">
        <f t="array" ref="W164">IF(Q164&lt;&gt;"", INDEX(CI:CI, MATCH(1, (Q164&gt;=CG:CG)*(Q164&lt;=CH:CH), 0)), "")</f>
        <v>Regular Dates - Weekend</v>
      </c>
      <c r="X164" s="39">
        <v>2</v>
      </c>
      <c r="Y164" s="74">
        <v>32000</v>
      </c>
      <c r="Z164" s="74">
        <f>IF(OR(Table5[[#This Row],[Per Person Package Cost]]="", Table5[[#This Row],[No. of Pax]]=""), "", Table5[[#This Row],[Per Person Package Cost]] * Table5[[#This Row],[No. of Pax]])</f>
        <v>64000</v>
      </c>
      <c r="AA164" s="52" t="s">
        <v>75</v>
      </c>
      <c r="AB164" s="52" t="s">
        <v>75</v>
      </c>
      <c r="AC164" s="52" t="s">
        <v>240</v>
      </c>
      <c r="AD164" s="52" t="s">
        <v>395</v>
      </c>
      <c r="AE164" s="51" t="str">
        <f t="shared" si="9"/>
        <v>EXIDR06</v>
      </c>
      <c r="AF164" s="51" t="str">
        <f t="shared" si="10"/>
        <v>Jyotirlinga &amp; Heritage Trails of Madhya Pradesh</v>
      </c>
      <c r="AG164" s="74" t="str">
        <f t="shared" si="11"/>
        <v>Quick Getaways</v>
      </c>
      <c r="AH164" s="73" t="str">
        <f t="shared" si="12"/>
        <v>West MP</v>
      </c>
      <c r="AI164" s="52" t="s">
        <v>159</v>
      </c>
      <c r="AJ164" s="56"/>
      <c r="AK164" s="59" t="s">
        <v>79</v>
      </c>
      <c r="AL164" s="60" t="s">
        <v>80</v>
      </c>
      <c r="AM164" s="54" t="s">
        <v>80</v>
      </c>
      <c r="AN164" s="14">
        <v>46209</v>
      </c>
      <c r="AO164" s="15"/>
      <c r="AP164" s="91"/>
      <c r="AQ164" s="87"/>
      <c r="AR164" s="26"/>
      <c r="AS164" s="65"/>
      <c r="AT164" s="88" t="s">
        <v>81</v>
      </c>
      <c r="AU164" s="67"/>
      <c r="BX164" s="1">
        <v>160</v>
      </c>
      <c r="CN164" t="s">
        <v>1443</v>
      </c>
      <c r="CU164" t="s">
        <v>361</v>
      </c>
      <c r="CV164" t="s">
        <v>316</v>
      </c>
      <c r="CW164" t="s">
        <v>1444</v>
      </c>
      <c r="CX164" s="124" t="s">
        <v>1445</v>
      </c>
      <c r="CY164" s="124" t="s">
        <v>197</v>
      </c>
      <c r="CZ164" s="124" t="s">
        <v>1446</v>
      </c>
      <c r="DA164" t="str" cm="1">
        <f t="array" ref="DA164:EJ164">IF(U164&lt;&gt;"", TRANSPOSE(_xlfn._xlws.FILTER(CZ:CZ, CY:CY=U164, "")), "")</f>
        <v>Ex Gwl | Gwl (2N) + Mor - Son - Dat - Orc (1N) - Hjr (1N) - Gwl</v>
      </c>
      <c r="DB164" t="str">
        <v>Ex Idr | Idr - Ujj (1N) - Omk - Mah (1N) - Man (1N) - Idr (1N)</v>
      </c>
      <c r="DC164" t="str">
        <v>Ex Idr | Idr - Ujj (1N) - Omk (1N) - Mah (1N) - Man (1N) - Idr</v>
      </c>
      <c r="DD164" t="str">
        <v>Ex Jlr | Jlr - Kan (2N) - Amk (1N) - Jlr (1N)</v>
      </c>
      <c r="DE164" t="str">
        <v>Ex Jlr | Jlr - Ban (2N) - Amk (1N) - Jlr (1N)</v>
      </c>
      <c r="DF164" t="str">
        <v>Ex Jlr | Jlr (1N) - Hjr (1N) - Ban (2N) - Jlr</v>
      </c>
      <c r="DG164" t="str">
        <v>Ex Jlr | Jlr (1N) - Kan (1N) - Ban (2N) - Jlr</v>
      </c>
      <c r="DH164" t="str">
        <v>Ex Bho | Bho (1N) + San + Bhoj + Bhim - Tawa - Mad (1N) - Pch (2N) - Bho</v>
      </c>
      <c r="DI164" t="str">
        <v>Ex Idr | Idr - Ujj (1N) - Omk - Mah (1N) - Man (1N) - Idr (1N)</v>
      </c>
      <c r="DJ164" t="str">
        <v>Ex Bho | Bho (1N) - Bhoj - Bhim - Pch (3N) - Bho</v>
      </c>
      <c r="DK164" t="str">
        <v>Gwl (1N) - Dat (Pitambara Peeth) - Orc (1N) - Ckt (2N) - Ixd</v>
      </c>
      <c r="DL164" t="str">
        <v>Ex Jlr | Jlr - Ban (2N) - Kan (2N) - Jlr</v>
      </c>
      <c r="DM164" t="str">
        <v>Jlr - Ban (1N) - Kan (1N) - Pen (2N) - Nag</v>
      </c>
      <c r="DN164" t="str">
        <v>Ex Bho | Bho (1N) - Bhoj - Bhim - Pch (3N) - Bho</v>
      </c>
      <c r="DO164" t="str">
        <v>Ex Bho | Bho (2N) + Sanchi + Bhoj + Bhim - Tawa - Mad (1N) - Bho (1N)</v>
      </c>
      <c r="DP164" t="str">
        <v>Ex Bho | Bho - Bhoj - Bhim - Tawa (1N) - Mad (1N) - Pch (2N) - Bho</v>
      </c>
      <c r="DQ164" t="str">
        <v>Bho - Bhoj - Bhim - Pch (2N) - Kan (1N) - Jlr (1N)</v>
      </c>
      <c r="DR164" t="str">
        <v>Bho - Bhoj - Bhim - Pch (2N) - Kan (1N) - Amk (1N) - Jlr</v>
      </c>
      <c r="DS164" t="str">
        <v xml:space="preserve">Bho (1N) + Bhim + Bhoj + San - Ujj (1N) - Omk - Mah (1N) - Idr (1N) </v>
      </c>
      <c r="DT164" t="str">
        <v>Ex Gwl | Gwl - Hjr (1N) - Orc (1N) - Dat - Son - Gwl (2N)</v>
      </c>
      <c r="DU164" t="str">
        <v>Ex Gwl | Gwl - Orc (1N) - Hjr (1N) - Chn (1N) - Shiv (1N) - Gwl</v>
      </c>
      <c r="DV164" t="str">
        <v>Gwl - Hjr (1N) - Panna (1N) - Chit (1N) - Mahi (1N) - Sat</v>
      </c>
      <c r="DW164" t="str">
        <v>Jlr - (2 N) Kan - (2 N) Pch - Bhim - Bhoj - Bhp</v>
      </c>
      <c r="DX164" t="str">
        <v>Jlr - (2 N) Kan - (2 N) Pen - Rpr</v>
      </c>
      <c r="DY164" t="str">
        <v>Gwl (2N) (Ex Mor) - Dat -Orc (1N) - Hjr (1N) - Jhn</v>
      </c>
      <c r="DZ164" t="str">
        <v>Ex Gwl | Gwl (1N) - Son - Dat - Orc (1N) - Hjr (2N) (Ex Panna) - Gwl</v>
      </c>
      <c r="EA164" t="str">
        <v>Hjr (1N) - Orc (1N) - Dat - son - Gwl (2N)(Ex Mor)</v>
      </c>
      <c r="EB164" t="str">
        <v>(2 N) Gwl - (1 N) Orch - (1 N) Hjr</v>
      </c>
      <c r="EC164" t="str">
        <v>Ex Bhp | Bhp - Bhoj - Bhim - Pch (2N) - Mad (1N) - Tawa (1N) - Bhp</v>
      </c>
      <c r="ED164" t="str">
        <v>Ex Bhp | Bhp - Bhoj - Bhim - Pch (2N) - Mad (2N) - Bhp</v>
      </c>
      <c r="EE164" t="str">
        <v>Ex Idr | Idr - Ujj (1N) - Omk (1N) - Mah (2N) (Ex Man) - Idr (HDCT)</v>
      </c>
      <c r="EF164" t="str">
        <v>Arr Rpr - Amr (2N) - Par (2N) - IXD</v>
      </c>
      <c r="EG164" t="str">
        <v>1N Gwl - Orc - 2N Hjr - Jhn - 1N Gwl</v>
      </c>
      <c r="EH164" t="str">
        <v>1N Orc - 1N Hjr - 2N Gwl Ex Mor</v>
      </c>
      <c r="EI164" t="str">
        <v>1N Idr - Omk - 1N Mah - 1N Ujj - Seh - 1N Bho</v>
      </c>
      <c r="EJ164" t="str">
        <v>Ex Idr I 1N Idr - 1N Ujj - Omk - 2N Mah - Man - Idr</v>
      </c>
    </row>
    <row r="165" spans="2:145" ht="15" customHeight="1">
      <c r="B165" s="34">
        <v>161</v>
      </c>
      <c r="C165" s="36" t="s">
        <v>1447</v>
      </c>
      <c r="D165" s="76">
        <v>46205</v>
      </c>
      <c r="E165" s="37" t="str">
        <f>IF(Table5[[#This Row],[Query Date]]&lt;&gt;"", TEXT(Table5[[#This Row],[Query Date]], "dddd"), "")</f>
        <v>Thursday</v>
      </c>
      <c r="F165" s="37" t="str">
        <f>IF(Table5[[#This Row],[Query Date]]&lt;&gt;"", TEXT(Table5[[#This Row],[Query Date]], "mmmm"), "")</f>
        <v>July</v>
      </c>
      <c r="G165" s="28" t="s">
        <v>65</v>
      </c>
      <c r="H165" s="28" t="s">
        <v>66</v>
      </c>
      <c r="I165" s="28" t="s">
        <v>67</v>
      </c>
      <c r="J165" s="28" t="s">
        <v>68</v>
      </c>
      <c r="K165" s="28" t="s">
        <v>1448</v>
      </c>
      <c r="L165" s="25" t="s">
        <v>70</v>
      </c>
      <c r="M165" s="112"/>
      <c r="N165" s="25" t="s">
        <v>1449</v>
      </c>
      <c r="O165" s="130" t="s">
        <v>1450</v>
      </c>
      <c r="P165" s="46" t="s">
        <v>1451</v>
      </c>
      <c r="Q165" s="77">
        <v>46209</v>
      </c>
      <c r="R165" s="77" t="str">
        <f>IF(Table5[[#This Row],[Tour Starting Date]]&lt;&gt;"", TEXT(Table5[[#This Row],[Tour Starting Date]], "dddd"), "")</f>
        <v>Monday</v>
      </c>
      <c r="S165" s="77">
        <v>46211</v>
      </c>
      <c r="T165" s="25" t="str">
        <f>IF(Table5[[#This Row],[Tour Ending Date]]&lt;&gt;"", TEXT(Table5[[#This Row],[Tour Ending Date]], "dddd"), "")</f>
        <v>Wednesday</v>
      </c>
      <c r="U165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165" s="37" t="str">
        <f>IF(Table5[[#This Row],[Tour Starting Date]]&lt;&gt;"", TEXT(Table5[[#This Row],[Tour Starting Date]], "mmmm"), "")</f>
        <v>July</v>
      </c>
      <c r="W165" s="80" t="str" cm="1">
        <f t="array" ref="W165">IF(Q165&lt;&gt;"", INDEX(CI:CI, MATCH(1, (Q165&gt;=CG:CG)*(Q165&lt;=CH:CH), 0)), "")</f>
        <v>Regular Dates - Weekday</v>
      </c>
      <c r="X165" s="39">
        <v>4</v>
      </c>
      <c r="Y165" s="74">
        <v>5500</v>
      </c>
      <c r="Z165" s="74">
        <f>IF(OR(Table5[[#This Row],[Per Person Package Cost]]="", Table5[[#This Row],[No. of Pax]]=""), "", Table5[[#This Row],[Per Person Package Cost]] * Table5[[#This Row],[No. of Pax]])</f>
        <v>22000</v>
      </c>
      <c r="AA165" s="52" t="s">
        <v>205</v>
      </c>
      <c r="AB165" s="52" t="s">
        <v>75</v>
      </c>
      <c r="AC165" s="52" t="s">
        <v>105</v>
      </c>
      <c r="AD165" s="52" t="s">
        <v>352</v>
      </c>
      <c r="AE165" s="51" t="str">
        <f t="shared" si="9"/>
        <v>EXIDR02</v>
      </c>
      <c r="AF165" s="51" t="str">
        <f t="shared" si="10"/>
        <v>Jyotirlinga Trails</v>
      </c>
      <c r="AG165" s="74" t="str">
        <f t="shared" si="11"/>
        <v>Quick Getaways</v>
      </c>
      <c r="AH165" s="73" t="str">
        <f t="shared" si="12"/>
        <v>West MP</v>
      </c>
      <c r="AI165" s="52" t="s">
        <v>107</v>
      </c>
      <c r="AJ165" s="56" t="s">
        <v>78</v>
      </c>
      <c r="AK165" s="59" t="s">
        <v>79</v>
      </c>
      <c r="AL165" s="60" t="s">
        <v>80</v>
      </c>
      <c r="AM165" s="54" t="s">
        <v>80</v>
      </c>
      <c r="AN165" s="14"/>
      <c r="AO165" s="15"/>
      <c r="AP165" s="91"/>
      <c r="AQ165" s="87"/>
      <c r="AR165" s="26"/>
      <c r="AS165" s="65"/>
      <c r="AT165" s="88" t="s">
        <v>85</v>
      </c>
      <c r="AU165" s="67"/>
      <c r="BX165" s="1">
        <v>161</v>
      </c>
      <c r="CN165" t="s">
        <v>1452</v>
      </c>
      <c r="CU165" t="s">
        <v>361</v>
      </c>
      <c r="CV165" t="s">
        <v>316</v>
      </c>
      <c r="CW165" t="s">
        <v>1453</v>
      </c>
      <c r="CX165" s="124" t="s">
        <v>1454</v>
      </c>
      <c r="CY165" s="124" t="s">
        <v>197</v>
      </c>
      <c r="CZ165" s="124" t="s">
        <v>1455</v>
      </c>
      <c r="DA165" t="str" cm="1">
        <f t="array" ref="DA165:DY165">IF(U165&lt;&gt;"", TRANSPOSE(_xlfn._xlws.FILTER(CZ:CZ, CY:CY=U165, "")), "")</f>
        <v>Gwl (2N) + Mor</v>
      </c>
      <c r="DB165" t="str">
        <v>Ex Idr | Idr - Ujj (1N) - Omk - Mah (1N) - Man - Idr</v>
      </c>
      <c r="DC165" t="str">
        <v>Ujj (1N) - Omk - Idr (1N)</v>
      </c>
      <c r="DD165" t="str">
        <v>Ex Jlr | Jlr - Kan (2N) - Jlr</v>
      </c>
      <c r="DE165" t="str">
        <v>Ex Jlr | Jlr - Ban (2N) - Jlr</v>
      </c>
      <c r="DF165" t="str">
        <v>Ex Bho | Bho (2N) + Bhim + Bhoj + San</v>
      </c>
      <c r="DG165" t="str">
        <v>Ex Idr | Idr - Man (2N) - Idr</v>
      </c>
      <c r="DH165" t="str">
        <v>Ex Jlr | Jlr - Kan (2N) - Jlr</v>
      </c>
      <c r="DI165" t="str">
        <v>Ex Bho | Bho (2N) + Bhim + Bhoj + San + HDCT Bho</v>
      </c>
      <c r="DJ165" t="str">
        <v>Ex Bho | Bho - Bhim - Tawa (1N) - Mad (1N) - Bho</v>
      </c>
      <c r="DK165" t="str">
        <v>Ujj (1N) - Omk - Mah (1N) - Idr</v>
      </c>
      <c r="DL165" t="str">
        <v>Ujj (1N) -  Idr (1N)</v>
      </c>
      <c r="DM165" t="str">
        <v>Ex Idr | Idr (2N) + Ujj + Omk + Mah</v>
      </c>
      <c r="DN165" t="str">
        <v>Idr - Mah - Omk (1N) - Ujj (1N)</v>
      </c>
      <c r="DO165" t="str">
        <v>Idr - Ujj (1N) - Mah - Omk (1N) - Khandwa</v>
      </c>
      <c r="DP165" t="str">
        <v>Ex Idr | Idr (EX Ujj) (1N) - Mah - Omk (1N) - Idr HDCT</v>
      </c>
      <c r="DQ165" t="str">
        <v>Ujj (1N) - Sehor - Bho (1N) HDCT</v>
      </c>
      <c r="DR165" t="str">
        <v>Ex Jlr | Jlr (1N) - Ban (1N)</v>
      </c>
      <c r="DS165" t="str">
        <v>Ex Jlr | Ban (1N)</v>
      </c>
      <c r="DT165" t="str">
        <v>Ex Jlr | Jlr (2 N) Kan</v>
      </c>
      <c r="DU165" t="str">
        <v>Ex Jlr | Jlr - Amr (1 N) - (1 N) Ban</v>
      </c>
      <c r="DV165" t="str">
        <v>Ex Rpr | Rpr - (2N) Kan</v>
      </c>
      <c r="DW165" t="str">
        <v>Hjr (1N) - Mahi (1N) - Sat</v>
      </c>
      <c r="DX165" t="str">
        <v>Ex Bhp | Bhp - Bhim - Pch (2N) - Bhp</v>
      </c>
      <c r="DY165" t="str">
        <v xml:space="preserve">Ex Ujj I 2N Ujj </v>
      </c>
    </row>
    <row r="166" spans="2:145" ht="15" customHeight="1">
      <c r="B166" s="35">
        <v>162</v>
      </c>
      <c r="C166" s="36" t="s">
        <v>1456</v>
      </c>
      <c r="D166" s="76">
        <v>46207</v>
      </c>
      <c r="E166" s="37" t="str">
        <f>IF(Table5[[#This Row],[Query Date]]&lt;&gt;"", TEXT(Table5[[#This Row],[Query Date]], "dddd"), "")</f>
        <v>Saturday</v>
      </c>
      <c r="F166" s="37" t="str">
        <f>IF(Table5[[#This Row],[Query Date]]&lt;&gt;"", TEXT(Table5[[#This Row],[Query Date]], "mmmm"), "")</f>
        <v>July</v>
      </c>
      <c r="G166" s="28" t="s">
        <v>113</v>
      </c>
      <c r="H166" s="28" t="s">
        <v>99</v>
      </c>
      <c r="I166" s="28" t="s">
        <v>67</v>
      </c>
      <c r="J166" s="28" t="s">
        <v>68</v>
      </c>
      <c r="K166" s="28" t="s">
        <v>178</v>
      </c>
      <c r="L166" s="25" t="s">
        <v>160</v>
      </c>
      <c r="M166" s="112" t="s">
        <v>90</v>
      </c>
      <c r="N166" s="25" t="s">
        <v>1457</v>
      </c>
      <c r="O166" s="130" t="s">
        <v>1458</v>
      </c>
      <c r="P166" s="106"/>
      <c r="Q166" s="77">
        <v>46227</v>
      </c>
      <c r="R166" s="77" t="str">
        <f>IF(Table5[[#This Row],[Tour Starting Date]]&lt;&gt;"", TEXT(Table5[[#This Row],[Tour Starting Date]], "dddd"), "")</f>
        <v>Friday</v>
      </c>
      <c r="S166" s="77">
        <v>46229</v>
      </c>
      <c r="T166" s="25" t="str">
        <f>IF(Table5[[#This Row],[Tour Ending Date]]&lt;&gt;"", TEXT(Table5[[#This Row],[Tour Ending Date]], "dddd"), "")</f>
        <v>Sunday</v>
      </c>
      <c r="U166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166" s="37" t="str">
        <f>IF(Table5[[#This Row],[Tour Starting Date]]&lt;&gt;"", TEXT(Table5[[#This Row],[Tour Starting Date]], "mmmm"), "")</f>
        <v>July</v>
      </c>
      <c r="W166" s="80" t="str" cm="1">
        <f t="array" ref="W166">IF(Q166&lt;&gt;"", INDEX(CI:CI, MATCH(1, (Q166&gt;=CG:CG)*(Q166&lt;=CH:CH), 0)), "")</f>
        <v>Regular Dates - Weekend</v>
      </c>
      <c r="X166" s="39">
        <v>1</v>
      </c>
      <c r="Y166" s="74">
        <v>23200</v>
      </c>
      <c r="Z166" s="74">
        <f>IF(OR(Table5[[#This Row],[Per Person Package Cost]]="", Table5[[#This Row],[No. of Pax]]=""), "", Table5[[#This Row],[Per Person Package Cost]] * Table5[[#This Row],[No. of Pax]])</f>
        <v>23200</v>
      </c>
      <c r="AA166" s="52" t="s">
        <v>75</v>
      </c>
      <c r="AB166" s="52" t="s">
        <v>75</v>
      </c>
      <c r="AC166" s="52" t="s">
        <v>76</v>
      </c>
      <c r="AD166" s="52" t="s">
        <v>352</v>
      </c>
      <c r="AE166" s="51" t="str">
        <f t="shared" si="9"/>
        <v>EXIDR02</v>
      </c>
      <c r="AF166" s="51" t="str">
        <f t="shared" si="10"/>
        <v>Jyotirlinga Trails</v>
      </c>
      <c r="AG166" s="74" t="str">
        <f t="shared" si="11"/>
        <v>Quick Getaways</v>
      </c>
      <c r="AH166" s="73" t="str">
        <f t="shared" si="12"/>
        <v>West MP</v>
      </c>
      <c r="AI166" s="52" t="s">
        <v>159</v>
      </c>
      <c r="AJ166" s="56" t="s">
        <v>115</v>
      </c>
      <c r="AK166" s="59" t="s">
        <v>79</v>
      </c>
      <c r="AL166" s="60" t="s">
        <v>80</v>
      </c>
      <c r="AM166" s="54" t="s">
        <v>80</v>
      </c>
      <c r="AN166" s="14">
        <v>46210</v>
      </c>
      <c r="AO166" s="15"/>
      <c r="AP166" s="91"/>
      <c r="AQ166" s="87"/>
      <c r="AR166" s="26"/>
      <c r="AS166" s="65"/>
      <c r="AT166" s="88" t="s">
        <v>138</v>
      </c>
      <c r="AU166" s="67"/>
      <c r="BX166" s="1">
        <v>162</v>
      </c>
      <c r="CN166" t="s">
        <v>1459</v>
      </c>
      <c r="CU166" t="s">
        <v>361</v>
      </c>
      <c r="CV166" t="s">
        <v>171</v>
      </c>
      <c r="CW166" t="s">
        <v>1460</v>
      </c>
      <c r="CX166" s="124" t="s">
        <v>1461</v>
      </c>
      <c r="CY166" s="124" t="s">
        <v>197</v>
      </c>
      <c r="CZ166" s="124" t="s">
        <v>1462</v>
      </c>
      <c r="DA166" t="str" cm="1">
        <f t="array" ref="DA166:DY166">IF(U166&lt;&gt;"", TRANSPOSE(_xlfn._xlws.FILTER(CZ:CZ, CY:CY=U166, "")), "")</f>
        <v>Gwl (2N) + Mor</v>
      </c>
      <c r="DB166" t="str">
        <v>Ex Idr | Idr - Ujj (1N) - Omk - Mah (1N) - Man - Idr</v>
      </c>
      <c r="DC166" t="str">
        <v>Ujj (1N) - Omk - Idr (1N)</v>
      </c>
      <c r="DD166" t="str">
        <v>Ex Jlr | Jlr - Kan (2N) - Jlr</v>
      </c>
      <c r="DE166" t="str">
        <v>Ex Jlr | Jlr - Ban (2N) - Jlr</v>
      </c>
      <c r="DF166" t="str">
        <v>Ex Bho | Bho (2N) + Bhim + Bhoj + San</v>
      </c>
      <c r="DG166" t="str">
        <v>Ex Idr | Idr - Man (2N) - Idr</v>
      </c>
      <c r="DH166" t="str">
        <v>Ex Jlr | Jlr - Kan (2N) - Jlr</v>
      </c>
      <c r="DI166" t="str">
        <v>Ex Bho | Bho (2N) + Bhim + Bhoj + San + HDCT Bho</v>
      </c>
      <c r="DJ166" t="str">
        <v>Ex Bho | Bho - Bhim - Tawa (1N) - Mad (1N) - Bho</v>
      </c>
      <c r="DK166" t="str">
        <v>Ujj (1N) - Omk - Mah (1N) - Idr</v>
      </c>
      <c r="DL166" t="str">
        <v>Ujj (1N) -  Idr (1N)</v>
      </c>
      <c r="DM166" t="str">
        <v>Ex Idr | Idr (2N) + Ujj + Omk + Mah</v>
      </c>
      <c r="DN166" t="str">
        <v>Idr - Mah - Omk (1N) - Ujj (1N)</v>
      </c>
      <c r="DO166" t="str">
        <v>Idr - Ujj (1N) - Mah - Omk (1N) - Khandwa</v>
      </c>
      <c r="DP166" t="str">
        <v>Ex Idr | Idr (EX Ujj) (1N) - Mah - Omk (1N) - Idr HDCT</v>
      </c>
      <c r="DQ166" t="str">
        <v>Ujj (1N) - Sehor - Bho (1N) HDCT</v>
      </c>
      <c r="DR166" t="str">
        <v>Ex Jlr | Jlr (1N) - Ban (1N)</v>
      </c>
      <c r="DS166" t="str">
        <v>Ex Jlr | Ban (1N)</v>
      </c>
      <c r="DT166" t="str">
        <v>Ex Jlr | Jlr (2 N) Kan</v>
      </c>
      <c r="DU166" t="str">
        <v>Ex Jlr | Jlr - Amr (1 N) - (1 N) Ban</v>
      </c>
      <c r="DV166" t="str">
        <v>Ex Rpr | Rpr - (2N) Kan</v>
      </c>
      <c r="DW166" t="str">
        <v>Hjr (1N) - Mahi (1N) - Sat</v>
      </c>
      <c r="DX166" t="str">
        <v>Ex Bhp | Bhp - Bhim - Pch (2N) - Bhp</v>
      </c>
      <c r="DY166" t="str">
        <v xml:space="preserve">Ex Ujj I 2N Ujj </v>
      </c>
    </row>
    <row r="167" spans="2:145" ht="15" customHeight="1">
      <c r="B167" s="34">
        <v>163</v>
      </c>
      <c r="C167" s="36" t="s">
        <v>1463</v>
      </c>
      <c r="D167" s="76">
        <v>46209</v>
      </c>
      <c r="E167" s="37" t="str">
        <f>IF(Table5[[#This Row],[Query Date]]&lt;&gt;"", TEXT(Table5[[#This Row],[Query Date]], "dddd"), "")</f>
        <v>Monday</v>
      </c>
      <c r="F167" s="37" t="str">
        <f>IF(Table5[[#This Row],[Query Date]]&lt;&gt;"", TEXT(Table5[[#This Row],[Query Date]], "mmmm"), "")</f>
        <v>July</v>
      </c>
      <c r="G167" s="28" t="s">
        <v>113</v>
      </c>
      <c r="H167" s="28" t="s">
        <v>99</v>
      </c>
      <c r="I167" s="28" t="s">
        <v>67</v>
      </c>
      <c r="J167" s="28" t="s">
        <v>68</v>
      </c>
      <c r="K167" s="28" t="s">
        <v>178</v>
      </c>
      <c r="L167" s="25" t="s">
        <v>160</v>
      </c>
      <c r="M167" s="112" t="s">
        <v>90</v>
      </c>
      <c r="N167" s="25" t="s">
        <v>1464</v>
      </c>
      <c r="O167" s="130" t="s">
        <v>1465</v>
      </c>
      <c r="P167" s="106"/>
      <c r="Q167" s="77">
        <v>46310</v>
      </c>
      <c r="R167" s="77" t="str">
        <f>IF(Table5[[#This Row],[Tour Starting Date]]&lt;&gt;"", TEXT(Table5[[#This Row],[Tour Starting Date]], "dddd"), "")</f>
        <v>Thursday</v>
      </c>
      <c r="S167" s="77">
        <v>46314</v>
      </c>
      <c r="T167" s="25" t="str">
        <f>IF(Table5[[#This Row],[Tour Ending Date]]&lt;&gt;"", TEXT(Table5[[#This Row],[Tour Ending Date]], "dddd"), "")</f>
        <v>Monday</v>
      </c>
      <c r="U167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4 Nights &amp; 5 Days</v>
      </c>
      <c r="V167" s="37" t="str">
        <f>IF(Table5[[#This Row],[Tour Starting Date]]&lt;&gt;"", TEXT(Table5[[#This Row],[Tour Starting Date]], "mmmm"), "")</f>
        <v>October</v>
      </c>
      <c r="W167" s="80" t="str" cm="1">
        <f t="array" ref="W167">IF(Q167&lt;&gt;"", INDEX(CI:CI, MATCH(1, (Q167&gt;=CG:CG)*(Q167&lt;=CH:CH), 0)), "")</f>
        <v>Regular Dates - Weekday</v>
      </c>
      <c r="X167" s="39">
        <v>2</v>
      </c>
      <c r="Y167" s="74">
        <v>21800</v>
      </c>
      <c r="Z167" s="74">
        <f>IF(OR(Table5[[#This Row],[Per Person Package Cost]]="", Table5[[#This Row],[No. of Pax]]=""), "", Table5[[#This Row],[Per Person Package Cost]] * Table5[[#This Row],[No. of Pax]])</f>
        <v>43600</v>
      </c>
      <c r="AA167" s="52" t="s">
        <v>75</v>
      </c>
      <c r="AB167" s="52" t="s">
        <v>75</v>
      </c>
      <c r="AC167" s="52" t="s">
        <v>76</v>
      </c>
      <c r="AD167" s="52" t="s">
        <v>395</v>
      </c>
      <c r="AE167" s="51" t="str">
        <f t="shared" si="9"/>
        <v>EXIDR06</v>
      </c>
      <c r="AF167" s="51" t="str">
        <f t="shared" si="10"/>
        <v>Jyotirlinga &amp; Heritage Trails of Madhya Pradesh</v>
      </c>
      <c r="AG167" s="74" t="str">
        <f t="shared" si="11"/>
        <v>Quick Getaways</v>
      </c>
      <c r="AH167" s="73" t="str">
        <f t="shared" si="12"/>
        <v>West MP</v>
      </c>
      <c r="AI167" s="52" t="s">
        <v>159</v>
      </c>
      <c r="AJ167" s="56" t="s">
        <v>115</v>
      </c>
      <c r="AK167" s="59" t="s">
        <v>79</v>
      </c>
      <c r="AL167" s="60" t="s">
        <v>80</v>
      </c>
      <c r="AM167" s="54" t="s">
        <v>80</v>
      </c>
      <c r="AN167" s="14">
        <v>46210</v>
      </c>
      <c r="AO167" s="15"/>
      <c r="AP167" s="91"/>
      <c r="AQ167" s="87"/>
      <c r="AR167" s="26"/>
      <c r="AS167" s="65"/>
      <c r="AT167" s="88" t="s">
        <v>138</v>
      </c>
      <c r="AU167" s="67"/>
      <c r="BX167" s="1">
        <v>163</v>
      </c>
      <c r="CN167" t="s">
        <v>1466</v>
      </c>
      <c r="CU167" t="s">
        <v>361</v>
      </c>
      <c r="CV167" t="s">
        <v>121</v>
      </c>
      <c r="CW167" t="s">
        <v>1467</v>
      </c>
      <c r="CX167" s="124" t="s">
        <v>1468</v>
      </c>
      <c r="CY167" s="124" t="s">
        <v>197</v>
      </c>
      <c r="CZ167" s="124" t="s">
        <v>1469</v>
      </c>
      <c r="DA167" t="str" cm="1">
        <f t="array" ref="DA167:EJ167">IF(U167&lt;&gt;"", TRANSPOSE(_xlfn._xlws.FILTER(CZ:CZ, CY:CY=U167, "")), "")</f>
        <v>Ex Gwl | Gwl (2N) + Mor - Son - Dat - Orc (1N) - Hjr (1N) - Gwl</v>
      </c>
      <c r="DB167" t="str">
        <v>Ex Idr | Idr - Ujj (1N) - Omk - Mah (1N) - Man (1N) - Idr (1N)</v>
      </c>
      <c r="DC167" t="str">
        <v>Ex Idr | Idr - Ujj (1N) - Omk (1N) - Mah (1N) - Man (1N) - Idr</v>
      </c>
      <c r="DD167" t="str">
        <v>Ex Jlr | Jlr - Kan (2N) - Amk (1N) - Jlr (1N)</v>
      </c>
      <c r="DE167" t="str">
        <v>Ex Jlr | Jlr - Ban (2N) - Amk (1N) - Jlr (1N)</v>
      </c>
      <c r="DF167" t="str">
        <v>Ex Jlr | Jlr (1N) - Hjr (1N) - Ban (2N) - Jlr</v>
      </c>
      <c r="DG167" t="str">
        <v>Ex Jlr | Jlr (1N) - Kan (1N) - Ban (2N) - Jlr</v>
      </c>
      <c r="DH167" t="str">
        <v>Ex Bho | Bho (1N) + San + Bhoj + Bhim - Tawa - Mad (1N) - Pch (2N) - Bho</v>
      </c>
      <c r="DI167" t="str">
        <v>Ex Idr | Idr - Ujj (1N) - Omk - Mah (1N) - Man (1N) - Idr (1N)</v>
      </c>
      <c r="DJ167" t="str">
        <v>Ex Bho | Bho (1N) - Bhoj - Bhim - Pch (3N) - Bho</v>
      </c>
      <c r="DK167" t="str">
        <v>Gwl (1N) - Dat (Pitambara Peeth) - Orc (1N) - Ckt (2N) - Ixd</v>
      </c>
      <c r="DL167" t="str">
        <v>Ex Jlr | Jlr - Ban (2N) - Kan (2N) - Jlr</v>
      </c>
      <c r="DM167" t="str">
        <v>Jlr - Ban (1N) - Kan (1N) - Pen (2N) - Nag</v>
      </c>
      <c r="DN167" t="str">
        <v>Ex Bho | Bho (1N) - Bhoj - Bhim - Pch (3N) - Bho</v>
      </c>
      <c r="DO167" t="str">
        <v>Ex Bho | Bho (2N) + Sanchi + Bhoj + Bhim - Tawa - Mad (1N) - Bho (1N)</v>
      </c>
      <c r="DP167" t="str">
        <v>Ex Bho | Bho - Bhoj - Bhim - Tawa (1N) - Mad (1N) - Pch (2N) - Bho</v>
      </c>
      <c r="DQ167" t="str">
        <v>Bho - Bhoj - Bhim - Pch (2N) - Kan (1N) - Jlr (1N)</v>
      </c>
      <c r="DR167" t="str">
        <v>Bho - Bhoj - Bhim - Pch (2N) - Kan (1N) - Amk (1N) - Jlr</v>
      </c>
      <c r="DS167" t="str">
        <v xml:space="preserve">Bho (1N) + Bhim + Bhoj + San - Ujj (1N) - Omk - Mah (1N) - Idr (1N) </v>
      </c>
      <c r="DT167" t="str">
        <v>Ex Gwl | Gwl - Hjr (1N) - Orc (1N) - Dat - Son - Gwl (2N)</v>
      </c>
      <c r="DU167" t="str">
        <v>Ex Gwl | Gwl - Orc (1N) - Hjr (1N) - Chn (1N) - Shiv (1N) - Gwl</v>
      </c>
      <c r="DV167" t="str">
        <v>Gwl - Hjr (1N) - Panna (1N) - Chit (1N) - Mahi (1N) - Sat</v>
      </c>
      <c r="DW167" t="str">
        <v>Jlr - (2 N) Kan - (2 N) Pch - Bhim - Bhoj - Bhp</v>
      </c>
      <c r="DX167" t="str">
        <v>Jlr - (2 N) Kan - (2 N) Pen - Rpr</v>
      </c>
      <c r="DY167" t="str">
        <v>Gwl (2N) (Ex Mor) - Dat -Orc (1N) - Hjr (1N) - Jhn</v>
      </c>
      <c r="DZ167" t="str">
        <v>Ex Gwl | Gwl (1N) - Son - Dat - Orc (1N) - Hjr (2N) (Ex Panna) - Gwl</v>
      </c>
      <c r="EA167" t="str">
        <v>Hjr (1N) - Orc (1N) - Dat - son - Gwl (2N)(Ex Mor)</v>
      </c>
      <c r="EB167" t="str">
        <v>(2 N) Gwl - (1 N) Orch - (1 N) Hjr</v>
      </c>
      <c r="EC167" t="str">
        <v>Ex Bhp | Bhp - Bhoj - Bhim - Pch (2N) - Mad (1N) - Tawa (1N) - Bhp</v>
      </c>
      <c r="ED167" t="str">
        <v>Ex Bhp | Bhp - Bhoj - Bhim - Pch (2N) - Mad (2N) - Bhp</v>
      </c>
      <c r="EE167" t="str">
        <v>Ex Idr | Idr - Ujj (1N) - Omk (1N) - Mah (2N) (Ex Man) - Idr (HDCT)</v>
      </c>
      <c r="EF167" t="str">
        <v>Arr Rpr - Amr (2N) - Par (2N) - IXD</v>
      </c>
      <c r="EG167" t="str">
        <v>1N Gwl - Orc - 2N Hjr - Jhn - 1N Gwl</v>
      </c>
      <c r="EH167" t="str">
        <v>1N Orc - 1N Hjr - 2N Gwl Ex Mor</v>
      </c>
      <c r="EI167" t="str">
        <v>1N Idr - Omk - 1N Mah - 1N Ujj - Seh - 1N Bho</v>
      </c>
      <c r="EJ167" t="str">
        <v>Ex Idr I 1N Idr - 1N Ujj - Omk - 2N Mah - Man - Idr</v>
      </c>
    </row>
    <row r="168" spans="2:145" ht="15" customHeight="1">
      <c r="B168" s="35">
        <v>164</v>
      </c>
      <c r="C168" s="36" t="s">
        <v>1470</v>
      </c>
      <c r="D168" s="76">
        <v>46207</v>
      </c>
      <c r="E168" s="37" t="str">
        <f>IF(Table5[[#This Row],[Query Date]]&lt;&gt;"", TEXT(Table5[[#This Row],[Query Date]], "dddd"), "")</f>
        <v>Saturday</v>
      </c>
      <c r="F168" s="37" t="str">
        <f>IF(Table5[[#This Row],[Query Date]]&lt;&gt;"", TEXT(Table5[[#This Row],[Query Date]], "mmmm"), "")</f>
        <v>July</v>
      </c>
      <c r="G168" s="28" t="s">
        <v>113</v>
      </c>
      <c r="H168" s="28" t="s">
        <v>99</v>
      </c>
      <c r="I168" s="28" t="s">
        <v>67</v>
      </c>
      <c r="J168" s="28" t="s">
        <v>68</v>
      </c>
      <c r="K168" s="28" t="s">
        <v>178</v>
      </c>
      <c r="L168" s="25" t="s">
        <v>160</v>
      </c>
      <c r="M168" s="112" t="s">
        <v>90</v>
      </c>
      <c r="N168" s="25" t="s">
        <v>1471</v>
      </c>
      <c r="O168" s="130" t="s">
        <v>1472</v>
      </c>
      <c r="P168" s="106"/>
      <c r="Q168" s="77">
        <v>46219</v>
      </c>
      <c r="R168" s="77" t="str">
        <f>IF(Table5[[#This Row],[Tour Starting Date]]&lt;&gt;"", TEXT(Table5[[#This Row],[Tour Starting Date]], "dddd"), "")</f>
        <v>Thursday</v>
      </c>
      <c r="S168" s="77">
        <v>46221</v>
      </c>
      <c r="T168" s="25" t="str">
        <f>IF(Table5[[#This Row],[Tour Ending Date]]&lt;&gt;"", TEXT(Table5[[#This Row],[Tour Ending Date]], "dddd"), "")</f>
        <v>Saturday</v>
      </c>
      <c r="U168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168" s="37" t="str">
        <f>IF(Table5[[#This Row],[Tour Starting Date]]&lt;&gt;"", TEXT(Table5[[#This Row],[Tour Starting Date]], "mmmm"), "")</f>
        <v>July</v>
      </c>
      <c r="W168" s="80" t="str" cm="1">
        <f t="array" ref="W168">IF(Q168&lt;&gt;"", INDEX(CI:CI, MATCH(1, (Q168&gt;=CG:CG)*(Q168&lt;=CH:CH), 0)), "")</f>
        <v>Regular Dates - Weekday</v>
      </c>
      <c r="X168" s="39">
        <v>2</v>
      </c>
      <c r="Y168" s="74">
        <v>12500</v>
      </c>
      <c r="Z168" s="74">
        <f>IF(OR(Table5[[#This Row],[Per Person Package Cost]]="", Table5[[#This Row],[No. of Pax]]=""), "", Table5[[#This Row],[Per Person Package Cost]] * Table5[[#This Row],[No. of Pax]])</f>
        <v>25000</v>
      </c>
      <c r="AA168" s="52" t="s">
        <v>75</v>
      </c>
      <c r="AB168" s="52" t="s">
        <v>75</v>
      </c>
      <c r="AC168" s="52" t="s">
        <v>76</v>
      </c>
      <c r="AD168" s="52" t="s">
        <v>352</v>
      </c>
      <c r="AE168" s="51" t="str">
        <f t="shared" si="9"/>
        <v>EXIDR02</v>
      </c>
      <c r="AF168" s="51" t="str">
        <f t="shared" si="10"/>
        <v>Jyotirlinga Trails</v>
      </c>
      <c r="AG168" s="74" t="str">
        <f t="shared" si="11"/>
        <v>Quick Getaways</v>
      </c>
      <c r="AH168" s="73" t="str">
        <f t="shared" si="12"/>
        <v>West MP</v>
      </c>
      <c r="AI168" s="52" t="s">
        <v>107</v>
      </c>
      <c r="AJ168" s="56" t="s">
        <v>115</v>
      </c>
      <c r="AK168" s="59" t="s">
        <v>79</v>
      </c>
      <c r="AL168" s="60" t="s">
        <v>80</v>
      </c>
      <c r="AM168" s="54" t="s">
        <v>80</v>
      </c>
      <c r="AN168" s="14">
        <v>46210</v>
      </c>
      <c r="AO168" s="15"/>
      <c r="AP168" s="91"/>
      <c r="AQ168" s="87"/>
      <c r="AR168" s="26"/>
      <c r="AS168" s="65"/>
      <c r="AT168" s="88" t="s">
        <v>138</v>
      </c>
      <c r="AU168" s="67"/>
      <c r="BX168" s="1">
        <v>164</v>
      </c>
      <c r="CN168" t="s">
        <v>1473</v>
      </c>
      <c r="CU168" t="s">
        <v>361</v>
      </c>
      <c r="CV168" t="s">
        <v>121</v>
      </c>
      <c r="CW168" t="s">
        <v>1474</v>
      </c>
      <c r="CX168" s="124" t="s">
        <v>1475</v>
      </c>
      <c r="CY168" s="124" t="s">
        <v>223</v>
      </c>
      <c r="CZ168" s="124" t="s">
        <v>1476</v>
      </c>
      <c r="DA168" t="str" cm="1">
        <f t="array" ref="DA168:DY168">IF(U168&lt;&gt;"", TRANSPOSE(_xlfn._xlws.FILTER(CZ:CZ, CY:CY=U168, "")), "")</f>
        <v>Gwl (2N) + Mor</v>
      </c>
      <c r="DB168" t="str">
        <v>Ex Idr | Idr - Ujj (1N) - Omk - Mah (1N) - Man - Idr</v>
      </c>
      <c r="DC168" t="str">
        <v>Ujj (1N) - Omk - Idr (1N)</v>
      </c>
      <c r="DD168" t="str">
        <v>Ex Jlr | Jlr - Kan (2N) - Jlr</v>
      </c>
      <c r="DE168" t="str">
        <v>Ex Jlr | Jlr - Ban (2N) - Jlr</v>
      </c>
      <c r="DF168" t="str">
        <v>Ex Bho | Bho (2N) + Bhim + Bhoj + San</v>
      </c>
      <c r="DG168" t="str">
        <v>Ex Idr | Idr - Man (2N) - Idr</v>
      </c>
      <c r="DH168" t="str">
        <v>Ex Jlr | Jlr - Kan (2N) - Jlr</v>
      </c>
      <c r="DI168" t="str">
        <v>Ex Bho | Bho (2N) + Bhim + Bhoj + San + HDCT Bho</v>
      </c>
      <c r="DJ168" t="str">
        <v>Ex Bho | Bho - Bhim - Tawa (1N) - Mad (1N) - Bho</v>
      </c>
      <c r="DK168" t="str">
        <v>Ujj (1N) - Omk - Mah (1N) - Idr</v>
      </c>
      <c r="DL168" t="str">
        <v>Ujj (1N) -  Idr (1N)</v>
      </c>
      <c r="DM168" t="str">
        <v>Ex Idr | Idr (2N) + Ujj + Omk + Mah</v>
      </c>
      <c r="DN168" t="str">
        <v>Idr - Mah - Omk (1N) - Ujj (1N)</v>
      </c>
      <c r="DO168" t="str">
        <v>Idr - Ujj (1N) - Mah - Omk (1N) - Khandwa</v>
      </c>
      <c r="DP168" t="str">
        <v>Ex Idr | Idr (EX Ujj) (1N) - Mah - Omk (1N) - Idr HDCT</v>
      </c>
      <c r="DQ168" t="str">
        <v>Ujj (1N) - Sehor - Bho (1N) HDCT</v>
      </c>
      <c r="DR168" t="str">
        <v>Ex Jlr | Jlr (1N) - Ban (1N)</v>
      </c>
      <c r="DS168" t="str">
        <v>Ex Jlr | Ban (1N)</v>
      </c>
      <c r="DT168" t="str">
        <v>Ex Jlr | Jlr (2 N) Kan</v>
      </c>
      <c r="DU168" t="str">
        <v>Ex Jlr | Jlr - Amr (1 N) - (1 N) Ban</v>
      </c>
      <c r="DV168" t="str">
        <v>Ex Rpr | Rpr - (2N) Kan</v>
      </c>
      <c r="DW168" t="str">
        <v>Hjr (1N) - Mahi (1N) - Sat</v>
      </c>
      <c r="DX168" t="str">
        <v>Ex Bhp | Bhp - Bhim - Pch (2N) - Bhp</v>
      </c>
      <c r="DY168" t="str">
        <v xml:space="preserve">Ex Ujj I 2N Ujj </v>
      </c>
    </row>
    <row r="169" spans="2:145" ht="15" customHeight="1">
      <c r="B169" s="34">
        <v>165</v>
      </c>
      <c r="C169" s="36" t="s">
        <v>1477</v>
      </c>
      <c r="D169" s="76">
        <v>46209</v>
      </c>
      <c r="E169" s="37" t="str">
        <f>IF(Table5[[#This Row],[Query Date]]&lt;&gt;"", TEXT(Table5[[#This Row],[Query Date]], "dddd"), "")</f>
        <v>Monday</v>
      </c>
      <c r="F169" s="37" t="str">
        <f>IF(Table5[[#This Row],[Query Date]]&lt;&gt;"", TEXT(Table5[[#This Row],[Query Date]], "mmmm"), "")</f>
        <v>July</v>
      </c>
      <c r="G169" s="28" t="s">
        <v>113</v>
      </c>
      <c r="H169" s="28" t="s">
        <v>99</v>
      </c>
      <c r="I169" s="28" t="s">
        <v>67</v>
      </c>
      <c r="J169" s="28" t="s">
        <v>68</v>
      </c>
      <c r="K169" s="28" t="s">
        <v>178</v>
      </c>
      <c r="L169" s="25" t="s">
        <v>160</v>
      </c>
      <c r="M169" s="112" t="s">
        <v>90</v>
      </c>
      <c r="N169" s="25" t="s">
        <v>1478</v>
      </c>
      <c r="O169" s="130" t="s">
        <v>1479</v>
      </c>
      <c r="P169" s="46"/>
      <c r="Q169" s="77">
        <v>46310</v>
      </c>
      <c r="R169" s="77" t="str">
        <f>IF(Table5[[#This Row],[Tour Starting Date]]&lt;&gt;"", TEXT(Table5[[#This Row],[Tour Starting Date]], "dddd"), "")</f>
        <v>Thursday</v>
      </c>
      <c r="S169" s="77">
        <v>46313</v>
      </c>
      <c r="T169" s="25" t="str">
        <f>IF(Table5[[#This Row],[Tour Ending Date]]&lt;&gt;"", TEXT(Table5[[#This Row],[Tour Ending Date]], "dddd"), "")</f>
        <v>Sunday</v>
      </c>
      <c r="U169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169" s="37" t="str">
        <f>IF(Table5[[#This Row],[Tour Starting Date]]&lt;&gt;"", TEXT(Table5[[#This Row],[Tour Starting Date]], "mmmm"), "")</f>
        <v>October</v>
      </c>
      <c r="W169" s="80" t="str" cm="1">
        <f t="array" ref="W169">IF(Q169&lt;&gt;"", INDEX(CI:CI, MATCH(1, (Q169&gt;=CG:CG)*(Q169&lt;=CH:CH), 0)), "")</f>
        <v>Regular Dates - Weekday</v>
      </c>
      <c r="X169" s="39">
        <v>4</v>
      </c>
      <c r="Y169" s="74">
        <v>14200</v>
      </c>
      <c r="Z169" s="74">
        <f>IF(OR(Table5[[#This Row],[Per Person Package Cost]]="", Table5[[#This Row],[No. of Pax]]=""), "", Table5[[#This Row],[Per Person Package Cost]] * Table5[[#This Row],[No. of Pax]])</f>
        <v>56800</v>
      </c>
      <c r="AA169" s="52" t="s">
        <v>75</v>
      </c>
      <c r="AB169" s="52" t="s">
        <v>75</v>
      </c>
      <c r="AC169" s="52" t="s">
        <v>173</v>
      </c>
      <c r="AD169" s="52" t="s">
        <v>395</v>
      </c>
      <c r="AE169" s="51" t="str">
        <f t="shared" si="9"/>
        <v>EXIDR06</v>
      </c>
      <c r="AF169" s="51" t="str">
        <f t="shared" si="10"/>
        <v>Jyotirlinga &amp; Heritage Trails of Madhya Pradesh</v>
      </c>
      <c r="AG169" s="74" t="str">
        <f t="shared" si="11"/>
        <v>Quick Getaways</v>
      </c>
      <c r="AH169" s="73" t="str">
        <f t="shared" si="12"/>
        <v>West MP</v>
      </c>
      <c r="AI169" s="52" t="s">
        <v>159</v>
      </c>
      <c r="AJ169" s="56" t="s">
        <v>115</v>
      </c>
      <c r="AK169" s="59" t="s">
        <v>79</v>
      </c>
      <c r="AL169" s="60" t="s">
        <v>80</v>
      </c>
      <c r="AM169" s="54" t="s">
        <v>80</v>
      </c>
      <c r="AN169" s="14">
        <v>46210</v>
      </c>
      <c r="AO169" s="15"/>
      <c r="AP169" s="91"/>
      <c r="AQ169" s="87"/>
      <c r="AR169" s="26"/>
      <c r="AS169" s="65"/>
      <c r="AT169" s="88" t="s">
        <v>138</v>
      </c>
      <c r="AU169" s="67"/>
      <c r="BX169" s="1">
        <v>165</v>
      </c>
      <c r="CN169" t="s">
        <v>1480</v>
      </c>
      <c r="CU169" t="s">
        <v>92</v>
      </c>
      <c r="CV169" t="s">
        <v>299</v>
      </c>
      <c r="CW169" t="s">
        <v>1481</v>
      </c>
      <c r="CX169" t="s">
        <v>1482</v>
      </c>
      <c r="CY169" t="s">
        <v>151</v>
      </c>
      <c r="CZ169" t="s">
        <v>1483</v>
      </c>
      <c r="DA169" t="str" cm="1">
        <f t="array" ref="DA169:EO169">IF(U169&lt;&gt;"", TRANSPOSE(_xlfn._xlws.FILTER(CZ:CZ, CY:CY=U169, "")), "")</f>
        <v>Gwl (3N) + Mor + Son + Dat + Orc</v>
      </c>
      <c r="DB169" t="str">
        <v>Ex Gwl | Gwl (1N) - Son - Dat - Orc (1N) - Gwl (1N)</v>
      </c>
      <c r="DC169" t="str">
        <v>Ex Idr | Idr - Ujj (1N) - Omk - Mah (1N) - Man (1N) - Idr</v>
      </c>
      <c r="DD169" t="str">
        <v>Ex Jlr | Jlr - Kan (2N) - Jlr (1N)</v>
      </c>
      <c r="DE169" t="str">
        <v>Ex Jlr | Jlr - Ban (2N) - Jlr (1N)</v>
      </c>
      <c r="DF169" t="str">
        <v>Ex Bho | Bho (1N) + San - Bhoj - Bhim - Pch (2N) - Bho</v>
      </c>
      <c r="DG169" t="str">
        <v>Ex Idr | Idr (1N) - Ujj (1N) - Omk (1N) - Mah - Idr</v>
      </c>
      <c r="DH169" t="str">
        <v>Gwl - Orc (1N) - Ckt (1N) - Myr (1N) - Jlr</v>
      </c>
      <c r="DI169" t="str">
        <v>Gwl - Orc (1N) - Ckt (2N) - Ixd</v>
      </c>
      <c r="DJ169" t="str">
        <v>Ex Idr | Idr - Ujj (1N) - Omk - Mah (1N) - Idr (1N)</v>
      </c>
      <c r="DK169" t="str">
        <v>Ex Jlr | Jlr - Kan (3N) - Jlr</v>
      </c>
      <c r="DL169" t="str">
        <v>Ex Bho | Bho (2N) + Bhim + Bhoj + San + Udaygiri + Vidisha + FDCT Bho</v>
      </c>
      <c r="DM169" t="str">
        <v>Bho (1N) + Bhim + Bhoj - HDCT  Bho + Sanchi - Ujj (2N)</v>
      </c>
      <c r="DN169" t="str">
        <v>Bho (1N) + Bhim + Bhoj - HDCT  Bho + Sanchi - Ujj (2N) - Idr</v>
      </c>
      <c r="DO169" t="str">
        <v>Ex Bho | Bho - Bhoj - Bhim - Mad (1N) - Pch (2N) - Bho</v>
      </c>
      <c r="DP169" t="str">
        <v>Ex Bho | Bho - Bhoj - Bhim - Mad (1N) - Pch (3N) - Bho</v>
      </c>
      <c r="DQ169" t="str">
        <v>Ex Bho | Bho - Bhoj - Bhim - Tawa (1N) - Mad (1N) - Bho (1N)</v>
      </c>
      <c r="DR169" t="str">
        <v>Bho (1N) - Bhim - Bhoj - San - Idr (2N) + Ujj</v>
      </c>
      <c r="DS169" t="str">
        <v>Bho (1N) - Bhoj - Bhim - Pch (2N) - Bho</v>
      </c>
      <c r="DT169" t="str">
        <v>Ujj (1N) - Omk - Mah (1N) - Idr (1N)</v>
      </c>
      <c r="DU169" t="str">
        <v>Ujj (1N) - Omk - Mah (1N) - Man (1N) - Idr</v>
      </c>
      <c r="DV169" t="str">
        <v>Ex Idr | Idr (1N) - Ujj (1N) - Omk - Mah (1N)</v>
      </c>
      <c r="DW169" t="str">
        <v>Ex Idr | Idr - Ujj (1N) - Omk (1N) - Mah (1N) - Idr</v>
      </c>
      <c r="DX169" t="str">
        <v>Khandwa - Omk (1N) - Mah (1N) - Ujj (1N) - Idr</v>
      </c>
      <c r="DY169" t="str">
        <v>Ex Idr | Idr - Ujj (1N) - Omk - Mah (1N) - Man - Idr (1N)</v>
      </c>
      <c r="DZ169" t="str">
        <v xml:space="preserve">Idr - Omk (1N) - Mah - Ujj (1N) San - Bho (1N) </v>
      </c>
      <c r="EA169" t="str">
        <v>Ex Idr | Idr - Man (1N) - Mah - Omk (1N) - Ujj (1N) - Idr</v>
      </c>
      <c r="EB169" t="str">
        <v>Khandwa - Omk (1N) - Mah - Ujj (2N)</v>
      </c>
      <c r="EC169" t="str">
        <v>Ex Jlr | Jlr (1N) - Amr (1N) - Ban (1N) - Jlr</v>
      </c>
      <c r="ED169" t="str">
        <v>Ex Jlr | Jlr - (1 N) Ban - (2 N) Amar</v>
      </c>
      <c r="EE169" t="str">
        <v>Jlr - Kan (1N) - Pch (2N)</v>
      </c>
      <c r="EF169" t="str">
        <v>Pi - Pch (2N)  - Kan (1N)</v>
      </c>
      <c r="EG169" t="str">
        <v>Ex Jlr | Jlr - Amr (1 N) - (1 N) Ban - (1 N) Jlr</v>
      </c>
      <c r="EH169" t="str">
        <v>Ppi - (2 N) Pch - (1 N) Pen</v>
      </c>
      <c r="EI169" t="str">
        <v>Bhp - Pch (2N) - Jlr (1N)</v>
      </c>
      <c r="EJ169" t="str">
        <v xml:space="preserve">Arr Jhn - Hjr (1N) - Orc - Gwl (2N) </v>
      </c>
      <c r="EK169" t="str">
        <v>(1 N) Ujj - (1 N) Mah - (1 N) Idr</v>
      </c>
      <c r="EL169" t="str">
        <v>Ex Bhp | Bhp - Bhoj - Bhim - Pch (3N) - Bhp</v>
      </c>
      <c r="EM169" t="str">
        <v>Ex Bhp | Bhp - Bhoj - Bhim - Pch (2N) - Mad (1N) - Bhp</v>
      </c>
      <c r="EN169" t="str">
        <v xml:space="preserve">Ex Nag - 3N Pch + Sat </v>
      </c>
      <c r="EO169" t="str">
        <v>1N Gwl - Son - Dat - 1N Hjr - 1N Orc - Jhn</v>
      </c>
    </row>
    <row r="170" spans="2:145" ht="15" customHeight="1">
      <c r="B170" s="35">
        <v>166</v>
      </c>
      <c r="C170" s="36" t="s">
        <v>1484</v>
      </c>
      <c r="D170" s="76">
        <v>46209</v>
      </c>
      <c r="E170" s="37" t="str">
        <f>IF(Table5[[#This Row],[Query Date]]&lt;&gt;"", TEXT(Table5[[#This Row],[Query Date]], "dddd"), "")</f>
        <v>Monday</v>
      </c>
      <c r="F170" s="37" t="str">
        <f>IF(Table5[[#This Row],[Query Date]]&lt;&gt;"", TEXT(Table5[[#This Row],[Query Date]], "mmmm"), "")</f>
        <v>July</v>
      </c>
      <c r="G170" s="28" t="s">
        <v>113</v>
      </c>
      <c r="H170" s="28" t="s">
        <v>99</v>
      </c>
      <c r="I170" s="28" t="s">
        <v>67</v>
      </c>
      <c r="J170" s="28" t="s">
        <v>68</v>
      </c>
      <c r="K170" s="28" t="s">
        <v>178</v>
      </c>
      <c r="L170" s="25" t="s">
        <v>160</v>
      </c>
      <c r="M170" s="112" t="s">
        <v>90</v>
      </c>
      <c r="N170" s="45" t="s">
        <v>1485</v>
      </c>
      <c r="O170" s="130" t="s">
        <v>1486</v>
      </c>
      <c r="P170" s="106"/>
      <c r="Q170" s="77">
        <v>46244</v>
      </c>
      <c r="R170" s="77" t="str">
        <f>IF(Table5[[#This Row],[Tour Starting Date]]&lt;&gt;"", TEXT(Table5[[#This Row],[Tour Starting Date]], "dddd"), "")</f>
        <v>Monday</v>
      </c>
      <c r="S170" s="77">
        <v>46246</v>
      </c>
      <c r="T170" s="25" t="str">
        <f>IF(Table5[[#This Row],[Tour Ending Date]]&lt;&gt;"", TEXT(Table5[[#This Row],[Tour Ending Date]], "dddd"), "")</f>
        <v>Wednesday</v>
      </c>
      <c r="U170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170" s="37" t="str">
        <f>IF(Table5[[#This Row],[Tour Starting Date]]&lt;&gt;"", TEXT(Table5[[#This Row],[Tour Starting Date]], "mmmm"), "")</f>
        <v>August</v>
      </c>
      <c r="W170" s="80" t="str" cm="1">
        <f t="array" ref="W170">IF(Q170&lt;&gt;"", INDEX(CI:CI, MATCH(1, (Q170&gt;=CG:CG)*(Q170&lt;=CH:CH), 0)), "")</f>
        <v>Regular Dates - Weekday</v>
      </c>
      <c r="X170" s="39">
        <v>4</v>
      </c>
      <c r="Y170" s="74">
        <v>10200</v>
      </c>
      <c r="Z170" s="74">
        <f>IF(OR(Table5[[#This Row],[Per Person Package Cost]]="", Table5[[#This Row],[No. of Pax]]=""), "", Table5[[#This Row],[Per Person Package Cost]] * Table5[[#This Row],[No. of Pax]])</f>
        <v>40800</v>
      </c>
      <c r="AA170" s="52" t="s">
        <v>75</v>
      </c>
      <c r="AB170" s="52" t="s">
        <v>75</v>
      </c>
      <c r="AC170" s="52" t="s">
        <v>76</v>
      </c>
      <c r="AD170" s="52" t="s">
        <v>352</v>
      </c>
      <c r="AE170" s="51" t="str">
        <f t="shared" si="9"/>
        <v>EXIDR02</v>
      </c>
      <c r="AF170" s="51" t="str">
        <f t="shared" si="10"/>
        <v>Jyotirlinga Trails</v>
      </c>
      <c r="AG170" s="74" t="str">
        <f t="shared" si="11"/>
        <v>Quick Getaways</v>
      </c>
      <c r="AH170" s="73" t="str">
        <f t="shared" si="12"/>
        <v>West MP</v>
      </c>
      <c r="AI170" s="52" t="s">
        <v>162</v>
      </c>
      <c r="AJ170" s="56"/>
      <c r="AK170" s="59" t="s">
        <v>79</v>
      </c>
      <c r="AL170" s="60" t="s">
        <v>80</v>
      </c>
      <c r="AM170" s="54" t="s">
        <v>80</v>
      </c>
      <c r="AN170" s="14">
        <v>46210</v>
      </c>
      <c r="AO170" s="15"/>
      <c r="AP170" s="91"/>
      <c r="AQ170" s="87"/>
      <c r="AR170" s="26"/>
      <c r="AS170" s="65"/>
      <c r="AT170" s="88" t="s">
        <v>81</v>
      </c>
      <c r="AU170" s="67" t="s">
        <v>82</v>
      </c>
      <c r="BX170" s="1">
        <v>166</v>
      </c>
      <c r="CN170" t="s">
        <v>1487</v>
      </c>
      <c r="CU170" t="s">
        <v>92</v>
      </c>
      <c r="CV170" t="s">
        <v>299</v>
      </c>
      <c r="CW170" t="s">
        <v>1488</v>
      </c>
      <c r="CX170" t="s">
        <v>1489</v>
      </c>
      <c r="CY170" t="s">
        <v>450</v>
      </c>
      <c r="CZ170" t="s">
        <v>1162</v>
      </c>
      <c r="DA170" t="str" cm="1">
        <f t="array" ref="DA170:DY170">IF(U170&lt;&gt;"", TRANSPOSE(_xlfn._xlws.FILTER(CZ:CZ, CY:CY=U170, "")), "")</f>
        <v>Gwl (2N) + Mor</v>
      </c>
      <c r="DB170" t="str">
        <v>Ex Idr | Idr - Ujj (1N) - Omk - Mah (1N) - Man - Idr</v>
      </c>
      <c r="DC170" t="str">
        <v>Ujj (1N) - Omk - Idr (1N)</v>
      </c>
      <c r="DD170" t="str">
        <v>Ex Jlr | Jlr - Kan (2N) - Jlr</v>
      </c>
      <c r="DE170" t="str">
        <v>Ex Jlr | Jlr - Ban (2N) - Jlr</v>
      </c>
      <c r="DF170" t="str">
        <v>Ex Bho | Bho (2N) + Bhim + Bhoj + San</v>
      </c>
      <c r="DG170" t="str">
        <v>Ex Idr | Idr - Man (2N) - Idr</v>
      </c>
      <c r="DH170" t="str">
        <v>Ex Jlr | Jlr - Kan (2N) - Jlr</v>
      </c>
      <c r="DI170" t="str">
        <v>Ex Bho | Bho (2N) + Bhim + Bhoj + San + HDCT Bho</v>
      </c>
      <c r="DJ170" t="str">
        <v>Ex Bho | Bho - Bhim - Tawa (1N) - Mad (1N) - Bho</v>
      </c>
      <c r="DK170" t="str">
        <v>Ujj (1N) - Omk - Mah (1N) - Idr</v>
      </c>
      <c r="DL170" t="str">
        <v>Ujj (1N) -  Idr (1N)</v>
      </c>
      <c r="DM170" t="str">
        <v>Ex Idr | Idr (2N) + Ujj + Omk + Mah</v>
      </c>
      <c r="DN170" t="str">
        <v>Idr - Mah - Omk (1N) - Ujj (1N)</v>
      </c>
      <c r="DO170" t="str">
        <v>Idr - Ujj (1N) - Mah - Omk (1N) - Khandwa</v>
      </c>
      <c r="DP170" t="str">
        <v>Ex Idr | Idr (EX Ujj) (1N) - Mah - Omk (1N) - Idr HDCT</v>
      </c>
      <c r="DQ170" t="str">
        <v>Ujj (1N) - Sehor - Bho (1N) HDCT</v>
      </c>
      <c r="DR170" t="str">
        <v>Ex Jlr | Jlr (1N) - Ban (1N)</v>
      </c>
      <c r="DS170" t="str">
        <v>Ex Jlr | Ban (1N)</v>
      </c>
      <c r="DT170" t="str">
        <v>Ex Jlr | Jlr (2 N) Kan</v>
      </c>
      <c r="DU170" t="str">
        <v>Ex Jlr | Jlr - Amr (1 N) - (1 N) Ban</v>
      </c>
      <c r="DV170" t="str">
        <v>Ex Rpr | Rpr - (2N) Kan</v>
      </c>
      <c r="DW170" t="str">
        <v>Hjr (1N) - Mahi (1N) - Sat</v>
      </c>
      <c r="DX170" t="str">
        <v>Ex Bhp | Bhp - Bhim - Pch (2N) - Bhp</v>
      </c>
      <c r="DY170" t="str">
        <v xml:space="preserve">Ex Ujj I 2N Ujj </v>
      </c>
    </row>
    <row r="171" spans="2:145" ht="15" customHeight="1">
      <c r="B171" s="34">
        <v>167</v>
      </c>
      <c r="C171" s="36" t="s">
        <v>1490</v>
      </c>
      <c r="D171" s="76">
        <v>46209</v>
      </c>
      <c r="E171" s="37" t="str">
        <f>IF(Table5[[#This Row],[Query Date]]&lt;&gt;"", TEXT(Table5[[#This Row],[Query Date]], "dddd"), "")</f>
        <v>Monday</v>
      </c>
      <c r="F171" s="37" t="str">
        <f>IF(Table5[[#This Row],[Query Date]]&lt;&gt;"", TEXT(Table5[[#This Row],[Query Date]], "mmmm"), "")</f>
        <v>July</v>
      </c>
      <c r="G171" s="28" t="s">
        <v>113</v>
      </c>
      <c r="H171" s="28" t="s">
        <v>99</v>
      </c>
      <c r="I171" s="28" t="s">
        <v>67</v>
      </c>
      <c r="J171" s="28" t="s">
        <v>68</v>
      </c>
      <c r="K171" s="28" t="s">
        <v>178</v>
      </c>
      <c r="L171" s="25" t="s">
        <v>160</v>
      </c>
      <c r="M171" s="112" t="s">
        <v>90</v>
      </c>
      <c r="N171" s="25" t="s">
        <v>1491</v>
      </c>
      <c r="O171" s="130" t="s">
        <v>1492</v>
      </c>
      <c r="P171" s="46"/>
      <c r="Q171" s="77">
        <v>46293</v>
      </c>
      <c r="R171" s="77" t="str">
        <f>IF(Table5[[#This Row],[Tour Starting Date]]&lt;&gt;"", TEXT(Table5[[#This Row],[Tour Starting Date]], "dddd"), "")</f>
        <v>Monday</v>
      </c>
      <c r="S171" s="77">
        <v>46296</v>
      </c>
      <c r="T171" s="25" t="str">
        <f>IF(Table5[[#This Row],[Tour Ending Date]]&lt;&gt;"", TEXT(Table5[[#This Row],[Tour Ending Date]], "dddd"), "")</f>
        <v>Thursday</v>
      </c>
      <c r="U171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171" s="37" t="str">
        <f>IF(Table5[[#This Row],[Tour Starting Date]]&lt;&gt;"", TEXT(Table5[[#This Row],[Tour Starting Date]], "mmmm"), "")</f>
        <v>September</v>
      </c>
      <c r="W171" s="80" t="str" cm="1">
        <f t="array" ref="W171">IF(Q171&lt;&gt;"", INDEX(CI:CI, MATCH(1, (Q171&gt;=CG:CG)*(Q171&lt;=CH:CH), 0)), "")</f>
        <v>Regular Dates - Weekday</v>
      </c>
      <c r="X171" s="39">
        <v>4</v>
      </c>
      <c r="Y171" s="74">
        <v>11600</v>
      </c>
      <c r="Z171" s="74">
        <f>IF(OR(Table5[[#This Row],[Per Person Package Cost]]="", Table5[[#This Row],[No. of Pax]]=""), "", Table5[[#This Row],[Per Person Package Cost]] * Table5[[#This Row],[No. of Pax]])</f>
        <v>46400</v>
      </c>
      <c r="AA171" s="52" t="s">
        <v>75</v>
      </c>
      <c r="AB171" s="52" t="s">
        <v>75</v>
      </c>
      <c r="AC171" s="52" t="s">
        <v>76</v>
      </c>
      <c r="AD171" s="52" t="s">
        <v>352</v>
      </c>
      <c r="AE171" s="51" t="str">
        <f t="shared" si="9"/>
        <v>EXIDR02</v>
      </c>
      <c r="AF171" s="51" t="str">
        <f t="shared" si="10"/>
        <v>Jyotirlinga Trails</v>
      </c>
      <c r="AG171" s="74" t="str">
        <f t="shared" si="11"/>
        <v>Quick Getaways</v>
      </c>
      <c r="AH171" s="73" t="str">
        <f t="shared" si="12"/>
        <v>West MP</v>
      </c>
      <c r="AI171" s="52" t="s">
        <v>107</v>
      </c>
      <c r="AJ171" s="56" t="s">
        <v>115</v>
      </c>
      <c r="AK171" s="59" t="s">
        <v>79</v>
      </c>
      <c r="AL171" s="60" t="s">
        <v>80</v>
      </c>
      <c r="AM171" s="54" t="s">
        <v>80</v>
      </c>
      <c r="AN171" s="14">
        <v>46210</v>
      </c>
      <c r="AO171" s="15"/>
      <c r="AP171" s="91"/>
      <c r="AQ171" s="87"/>
      <c r="AR171" s="26"/>
      <c r="AS171" s="65"/>
      <c r="AT171" s="88" t="s">
        <v>138</v>
      </c>
      <c r="AU171" s="67"/>
      <c r="BX171" s="1">
        <v>167</v>
      </c>
      <c r="CN171" t="s">
        <v>1493</v>
      </c>
      <c r="CU171" t="s">
        <v>260</v>
      </c>
      <c r="CV171" t="s">
        <v>259</v>
      </c>
      <c r="CW171" t="s">
        <v>1494</v>
      </c>
      <c r="CX171" t="s">
        <v>1495</v>
      </c>
      <c r="CY171" t="s">
        <v>660</v>
      </c>
      <c r="CZ171" t="s">
        <v>1194</v>
      </c>
      <c r="DA171" t="str" cm="1">
        <f t="array" ref="DA171:EO171">IF(U171&lt;&gt;"", TRANSPOSE(_xlfn._xlws.FILTER(CZ:CZ, CY:CY=U171, "")), "")</f>
        <v>Gwl (3N) + Mor + Son + Dat + Orc</v>
      </c>
      <c r="DB171" t="str">
        <v>Ex Gwl | Gwl (1N) - Son - Dat - Orc (1N) - Gwl (1N)</v>
      </c>
      <c r="DC171" t="str">
        <v>Ex Idr | Idr - Ujj (1N) - Omk - Mah (1N) - Man (1N) - Idr</v>
      </c>
      <c r="DD171" t="str">
        <v>Ex Jlr | Jlr - Kan (2N) - Jlr (1N)</v>
      </c>
      <c r="DE171" t="str">
        <v>Ex Jlr | Jlr - Ban (2N) - Jlr (1N)</v>
      </c>
      <c r="DF171" t="str">
        <v>Ex Bho | Bho (1N) + San - Bhoj - Bhim - Pch (2N) - Bho</v>
      </c>
      <c r="DG171" t="str">
        <v>Ex Idr | Idr (1N) - Ujj (1N) - Omk (1N) - Mah - Idr</v>
      </c>
      <c r="DH171" t="str">
        <v>Gwl - Orc (1N) - Ckt (1N) - Myr (1N) - Jlr</v>
      </c>
      <c r="DI171" t="str">
        <v>Gwl - Orc (1N) - Ckt (2N) - Ixd</v>
      </c>
      <c r="DJ171" t="str">
        <v>Ex Idr | Idr - Ujj (1N) - Omk - Mah (1N) - Idr (1N)</v>
      </c>
      <c r="DK171" t="str">
        <v>Ex Jlr | Jlr - Kan (3N) - Jlr</v>
      </c>
      <c r="DL171" t="str">
        <v>Ex Bho | Bho (2N) + Bhim + Bhoj + San + Udaygiri + Vidisha + FDCT Bho</v>
      </c>
      <c r="DM171" t="str">
        <v>Bho (1N) + Bhim + Bhoj - HDCT  Bho + Sanchi - Ujj (2N)</v>
      </c>
      <c r="DN171" t="str">
        <v>Bho (1N) + Bhim + Bhoj - HDCT  Bho + Sanchi - Ujj (2N) - Idr</v>
      </c>
      <c r="DO171" t="str">
        <v>Ex Bho | Bho - Bhoj - Bhim - Mad (1N) - Pch (2N) - Bho</v>
      </c>
      <c r="DP171" t="str">
        <v>Ex Bho | Bho - Bhoj - Bhim - Mad (1N) - Pch (3N) - Bho</v>
      </c>
      <c r="DQ171" t="str">
        <v>Ex Bho | Bho - Bhoj - Bhim - Tawa (1N) - Mad (1N) - Bho (1N)</v>
      </c>
      <c r="DR171" t="str">
        <v>Bho (1N) - Bhim - Bhoj - San - Idr (2N) + Ujj</v>
      </c>
      <c r="DS171" t="str">
        <v>Bho (1N) - Bhoj - Bhim - Pch (2N) - Bho</v>
      </c>
      <c r="DT171" t="str">
        <v>Ujj (1N) - Omk - Mah (1N) - Idr (1N)</v>
      </c>
      <c r="DU171" t="str">
        <v>Ujj (1N) - Omk - Mah (1N) - Man (1N) - Idr</v>
      </c>
      <c r="DV171" t="str">
        <v>Ex Idr | Idr (1N) - Ujj (1N) - Omk - Mah (1N)</v>
      </c>
      <c r="DW171" t="str">
        <v>Ex Idr | Idr - Ujj (1N) - Omk (1N) - Mah (1N) - Idr</v>
      </c>
      <c r="DX171" t="str">
        <v>Khandwa - Omk (1N) - Mah (1N) - Ujj (1N) - Idr</v>
      </c>
      <c r="DY171" t="str">
        <v>Ex Idr | Idr - Ujj (1N) - Omk - Mah (1N) - Man - Idr (1N)</v>
      </c>
      <c r="DZ171" t="str">
        <v xml:space="preserve">Idr - Omk (1N) - Mah - Ujj (1N) San - Bho (1N) </v>
      </c>
      <c r="EA171" t="str">
        <v>Ex Idr | Idr - Man (1N) - Mah - Omk (1N) - Ujj (1N) - Idr</v>
      </c>
      <c r="EB171" t="str">
        <v>Khandwa - Omk (1N) - Mah - Ujj (2N)</v>
      </c>
      <c r="EC171" t="str">
        <v>Ex Jlr | Jlr (1N) - Amr (1N) - Ban (1N) - Jlr</v>
      </c>
      <c r="ED171" t="str">
        <v>Ex Jlr | Jlr - (1 N) Ban - (2 N) Amar</v>
      </c>
      <c r="EE171" t="str">
        <v>Jlr - Kan (1N) - Pch (2N)</v>
      </c>
      <c r="EF171" t="str">
        <v>Pi - Pch (2N)  - Kan (1N)</v>
      </c>
      <c r="EG171" t="str">
        <v>Ex Jlr | Jlr - Amr (1 N) - (1 N) Ban - (1 N) Jlr</v>
      </c>
      <c r="EH171" t="str">
        <v>Ppi - (2 N) Pch - (1 N) Pen</v>
      </c>
      <c r="EI171" t="str">
        <v>Bhp - Pch (2N) - Jlr (1N)</v>
      </c>
      <c r="EJ171" t="str">
        <v xml:space="preserve">Arr Jhn - Hjr (1N) - Orc - Gwl (2N) </v>
      </c>
      <c r="EK171" t="str">
        <v>(1 N) Ujj - (1 N) Mah - (1 N) Idr</v>
      </c>
      <c r="EL171" t="str">
        <v>Ex Bhp | Bhp - Bhoj - Bhim - Pch (3N) - Bhp</v>
      </c>
      <c r="EM171" t="str">
        <v>Ex Bhp | Bhp - Bhoj - Bhim - Pch (2N) - Mad (1N) - Bhp</v>
      </c>
      <c r="EN171" t="str">
        <v xml:space="preserve">Ex Nag - 3N Pch + Sat </v>
      </c>
      <c r="EO171" t="str">
        <v>1N Gwl - Son - Dat - 1N Hjr - 1N Orc - Jhn</v>
      </c>
    </row>
    <row r="172" spans="2:145" ht="15" customHeight="1">
      <c r="B172" s="35">
        <v>168</v>
      </c>
      <c r="C172" s="36" t="s">
        <v>1496</v>
      </c>
      <c r="D172" s="76">
        <v>46209</v>
      </c>
      <c r="E172" s="37" t="str">
        <f>IF(Table5[[#This Row],[Query Date]]&lt;&gt;"", TEXT(Table5[[#This Row],[Query Date]], "dddd"), "")</f>
        <v>Monday</v>
      </c>
      <c r="F172" s="37" t="str">
        <f>IF(Table5[[#This Row],[Query Date]]&lt;&gt;"", TEXT(Table5[[#This Row],[Query Date]], "mmmm"), "")</f>
        <v>July</v>
      </c>
      <c r="G172" s="28" t="s">
        <v>113</v>
      </c>
      <c r="H172" s="28" t="s">
        <v>99</v>
      </c>
      <c r="I172" s="28" t="s">
        <v>67</v>
      </c>
      <c r="J172" s="28" t="s">
        <v>68</v>
      </c>
      <c r="K172" s="28" t="s">
        <v>178</v>
      </c>
      <c r="L172" s="25" t="s">
        <v>160</v>
      </c>
      <c r="M172" s="112" t="s">
        <v>90</v>
      </c>
      <c r="N172" s="25" t="s">
        <v>1497</v>
      </c>
      <c r="O172" s="130" t="s">
        <v>1498</v>
      </c>
      <c r="P172" s="46"/>
      <c r="Q172" s="77">
        <v>46266</v>
      </c>
      <c r="R172" s="77" t="str">
        <f>IF(Table5[[#This Row],[Tour Starting Date]]&lt;&gt;"", TEXT(Table5[[#This Row],[Tour Starting Date]], "dddd"), "")</f>
        <v>Tuesday</v>
      </c>
      <c r="S172" s="77">
        <v>46268</v>
      </c>
      <c r="T172" s="25" t="str">
        <f>IF(Table5[[#This Row],[Tour Ending Date]]&lt;&gt;"", TEXT(Table5[[#This Row],[Tour Ending Date]], "dddd"), "")</f>
        <v>Thursday</v>
      </c>
      <c r="U172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172" s="37" t="str">
        <f>IF(Table5[[#This Row],[Tour Starting Date]]&lt;&gt;"", TEXT(Table5[[#This Row],[Tour Starting Date]], "mmmm"), "")</f>
        <v>September</v>
      </c>
      <c r="W172" s="80" t="str" cm="1">
        <f t="array" ref="W172">IF(Q172&lt;&gt;"", INDEX(CI:CI, MATCH(1, (Q172&gt;=CG:CG)*(Q172&lt;=CH:CH), 0)), "")</f>
        <v>Regular Dates - Weekday</v>
      </c>
      <c r="X172" s="39">
        <v>2</v>
      </c>
      <c r="Y172" s="74">
        <v>11500</v>
      </c>
      <c r="Z172" s="74">
        <f>IF(OR(Table5[[#This Row],[Per Person Package Cost]]="", Table5[[#This Row],[No. of Pax]]=""), "", Table5[[#This Row],[Per Person Package Cost]] * Table5[[#This Row],[No. of Pax]])</f>
        <v>23000</v>
      </c>
      <c r="AA172" s="52" t="s">
        <v>75</v>
      </c>
      <c r="AB172" s="52" t="s">
        <v>75</v>
      </c>
      <c r="AC172" s="52" t="s">
        <v>76</v>
      </c>
      <c r="AD172" s="52" t="s">
        <v>352</v>
      </c>
      <c r="AE172" s="51" t="str">
        <f t="shared" si="9"/>
        <v>EXIDR02</v>
      </c>
      <c r="AF172" s="51" t="str">
        <f t="shared" si="10"/>
        <v>Jyotirlinga Trails</v>
      </c>
      <c r="AG172" s="74" t="str">
        <f t="shared" si="11"/>
        <v>Quick Getaways</v>
      </c>
      <c r="AH172" s="73" t="str">
        <f t="shared" si="12"/>
        <v>West MP</v>
      </c>
      <c r="AI172" s="52" t="s">
        <v>162</v>
      </c>
      <c r="AJ172" s="56" t="s">
        <v>115</v>
      </c>
      <c r="AK172" s="59" t="s">
        <v>79</v>
      </c>
      <c r="AL172" s="60" t="s">
        <v>80</v>
      </c>
      <c r="AM172" s="54" t="s">
        <v>80</v>
      </c>
      <c r="AN172" s="14">
        <v>46210</v>
      </c>
      <c r="AO172" s="15"/>
      <c r="AP172" s="91"/>
      <c r="AQ172" s="87"/>
      <c r="AR172" s="26"/>
      <c r="AS172" s="65"/>
      <c r="AT172" s="88" t="s">
        <v>81</v>
      </c>
      <c r="AU172" s="67" t="s">
        <v>82</v>
      </c>
      <c r="BX172" s="1">
        <v>168</v>
      </c>
      <c r="CN172" t="s">
        <v>1499</v>
      </c>
      <c r="CU172" t="s">
        <v>92</v>
      </c>
      <c r="CV172" t="s">
        <v>91</v>
      </c>
      <c r="CW172" s="126" t="s">
        <v>1500</v>
      </c>
      <c r="CX172" s="126" t="s">
        <v>1501</v>
      </c>
      <c r="CY172" s="126" t="s">
        <v>197</v>
      </c>
      <c r="CZ172" s="126" t="s">
        <v>1502</v>
      </c>
      <c r="DA172" t="str" cm="1">
        <f t="array" ref="DA172:DY172">IF(U172&lt;&gt;"", TRANSPOSE(_xlfn._xlws.FILTER(CZ:CZ, CY:CY=U172, "")), "")</f>
        <v>Gwl (2N) + Mor</v>
      </c>
      <c r="DB172" t="str">
        <v>Ex Idr | Idr - Ujj (1N) - Omk - Mah (1N) - Man - Idr</v>
      </c>
      <c r="DC172" t="str">
        <v>Ujj (1N) - Omk - Idr (1N)</v>
      </c>
      <c r="DD172" t="str">
        <v>Ex Jlr | Jlr - Kan (2N) - Jlr</v>
      </c>
      <c r="DE172" t="str">
        <v>Ex Jlr | Jlr - Ban (2N) - Jlr</v>
      </c>
      <c r="DF172" t="str">
        <v>Ex Bho | Bho (2N) + Bhim + Bhoj + San</v>
      </c>
      <c r="DG172" t="str">
        <v>Ex Idr | Idr - Man (2N) - Idr</v>
      </c>
      <c r="DH172" t="str">
        <v>Ex Jlr | Jlr - Kan (2N) - Jlr</v>
      </c>
      <c r="DI172" t="str">
        <v>Ex Bho | Bho (2N) + Bhim + Bhoj + San + HDCT Bho</v>
      </c>
      <c r="DJ172" t="str">
        <v>Ex Bho | Bho - Bhim - Tawa (1N) - Mad (1N) - Bho</v>
      </c>
      <c r="DK172" t="str">
        <v>Ujj (1N) - Omk - Mah (1N) - Idr</v>
      </c>
      <c r="DL172" t="str">
        <v>Ujj (1N) -  Idr (1N)</v>
      </c>
      <c r="DM172" t="str">
        <v>Ex Idr | Idr (2N) + Ujj + Omk + Mah</v>
      </c>
      <c r="DN172" t="str">
        <v>Idr - Mah - Omk (1N) - Ujj (1N)</v>
      </c>
      <c r="DO172" t="str">
        <v>Idr - Ujj (1N) - Mah - Omk (1N) - Khandwa</v>
      </c>
      <c r="DP172" t="str">
        <v>Ex Idr | Idr (EX Ujj) (1N) - Mah - Omk (1N) - Idr HDCT</v>
      </c>
      <c r="DQ172" t="str">
        <v>Ujj (1N) - Sehor - Bho (1N) HDCT</v>
      </c>
      <c r="DR172" t="str">
        <v>Ex Jlr | Jlr (1N) - Ban (1N)</v>
      </c>
      <c r="DS172" t="str">
        <v>Ex Jlr | Ban (1N)</v>
      </c>
      <c r="DT172" t="str">
        <v>Ex Jlr | Jlr (2 N) Kan</v>
      </c>
      <c r="DU172" t="str">
        <v>Ex Jlr | Jlr - Amr (1 N) - (1 N) Ban</v>
      </c>
      <c r="DV172" t="str">
        <v>Ex Rpr | Rpr - (2N) Kan</v>
      </c>
      <c r="DW172" t="str">
        <v>Hjr (1N) - Mahi (1N) - Sat</v>
      </c>
      <c r="DX172" t="str">
        <v>Ex Bhp | Bhp - Bhim - Pch (2N) - Bhp</v>
      </c>
      <c r="DY172" t="str">
        <v xml:space="preserve">Ex Ujj I 2N Ujj </v>
      </c>
    </row>
    <row r="173" spans="2:145" ht="15" customHeight="1">
      <c r="B173" s="34">
        <v>169</v>
      </c>
      <c r="C173" s="36" t="s">
        <v>1503</v>
      </c>
      <c r="D173" s="76">
        <v>46209</v>
      </c>
      <c r="E173" s="37" t="str">
        <f>IF(Table5[[#This Row],[Query Date]]&lt;&gt;"", TEXT(Table5[[#This Row],[Query Date]], "dddd"), "")</f>
        <v>Monday</v>
      </c>
      <c r="F173" s="37" t="str">
        <f>IF(Table5[[#This Row],[Query Date]]&lt;&gt;"", TEXT(Table5[[#This Row],[Query Date]], "mmmm"), "")</f>
        <v>July</v>
      </c>
      <c r="G173" s="28" t="s">
        <v>113</v>
      </c>
      <c r="H173" s="28" t="s">
        <v>99</v>
      </c>
      <c r="I173" s="28" t="s">
        <v>67</v>
      </c>
      <c r="J173" s="28" t="s">
        <v>68</v>
      </c>
      <c r="K173" s="28" t="s">
        <v>178</v>
      </c>
      <c r="L173" s="25" t="s">
        <v>160</v>
      </c>
      <c r="M173" s="112" t="s">
        <v>90</v>
      </c>
      <c r="N173" s="25" t="s">
        <v>1504</v>
      </c>
      <c r="O173" s="130" t="s">
        <v>1505</v>
      </c>
      <c r="P173" s="106"/>
      <c r="Q173" s="77">
        <v>46257</v>
      </c>
      <c r="R173" s="77" t="str">
        <f>IF(Table5[[#This Row],[Tour Starting Date]]&lt;&gt;"", TEXT(Table5[[#This Row],[Tour Starting Date]], "dddd"), "")</f>
        <v>Sunday</v>
      </c>
      <c r="S173" s="77">
        <v>46259</v>
      </c>
      <c r="T173" s="25" t="str">
        <f>IF(Table5[[#This Row],[Tour Ending Date]]&lt;&gt;"", TEXT(Table5[[#This Row],[Tour Ending Date]], "dddd"), "")</f>
        <v>Tuesday</v>
      </c>
      <c r="U173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173" s="37" t="str">
        <f>IF(Table5[[#This Row],[Tour Starting Date]]&lt;&gt;"", TEXT(Table5[[#This Row],[Tour Starting Date]], "mmmm"), "")</f>
        <v>August</v>
      </c>
      <c r="W173" s="80" t="str" cm="1">
        <f t="array" ref="W173">IF(Q173&lt;&gt;"", INDEX(CI:CI, MATCH(1, (Q173&gt;=CG:CG)*(Q173&lt;=CH:CH), 0)), "")</f>
        <v>Regular Dates - Weekend</v>
      </c>
      <c r="X173" s="39">
        <v>2</v>
      </c>
      <c r="Y173" s="74">
        <v>11500</v>
      </c>
      <c r="Z173" s="74">
        <f>IF(OR(Table5[[#This Row],[Per Person Package Cost]]="", Table5[[#This Row],[No. of Pax]]=""), "", Table5[[#This Row],[Per Person Package Cost]] * Table5[[#This Row],[No. of Pax]])</f>
        <v>23000</v>
      </c>
      <c r="AA173" s="52" t="s">
        <v>75</v>
      </c>
      <c r="AB173" s="52" t="s">
        <v>75</v>
      </c>
      <c r="AC173" s="52" t="s">
        <v>76</v>
      </c>
      <c r="AD173" s="52" t="s">
        <v>352</v>
      </c>
      <c r="AE173" s="51" t="str">
        <f t="shared" si="9"/>
        <v>EXIDR02</v>
      </c>
      <c r="AF173" s="51" t="str">
        <f t="shared" si="10"/>
        <v>Jyotirlinga Trails</v>
      </c>
      <c r="AG173" s="74" t="str">
        <f t="shared" si="11"/>
        <v>Quick Getaways</v>
      </c>
      <c r="AH173" s="73" t="str">
        <f t="shared" si="12"/>
        <v>West MP</v>
      </c>
      <c r="AI173" s="52" t="s">
        <v>162</v>
      </c>
      <c r="AJ173" s="56"/>
      <c r="AK173" s="59" t="s">
        <v>79</v>
      </c>
      <c r="AL173" s="60" t="s">
        <v>80</v>
      </c>
      <c r="AM173" s="54" t="s">
        <v>80</v>
      </c>
      <c r="AN173" s="14">
        <v>46210</v>
      </c>
      <c r="AO173" s="15"/>
      <c r="AP173" s="91"/>
      <c r="AQ173" s="87"/>
      <c r="AR173" s="26"/>
      <c r="AS173" s="65"/>
      <c r="AT173" s="88" t="s">
        <v>81</v>
      </c>
      <c r="AU173" s="67"/>
      <c r="BX173" s="1">
        <v>169</v>
      </c>
      <c r="CN173" t="s">
        <v>502</v>
      </c>
      <c r="CU173" t="s">
        <v>92</v>
      </c>
      <c r="CV173" t="s">
        <v>91</v>
      </c>
      <c r="CW173" s="126" t="s">
        <v>1506</v>
      </c>
      <c r="CX173" s="126" t="s">
        <v>1507</v>
      </c>
      <c r="CY173" s="126" t="s">
        <v>197</v>
      </c>
      <c r="CZ173" s="126" t="s">
        <v>1010</v>
      </c>
      <c r="DA173" t="str" cm="1">
        <f t="array" ref="DA173:DY173">IF(U173&lt;&gt;"", TRANSPOSE(_xlfn._xlws.FILTER(CZ:CZ, CY:CY=U173, "")), "")</f>
        <v>Gwl (2N) + Mor</v>
      </c>
      <c r="DB173" t="str">
        <v>Ex Idr | Idr - Ujj (1N) - Omk - Mah (1N) - Man - Idr</v>
      </c>
      <c r="DC173" t="str">
        <v>Ujj (1N) - Omk - Idr (1N)</v>
      </c>
      <c r="DD173" t="str">
        <v>Ex Jlr | Jlr - Kan (2N) - Jlr</v>
      </c>
      <c r="DE173" t="str">
        <v>Ex Jlr | Jlr - Ban (2N) - Jlr</v>
      </c>
      <c r="DF173" t="str">
        <v>Ex Bho | Bho (2N) + Bhim + Bhoj + San</v>
      </c>
      <c r="DG173" t="str">
        <v>Ex Idr | Idr - Man (2N) - Idr</v>
      </c>
      <c r="DH173" t="str">
        <v>Ex Jlr | Jlr - Kan (2N) - Jlr</v>
      </c>
      <c r="DI173" t="str">
        <v>Ex Bho | Bho (2N) + Bhim + Bhoj + San + HDCT Bho</v>
      </c>
      <c r="DJ173" t="str">
        <v>Ex Bho | Bho - Bhim - Tawa (1N) - Mad (1N) - Bho</v>
      </c>
      <c r="DK173" t="str">
        <v>Ujj (1N) - Omk - Mah (1N) - Idr</v>
      </c>
      <c r="DL173" t="str">
        <v>Ujj (1N) -  Idr (1N)</v>
      </c>
      <c r="DM173" t="str">
        <v>Ex Idr | Idr (2N) + Ujj + Omk + Mah</v>
      </c>
      <c r="DN173" t="str">
        <v>Idr - Mah - Omk (1N) - Ujj (1N)</v>
      </c>
      <c r="DO173" t="str">
        <v>Idr - Ujj (1N) - Mah - Omk (1N) - Khandwa</v>
      </c>
      <c r="DP173" t="str">
        <v>Ex Idr | Idr (EX Ujj) (1N) - Mah - Omk (1N) - Idr HDCT</v>
      </c>
      <c r="DQ173" t="str">
        <v>Ujj (1N) - Sehor - Bho (1N) HDCT</v>
      </c>
      <c r="DR173" t="str">
        <v>Ex Jlr | Jlr (1N) - Ban (1N)</v>
      </c>
      <c r="DS173" t="str">
        <v>Ex Jlr | Ban (1N)</v>
      </c>
      <c r="DT173" t="str">
        <v>Ex Jlr | Jlr (2 N) Kan</v>
      </c>
      <c r="DU173" t="str">
        <v>Ex Jlr | Jlr - Amr (1 N) - (1 N) Ban</v>
      </c>
      <c r="DV173" t="str">
        <v>Ex Rpr | Rpr - (2N) Kan</v>
      </c>
      <c r="DW173" t="str">
        <v>Hjr (1N) - Mahi (1N) - Sat</v>
      </c>
      <c r="DX173" t="str">
        <v>Ex Bhp | Bhp - Bhim - Pch (2N) - Bhp</v>
      </c>
      <c r="DY173" t="str">
        <v xml:space="preserve">Ex Ujj I 2N Ujj </v>
      </c>
    </row>
    <row r="174" spans="2:145" ht="15" customHeight="1">
      <c r="B174" s="35">
        <v>170</v>
      </c>
      <c r="C174" s="36" t="s">
        <v>1508</v>
      </c>
      <c r="D174" s="76">
        <v>46210</v>
      </c>
      <c r="E174" s="37" t="str">
        <f>IF(Table5[[#This Row],[Query Date]]&lt;&gt;"", TEXT(Table5[[#This Row],[Query Date]], "dddd"), "")</f>
        <v>Tuesday</v>
      </c>
      <c r="F174" s="37" t="str">
        <f>IF(Table5[[#This Row],[Query Date]]&lt;&gt;"", TEXT(Table5[[#This Row],[Query Date]], "mmmm"), "")</f>
        <v>July</v>
      </c>
      <c r="G174" s="28" t="s">
        <v>113</v>
      </c>
      <c r="H174" s="28" t="s">
        <v>99</v>
      </c>
      <c r="I174" s="28" t="s">
        <v>67</v>
      </c>
      <c r="J174" s="28" t="s">
        <v>68</v>
      </c>
      <c r="K174" s="28" t="s">
        <v>178</v>
      </c>
      <c r="L174" s="25" t="s">
        <v>160</v>
      </c>
      <c r="M174" s="112"/>
      <c r="N174" s="25" t="s">
        <v>1509</v>
      </c>
      <c r="O174" s="130" t="s">
        <v>1510</v>
      </c>
      <c r="P174" s="46"/>
      <c r="Q174" s="77">
        <v>46255</v>
      </c>
      <c r="R174" s="77" t="str">
        <f>IF(Table5[[#This Row],[Tour Starting Date]]&lt;&gt;"", TEXT(Table5[[#This Row],[Tour Starting Date]], "dddd"), "")</f>
        <v>Friday</v>
      </c>
      <c r="S174" s="77">
        <v>46257</v>
      </c>
      <c r="T174" s="25" t="str">
        <f>IF(Table5[[#This Row],[Tour Ending Date]]&lt;&gt;"", TEXT(Table5[[#This Row],[Tour Ending Date]], "dddd"), "")</f>
        <v>Sunday</v>
      </c>
      <c r="U174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174" s="37" t="str">
        <f>IF(Table5[[#This Row],[Tour Starting Date]]&lt;&gt;"", TEXT(Table5[[#This Row],[Tour Starting Date]], "mmmm"), "")</f>
        <v>August</v>
      </c>
      <c r="W174" s="80" t="str" cm="1">
        <f t="array" ref="W174">IF(Q174&lt;&gt;"", INDEX(CI:CI, MATCH(1, (Q174&gt;=CG:CG)*(Q174&lt;=CH:CH), 0)), "")</f>
        <v>Regular Dates - Weekend</v>
      </c>
      <c r="X174" s="39">
        <v>2</v>
      </c>
      <c r="Y174" s="74">
        <v>10500</v>
      </c>
      <c r="Z174" s="74">
        <f>IF(OR(Table5[[#This Row],[Per Person Package Cost]]="", Table5[[#This Row],[No. of Pax]]=""), "", Table5[[#This Row],[Per Person Package Cost]] * Table5[[#This Row],[No. of Pax]])</f>
        <v>21000</v>
      </c>
      <c r="AA174" s="52" t="s">
        <v>75</v>
      </c>
      <c r="AB174" s="52" t="s">
        <v>75</v>
      </c>
      <c r="AC174" s="52" t="s">
        <v>76</v>
      </c>
      <c r="AD174" s="52" t="s">
        <v>352</v>
      </c>
      <c r="AE174" s="51" t="str">
        <f t="shared" si="9"/>
        <v>EXIDR02</v>
      </c>
      <c r="AF174" s="51" t="str">
        <f t="shared" si="10"/>
        <v>Jyotirlinga Trails</v>
      </c>
      <c r="AG174" s="74" t="str">
        <f t="shared" si="11"/>
        <v>Quick Getaways</v>
      </c>
      <c r="AH174" s="73" t="str">
        <f t="shared" si="12"/>
        <v>West MP</v>
      </c>
      <c r="AI174" s="52" t="s">
        <v>159</v>
      </c>
      <c r="AJ174" s="56" t="s">
        <v>78</v>
      </c>
      <c r="AK174" s="59" t="s">
        <v>79</v>
      </c>
      <c r="AL174" s="60" t="s">
        <v>80</v>
      </c>
      <c r="AM174" s="54" t="s">
        <v>80</v>
      </c>
      <c r="AN174" s="14">
        <v>46212</v>
      </c>
      <c r="AO174" s="15"/>
      <c r="AP174" s="91"/>
      <c r="AQ174" s="87"/>
      <c r="AR174" s="26"/>
      <c r="AS174" s="65"/>
      <c r="AT174" s="88" t="s">
        <v>85</v>
      </c>
      <c r="AU174" s="67"/>
      <c r="BX174" s="1">
        <v>170</v>
      </c>
      <c r="CN174" s="82" t="s">
        <v>1511</v>
      </c>
      <c r="CU174" t="s">
        <v>92</v>
      </c>
      <c r="CV174" t="s">
        <v>259</v>
      </c>
      <c r="CW174" s="126" t="s">
        <v>1512</v>
      </c>
      <c r="CX174" s="126" t="s">
        <v>1513</v>
      </c>
      <c r="CY174" s="126" t="s">
        <v>1514</v>
      </c>
      <c r="CZ174" s="126" t="s">
        <v>1515</v>
      </c>
      <c r="DA174" t="str" cm="1">
        <f t="array" ref="DA174:DY174">IF(U174&lt;&gt;"", TRANSPOSE(_xlfn._xlws.FILTER(CZ:CZ, CY:CY=U174, "")), "")</f>
        <v>Gwl (2N) + Mor</v>
      </c>
      <c r="DB174" t="str">
        <v>Ex Idr | Idr - Ujj (1N) - Omk - Mah (1N) - Man - Idr</v>
      </c>
      <c r="DC174" t="str">
        <v>Ujj (1N) - Omk - Idr (1N)</v>
      </c>
      <c r="DD174" t="str">
        <v>Ex Jlr | Jlr - Kan (2N) - Jlr</v>
      </c>
      <c r="DE174" t="str">
        <v>Ex Jlr | Jlr - Ban (2N) - Jlr</v>
      </c>
      <c r="DF174" t="str">
        <v>Ex Bho | Bho (2N) + Bhim + Bhoj + San</v>
      </c>
      <c r="DG174" t="str">
        <v>Ex Idr | Idr - Man (2N) - Idr</v>
      </c>
      <c r="DH174" t="str">
        <v>Ex Jlr | Jlr - Kan (2N) - Jlr</v>
      </c>
      <c r="DI174" t="str">
        <v>Ex Bho | Bho (2N) + Bhim + Bhoj + San + HDCT Bho</v>
      </c>
      <c r="DJ174" t="str">
        <v>Ex Bho | Bho - Bhim - Tawa (1N) - Mad (1N) - Bho</v>
      </c>
      <c r="DK174" t="str">
        <v>Ujj (1N) - Omk - Mah (1N) - Idr</v>
      </c>
      <c r="DL174" t="str">
        <v>Ujj (1N) -  Idr (1N)</v>
      </c>
      <c r="DM174" t="str">
        <v>Ex Idr | Idr (2N) + Ujj + Omk + Mah</v>
      </c>
      <c r="DN174" t="str">
        <v>Idr - Mah - Omk (1N) - Ujj (1N)</v>
      </c>
      <c r="DO174" t="str">
        <v>Idr - Ujj (1N) - Mah - Omk (1N) - Khandwa</v>
      </c>
      <c r="DP174" t="str">
        <v>Ex Idr | Idr (EX Ujj) (1N) - Mah - Omk (1N) - Idr HDCT</v>
      </c>
      <c r="DQ174" t="str">
        <v>Ujj (1N) - Sehor - Bho (1N) HDCT</v>
      </c>
      <c r="DR174" t="str">
        <v>Ex Jlr | Jlr (1N) - Ban (1N)</v>
      </c>
      <c r="DS174" t="str">
        <v>Ex Jlr | Ban (1N)</v>
      </c>
      <c r="DT174" t="str">
        <v>Ex Jlr | Jlr (2 N) Kan</v>
      </c>
      <c r="DU174" t="str">
        <v>Ex Jlr | Jlr - Amr (1 N) - (1 N) Ban</v>
      </c>
      <c r="DV174" t="str">
        <v>Ex Rpr | Rpr - (2N) Kan</v>
      </c>
      <c r="DW174" t="str">
        <v>Hjr (1N) - Mahi (1N) - Sat</v>
      </c>
      <c r="DX174" t="str">
        <v>Ex Bhp | Bhp - Bhim - Pch (2N) - Bhp</v>
      </c>
      <c r="DY174" t="str">
        <v xml:space="preserve">Ex Ujj I 2N Ujj </v>
      </c>
    </row>
    <row r="175" spans="2:145" ht="15" customHeight="1">
      <c r="B175" s="34">
        <v>171</v>
      </c>
      <c r="C175" s="36" t="s">
        <v>1516</v>
      </c>
      <c r="D175" s="76">
        <v>46210</v>
      </c>
      <c r="E175" s="37" t="str">
        <f>IF(Table5[[#This Row],[Query Date]]&lt;&gt;"", TEXT(Table5[[#This Row],[Query Date]], "dddd"), "")</f>
        <v>Tuesday</v>
      </c>
      <c r="F175" s="37" t="str">
        <f>IF(Table5[[#This Row],[Query Date]]&lt;&gt;"", TEXT(Table5[[#This Row],[Query Date]], "mmmm"), "")</f>
        <v>July</v>
      </c>
      <c r="G175" s="28" t="s">
        <v>113</v>
      </c>
      <c r="H175" s="28" t="s">
        <v>99</v>
      </c>
      <c r="I175" s="28" t="s">
        <v>67</v>
      </c>
      <c r="J175" s="28" t="s">
        <v>68</v>
      </c>
      <c r="K175" s="28" t="s">
        <v>178</v>
      </c>
      <c r="L175" s="25" t="s">
        <v>160</v>
      </c>
      <c r="M175" s="112" t="s">
        <v>90</v>
      </c>
      <c r="N175" s="25" t="s">
        <v>1517</v>
      </c>
      <c r="O175" s="130" t="s">
        <v>1518</v>
      </c>
      <c r="P175" s="25"/>
      <c r="Q175" s="77">
        <v>46244</v>
      </c>
      <c r="R175" s="77" t="str">
        <f>IF(Table5[[#This Row],[Tour Starting Date]]&lt;&gt;"", TEXT(Table5[[#This Row],[Tour Starting Date]], "dddd"), "")</f>
        <v>Monday</v>
      </c>
      <c r="S175" s="77">
        <v>46246</v>
      </c>
      <c r="T175" s="25" t="str">
        <f>IF(Table5[[#This Row],[Tour Ending Date]]&lt;&gt;"", TEXT(Table5[[#This Row],[Tour Ending Date]], "dddd"), "")</f>
        <v>Wednesday</v>
      </c>
      <c r="U175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175" s="37" t="str">
        <f>IF(Table5[[#This Row],[Tour Starting Date]]&lt;&gt;"", TEXT(Table5[[#This Row],[Tour Starting Date]], "mmmm"), "")</f>
        <v>August</v>
      </c>
      <c r="W175" s="80" t="str" cm="1">
        <f t="array" ref="W175">IF(Q175&lt;&gt;"", INDEX(CI:CI, MATCH(1, (Q175&gt;=CG:CG)*(Q175&lt;=CH:CH), 0)), "")</f>
        <v>Regular Dates - Weekday</v>
      </c>
      <c r="X175" s="39">
        <v>1</v>
      </c>
      <c r="Y175" s="74">
        <v>20800</v>
      </c>
      <c r="Z175" s="74">
        <f>IF(OR(Table5[[#This Row],[Per Person Package Cost]]="", Table5[[#This Row],[No. of Pax]]=""), "", Table5[[#This Row],[Per Person Package Cost]] * Table5[[#This Row],[No. of Pax]])</f>
        <v>20800</v>
      </c>
      <c r="AA175" s="52" t="s">
        <v>75</v>
      </c>
      <c r="AB175" s="52" t="s">
        <v>75</v>
      </c>
      <c r="AC175" s="52" t="s">
        <v>76</v>
      </c>
      <c r="AD175" s="52" t="s">
        <v>352</v>
      </c>
      <c r="AE175" s="51" t="str">
        <f t="shared" si="9"/>
        <v>EXIDR02</v>
      </c>
      <c r="AF175" s="51" t="str">
        <f t="shared" si="10"/>
        <v>Jyotirlinga Trails</v>
      </c>
      <c r="AG175" s="74" t="str">
        <f t="shared" si="11"/>
        <v>Quick Getaways</v>
      </c>
      <c r="AH175" s="73" t="str">
        <f t="shared" si="12"/>
        <v>West MP</v>
      </c>
      <c r="AI175" s="52" t="s">
        <v>159</v>
      </c>
      <c r="AJ175" s="56"/>
      <c r="AK175" s="59" t="s">
        <v>79</v>
      </c>
      <c r="AL175" s="60" t="s">
        <v>80</v>
      </c>
      <c r="AM175" s="54" t="s">
        <v>80</v>
      </c>
      <c r="AN175" s="14">
        <v>46212</v>
      </c>
      <c r="AO175" s="15"/>
      <c r="AP175" s="91"/>
      <c r="AQ175" s="87"/>
      <c r="AR175" s="26"/>
      <c r="AS175" s="65"/>
      <c r="AT175" s="88" t="s">
        <v>81</v>
      </c>
      <c r="AU175" s="67" t="s">
        <v>82</v>
      </c>
      <c r="BX175" s="1">
        <v>171</v>
      </c>
      <c r="CN175" t="s">
        <v>1519</v>
      </c>
      <c r="CU175" t="s">
        <v>92</v>
      </c>
      <c r="CV175" t="s">
        <v>259</v>
      </c>
      <c r="CW175" s="126" t="s">
        <v>1520</v>
      </c>
      <c r="CX175" s="126" t="s">
        <v>1521</v>
      </c>
      <c r="CY175" s="126" t="s">
        <v>1522</v>
      </c>
      <c r="CZ175" s="126" t="s">
        <v>1523</v>
      </c>
      <c r="DA175" t="str" cm="1">
        <f t="array" ref="DA175:DY175">IF(U175&lt;&gt;"", TRANSPOSE(_xlfn._xlws.FILTER(CZ:CZ, CY:CY=U175, "")), "")</f>
        <v>Gwl (2N) + Mor</v>
      </c>
      <c r="DB175" t="str">
        <v>Ex Idr | Idr - Ujj (1N) - Omk - Mah (1N) - Man - Idr</v>
      </c>
      <c r="DC175" t="str">
        <v>Ujj (1N) - Omk - Idr (1N)</v>
      </c>
      <c r="DD175" t="str">
        <v>Ex Jlr | Jlr - Kan (2N) - Jlr</v>
      </c>
      <c r="DE175" t="str">
        <v>Ex Jlr | Jlr - Ban (2N) - Jlr</v>
      </c>
      <c r="DF175" t="str">
        <v>Ex Bho | Bho (2N) + Bhim + Bhoj + San</v>
      </c>
      <c r="DG175" t="str">
        <v>Ex Idr | Idr - Man (2N) - Idr</v>
      </c>
      <c r="DH175" t="str">
        <v>Ex Jlr | Jlr - Kan (2N) - Jlr</v>
      </c>
      <c r="DI175" t="str">
        <v>Ex Bho | Bho (2N) + Bhim + Bhoj + San + HDCT Bho</v>
      </c>
      <c r="DJ175" t="str">
        <v>Ex Bho | Bho - Bhim - Tawa (1N) - Mad (1N) - Bho</v>
      </c>
      <c r="DK175" t="str">
        <v>Ujj (1N) - Omk - Mah (1N) - Idr</v>
      </c>
      <c r="DL175" t="str">
        <v>Ujj (1N) -  Idr (1N)</v>
      </c>
      <c r="DM175" t="str">
        <v>Ex Idr | Idr (2N) + Ujj + Omk + Mah</v>
      </c>
      <c r="DN175" t="str">
        <v>Idr - Mah - Omk (1N) - Ujj (1N)</v>
      </c>
      <c r="DO175" t="str">
        <v>Idr - Ujj (1N) - Mah - Omk (1N) - Khandwa</v>
      </c>
      <c r="DP175" t="str">
        <v>Ex Idr | Idr (EX Ujj) (1N) - Mah - Omk (1N) - Idr HDCT</v>
      </c>
      <c r="DQ175" t="str">
        <v>Ujj (1N) - Sehor - Bho (1N) HDCT</v>
      </c>
      <c r="DR175" t="str">
        <v>Ex Jlr | Jlr (1N) - Ban (1N)</v>
      </c>
      <c r="DS175" t="str">
        <v>Ex Jlr | Ban (1N)</v>
      </c>
      <c r="DT175" t="str">
        <v>Ex Jlr | Jlr (2 N) Kan</v>
      </c>
      <c r="DU175" t="str">
        <v>Ex Jlr | Jlr - Amr (1 N) - (1 N) Ban</v>
      </c>
      <c r="DV175" t="str">
        <v>Ex Rpr | Rpr - (2N) Kan</v>
      </c>
      <c r="DW175" t="str">
        <v>Hjr (1N) - Mahi (1N) - Sat</v>
      </c>
      <c r="DX175" t="str">
        <v>Ex Bhp | Bhp - Bhim - Pch (2N) - Bhp</v>
      </c>
      <c r="DY175" t="str">
        <v xml:space="preserve">Ex Ujj I 2N Ujj </v>
      </c>
    </row>
    <row r="176" spans="2:145" ht="15" customHeight="1">
      <c r="B176" s="35">
        <v>172</v>
      </c>
      <c r="C176" s="36" t="s">
        <v>1524</v>
      </c>
      <c r="D176" s="76">
        <v>46210</v>
      </c>
      <c r="E176" s="37" t="str">
        <f>IF(Table5[[#This Row],[Query Date]]&lt;&gt;"", TEXT(Table5[[#This Row],[Query Date]], "dddd"), "")</f>
        <v>Tuesday</v>
      </c>
      <c r="F176" s="37" t="str">
        <f>IF(Table5[[#This Row],[Query Date]]&lt;&gt;"", TEXT(Table5[[#This Row],[Query Date]], "mmmm"), "")</f>
        <v>July</v>
      </c>
      <c r="G176" s="28" t="s">
        <v>65</v>
      </c>
      <c r="H176" s="28" t="s">
        <v>99</v>
      </c>
      <c r="I176" s="28" t="s">
        <v>67</v>
      </c>
      <c r="J176" s="28" t="s">
        <v>68</v>
      </c>
      <c r="K176" s="28" t="s">
        <v>178</v>
      </c>
      <c r="L176" s="25" t="s">
        <v>70</v>
      </c>
      <c r="M176" s="112" t="s">
        <v>417</v>
      </c>
      <c r="N176" s="25" t="s">
        <v>1404</v>
      </c>
      <c r="O176" s="130" t="s">
        <v>1525</v>
      </c>
      <c r="P176" s="46" t="s">
        <v>1406</v>
      </c>
      <c r="Q176" s="77">
        <v>46244</v>
      </c>
      <c r="R176" s="77" t="str">
        <f>IF(Table5[[#This Row],[Tour Starting Date]]&lt;&gt;"", TEXT(Table5[[#This Row],[Tour Starting Date]], "dddd"), "")</f>
        <v>Monday</v>
      </c>
      <c r="S176" s="77">
        <v>46247</v>
      </c>
      <c r="T176" s="25" t="str">
        <f>IF(Table5[[#This Row],[Tour Ending Date]]&lt;&gt;"", TEXT(Table5[[#This Row],[Tour Ending Date]], "dddd"), "")</f>
        <v>Thursday</v>
      </c>
      <c r="U176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176" s="37" t="str">
        <f>IF(Table5[[#This Row],[Tour Starting Date]]&lt;&gt;"", TEXT(Table5[[#This Row],[Tour Starting Date]], "mmmm"), "")</f>
        <v>August</v>
      </c>
      <c r="W176" s="80" t="str" cm="1">
        <f t="array" ref="W176">IF(Q176&lt;&gt;"", INDEX(CI:CI, MATCH(1, (Q176&gt;=CG:CG)*(Q176&lt;=CH:CH), 0)), "")</f>
        <v>Regular Dates - Weekday</v>
      </c>
      <c r="X176" s="39">
        <v>5</v>
      </c>
      <c r="Y176" s="74">
        <v>11500</v>
      </c>
      <c r="Z176" s="74">
        <f>IF(OR(Table5[[#This Row],[Per Person Package Cost]]="", Table5[[#This Row],[No. of Pax]]=""), "", Table5[[#This Row],[Per Person Package Cost]] * Table5[[#This Row],[No. of Pax]])</f>
        <v>57500</v>
      </c>
      <c r="AA176" s="52" t="s">
        <v>75</v>
      </c>
      <c r="AB176" s="52" t="s">
        <v>75</v>
      </c>
      <c r="AC176" s="52" t="s">
        <v>134</v>
      </c>
      <c r="AD176" s="52" t="s">
        <v>352</v>
      </c>
      <c r="AE176" s="51" t="str">
        <f t="shared" si="9"/>
        <v>EXIDR02</v>
      </c>
      <c r="AF176" s="51" t="str">
        <f t="shared" si="10"/>
        <v>Jyotirlinga Trails</v>
      </c>
      <c r="AG176" s="74" t="str">
        <f t="shared" si="11"/>
        <v>Quick Getaways</v>
      </c>
      <c r="AH176" s="73" t="str">
        <f t="shared" si="12"/>
        <v>West MP</v>
      </c>
      <c r="AI176" s="52" t="s">
        <v>107</v>
      </c>
      <c r="AJ176" s="56"/>
      <c r="AK176" s="59" t="s">
        <v>79</v>
      </c>
      <c r="AL176" s="60" t="s">
        <v>80</v>
      </c>
      <c r="AM176" s="54" t="s">
        <v>80</v>
      </c>
      <c r="AN176" s="14">
        <v>46213</v>
      </c>
      <c r="AO176" s="15"/>
      <c r="AP176" s="91"/>
      <c r="AQ176" s="87"/>
      <c r="AR176" s="26"/>
      <c r="AS176" s="65"/>
      <c r="AT176" s="88" t="s">
        <v>85</v>
      </c>
      <c r="AU176" s="67"/>
      <c r="BX176" s="1">
        <v>172</v>
      </c>
      <c r="CN176" t="s">
        <v>1526</v>
      </c>
      <c r="CU176" t="s">
        <v>92</v>
      </c>
      <c r="CV176" t="s">
        <v>91</v>
      </c>
      <c r="CW176" s="126" t="s">
        <v>1527</v>
      </c>
      <c r="CX176" s="126" t="s">
        <v>1528</v>
      </c>
      <c r="CY176" s="126" t="s">
        <v>151</v>
      </c>
      <c r="CZ176" s="126" t="s">
        <v>1529</v>
      </c>
    </row>
    <row r="177" spans="2:145" ht="15" customHeight="1">
      <c r="B177" s="34">
        <v>173</v>
      </c>
      <c r="C177" s="36" t="s">
        <v>1530</v>
      </c>
      <c r="D177" s="76">
        <v>46211</v>
      </c>
      <c r="E177" s="37" t="str">
        <f>IF(Table5[[#This Row],[Query Date]]&lt;&gt;"", TEXT(Table5[[#This Row],[Query Date]], "dddd"), "")</f>
        <v>Wednesday</v>
      </c>
      <c r="F177" s="37" t="str">
        <f>IF(Table5[[#This Row],[Query Date]]&lt;&gt;"", TEXT(Table5[[#This Row],[Query Date]], "mmmm"), "")</f>
        <v>July</v>
      </c>
      <c r="G177" s="28" t="s">
        <v>113</v>
      </c>
      <c r="H177" s="28" t="s">
        <v>99</v>
      </c>
      <c r="I177" s="28" t="s">
        <v>67</v>
      </c>
      <c r="J177" s="28" t="s">
        <v>68</v>
      </c>
      <c r="K177" s="28" t="s">
        <v>178</v>
      </c>
      <c r="L177" s="25" t="s">
        <v>160</v>
      </c>
      <c r="M177" s="112" t="s">
        <v>90</v>
      </c>
      <c r="N177" s="25" t="s">
        <v>1531</v>
      </c>
      <c r="O177" s="130" t="s">
        <v>1532</v>
      </c>
      <c r="P177" s="31"/>
      <c r="Q177" s="77">
        <v>46245</v>
      </c>
      <c r="R177" s="77" t="str">
        <f>IF(Table5[[#This Row],[Tour Starting Date]]&lt;&gt;"", TEXT(Table5[[#This Row],[Tour Starting Date]], "dddd"), "")</f>
        <v>Tuesday</v>
      </c>
      <c r="S177" s="77">
        <v>46247</v>
      </c>
      <c r="T177" s="25" t="str">
        <f>IF(Table5[[#This Row],[Tour Ending Date]]&lt;&gt;"", TEXT(Table5[[#This Row],[Tour Ending Date]], "dddd"), "")</f>
        <v>Thursday</v>
      </c>
      <c r="U177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177" s="37" t="str">
        <f>IF(Table5[[#This Row],[Tour Starting Date]]&lt;&gt;"", TEXT(Table5[[#This Row],[Tour Starting Date]], "mmmm"), "")</f>
        <v>August</v>
      </c>
      <c r="W177" s="80" t="str" cm="1">
        <f t="array" ref="W177">IF(Q177&lt;&gt;"", INDEX(CI:CI, MATCH(1, (Q177&gt;=CG:CG)*(Q177&lt;=CH:CH), 0)), "")</f>
        <v>Regular Dates - Weekday</v>
      </c>
      <c r="X177" s="39">
        <v>1</v>
      </c>
      <c r="Y177" s="74">
        <v>20800</v>
      </c>
      <c r="Z177" s="74">
        <f>IF(OR(Table5[[#This Row],[Per Person Package Cost]]="", Table5[[#This Row],[No. of Pax]]=""), "", Table5[[#This Row],[Per Person Package Cost]] * Table5[[#This Row],[No. of Pax]])</f>
        <v>20800</v>
      </c>
      <c r="AA177" s="52" t="s">
        <v>75</v>
      </c>
      <c r="AB177" s="52" t="s">
        <v>75</v>
      </c>
      <c r="AC177" s="52" t="s">
        <v>76</v>
      </c>
      <c r="AD177" s="52" t="s">
        <v>352</v>
      </c>
      <c r="AE177" s="51" t="str">
        <f t="shared" si="9"/>
        <v>EXIDR02</v>
      </c>
      <c r="AF177" s="51" t="str">
        <f t="shared" si="10"/>
        <v>Jyotirlinga Trails</v>
      </c>
      <c r="AG177" s="74" t="str">
        <f t="shared" si="11"/>
        <v>Quick Getaways</v>
      </c>
      <c r="AH177" s="73" t="str">
        <f t="shared" si="12"/>
        <v>West MP</v>
      </c>
      <c r="AI177" s="52" t="s">
        <v>159</v>
      </c>
      <c r="AJ177" s="56"/>
      <c r="AK177" s="59" t="s">
        <v>79</v>
      </c>
      <c r="AL177" s="60" t="s">
        <v>80</v>
      </c>
      <c r="AM177" s="54" t="s">
        <v>80</v>
      </c>
      <c r="AN177" s="14">
        <v>46213</v>
      </c>
      <c r="AO177" s="15"/>
      <c r="AP177" s="91"/>
      <c r="AQ177" s="87"/>
      <c r="AR177" s="26"/>
      <c r="AS177" s="65"/>
      <c r="AT177" s="88" t="s">
        <v>81</v>
      </c>
      <c r="AU177" s="67" t="s">
        <v>82</v>
      </c>
      <c r="BX177" s="1">
        <v>173</v>
      </c>
      <c r="CN177" t="s">
        <v>1533</v>
      </c>
      <c r="CU177" t="s">
        <v>92</v>
      </c>
      <c r="CV177" t="s">
        <v>299</v>
      </c>
      <c r="CW177" s="126" t="s">
        <v>1534</v>
      </c>
      <c r="CX177" s="126" t="s">
        <v>1535</v>
      </c>
      <c r="CY177" s="126" t="s">
        <v>197</v>
      </c>
      <c r="CZ177" s="126" t="s">
        <v>1536</v>
      </c>
    </row>
    <row r="178" spans="2:145" ht="15" customHeight="1">
      <c r="B178" s="35">
        <v>174</v>
      </c>
      <c r="C178" s="36" t="s">
        <v>1537</v>
      </c>
      <c r="D178" s="76">
        <v>46211</v>
      </c>
      <c r="E178" s="37" t="str">
        <f>IF(Table5[[#This Row],[Query Date]]&lt;&gt;"", TEXT(Table5[[#This Row],[Query Date]], "dddd"), "")</f>
        <v>Wednesday</v>
      </c>
      <c r="F178" s="37" t="str">
        <f>IF(Table5[[#This Row],[Query Date]]&lt;&gt;"", TEXT(Table5[[#This Row],[Query Date]], "mmmm"), "")</f>
        <v>July</v>
      </c>
      <c r="G178" s="28" t="s">
        <v>65</v>
      </c>
      <c r="H178" s="28" t="s">
        <v>99</v>
      </c>
      <c r="I178" s="28" t="s">
        <v>67</v>
      </c>
      <c r="J178" s="28" t="s">
        <v>68</v>
      </c>
      <c r="K178" s="28" t="s">
        <v>178</v>
      </c>
      <c r="L178" s="25" t="s">
        <v>70</v>
      </c>
      <c r="M178" s="112" t="s">
        <v>417</v>
      </c>
      <c r="N178" s="25" t="s">
        <v>1412</v>
      </c>
      <c r="O178" s="130" t="s">
        <v>1413</v>
      </c>
      <c r="P178" s="46" t="s">
        <v>888</v>
      </c>
      <c r="Q178" s="77">
        <v>46261</v>
      </c>
      <c r="R178" s="77" t="str">
        <f>IF(Table5[[#This Row],[Tour Starting Date]]&lt;&gt;"", TEXT(Table5[[#This Row],[Tour Starting Date]], "dddd"), "")</f>
        <v>Thursday</v>
      </c>
      <c r="S178" s="77">
        <v>46263</v>
      </c>
      <c r="T178" s="25" t="str">
        <f>IF(Table5[[#This Row],[Tour Ending Date]]&lt;&gt;"", TEXT(Table5[[#This Row],[Tour Ending Date]], "dddd"), "")</f>
        <v>Saturday</v>
      </c>
      <c r="U178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178" s="37" t="str">
        <f>IF(Table5[[#This Row],[Tour Starting Date]]&lt;&gt;"", TEXT(Table5[[#This Row],[Tour Starting Date]], "mmmm"), "")</f>
        <v>August</v>
      </c>
      <c r="W178" s="80" t="str" cm="1">
        <f t="array" ref="W178">IF(Q178&lt;&gt;"", INDEX(CI:CI, MATCH(1, (Q178&gt;=CG:CG)*(Q178&lt;=CH:CH), 0)), "")</f>
        <v>Regular Dates - Weekday</v>
      </c>
      <c r="X178" s="39">
        <v>4</v>
      </c>
      <c r="Y178" s="74">
        <v>12000</v>
      </c>
      <c r="Z178" s="74">
        <f>IF(OR(Table5[[#This Row],[Per Person Package Cost]]="", Table5[[#This Row],[No. of Pax]]=""), "", Table5[[#This Row],[Per Person Package Cost]] * Table5[[#This Row],[No. of Pax]])</f>
        <v>48000</v>
      </c>
      <c r="AA178" s="52" t="s">
        <v>1538</v>
      </c>
      <c r="AB178" s="52" t="s">
        <v>1538</v>
      </c>
      <c r="AC178" s="52" t="s">
        <v>76</v>
      </c>
      <c r="AD178" s="52"/>
      <c r="AE178" s="51" t="str">
        <f t="shared" si="9"/>
        <v/>
      </c>
      <c r="AF178" s="51" t="str">
        <f t="shared" si="10"/>
        <v/>
      </c>
      <c r="AG178" s="74" t="str">
        <f t="shared" si="11"/>
        <v/>
      </c>
      <c r="AH178" s="73" t="str">
        <f t="shared" si="12"/>
        <v/>
      </c>
      <c r="AI178" s="52" t="s">
        <v>107</v>
      </c>
      <c r="AJ178" s="56"/>
      <c r="AK178" s="59" t="s">
        <v>79</v>
      </c>
      <c r="AL178" s="60" t="s">
        <v>80</v>
      </c>
      <c r="AM178" s="54" t="s">
        <v>80</v>
      </c>
      <c r="AN178" s="14">
        <v>46213</v>
      </c>
      <c r="AO178" s="15"/>
      <c r="AP178" s="91"/>
      <c r="AQ178" s="87"/>
      <c r="AR178" s="26"/>
      <c r="AS178" s="65"/>
      <c r="AT178" s="88" t="s">
        <v>81</v>
      </c>
      <c r="AU178" s="67"/>
      <c r="BX178" s="1">
        <v>174</v>
      </c>
      <c r="CN178" t="s">
        <v>1539</v>
      </c>
      <c r="CU178" t="s">
        <v>92</v>
      </c>
      <c r="CV178" t="s">
        <v>299</v>
      </c>
      <c r="CW178" s="126" t="s">
        <v>1540</v>
      </c>
      <c r="CX178" s="126" t="s">
        <v>1541</v>
      </c>
      <c r="CY178" s="126" t="s">
        <v>223</v>
      </c>
      <c r="CZ178" s="126" t="s">
        <v>1542</v>
      </c>
    </row>
    <row r="179" spans="2:145" ht="15" customHeight="1">
      <c r="B179" s="34">
        <v>175</v>
      </c>
      <c r="C179" s="36" t="s">
        <v>1543</v>
      </c>
      <c r="D179" s="76">
        <v>46211</v>
      </c>
      <c r="E179" s="37" t="str">
        <f>IF(Table5[[#This Row],[Query Date]]&lt;&gt;"", TEXT(Table5[[#This Row],[Query Date]], "dddd"), "")</f>
        <v>Wednesday</v>
      </c>
      <c r="F179" s="37" t="str">
        <f>IF(Table5[[#This Row],[Query Date]]&lt;&gt;"", TEXT(Table5[[#This Row],[Query Date]], "mmmm"), "")</f>
        <v>July</v>
      </c>
      <c r="G179" s="28" t="s">
        <v>113</v>
      </c>
      <c r="H179" s="28" t="s">
        <v>99</v>
      </c>
      <c r="I179" s="28" t="s">
        <v>67</v>
      </c>
      <c r="J179" s="28" t="s">
        <v>68</v>
      </c>
      <c r="K179" s="28" t="s">
        <v>178</v>
      </c>
      <c r="L179" s="25" t="s">
        <v>160</v>
      </c>
      <c r="M179" s="112" t="s">
        <v>90</v>
      </c>
      <c r="N179" s="25" t="s">
        <v>1544</v>
      </c>
      <c r="O179" s="130" t="s">
        <v>1545</v>
      </c>
      <c r="P179" s="46"/>
      <c r="Q179" s="77">
        <v>46293</v>
      </c>
      <c r="R179" s="77" t="str">
        <f>IF(Table5[[#This Row],[Tour Starting Date]]&lt;&gt;"", TEXT(Table5[[#This Row],[Tour Starting Date]], "dddd"), "")</f>
        <v>Monday</v>
      </c>
      <c r="S179" s="77">
        <v>46295</v>
      </c>
      <c r="T179" s="25" t="str">
        <f>IF(Table5[[#This Row],[Tour Ending Date]]&lt;&gt;"", TEXT(Table5[[#This Row],[Tour Ending Date]], "dddd"), "")</f>
        <v>Wednesday</v>
      </c>
      <c r="U179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179" s="37" t="str">
        <f>IF(Table5[[#This Row],[Tour Starting Date]]&lt;&gt;"", TEXT(Table5[[#This Row],[Tour Starting Date]], "mmmm"), "")</f>
        <v>September</v>
      </c>
      <c r="W179" s="80" t="str" cm="1">
        <f t="array" ref="W179">IF(Q179&lt;&gt;"", INDEX(CI:CI, MATCH(1, (Q179&gt;=CG:CG)*(Q179&lt;=CH:CH), 0)), "")</f>
        <v>Regular Dates - Weekday</v>
      </c>
      <c r="X179" s="39">
        <v>4</v>
      </c>
      <c r="Y179" s="74">
        <v>7000</v>
      </c>
      <c r="Z179" s="74">
        <f>IF(OR(Table5[[#This Row],[Per Person Package Cost]]="", Table5[[#This Row],[No. of Pax]]=""), "", Table5[[#This Row],[Per Person Package Cost]] * Table5[[#This Row],[No. of Pax]])</f>
        <v>28000</v>
      </c>
      <c r="AA179" s="52" t="s">
        <v>205</v>
      </c>
      <c r="AB179" s="52" t="s">
        <v>205</v>
      </c>
      <c r="AC179" s="52" t="s">
        <v>105</v>
      </c>
      <c r="AD179" s="52" t="s">
        <v>352</v>
      </c>
      <c r="AE179" s="51" t="str">
        <f t="shared" si="9"/>
        <v>EXIDR02</v>
      </c>
      <c r="AF179" s="51" t="str">
        <f t="shared" si="10"/>
        <v>Jyotirlinga Trails</v>
      </c>
      <c r="AG179" s="74" t="str">
        <f t="shared" si="11"/>
        <v>Quick Getaways</v>
      </c>
      <c r="AH179" s="73" t="str">
        <f t="shared" si="12"/>
        <v>West MP</v>
      </c>
      <c r="AI179" s="52" t="s">
        <v>159</v>
      </c>
      <c r="AJ179" s="56" t="s">
        <v>115</v>
      </c>
      <c r="AK179" s="59" t="s">
        <v>79</v>
      </c>
      <c r="AL179" s="60" t="s">
        <v>80</v>
      </c>
      <c r="AM179" s="54" t="s">
        <v>80</v>
      </c>
      <c r="AN179" s="14">
        <v>46213</v>
      </c>
      <c r="AO179" s="15"/>
      <c r="AP179" s="91"/>
      <c r="AQ179" s="87"/>
      <c r="AR179" s="26"/>
      <c r="AS179" s="65"/>
      <c r="AT179" s="88" t="s">
        <v>138</v>
      </c>
      <c r="AU179" s="67"/>
      <c r="BX179" s="1">
        <v>175</v>
      </c>
      <c r="CN179" s="121" t="s">
        <v>1546</v>
      </c>
      <c r="CU179" t="s">
        <v>92</v>
      </c>
      <c r="CV179" t="s">
        <v>171</v>
      </c>
      <c r="CW179" s="126" t="s">
        <v>1547</v>
      </c>
      <c r="CX179" s="126" t="s">
        <v>1548</v>
      </c>
      <c r="CY179" s="126" t="s">
        <v>243</v>
      </c>
      <c r="CZ179" s="126" t="s">
        <v>1549</v>
      </c>
      <c r="DA179" t="str" cm="1">
        <f t="array" ref="DA179:DY179">IF(U179&lt;&gt;"", TRANSPOSE(_xlfn._xlws.FILTER(CZ:CZ, CY:CY=U179, "")), "")</f>
        <v>Gwl (2N) + Mor</v>
      </c>
      <c r="DB179" t="str">
        <v>Ex Idr | Idr - Ujj (1N) - Omk - Mah (1N) - Man - Idr</v>
      </c>
      <c r="DC179" t="str">
        <v>Ujj (1N) - Omk - Idr (1N)</v>
      </c>
      <c r="DD179" t="str">
        <v>Ex Jlr | Jlr - Kan (2N) - Jlr</v>
      </c>
      <c r="DE179" t="str">
        <v>Ex Jlr | Jlr - Ban (2N) - Jlr</v>
      </c>
      <c r="DF179" t="str">
        <v>Ex Bho | Bho (2N) + Bhim + Bhoj + San</v>
      </c>
      <c r="DG179" t="str">
        <v>Ex Idr | Idr - Man (2N) - Idr</v>
      </c>
      <c r="DH179" t="str">
        <v>Ex Jlr | Jlr - Kan (2N) - Jlr</v>
      </c>
      <c r="DI179" t="str">
        <v>Ex Bho | Bho (2N) + Bhim + Bhoj + San + HDCT Bho</v>
      </c>
      <c r="DJ179" t="str">
        <v>Ex Bho | Bho - Bhim - Tawa (1N) - Mad (1N) - Bho</v>
      </c>
      <c r="DK179" t="str">
        <v>Ujj (1N) - Omk - Mah (1N) - Idr</v>
      </c>
      <c r="DL179" t="str">
        <v>Ujj (1N) -  Idr (1N)</v>
      </c>
      <c r="DM179" t="str">
        <v>Ex Idr | Idr (2N) + Ujj + Omk + Mah</v>
      </c>
      <c r="DN179" t="str">
        <v>Idr - Mah - Omk (1N) - Ujj (1N)</v>
      </c>
      <c r="DO179" t="str">
        <v>Idr - Ujj (1N) - Mah - Omk (1N) - Khandwa</v>
      </c>
      <c r="DP179" t="str">
        <v>Ex Idr | Idr (EX Ujj) (1N) - Mah - Omk (1N) - Idr HDCT</v>
      </c>
      <c r="DQ179" t="str">
        <v>Ujj (1N) - Sehor - Bho (1N) HDCT</v>
      </c>
      <c r="DR179" t="str">
        <v>Ex Jlr | Jlr (1N) - Ban (1N)</v>
      </c>
      <c r="DS179" t="str">
        <v>Ex Jlr | Ban (1N)</v>
      </c>
      <c r="DT179" t="str">
        <v>Ex Jlr | Jlr (2 N) Kan</v>
      </c>
      <c r="DU179" t="str">
        <v>Ex Jlr | Jlr - Amr (1 N) - (1 N) Ban</v>
      </c>
      <c r="DV179" t="str">
        <v>Ex Rpr | Rpr - (2N) Kan</v>
      </c>
      <c r="DW179" t="str">
        <v>Hjr (1N) - Mahi (1N) - Sat</v>
      </c>
      <c r="DX179" t="str">
        <v>Ex Bhp | Bhp - Bhim - Pch (2N) - Bhp</v>
      </c>
      <c r="DY179" t="str">
        <v xml:space="preserve">Ex Ujj I 2N Ujj </v>
      </c>
    </row>
    <row r="180" spans="2:145" ht="15" customHeight="1">
      <c r="B180" s="35">
        <v>176</v>
      </c>
      <c r="C180" s="36" t="s">
        <v>1550</v>
      </c>
      <c r="D180" s="76">
        <v>46211</v>
      </c>
      <c r="E180" s="37" t="str">
        <f>IF(Table5[[#This Row],[Query Date]]&lt;&gt;"", TEXT(Table5[[#This Row],[Query Date]], "dddd"), "")</f>
        <v>Wednesday</v>
      </c>
      <c r="F180" s="37" t="str">
        <f>IF(Table5[[#This Row],[Query Date]]&lt;&gt;"", TEXT(Table5[[#This Row],[Query Date]], "mmmm"), "")</f>
        <v>July</v>
      </c>
      <c r="G180" s="28" t="s">
        <v>65</v>
      </c>
      <c r="H180" s="28" t="s">
        <v>66</v>
      </c>
      <c r="I180" s="28" t="s">
        <v>67</v>
      </c>
      <c r="J180" s="28" t="s">
        <v>68</v>
      </c>
      <c r="K180" s="28" t="s">
        <v>1356</v>
      </c>
      <c r="L180" s="25" t="s">
        <v>70</v>
      </c>
      <c r="M180" s="112" t="s">
        <v>464</v>
      </c>
      <c r="N180" s="25" t="s">
        <v>465</v>
      </c>
      <c r="O180" s="130" t="s">
        <v>466</v>
      </c>
      <c r="P180" s="46" t="s">
        <v>1551</v>
      </c>
      <c r="Q180" s="77">
        <v>46250</v>
      </c>
      <c r="R180" s="77" t="str">
        <f>IF(Table5[[#This Row],[Tour Starting Date]]&lt;&gt;"", TEXT(Table5[[#This Row],[Tour Starting Date]], "dddd"), "")</f>
        <v>Sunday</v>
      </c>
      <c r="S180" s="77">
        <v>46253</v>
      </c>
      <c r="T180" s="25" t="str">
        <f>IF(Table5[[#This Row],[Tour Ending Date]]&lt;&gt;"", TEXT(Table5[[#This Row],[Tour Ending Date]], "dddd"), "")</f>
        <v>Wednesday</v>
      </c>
      <c r="U180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180" s="37" t="str">
        <f>IF(Table5[[#This Row],[Tour Starting Date]]&lt;&gt;"", TEXT(Table5[[#This Row],[Tour Starting Date]], "mmmm"), "")</f>
        <v>August</v>
      </c>
      <c r="W180" s="80" t="str" cm="1">
        <f t="array" ref="W180">IF(Q180&lt;&gt;"", INDEX(CI:CI, MATCH(1, (Q180&gt;=CG:CG)*(Q180&lt;=CH:CH), 0)), "")</f>
        <v>Long Weekend - Independence Day</v>
      </c>
      <c r="X180" s="39">
        <v>6</v>
      </c>
      <c r="Y180" s="74">
        <v>17000</v>
      </c>
      <c r="Z180" s="74">
        <f>IF(OR(Table5[[#This Row],[Per Person Package Cost]]="", Table5[[#This Row],[No. of Pax]]=""), "", Table5[[#This Row],[Per Person Package Cost]] * Table5[[#This Row],[No. of Pax]])</f>
        <v>102000</v>
      </c>
      <c r="AA180" s="52" t="s">
        <v>75</v>
      </c>
      <c r="AB180" s="52" t="s">
        <v>75</v>
      </c>
      <c r="AC180" s="52" t="s">
        <v>134</v>
      </c>
      <c r="AD180" s="52" t="s">
        <v>364</v>
      </c>
      <c r="AE180" s="51" t="str">
        <f t="shared" si="9"/>
        <v>EXIDR03</v>
      </c>
      <c r="AF180" s="51" t="str">
        <f t="shared" si="10"/>
        <v>Temple Fort Odyssey</v>
      </c>
      <c r="AG180" s="74" t="str">
        <f t="shared" si="11"/>
        <v>Quick Getaways</v>
      </c>
      <c r="AH180" s="73" t="str">
        <f t="shared" si="12"/>
        <v>West MP</v>
      </c>
      <c r="AI180" s="52" t="s">
        <v>159</v>
      </c>
      <c r="AJ180" s="56" t="s">
        <v>78</v>
      </c>
      <c r="AK180" s="59" t="s">
        <v>79</v>
      </c>
      <c r="AL180" s="60" t="s">
        <v>80</v>
      </c>
      <c r="AM180" s="54" t="s">
        <v>80</v>
      </c>
      <c r="AN180" s="14">
        <v>46213</v>
      </c>
      <c r="AO180" s="15">
        <v>46231</v>
      </c>
      <c r="AP180" s="91">
        <v>46237</v>
      </c>
      <c r="AQ180" s="87"/>
      <c r="AR180" s="26"/>
      <c r="AS180" s="65"/>
      <c r="AT180" s="88" t="s">
        <v>81</v>
      </c>
      <c r="AU180" s="67" t="s">
        <v>82</v>
      </c>
      <c r="BX180" s="1">
        <v>176</v>
      </c>
      <c r="CN180" s="121" t="s">
        <v>1552</v>
      </c>
      <c r="CU180" t="s">
        <v>92</v>
      </c>
      <c r="CV180" t="s">
        <v>171</v>
      </c>
      <c r="CW180" s="126" t="s">
        <v>1553</v>
      </c>
      <c r="CX180" s="126" t="s">
        <v>1554</v>
      </c>
      <c r="CY180" s="126" t="s">
        <v>1555</v>
      </c>
      <c r="CZ180" s="126" t="s">
        <v>1363</v>
      </c>
      <c r="DA180" t="str" cm="1">
        <f t="array" ref="DA180:EO180">IF(U180&lt;&gt;"", TRANSPOSE(_xlfn._xlws.FILTER(CZ:CZ, CY:CY=U180, "")), "")</f>
        <v>Gwl (3N) + Mor + Son + Dat + Orc</v>
      </c>
      <c r="DB180" t="str">
        <v>Ex Gwl | Gwl (1N) - Son - Dat - Orc (1N) - Gwl (1N)</v>
      </c>
      <c r="DC180" t="str">
        <v>Ex Idr | Idr - Ujj (1N) - Omk - Mah (1N) - Man (1N) - Idr</v>
      </c>
      <c r="DD180" t="str">
        <v>Ex Jlr | Jlr - Kan (2N) - Jlr (1N)</v>
      </c>
      <c r="DE180" t="str">
        <v>Ex Jlr | Jlr - Ban (2N) - Jlr (1N)</v>
      </c>
      <c r="DF180" t="str">
        <v>Ex Bho | Bho (1N) + San - Bhoj - Bhim - Pch (2N) - Bho</v>
      </c>
      <c r="DG180" t="str">
        <v>Ex Idr | Idr (1N) - Ujj (1N) - Omk (1N) - Mah - Idr</v>
      </c>
      <c r="DH180" t="str">
        <v>Gwl - Orc (1N) - Ckt (1N) - Myr (1N) - Jlr</v>
      </c>
      <c r="DI180" t="str">
        <v>Gwl - Orc (1N) - Ckt (2N) - Ixd</v>
      </c>
      <c r="DJ180" t="str">
        <v>Ex Idr | Idr - Ujj (1N) - Omk - Mah (1N) - Idr (1N)</v>
      </c>
      <c r="DK180" t="str">
        <v>Ex Jlr | Jlr - Kan (3N) - Jlr</v>
      </c>
      <c r="DL180" t="str">
        <v>Ex Bho | Bho (2N) + Bhim + Bhoj + San + Udaygiri + Vidisha + FDCT Bho</v>
      </c>
      <c r="DM180" t="str">
        <v>Bho (1N) + Bhim + Bhoj - HDCT  Bho + Sanchi - Ujj (2N)</v>
      </c>
      <c r="DN180" t="str">
        <v>Bho (1N) + Bhim + Bhoj - HDCT  Bho + Sanchi - Ujj (2N) - Idr</v>
      </c>
      <c r="DO180" t="str">
        <v>Ex Bho | Bho - Bhoj - Bhim - Mad (1N) - Pch (2N) - Bho</v>
      </c>
      <c r="DP180" t="str">
        <v>Ex Bho | Bho - Bhoj - Bhim - Mad (1N) - Pch (3N) - Bho</v>
      </c>
      <c r="DQ180" t="str">
        <v>Ex Bho | Bho - Bhoj - Bhim - Tawa (1N) - Mad (1N) - Bho (1N)</v>
      </c>
      <c r="DR180" t="str">
        <v>Bho (1N) - Bhim - Bhoj - San - Idr (2N) + Ujj</v>
      </c>
      <c r="DS180" t="str">
        <v>Bho (1N) - Bhoj - Bhim - Pch (2N) - Bho</v>
      </c>
      <c r="DT180" t="str">
        <v>Ujj (1N) - Omk - Mah (1N) - Idr (1N)</v>
      </c>
      <c r="DU180" t="str">
        <v>Ujj (1N) - Omk - Mah (1N) - Man (1N) - Idr</v>
      </c>
      <c r="DV180" t="str">
        <v>Ex Idr | Idr (1N) - Ujj (1N) - Omk - Mah (1N)</v>
      </c>
      <c r="DW180" t="str">
        <v>Ex Idr | Idr - Ujj (1N) - Omk (1N) - Mah (1N) - Idr</v>
      </c>
      <c r="DX180" t="str">
        <v>Khandwa - Omk (1N) - Mah (1N) - Ujj (1N) - Idr</v>
      </c>
      <c r="DY180" t="str">
        <v>Ex Idr | Idr - Ujj (1N) - Omk - Mah (1N) - Man - Idr (1N)</v>
      </c>
      <c r="DZ180" t="str">
        <v xml:space="preserve">Idr - Omk (1N) - Mah - Ujj (1N) San - Bho (1N) </v>
      </c>
      <c r="EA180" t="str">
        <v>Ex Idr | Idr - Man (1N) - Mah - Omk (1N) - Ujj (1N) - Idr</v>
      </c>
      <c r="EB180" t="str">
        <v>Khandwa - Omk (1N) - Mah - Ujj (2N)</v>
      </c>
      <c r="EC180" t="str">
        <v>Ex Jlr | Jlr (1N) - Amr (1N) - Ban (1N) - Jlr</v>
      </c>
      <c r="ED180" t="str">
        <v>Ex Jlr | Jlr - (1 N) Ban - (2 N) Amar</v>
      </c>
      <c r="EE180" t="str">
        <v>Jlr - Kan (1N) - Pch (2N)</v>
      </c>
      <c r="EF180" t="str">
        <v>Pi - Pch (2N)  - Kan (1N)</v>
      </c>
      <c r="EG180" t="str">
        <v>Ex Jlr | Jlr - Amr (1 N) - (1 N) Ban - (1 N) Jlr</v>
      </c>
      <c r="EH180" t="str">
        <v>Ppi - (2 N) Pch - (1 N) Pen</v>
      </c>
      <c r="EI180" t="str">
        <v>Bhp - Pch (2N) - Jlr (1N)</v>
      </c>
      <c r="EJ180" t="str">
        <v xml:space="preserve">Arr Jhn - Hjr (1N) - Orc - Gwl (2N) </v>
      </c>
      <c r="EK180" t="str">
        <v>(1 N) Ujj - (1 N) Mah - (1 N) Idr</v>
      </c>
      <c r="EL180" t="str">
        <v>Ex Bhp | Bhp - Bhoj - Bhim - Pch (3N) - Bhp</v>
      </c>
      <c r="EM180" t="str">
        <v>Ex Bhp | Bhp - Bhoj - Bhim - Pch (2N) - Mad (1N) - Bhp</v>
      </c>
      <c r="EN180" t="str">
        <v xml:space="preserve">Ex Nag - 3N Pch + Sat </v>
      </c>
      <c r="EO180" t="str">
        <v>1N Gwl - Son - Dat - 1N Hjr - 1N Orc - Jhn</v>
      </c>
    </row>
    <row r="181" spans="2:145" ht="15" customHeight="1">
      <c r="B181" s="34">
        <v>177</v>
      </c>
      <c r="C181" s="36" t="s">
        <v>1556</v>
      </c>
      <c r="D181" s="76">
        <v>46212</v>
      </c>
      <c r="E181" s="37" t="str">
        <f>IF(Table5[[#This Row],[Query Date]]&lt;&gt;"", TEXT(Table5[[#This Row],[Query Date]], "dddd"), "")</f>
        <v>Thursday</v>
      </c>
      <c r="F181" s="37" t="str">
        <f>IF(Table5[[#This Row],[Query Date]]&lt;&gt;"", TEXT(Table5[[#This Row],[Query Date]], "mmmm"), "")</f>
        <v>July</v>
      </c>
      <c r="G181" s="28" t="s">
        <v>65</v>
      </c>
      <c r="H181" s="28" t="s">
        <v>66</v>
      </c>
      <c r="I181" s="28" t="s">
        <v>67</v>
      </c>
      <c r="J181" s="28" t="s">
        <v>68</v>
      </c>
      <c r="K181" s="28" t="s">
        <v>644</v>
      </c>
      <c r="L181" s="25" t="s">
        <v>70</v>
      </c>
      <c r="M181" s="112" t="s">
        <v>777</v>
      </c>
      <c r="N181" s="25" t="s">
        <v>1557</v>
      </c>
      <c r="O181" s="130" t="s">
        <v>1558</v>
      </c>
      <c r="P181" s="46" t="s">
        <v>1559</v>
      </c>
      <c r="Q181" s="77">
        <v>46231</v>
      </c>
      <c r="R181" s="77" t="str">
        <f>IF(Table5[[#This Row],[Tour Starting Date]]&lt;&gt;"", TEXT(Table5[[#This Row],[Tour Starting Date]], "dddd"), "")</f>
        <v>Tuesday</v>
      </c>
      <c r="S181" s="77">
        <v>46234</v>
      </c>
      <c r="T181" s="25" t="str">
        <f>IF(Table5[[#This Row],[Tour Ending Date]]&lt;&gt;"", TEXT(Table5[[#This Row],[Tour Ending Date]], "dddd"), "")</f>
        <v>Friday</v>
      </c>
      <c r="U181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181" s="37" t="str">
        <f>IF(Table5[[#This Row],[Tour Starting Date]]&lt;&gt;"", TEXT(Table5[[#This Row],[Tour Starting Date]], "mmmm"), "")</f>
        <v>July</v>
      </c>
      <c r="W181" s="80" t="str" cm="1">
        <f t="array" ref="W181">IF(Q181&lt;&gt;"", INDEX(CI:CI, MATCH(1, (Q181&gt;=CG:CG)*(Q181&lt;=CH:CH), 0)), "")</f>
        <v>Regular Dates - Weekday</v>
      </c>
      <c r="X181" s="39">
        <v>5</v>
      </c>
      <c r="Y181" s="74">
        <v>13000</v>
      </c>
      <c r="Z181" s="74">
        <f>IF(OR(Table5[[#This Row],[Per Person Package Cost]]="", Table5[[#This Row],[No. of Pax]]=""), "", Table5[[#This Row],[Per Person Package Cost]] * Table5[[#This Row],[No. of Pax]])</f>
        <v>65000</v>
      </c>
      <c r="AA181" s="52" t="s">
        <v>75</v>
      </c>
      <c r="AB181" s="52" t="s">
        <v>75</v>
      </c>
      <c r="AC181" s="52" t="s">
        <v>76</v>
      </c>
      <c r="AD181" s="52" t="s">
        <v>364</v>
      </c>
      <c r="AE181" s="51" t="str">
        <f t="shared" si="9"/>
        <v>EXIDR03</v>
      </c>
      <c r="AF181" s="51" t="str">
        <f t="shared" si="10"/>
        <v>Temple Fort Odyssey</v>
      </c>
      <c r="AG181" s="74" t="str">
        <f t="shared" si="11"/>
        <v>Quick Getaways</v>
      </c>
      <c r="AH181" s="73" t="str">
        <f t="shared" si="12"/>
        <v>West MP</v>
      </c>
      <c r="AI181" s="52" t="s">
        <v>159</v>
      </c>
      <c r="AJ181" s="56" t="s">
        <v>78</v>
      </c>
      <c r="AK181" s="59" t="s">
        <v>79</v>
      </c>
      <c r="AL181" s="60" t="s">
        <v>80</v>
      </c>
      <c r="AM181" s="54" t="s">
        <v>80</v>
      </c>
      <c r="AN181" s="14">
        <v>46214</v>
      </c>
      <c r="AO181" s="15"/>
      <c r="AP181" s="91"/>
      <c r="AQ181" s="87"/>
      <c r="AR181" s="26"/>
      <c r="AS181" s="65"/>
      <c r="AT181" s="88" t="s">
        <v>81</v>
      </c>
      <c r="AU181" s="67" t="s">
        <v>82</v>
      </c>
      <c r="BX181" s="1">
        <v>177</v>
      </c>
      <c r="CN181" s="121" t="s">
        <v>1560</v>
      </c>
      <c r="CU181" t="s">
        <v>92</v>
      </c>
      <c r="CV181" t="s">
        <v>171</v>
      </c>
      <c r="CW181" s="126" t="s">
        <v>1561</v>
      </c>
      <c r="CX181" s="126" t="s">
        <v>1562</v>
      </c>
      <c r="CY181" s="126" t="s">
        <v>197</v>
      </c>
      <c r="CZ181" s="126" t="s">
        <v>548</v>
      </c>
      <c r="DA181" t="str" cm="1">
        <f t="array" ref="DA181:EO181">IF(U181&lt;&gt;"", TRANSPOSE(_xlfn._xlws.FILTER(CZ:CZ, CY:CY=U181, "")), "")</f>
        <v>Gwl (3N) + Mor + Son + Dat + Orc</v>
      </c>
      <c r="DB181" t="str">
        <v>Ex Gwl | Gwl (1N) - Son - Dat - Orc (1N) - Gwl (1N)</v>
      </c>
      <c r="DC181" t="str">
        <v>Ex Idr | Idr - Ujj (1N) - Omk - Mah (1N) - Man (1N) - Idr</v>
      </c>
      <c r="DD181" t="str">
        <v>Ex Jlr | Jlr - Kan (2N) - Jlr (1N)</v>
      </c>
      <c r="DE181" t="str">
        <v>Ex Jlr | Jlr - Ban (2N) - Jlr (1N)</v>
      </c>
      <c r="DF181" t="str">
        <v>Ex Bho | Bho (1N) + San - Bhoj - Bhim - Pch (2N) - Bho</v>
      </c>
      <c r="DG181" t="str">
        <v>Ex Idr | Idr (1N) - Ujj (1N) - Omk (1N) - Mah - Idr</v>
      </c>
      <c r="DH181" t="str">
        <v>Gwl - Orc (1N) - Ckt (1N) - Myr (1N) - Jlr</v>
      </c>
      <c r="DI181" t="str">
        <v>Gwl - Orc (1N) - Ckt (2N) - Ixd</v>
      </c>
      <c r="DJ181" t="str">
        <v>Ex Idr | Idr - Ujj (1N) - Omk - Mah (1N) - Idr (1N)</v>
      </c>
      <c r="DK181" t="str">
        <v>Ex Jlr | Jlr - Kan (3N) - Jlr</v>
      </c>
      <c r="DL181" t="str">
        <v>Ex Bho | Bho (2N) + Bhim + Bhoj + San + Udaygiri + Vidisha + FDCT Bho</v>
      </c>
      <c r="DM181" t="str">
        <v>Bho (1N) + Bhim + Bhoj - HDCT  Bho + Sanchi - Ujj (2N)</v>
      </c>
      <c r="DN181" t="str">
        <v>Bho (1N) + Bhim + Bhoj - HDCT  Bho + Sanchi - Ujj (2N) - Idr</v>
      </c>
      <c r="DO181" t="str">
        <v>Ex Bho | Bho - Bhoj - Bhim - Mad (1N) - Pch (2N) - Bho</v>
      </c>
      <c r="DP181" t="str">
        <v>Ex Bho | Bho - Bhoj - Bhim - Mad (1N) - Pch (3N) - Bho</v>
      </c>
      <c r="DQ181" t="str">
        <v>Ex Bho | Bho - Bhoj - Bhim - Tawa (1N) - Mad (1N) - Bho (1N)</v>
      </c>
      <c r="DR181" t="str">
        <v>Bho (1N) - Bhim - Bhoj - San - Idr (2N) + Ujj</v>
      </c>
      <c r="DS181" t="str">
        <v>Bho (1N) - Bhoj - Bhim - Pch (2N) - Bho</v>
      </c>
      <c r="DT181" t="str">
        <v>Ujj (1N) - Omk - Mah (1N) - Idr (1N)</v>
      </c>
      <c r="DU181" t="str">
        <v>Ujj (1N) - Omk - Mah (1N) - Man (1N) - Idr</v>
      </c>
      <c r="DV181" t="str">
        <v>Ex Idr | Idr (1N) - Ujj (1N) - Omk - Mah (1N)</v>
      </c>
      <c r="DW181" t="str">
        <v>Ex Idr | Idr - Ujj (1N) - Omk (1N) - Mah (1N) - Idr</v>
      </c>
      <c r="DX181" t="str">
        <v>Khandwa - Omk (1N) - Mah (1N) - Ujj (1N) - Idr</v>
      </c>
      <c r="DY181" t="str">
        <v>Ex Idr | Idr - Ujj (1N) - Omk - Mah (1N) - Man - Idr (1N)</v>
      </c>
      <c r="DZ181" t="str">
        <v xml:space="preserve">Idr - Omk (1N) - Mah - Ujj (1N) San - Bho (1N) </v>
      </c>
      <c r="EA181" t="str">
        <v>Ex Idr | Idr - Man (1N) - Mah - Omk (1N) - Ujj (1N) - Idr</v>
      </c>
      <c r="EB181" t="str">
        <v>Khandwa - Omk (1N) - Mah - Ujj (2N)</v>
      </c>
      <c r="EC181" t="str">
        <v>Ex Jlr | Jlr (1N) - Amr (1N) - Ban (1N) - Jlr</v>
      </c>
      <c r="ED181" t="str">
        <v>Ex Jlr | Jlr - (1 N) Ban - (2 N) Amar</v>
      </c>
      <c r="EE181" t="str">
        <v>Jlr - Kan (1N) - Pch (2N)</v>
      </c>
      <c r="EF181" t="str">
        <v>Pi - Pch (2N)  - Kan (1N)</v>
      </c>
      <c r="EG181" t="str">
        <v>Ex Jlr | Jlr - Amr (1 N) - (1 N) Ban - (1 N) Jlr</v>
      </c>
      <c r="EH181" t="str">
        <v>Ppi - (2 N) Pch - (1 N) Pen</v>
      </c>
      <c r="EI181" t="str">
        <v>Bhp - Pch (2N) - Jlr (1N)</v>
      </c>
      <c r="EJ181" t="str">
        <v xml:space="preserve">Arr Jhn - Hjr (1N) - Orc - Gwl (2N) </v>
      </c>
      <c r="EK181" t="str">
        <v>(1 N) Ujj - (1 N) Mah - (1 N) Idr</v>
      </c>
      <c r="EL181" t="str">
        <v>Ex Bhp | Bhp - Bhoj - Bhim - Pch (3N) - Bhp</v>
      </c>
      <c r="EM181" t="str">
        <v>Ex Bhp | Bhp - Bhoj - Bhim - Pch (2N) - Mad (1N) - Bhp</v>
      </c>
      <c r="EN181" t="str">
        <v xml:space="preserve">Ex Nag - 3N Pch + Sat </v>
      </c>
      <c r="EO181" t="str">
        <v>1N Gwl - Son - Dat - 1N Hjr - 1N Orc - Jhn</v>
      </c>
    </row>
    <row r="182" spans="2:145" ht="15" customHeight="1">
      <c r="B182" s="35">
        <v>178</v>
      </c>
      <c r="C182" s="36" t="s">
        <v>1563</v>
      </c>
      <c r="D182" s="76">
        <v>46212</v>
      </c>
      <c r="E182" s="37" t="str">
        <f>IF(Table5[[#This Row],[Query Date]]&lt;&gt;"", TEXT(Table5[[#This Row],[Query Date]], "dddd"), "")</f>
        <v>Thursday</v>
      </c>
      <c r="F182" s="37" t="str">
        <f>IF(Table5[[#This Row],[Query Date]]&lt;&gt;"", TEXT(Table5[[#This Row],[Query Date]], "mmmm"), "")</f>
        <v>July</v>
      </c>
      <c r="G182" s="28" t="s">
        <v>65</v>
      </c>
      <c r="H182" s="28" t="s">
        <v>99</v>
      </c>
      <c r="I182" s="28" t="s">
        <v>67</v>
      </c>
      <c r="J182" s="28" t="s">
        <v>68</v>
      </c>
      <c r="K182" s="28" t="s">
        <v>178</v>
      </c>
      <c r="L182" s="25" t="s">
        <v>70</v>
      </c>
      <c r="M182" s="112"/>
      <c r="N182" s="25" t="s">
        <v>1564</v>
      </c>
      <c r="O182" s="130" t="s">
        <v>1565</v>
      </c>
      <c r="P182" s="106" t="s">
        <v>1566</v>
      </c>
      <c r="Q182" s="77">
        <v>46218</v>
      </c>
      <c r="R182" s="77" t="str">
        <f>IF(Table5[[#This Row],[Tour Starting Date]]&lt;&gt;"", TEXT(Table5[[#This Row],[Tour Starting Date]], "dddd"), "")</f>
        <v>Wednesday</v>
      </c>
      <c r="S182" s="77">
        <v>46222</v>
      </c>
      <c r="T182" s="25" t="str">
        <f>IF(Table5[[#This Row],[Tour Ending Date]]&lt;&gt;"", TEXT(Table5[[#This Row],[Tour Ending Date]], "dddd"), "")</f>
        <v>Sunday</v>
      </c>
      <c r="U182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4 Nights &amp; 5 Days</v>
      </c>
      <c r="V182" s="37" t="str">
        <f>IF(Table5[[#This Row],[Tour Starting Date]]&lt;&gt;"", TEXT(Table5[[#This Row],[Tour Starting Date]], "mmmm"), "")</f>
        <v>July</v>
      </c>
      <c r="W182" s="80" t="str" cm="1">
        <f t="array" ref="W182">IF(Q182&lt;&gt;"", INDEX(CI:CI, MATCH(1, (Q182&gt;=CG:CG)*(Q182&lt;=CH:CH), 0)), "")</f>
        <v>Regular Dates - Weekday</v>
      </c>
      <c r="X182" s="39">
        <v>2</v>
      </c>
      <c r="Y182" s="74">
        <v>37500</v>
      </c>
      <c r="Z182" s="74">
        <f>IF(OR(Table5[[#This Row],[Per Person Package Cost]]="", Table5[[#This Row],[No. of Pax]]=""), "", Table5[[#This Row],[Per Person Package Cost]] * Table5[[#This Row],[No. of Pax]])</f>
        <v>75000</v>
      </c>
      <c r="AA182" s="52" t="s">
        <v>75</v>
      </c>
      <c r="AB182" s="52" t="s">
        <v>75</v>
      </c>
      <c r="AC182" s="52" t="s">
        <v>240</v>
      </c>
      <c r="AD182" s="52" t="s">
        <v>415</v>
      </c>
      <c r="AE182" s="51" t="str">
        <f t="shared" si="9"/>
        <v>EXIDR08</v>
      </c>
      <c r="AF182" s="51" t="str">
        <f t="shared" si="10"/>
        <v>Sacred Journeys &amp; Cultural Delights</v>
      </c>
      <c r="AG182" s="74" t="str">
        <f t="shared" si="11"/>
        <v>Quick Getaways</v>
      </c>
      <c r="AH182" s="73" t="str">
        <f t="shared" si="12"/>
        <v>West MP</v>
      </c>
      <c r="AI182" s="52" t="s">
        <v>107</v>
      </c>
      <c r="AJ182" s="56"/>
      <c r="AK182" s="59" t="s">
        <v>79</v>
      </c>
      <c r="AL182" s="60" t="s">
        <v>80</v>
      </c>
      <c r="AM182" s="54" t="s">
        <v>80</v>
      </c>
      <c r="AN182" s="14">
        <v>46216</v>
      </c>
      <c r="AO182" s="15"/>
      <c r="AP182" s="91"/>
      <c r="AQ182" s="87"/>
      <c r="AR182" s="26"/>
      <c r="AS182" s="65"/>
      <c r="AT182" s="88" t="s">
        <v>81</v>
      </c>
      <c r="AU182" s="67"/>
      <c r="BX182" s="1">
        <v>178</v>
      </c>
      <c r="CN182" t="s">
        <v>1567</v>
      </c>
      <c r="CU182" t="s">
        <v>92</v>
      </c>
      <c r="CV182" t="s">
        <v>171</v>
      </c>
      <c r="CW182" s="126" t="s">
        <v>1568</v>
      </c>
      <c r="CX182" s="126" t="s">
        <v>1569</v>
      </c>
      <c r="CY182" s="126" t="s">
        <v>125</v>
      </c>
      <c r="CZ182" s="126" t="s">
        <v>880</v>
      </c>
      <c r="DA182" t="str" cm="1">
        <f t="array" ref="DA182:EJ182">IF(U182&lt;&gt;"", TRANSPOSE(_xlfn._xlws.FILTER(CZ:CZ, CY:CY=U182, "")), "")</f>
        <v>Ex Gwl | Gwl (2N) + Mor - Son - Dat - Orc (1N) - Hjr (1N) - Gwl</v>
      </c>
      <c r="DB182" t="str">
        <v>Ex Idr | Idr - Ujj (1N) - Omk - Mah (1N) - Man (1N) - Idr (1N)</v>
      </c>
      <c r="DC182" t="str">
        <v>Ex Idr | Idr - Ujj (1N) - Omk (1N) - Mah (1N) - Man (1N) - Idr</v>
      </c>
      <c r="DD182" t="str">
        <v>Ex Jlr | Jlr - Kan (2N) - Amk (1N) - Jlr (1N)</v>
      </c>
      <c r="DE182" t="str">
        <v>Ex Jlr | Jlr - Ban (2N) - Amk (1N) - Jlr (1N)</v>
      </c>
      <c r="DF182" t="str">
        <v>Ex Jlr | Jlr (1N) - Hjr (1N) - Ban (2N) - Jlr</v>
      </c>
      <c r="DG182" t="str">
        <v>Ex Jlr | Jlr (1N) - Kan (1N) - Ban (2N) - Jlr</v>
      </c>
      <c r="DH182" t="str">
        <v>Ex Bho | Bho (1N) + San + Bhoj + Bhim - Tawa - Mad (1N) - Pch (2N) - Bho</v>
      </c>
      <c r="DI182" t="str">
        <v>Ex Idr | Idr - Ujj (1N) - Omk - Mah (1N) - Man (1N) - Idr (1N)</v>
      </c>
      <c r="DJ182" t="str">
        <v>Ex Bho | Bho (1N) - Bhoj - Bhim - Pch (3N) - Bho</v>
      </c>
      <c r="DK182" t="str">
        <v>Gwl (1N) - Dat (Pitambara Peeth) - Orc (1N) - Ckt (2N) - Ixd</v>
      </c>
      <c r="DL182" t="str">
        <v>Ex Jlr | Jlr - Ban (2N) - Kan (2N) - Jlr</v>
      </c>
      <c r="DM182" t="str">
        <v>Jlr - Ban (1N) - Kan (1N) - Pen (2N) - Nag</v>
      </c>
      <c r="DN182" t="str">
        <v>Ex Bho | Bho (1N) - Bhoj - Bhim - Pch (3N) - Bho</v>
      </c>
      <c r="DO182" t="str">
        <v>Ex Bho | Bho (2N) + Sanchi + Bhoj + Bhim - Tawa - Mad (1N) - Bho (1N)</v>
      </c>
      <c r="DP182" t="str">
        <v>Ex Bho | Bho - Bhoj - Bhim - Tawa (1N) - Mad (1N) - Pch (2N) - Bho</v>
      </c>
      <c r="DQ182" t="str">
        <v>Bho - Bhoj - Bhim - Pch (2N) - Kan (1N) - Jlr (1N)</v>
      </c>
      <c r="DR182" t="str">
        <v>Bho - Bhoj - Bhim - Pch (2N) - Kan (1N) - Amk (1N) - Jlr</v>
      </c>
      <c r="DS182" t="str">
        <v xml:space="preserve">Bho (1N) + Bhim + Bhoj + San - Ujj (1N) - Omk - Mah (1N) - Idr (1N) </v>
      </c>
      <c r="DT182" t="str">
        <v>Ex Gwl | Gwl - Hjr (1N) - Orc (1N) - Dat - Son - Gwl (2N)</v>
      </c>
      <c r="DU182" t="str">
        <v>Ex Gwl | Gwl - Orc (1N) - Hjr (1N) - Chn (1N) - Shiv (1N) - Gwl</v>
      </c>
      <c r="DV182" t="str">
        <v>Gwl - Hjr (1N) - Panna (1N) - Chit (1N) - Mahi (1N) - Sat</v>
      </c>
      <c r="DW182" t="str">
        <v>Jlr - (2 N) Kan - (2 N) Pch - Bhim - Bhoj - Bhp</v>
      </c>
      <c r="DX182" t="str">
        <v>Jlr - (2 N) Kan - (2 N) Pen - Rpr</v>
      </c>
      <c r="DY182" t="str">
        <v>Gwl (2N) (Ex Mor) - Dat -Orc (1N) - Hjr (1N) - Jhn</v>
      </c>
      <c r="DZ182" t="str">
        <v>Ex Gwl | Gwl (1N) - Son - Dat - Orc (1N) - Hjr (2N) (Ex Panna) - Gwl</v>
      </c>
      <c r="EA182" t="str">
        <v>Hjr (1N) - Orc (1N) - Dat - son - Gwl (2N)(Ex Mor)</v>
      </c>
      <c r="EB182" t="str">
        <v>(2 N) Gwl - (1 N) Orch - (1 N) Hjr</v>
      </c>
      <c r="EC182" t="str">
        <v>Ex Bhp | Bhp - Bhoj - Bhim - Pch (2N) - Mad (1N) - Tawa (1N) - Bhp</v>
      </c>
      <c r="ED182" t="str">
        <v>Ex Bhp | Bhp - Bhoj - Bhim - Pch (2N) - Mad (2N) - Bhp</v>
      </c>
      <c r="EE182" t="str">
        <v>Ex Idr | Idr - Ujj (1N) - Omk (1N) - Mah (2N) (Ex Man) - Idr (HDCT)</v>
      </c>
      <c r="EF182" t="str">
        <v>Arr Rpr - Amr (2N) - Par (2N) - IXD</v>
      </c>
      <c r="EG182" t="str">
        <v>1N Gwl - Orc - 2N Hjr - Jhn - 1N Gwl</v>
      </c>
      <c r="EH182" t="str">
        <v>1N Orc - 1N Hjr - 2N Gwl Ex Mor</v>
      </c>
      <c r="EI182" t="str">
        <v>1N Idr - Omk - 1N Mah - 1N Ujj - Seh - 1N Bho</v>
      </c>
      <c r="EJ182" t="str">
        <v>Ex Idr I 1N Idr - 1N Ujj - Omk - 2N Mah - Man - Idr</v>
      </c>
    </row>
    <row r="183" spans="2:145" ht="15" customHeight="1">
      <c r="B183" s="34">
        <v>179</v>
      </c>
      <c r="C183" s="36" t="s">
        <v>1570</v>
      </c>
      <c r="D183" s="76">
        <v>46212</v>
      </c>
      <c r="E183" s="37" t="str">
        <f>IF(Table5[[#This Row],[Query Date]]&lt;&gt;"", TEXT(Table5[[#This Row],[Query Date]], "dddd"), "")</f>
        <v>Thursday</v>
      </c>
      <c r="F183" s="37" t="str">
        <f>IF(Table5[[#This Row],[Query Date]]&lt;&gt;"", TEXT(Table5[[#This Row],[Query Date]], "mmmm"), "")</f>
        <v>July</v>
      </c>
      <c r="G183" s="28" t="s">
        <v>65</v>
      </c>
      <c r="H183" s="28" t="s">
        <v>66</v>
      </c>
      <c r="I183" s="28" t="s">
        <v>67</v>
      </c>
      <c r="J183" s="28" t="s">
        <v>68</v>
      </c>
      <c r="K183" s="28" t="s">
        <v>1571</v>
      </c>
      <c r="L183" s="25" t="s">
        <v>70</v>
      </c>
      <c r="M183" s="112"/>
      <c r="N183" s="25" t="s">
        <v>1007</v>
      </c>
      <c r="O183" s="130" t="s">
        <v>1572</v>
      </c>
      <c r="P183" s="106" t="s">
        <v>1573</v>
      </c>
      <c r="Q183" s="77">
        <v>46218</v>
      </c>
      <c r="R183" s="77" t="str">
        <f>IF(Table5[[#This Row],[Tour Starting Date]]&lt;&gt;"", TEXT(Table5[[#This Row],[Tour Starting Date]], "dddd"), "")</f>
        <v>Wednesday</v>
      </c>
      <c r="S183" s="77">
        <v>46220</v>
      </c>
      <c r="T183" s="25" t="str">
        <f>IF(Table5[[#This Row],[Tour Ending Date]]&lt;&gt;"", TEXT(Table5[[#This Row],[Tour Ending Date]], "dddd"), "")</f>
        <v>Friday</v>
      </c>
      <c r="U183" s="37"/>
      <c r="V183" s="37" t="str">
        <f>IF(Table5[[#This Row],[Tour Starting Date]]&lt;&gt;"", TEXT(Table5[[#This Row],[Tour Starting Date]], "mmmm"), "")</f>
        <v>July</v>
      </c>
      <c r="W183" s="80" t="str" cm="1">
        <f t="array" ref="W183">IF(Q183&lt;&gt;"", INDEX(CI:CI, MATCH(1, (Q183&gt;=CG:CG)*(Q183&lt;=CH:CH), 0)), "")</f>
        <v>Regular Dates - Weekday</v>
      </c>
      <c r="X183" s="39">
        <v>4</v>
      </c>
      <c r="Y183" s="74">
        <v>11800</v>
      </c>
      <c r="Z183" s="74">
        <f>IF(OR(Table5[[#This Row],[Per Person Package Cost]]="", Table5[[#This Row],[No. of Pax]]=""), "", Table5[[#This Row],[Per Person Package Cost]] * Table5[[#This Row],[No. of Pax]])</f>
        <v>47200</v>
      </c>
      <c r="AA183" s="52" t="s">
        <v>205</v>
      </c>
      <c r="AB183" s="52" t="s">
        <v>75</v>
      </c>
      <c r="AC183" s="52" t="s">
        <v>134</v>
      </c>
      <c r="AD183" s="52" t="s">
        <v>593</v>
      </c>
      <c r="AE183" s="51" t="str">
        <f t="shared" si="9"/>
        <v>EXIDR15</v>
      </c>
      <c r="AF183" s="51" t="str">
        <f t="shared" si="10"/>
        <v>Essence Of Faith</v>
      </c>
      <c r="AG183" s="74" t="str">
        <f t="shared" si="11"/>
        <v>Quick Getaways</v>
      </c>
      <c r="AH183" s="73" t="str">
        <f t="shared" si="12"/>
        <v>West MP</v>
      </c>
      <c r="AI183" s="52" t="s">
        <v>159</v>
      </c>
      <c r="AJ183" s="56"/>
      <c r="AK183" s="59" t="s">
        <v>79</v>
      </c>
      <c r="AL183" s="60" t="s">
        <v>80</v>
      </c>
      <c r="AM183" s="54" t="s">
        <v>80</v>
      </c>
      <c r="AN183" s="14">
        <v>46216</v>
      </c>
      <c r="AO183" s="15"/>
      <c r="AP183" s="91"/>
      <c r="AQ183" s="87"/>
      <c r="AR183" s="26"/>
      <c r="AS183" s="65"/>
      <c r="AT183" s="88" t="s">
        <v>81</v>
      </c>
      <c r="AU183" s="67"/>
      <c r="BX183" s="1">
        <v>179</v>
      </c>
      <c r="CN183" t="s">
        <v>1574</v>
      </c>
      <c r="CU183" t="s">
        <v>92</v>
      </c>
      <c r="CV183" t="s">
        <v>1575</v>
      </c>
      <c r="CW183" s="126" t="s">
        <v>1576</v>
      </c>
      <c r="CX183" s="126" t="s">
        <v>1577</v>
      </c>
      <c r="CY183" s="126" t="s">
        <v>243</v>
      </c>
      <c r="CZ183" s="126" t="s">
        <v>1578</v>
      </c>
      <c r="DA183" t="str" cm="1">
        <f t="array" ref="DA183">IF(U183&lt;&gt;"", TRANSPOSE(_xlfn._xlws.FILTER(CZ:CZ, CY:CY=U183, "")), "")</f>
        <v/>
      </c>
    </row>
    <row r="184" spans="2:145" ht="15" customHeight="1">
      <c r="B184" s="35">
        <v>180</v>
      </c>
      <c r="C184" s="36" t="s">
        <v>1579</v>
      </c>
      <c r="D184" s="76">
        <v>46212</v>
      </c>
      <c r="E184" s="37" t="str">
        <f>IF(Table5[[#This Row],[Query Date]]&lt;&gt;"", TEXT(Table5[[#This Row],[Query Date]], "dddd"), "")</f>
        <v>Thursday</v>
      </c>
      <c r="F184" s="37" t="str">
        <f>IF(Table5[[#This Row],[Query Date]]&lt;&gt;"", TEXT(Table5[[#This Row],[Query Date]], "mmmm"), "")</f>
        <v>July</v>
      </c>
      <c r="G184" s="28" t="s">
        <v>65</v>
      </c>
      <c r="H184" s="28" t="s">
        <v>66</v>
      </c>
      <c r="I184" s="28" t="s">
        <v>67</v>
      </c>
      <c r="J184" s="28" t="s">
        <v>68</v>
      </c>
      <c r="K184" s="28" t="s">
        <v>69</v>
      </c>
      <c r="L184" s="25" t="s">
        <v>70</v>
      </c>
      <c r="M184" s="112"/>
      <c r="N184" s="25" t="s">
        <v>1580</v>
      </c>
      <c r="O184" s="130" t="s">
        <v>1581</v>
      </c>
      <c r="P184" s="46" t="s">
        <v>1582</v>
      </c>
      <c r="Q184" s="77">
        <v>46270</v>
      </c>
      <c r="R184" s="77" t="str">
        <f>IF(Table5[[#This Row],[Tour Starting Date]]&lt;&gt;"", TEXT(Table5[[#This Row],[Tour Starting Date]], "dddd"), "")</f>
        <v>Saturday</v>
      </c>
      <c r="S184" s="77">
        <v>46271</v>
      </c>
      <c r="T184" s="25" t="str">
        <f>IF(Table5[[#This Row],[Tour Ending Date]]&lt;&gt;"", TEXT(Table5[[#This Row],[Tour Ending Date]], "dddd"), "")</f>
        <v>Sunday</v>
      </c>
      <c r="U184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1 Night &amp; 2 Days</v>
      </c>
      <c r="V184" s="37" t="str">
        <f>IF(Table5[[#This Row],[Tour Starting Date]]&lt;&gt;"", TEXT(Table5[[#This Row],[Tour Starting Date]], "mmmm"), "")</f>
        <v>September</v>
      </c>
      <c r="W184" s="80" t="str" cm="1">
        <f t="array" ref="W184">IF(Q184&lt;&gt;"", INDEX(CI:CI, MATCH(1, (Q184&gt;=CG:CG)*(Q184&lt;=CH:CH), 0)), "")</f>
        <v>Long Weekend - Janmashtami</v>
      </c>
      <c r="X184" s="39">
        <v>11</v>
      </c>
      <c r="Y184" s="74">
        <v>2900</v>
      </c>
      <c r="Z184" s="74"/>
      <c r="AA184" s="52" t="s">
        <v>75</v>
      </c>
      <c r="AB184" s="52" t="s">
        <v>205</v>
      </c>
      <c r="AC184" s="52" t="s">
        <v>76</v>
      </c>
      <c r="AD184" s="52" t="s">
        <v>251</v>
      </c>
      <c r="AE184" s="51" t="str">
        <f t="shared" si="9"/>
        <v>EXIDR14</v>
      </c>
      <c r="AF184" s="51" t="str">
        <f t="shared" si="10"/>
        <v>Spirit of the Jyotirlingas</v>
      </c>
      <c r="AG184" s="74" t="str">
        <f t="shared" si="11"/>
        <v>Quick Getaways</v>
      </c>
      <c r="AH184" s="73" t="str">
        <f t="shared" si="12"/>
        <v>West MP</v>
      </c>
      <c r="AI184" s="52" t="s">
        <v>159</v>
      </c>
      <c r="AJ184" s="56" t="s">
        <v>115</v>
      </c>
      <c r="AK184" s="59" t="s">
        <v>79</v>
      </c>
      <c r="AL184" s="60" t="s">
        <v>80</v>
      </c>
      <c r="AM184" s="54" t="s">
        <v>80</v>
      </c>
      <c r="AN184" s="14">
        <v>46216</v>
      </c>
      <c r="AO184" s="15">
        <v>46237</v>
      </c>
      <c r="AP184" s="91">
        <v>46254</v>
      </c>
      <c r="AQ184" s="87">
        <v>46265</v>
      </c>
      <c r="AR184" s="26"/>
      <c r="AS184" s="65"/>
      <c r="AT184" s="88" t="s">
        <v>81</v>
      </c>
      <c r="AU184" s="67"/>
      <c r="BX184" s="1">
        <v>180</v>
      </c>
      <c r="CN184" t="s">
        <v>1583</v>
      </c>
      <c r="CU184" t="s">
        <v>92</v>
      </c>
      <c r="CV184" t="s">
        <v>1584</v>
      </c>
      <c r="CW184" s="126" t="s">
        <v>1585</v>
      </c>
      <c r="CX184" s="126" t="s">
        <v>1586</v>
      </c>
      <c r="CY184" s="126" t="s">
        <v>223</v>
      </c>
      <c r="CZ184" s="126" t="s">
        <v>1124</v>
      </c>
      <c r="DA184" t="str" cm="1">
        <f t="array" ref="DA184:DH184">IF(U184&lt;&gt;"", TRANSPOSE(_xlfn._xlws.FILTER(CZ:CZ, CY:CY=U184, "")), "")</f>
        <v>Gwl (1N)</v>
      </c>
      <c r="DB184" t="str">
        <v>Ex Idr | Idr - Ujj (1N) - Idr</v>
      </c>
      <c r="DC184" t="str">
        <v>Ex Idr | Idr - Ujj (1N) - Omk - Idr</v>
      </c>
      <c r="DD184" t="str">
        <v>Ex Idr | Idr - Ujj (1N) - Omk - Mah - Idr</v>
      </c>
      <c r="DE184" t="str">
        <v>Ex Idr | Ujj (1N) - Idr + HDCT</v>
      </c>
      <c r="DF184" t="str">
        <v>Ex Idr | Idr (1N)</v>
      </c>
      <c r="DG184" t="str">
        <v>Khandwa - Omk (1N) - Idr HDCT</v>
      </c>
      <c r="DH184" t="str">
        <v>Ex Ujj | Ujj (1N)</v>
      </c>
    </row>
    <row r="185" spans="2:145" ht="15" customHeight="1">
      <c r="B185" s="34">
        <v>181</v>
      </c>
      <c r="C185" s="36" t="s">
        <v>1587</v>
      </c>
      <c r="D185" s="76">
        <v>46212</v>
      </c>
      <c r="E185" s="37" t="str">
        <f>IF(Table5[[#This Row],[Query Date]]&lt;&gt;"", TEXT(Table5[[#This Row],[Query Date]], "dddd"), "")</f>
        <v>Thursday</v>
      </c>
      <c r="F185" s="37" t="str">
        <f>IF(Table5[[#This Row],[Query Date]]&lt;&gt;"", TEXT(Table5[[#This Row],[Query Date]], "mmmm"), "")</f>
        <v>July</v>
      </c>
      <c r="G185" s="28" t="s">
        <v>65</v>
      </c>
      <c r="H185" s="28" t="s">
        <v>99</v>
      </c>
      <c r="I185" s="28" t="s">
        <v>67</v>
      </c>
      <c r="J185" s="28" t="s">
        <v>68</v>
      </c>
      <c r="K185" s="28" t="s">
        <v>178</v>
      </c>
      <c r="L185" s="25" t="s">
        <v>70</v>
      </c>
      <c r="M185" s="112" t="s">
        <v>502</v>
      </c>
      <c r="N185" s="25" t="s">
        <v>507</v>
      </c>
      <c r="O185" s="131">
        <v>9036405090</v>
      </c>
      <c r="P185" s="31" t="s">
        <v>508</v>
      </c>
      <c r="Q185" s="77">
        <v>46215</v>
      </c>
      <c r="R185" s="77" t="str">
        <f>IF(Table5[[#This Row],[Tour Starting Date]]&lt;&gt;"", TEXT(Table5[[#This Row],[Tour Starting Date]], "dddd"), "")</f>
        <v>Sunday</v>
      </c>
      <c r="S185" s="77">
        <v>46220</v>
      </c>
      <c r="T185" s="25" t="str">
        <f>IF(Table5[[#This Row],[Tour Ending Date]]&lt;&gt;"", TEXT(Table5[[#This Row],[Tour Ending Date]], "dddd"), "")</f>
        <v>Friday</v>
      </c>
      <c r="U185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5 Nights &amp; 6 Days</v>
      </c>
      <c r="V185" s="37" t="str">
        <f>IF(Table5[[#This Row],[Tour Starting Date]]&lt;&gt;"", TEXT(Table5[[#This Row],[Tour Starting Date]], "mmmm"), "")</f>
        <v>July</v>
      </c>
      <c r="W185" s="80" t="str" cm="1">
        <f t="array" ref="W185">IF(Q185&lt;&gt;"", INDEX(CI:CI, MATCH(1, (Q185&gt;=CG:CG)*(Q185&lt;=CH:CH), 0)), "")</f>
        <v>Regular Dates - Weekend</v>
      </c>
      <c r="X185" s="39">
        <v>4</v>
      </c>
      <c r="Y185" s="74">
        <v>22200</v>
      </c>
      <c r="Z185" s="74">
        <f>IF(OR(Table5[[#This Row],[Per Person Package Cost]]="", Table5[[#This Row],[No. of Pax]]=""), "", Table5[[#This Row],[Per Person Package Cost]] * Table5[[#This Row],[No. of Pax]])</f>
        <v>88800</v>
      </c>
      <c r="AA185" s="52" t="s">
        <v>75</v>
      </c>
      <c r="AB185" s="52" t="s">
        <v>520</v>
      </c>
      <c r="AC185" s="52" t="s">
        <v>173</v>
      </c>
      <c r="AD185" s="52"/>
      <c r="AE185" s="51" t="str">
        <f t="shared" si="9"/>
        <v/>
      </c>
      <c r="AF185" s="51" t="str">
        <f t="shared" si="10"/>
        <v/>
      </c>
      <c r="AG185" s="74" t="str">
        <f t="shared" si="11"/>
        <v/>
      </c>
      <c r="AH185" s="73" t="str">
        <f t="shared" si="12"/>
        <v/>
      </c>
      <c r="AI185" s="52" t="s">
        <v>107</v>
      </c>
      <c r="AJ185" s="56"/>
      <c r="AK185" s="59" t="s">
        <v>79</v>
      </c>
      <c r="AL185" s="60" t="s">
        <v>80</v>
      </c>
      <c r="AM185" s="54" t="s">
        <v>80</v>
      </c>
      <c r="AN185" s="14">
        <v>46216</v>
      </c>
      <c r="AO185" s="15"/>
      <c r="AP185" s="91"/>
      <c r="AQ185" s="87"/>
      <c r="AR185" s="26"/>
      <c r="AS185" s="65"/>
      <c r="AT185" s="88" t="s">
        <v>81</v>
      </c>
      <c r="AU185" s="67" t="s">
        <v>82</v>
      </c>
      <c r="BX185" s="1">
        <v>181</v>
      </c>
      <c r="CN185" t="s">
        <v>966</v>
      </c>
      <c r="CU185" t="s">
        <v>92</v>
      </c>
      <c r="DA185" t="str" cm="1">
        <f t="array" ref="DA185:DW185">IF(U185&lt;&gt;"", TRANSPOSE(_xlfn._xlws.FILTER(CZ:CZ, CY:CY=U185, "")), "")</f>
        <v>Gwl (2N) + Mor - Son - Dat - Orc (1N) - Hjr (2N) + Panna</v>
      </c>
      <c r="DB185" t="str">
        <v>Ex Gwl | Gwl (2N) + Mor - Shiv - Chan (2N) - Orc (1N) - Dat - Son - Gwl</v>
      </c>
      <c r="DC185" t="str">
        <v>Gwl (2N) + Mor - Son - Dat - Orc (1N) - Hjr (1N) - Jlr (1N)</v>
      </c>
      <c r="DD185" t="str">
        <v>Ex Idr | Idr - Ujj (1N) - Omk (1N) - Mah (1N) - Man (1N) - Idr (1N)</v>
      </c>
      <c r="DE185" t="str">
        <v>Bhp (1N) + Bhim + Bhoj + San - Ujj (1N) - Man (2N) - Mah - Omk (1N) - Idr</v>
      </c>
      <c r="DF185" t="str">
        <v>Jlr (1N) - Hjr (1N) - Orc (1N) - Dat - Son - Gwl (2N) + Mor</v>
      </c>
      <c r="DG185" t="str">
        <v>Jlr (1N) - Kan (1N) - Pch (2N) - Bhim - Bhoj - Bho (1N) + Sanchi</v>
      </c>
      <c r="DH185" t="str">
        <v>Ex Bho | Bho (1N) + San - Bhoj - Bhim - Tawa (1N) - Mad (1N) - Pch (2N) - Bho</v>
      </c>
      <c r="DI185" t="str">
        <v>Bho (1N) + San + Udaygiri - Bhoj - Bhim - Pch (2N) - Kan(1N) - Jlr (1N)</v>
      </c>
      <c r="DJ185" t="str">
        <v>Bho (1N) + Bhim + Bhoj - San - Ujj (1N) - Man (2N) - Mah - Omk (1N) - Idr</v>
      </c>
      <c r="DK185" t="str">
        <v>Idr - Man (2N) - Idr (1N) - Bho (2N) + Bhim + Bhoj + Sanchi</v>
      </c>
      <c r="DL185" t="str">
        <v>Ex Bho | Bho (2N) + San + Udaygiri - Bhoj - Bhim - Pch (2N) - Tawa (1N) - Bho</v>
      </c>
      <c r="DM185" t="str">
        <v>Rpr - Kan (2N) - Pen (1N) - Pch (2N) - Bho</v>
      </c>
      <c r="DN185" t="str">
        <v>Nag - Pen (2N) - Pch (2N) - Bhim - Bhoj - Bho (1N) + San</v>
      </c>
      <c r="DO185" t="str">
        <v>Gwl (2N) (Ex Mor) - Orc (1N) - Chn (1N) - Shiv (1N) - Jhn</v>
      </c>
      <c r="DP185" t="str">
        <v>Gwl (2N) (Ex Mor) - Dat - Orc (1N) - Chn (1N) - Shiv (1N) - Jhn</v>
      </c>
      <c r="DQ185" t="str">
        <v>Nag - Pen (2N) - Kan (2N) - Jlr (1N)</v>
      </c>
      <c r="DR185" t="str">
        <v>Rpr - (2 N) Amr - (1 N) Ban - (1 N) Hjr - (1 N) Jlr</v>
      </c>
      <c r="DS185" t="str">
        <v>Gwl (2N) (Ex Mor) -Orc  - Hjr (1N) - Chn (1N) - Shiv (1N) - Jhn</v>
      </c>
      <c r="DT185" t="str">
        <v>(2 N) Gwl - (1 N) Orch - (1 N) Hjr - (1 N) Jlr</v>
      </c>
      <c r="DU185" t="str">
        <v xml:space="preserve">Arr Rpr - Amr (2N) - Par (2N) - Jlr (1N) </v>
      </c>
      <c r="DV185" t="str">
        <v>3N Idr (Ex Ujj - Man) - Bhim - Bhoj - San - 2N Bho</v>
      </c>
      <c r="DW185" t="str">
        <v>1N Jlr - 1N Kan - 3N Pch - Ppi</v>
      </c>
    </row>
    <row r="186" spans="2:145" ht="15" customHeight="1">
      <c r="B186" s="35">
        <v>182</v>
      </c>
      <c r="C186" s="36" t="s">
        <v>1588</v>
      </c>
      <c r="D186" s="76">
        <v>46212</v>
      </c>
      <c r="E186" s="37" t="str">
        <f>IF(Table5[[#This Row],[Query Date]]&lt;&gt;"", TEXT(Table5[[#This Row],[Query Date]], "dddd"), "")</f>
        <v>Thursday</v>
      </c>
      <c r="F186" s="37" t="str">
        <f>IF(Table5[[#This Row],[Query Date]]&lt;&gt;"", TEXT(Table5[[#This Row],[Query Date]], "mmmm"), "")</f>
        <v>July</v>
      </c>
      <c r="G186" s="28" t="s">
        <v>113</v>
      </c>
      <c r="H186" s="28" t="s">
        <v>66</v>
      </c>
      <c r="I186" s="28" t="s">
        <v>67</v>
      </c>
      <c r="J186" s="28" t="s">
        <v>68</v>
      </c>
      <c r="K186" s="28" t="s">
        <v>178</v>
      </c>
      <c r="L186" s="25" t="s">
        <v>160</v>
      </c>
      <c r="M186" s="112" t="s">
        <v>90</v>
      </c>
      <c r="N186" s="25" t="s">
        <v>1589</v>
      </c>
      <c r="O186" s="130" t="s">
        <v>1590</v>
      </c>
      <c r="P186" s="46" t="s">
        <v>1591</v>
      </c>
      <c r="Q186" s="77">
        <v>46234</v>
      </c>
      <c r="R186" s="77" t="str">
        <f>IF(Table5[[#This Row],[Tour Starting Date]]&lt;&gt;"", TEXT(Table5[[#This Row],[Tour Starting Date]], "dddd"), "")</f>
        <v>Friday</v>
      </c>
      <c r="S186" s="77">
        <v>46236</v>
      </c>
      <c r="T186" s="25" t="str">
        <f>IF(Table5[[#This Row],[Tour Ending Date]]&lt;&gt;"", TEXT(Table5[[#This Row],[Tour Ending Date]], "dddd"), "")</f>
        <v>Sunday</v>
      </c>
      <c r="U186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186" s="37" t="str">
        <f>IF(Table5[[#This Row],[Tour Starting Date]]&lt;&gt;"", TEXT(Table5[[#This Row],[Tour Starting Date]], "mmmm"), "")</f>
        <v>July</v>
      </c>
      <c r="W186" s="80" t="str" cm="1">
        <f t="array" ref="W186">IF(Q186&lt;&gt;"", INDEX(CI:CI, MATCH(1, (Q186&gt;=CG:CG)*(Q186&lt;=CH:CH), 0)), "")</f>
        <v>Regular Dates - Weekend</v>
      </c>
      <c r="X186" s="39">
        <v>6</v>
      </c>
      <c r="Y186" s="74">
        <v>7600</v>
      </c>
      <c r="Z186" s="74">
        <f>IF(OR(Table5[[#This Row],[Per Person Package Cost]]="", Table5[[#This Row],[No. of Pax]]=""), "", Table5[[#This Row],[Per Person Package Cost]] * Table5[[#This Row],[No. of Pax]])</f>
        <v>45600</v>
      </c>
      <c r="AA186" s="52" t="s">
        <v>75</v>
      </c>
      <c r="AB186" s="52" t="s">
        <v>75</v>
      </c>
      <c r="AC186" s="52" t="s">
        <v>76</v>
      </c>
      <c r="AD186" s="52" t="s">
        <v>352</v>
      </c>
      <c r="AE186" s="51" t="str">
        <f t="shared" si="9"/>
        <v>EXIDR02</v>
      </c>
      <c r="AF186" s="51" t="str">
        <f t="shared" si="10"/>
        <v>Jyotirlinga Trails</v>
      </c>
      <c r="AG186" s="74" t="str">
        <f t="shared" si="11"/>
        <v>Quick Getaways</v>
      </c>
      <c r="AH186" s="73" t="str">
        <f t="shared" si="12"/>
        <v>West MP</v>
      </c>
      <c r="AI186" s="52" t="s">
        <v>107</v>
      </c>
      <c r="AJ186" s="56" t="s">
        <v>115</v>
      </c>
      <c r="AK186" s="59" t="s">
        <v>79</v>
      </c>
      <c r="AL186" s="60" t="s">
        <v>80</v>
      </c>
      <c r="AM186" s="54" t="s">
        <v>80</v>
      </c>
      <c r="AN186" s="14">
        <v>46216</v>
      </c>
      <c r="AO186" s="15"/>
      <c r="AP186" s="91"/>
      <c r="AQ186" s="87"/>
      <c r="AR186" s="26"/>
      <c r="AS186" s="65"/>
      <c r="AT186" s="88" t="s">
        <v>138</v>
      </c>
      <c r="AU186" s="67"/>
      <c r="BX186" s="1">
        <v>182</v>
      </c>
      <c r="CN186" t="s">
        <v>1592</v>
      </c>
      <c r="DA186" t="str" cm="1">
        <f t="array" ref="DA186:DY186">IF(U186&lt;&gt;"", TRANSPOSE(_xlfn._xlws.FILTER(CZ:CZ, CY:CY=U186, "")), "")</f>
        <v>Gwl (2N) + Mor</v>
      </c>
      <c r="DB186" t="str">
        <v>Ex Idr | Idr - Ujj (1N) - Omk - Mah (1N) - Man - Idr</v>
      </c>
      <c r="DC186" t="str">
        <v>Ujj (1N) - Omk - Idr (1N)</v>
      </c>
      <c r="DD186" t="str">
        <v>Ex Jlr | Jlr - Kan (2N) - Jlr</v>
      </c>
      <c r="DE186" t="str">
        <v>Ex Jlr | Jlr - Ban (2N) - Jlr</v>
      </c>
      <c r="DF186" t="str">
        <v>Ex Bho | Bho (2N) + Bhim + Bhoj + San</v>
      </c>
      <c r="DG186" t="str">
        <v>Ex Idr | Idr - Man (2N) - Idr</v>
      </c>
      <c r="DH186" t="str">
        <v>Ex Jlr | Jlr - Kan (2N) - Jlr</v>
      </c>
      <c r="DI186" t="str">
        <v>Ex Bho | Bho (2N) + Bhim + Bhoj + San + HDCT Bho</v>
      </c>
      <c r="DJ186" t="str">
        <v>Ex Bho | Bho - Bhim - Tawa (1N) - Mad (1N) - Bho</v>
      </c>
      <c r="DK186" t="str">
        <v>Ujj (1N) - Omk - Mah (1N) - Idr</v>
      </c>
      <c r="DL186" t="str">
        <v>Ujj (1N) -  Idr (1N)</v>
      </c>
      <c r="DM186" t="str">
        <v>Ex Idr | Idr (2N) + Ujj + Omk + Mah</v>
      </c>
      <c r="DN186" t="str">
        <v>Idr - Mah - Omk (1N) - Ujj (1N)</v>
      </c>
      <c r="DO186" t="str">
        <v>Idr - Ujj (1N) - Mah - Omk (1N) - Khandwa</v>
      </c>
      <c r="DP186" t="str">
        <v>Ex Idr | Idr (EX Ujj) (1N) - Mah - Omk (1N) - Idr HDCT</v>
      </c>
      <c r="DQ186" t="str">
        <v>Ujj (1N) - Sehor - Bho (1N) HDCT</v>
      </c>
      <c r="DR186" t="str">
        <v>Ex Jlr | Jlr (1N) - Ban (1N)</v>
      </c>
      <c r="DS186" t="str">
        <v>Ex Jlr | Ban (1N)</v>
      </c>
      <c r="DT186" t="str">
        <v>Ex Jlr | Jlr (2 N) Kan</v>
      </c>
      <c r="DU186" t="str">
        <v>Ex Jlr | Jlr - Amr (1 N) - (1 N) Ban</v>
      </c>
      <c r="DV186" t="str">
        <v>Ex Rpr | Rpr - (2N) Kan</v>
      </c>
      <c r="DW186" t="str">
        <v>Hjr (1N) - Mahi (1N) - Sat</v>
      </c>
      <c r="DX186" t="str">
        <v>Ex Bhp | Bhp - Bhim - Pch (2N) - Bhp</v>
      </c>
      <c r="DY186" t="str">
        <v xml:space="preserve">Ex Ujj I 2N Ujj </v>
      </c>
    </row>
    <row r="187" spans="2:145" ht="15" customHeight="1">
      <c r="B187" s="34">
        <v>183</v>
      </c>
      <c r="C187" s="36" t="s">
        <v>1593</v>
      </c>
      <c r="D187" s="76">
        <v>46213</v>
      </c>
      <c r="E187" s="37" t="str">
        <f>IF(Table5[[#This Row],[Query Date]]&lt;&gt;"", TEXT(Table5[[#This Row],[Query Date]], "dddd"), "")</f>
        <v>Friday</v>
      </c>
      <c r="F187" s="37" t="str">
        <f>IF(Table5[[#This Row],[Query Date]]&lt;&gt;"", TEXT(Table5[[#This Row],[Query Date]], "mmmm"), "")</f>
        <v>July</v>
      </c>
      <c r="G187" s="28" t="s">
        <v>65</v>
      </c>
      <c r="H187" s="28" t="s">
        <v>66</v>
      </c>
      <c r="I187" s="28" t="s">
        <v>67</v>
      </c>
      <c r="J187" s="28" t="s">
        <v>68</v>
      </c>
      <c r="K187" s="28" t="s">
        <v>69</v>
      </c>
      <c r="L187" s="25" t="s">
        <v>70</v>
      </c>
      <c r="M187" s="112" t="s">
        <v>937</v>
      </c>
      <c r="N187" s="25" t="s">
        <v>1594</v>
      </c>
      <c r="O187" s="130" t="s">
        <v>1595</v>
      </c>
      <c r="P187" s="46" t="s">
        <v>1596</v>
      </c>
      <c r="Q187" s="77">
        <v>46414</v>
      </c>
      <c r="R187" s="77" t="str">
        <f>IF(Table5[[#This Row],[Tour Starting Date]]&lt;&gt;"", TEXT(Table5[[#This Row],[Tour Starting Date]], "dddd"), "")</f>
        <v>Wednesday</v>
      </c>
      <c r="S187" s="77">
        <v>46425</v>
      </c>
      <c r="T187" s="25" t="str">
        <f>IF(Table5[[#This Row],[Tour Ending Date]]&lt;&gt;"", TEXT(Table5[[#This Row],[Tour Ending Date]], "dddd"), "")</f>
        <v>Sunday</v>
      </c>
      <c r="U187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11 Nights &amp; 12 Days</v>
      </c>
      <c r="V187" s="37" t="str">
        <f>IF(Table5[[#This Row],[Tour Starting Date]]&lt;&gt;"", TEXT(Table5[[#This Row],[Tour Starting Date]], "mmmm"), "")</f>
        <v>January</v>
      </c>
      <c r="W187" s="80" t="str" cm="1">
        <f t="array" ref="W187">IF(Q187&lt;&gt;"", INDEX(CI:CI, MATCH(1, (Q187&gt;=CG:CG)*(Q187&lt;=CH:CH), 0)), "")</f>
        <v>Regular Dates - Weekday</v>
      </c>
      <c r="X187" s="39">
        <v>4</v>
      </c>
      <c r="Y187" s="74">
        <v>1023100</v>
      </c>
      <c r="Z187" s="74">
        <f>IF(OR(Table5[[#This Row],[Per Person Package Cost]]="", Table5[[#This Row],[No. of Pax]]=""), "", Table5[[#This Row],[Per Person Package Cost]] * Table5[[#This Row],[No. of Pax]])</f>
        <v>4092400</v>
      </c>
      <c r="AA187" s="52" t="s">
        <v>509</v>
      </c>
      <c r="AB187" s="52" t="s">
        <v>133</v>
      </c>
      <c r="AC187" s="52" t="s">
        <v>240</v>
      </c>
      <c r="AD187" s="146" t="s">
        <v>688</v>
      </c>
      <c r="AE187" s="51" t="str">
        <f t="shared" si="9"/>
        <v>EMPRT08</v>
      </c>
      <c r="AF187" s="51" t="str">
        <f t="shared" si="10"/>
        <v>Timeless Treasures Of Madhya Pradesh</v>
      </c>
      <c r="AG187" s="74" t="str">
        <f t="shared" si="11"/>
        <v>Regular Tours</v>
      </c>
      <c r="AH187" s="73" t="str">
        <f t="shared" si="12"/>
        <v>North + South MP</v>
      </c>
      <c r="AI187" s="52" t="s">
        <v>107</v>
      </c>
      <c r="AJ187" s="56"/>
      <c r="AK187" s="59" t="s">
        <v>79</v>
      </c>
      <c r="AL187" s="60" t="s">
        <v>80</v>
      </c>
      <c r="AM187" s="54" t="s">
        <v>80</v>
      </c>
      <c r="AN187" s="14">
        <v>46216</v>
      </c>
      <c r="AO187" s="15"/>
      <c r="AP187" s="91"/>
      <c r="AQ187" s="87"/>
      <c r="AR187" s="26"/>
      <c r="AS187" s="65"/>
      <c r="AT187" s="88" t="s">
        <v>85</v>
      </c>
      <c r="AU187" s="67"/>
      <c r="BX187" s="1">
        <v>183</v>
      </c>
      <c r="CN187" t="s">
        <v>1597</v>
      </c>
      <c r="DA187" t="str" cm="1">
        <f t="array" ref="DA187">IF(U187&lt;&gt;"", TRANSPOSE(_xlfn._xlws.FILTER(CZ:CZ, CY:CY=U187, "")), "")</f>
        <v>1N Gwl - 1n Orc - 2N Hjr - 2N Ban - 1N Jlr - 2N Pch - Bhim - Bhoj - 2N Bho Ex San</v>
      </c>
    </row>
    <row r="188" spans="2:145" ht="15" customHeight="1">
      <c r="B188" s="35">
        <v>184</v>
      </c>
      <c r="C188" s="36" t="s">
        <v>1598</v>
      </c>
      <c r="D188" s="76">
        <v>46214</v>
      </c>
      <c r="E188" s="37" t="str">
        <f>IF(Table5[[#This Row],[Query Date]]&lt;&gt;"", TEXT(Table5[[#This Row],[Query Date]], "dddd"), "")</f>
        <v>Saturday</v>
      </c>
      <c r="F188" s="37" t="str">
        <f>IF(Table5[[#This Row],[Query Date]]&lt;&gt;"", TEXT(Table5[[#This Row],[Query Date]], "mmmm"), "")</f>
        <v>July</v>
      </c>
      <c r="G188" s="28" t="s">
        <v>65</v>
      </c>
      <c r="H188" s="28" t="s">
        <v>66</v>
      </c>
      <c r="I188" s="28" t="s">
        <v>67</v>
      </c>
      <c r="J188" s="28" t="s">
        <v>68</v>
      </c>
      <c r="K188" s="28" t="s">
        <v>644</v>
      </c>
      <c r="L188" s="25" t="s">
        <v>70</v>
      </c>
      <c r="M188" s="112"/>
      <c r="N188" s="25" t="s">
        <v>1557</v>
      </c>
      <c r="O188" s="130" t="s">
        <v>1558</v>
      </c>
      <c r="P188" s="46" t="s">
        <v>1559</v>
      </c>
      <c r="Q188" s="77">
        <v>46220</v>
      </c>
      <c r="R188" s="77" t="str">
        <f>IF(Table5[[#This Row],[Tour Starting Date]]&lt;&gt;"", TEXT(Table5[[#This Row],[Tour Starting Date]], "dddd"), "")</f>
        <v>Friday</v>
      </c>
      <c r="S188" s="77">
        <v>46222</v>
      </c>
      <c r="T188" s="25" t="str">
        <f>IF(Table5[[#This Row],[Tour Ending Date]]&lt;&gt;"", TEXT(Table5[[#This Row],[Tour Ending Date]], "dddd"), "")</f>
        <v>Sunday</v>
      </c>
      <c r="U188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188" s="37" t="str">
        <f>IF(Table5[[#This Row],[Tour Starting Date]]&lt;&gt;"", TEXT(Table5[[#This Row],[Tour Starting Date]], "mmmm"), "")</f>
        <v>July</v>
      </c>
      <c r="W188" s="80" t="str" cm="1">
        <f t="array" ref="W188">IF(Q188&lt;&gt;"", INDEX(CI:CI, MATCH(1, (Q188&gt;=CG:CG)*(Q188&lt;=CH:CH), 0)), "")</f>
        <v>Regular Dates - Weekend</v>
      </c>
      <c r="X188" s="39">
        <v>3</v>
      </c>
      <c r="Y188" s="74">
        <v>9400</v>
      </c>
      <c r="Z188" s="74">
        <f>IF(OR(Table5[[#This Row],[Per Person Package Cost]]="", Table5[[#This Row],[No. of Pax]]=""), "", Table5[[#This Row],[Per Person Package Cost]] * Table5[[#This Row],[No. of Pax]])</f>
        <v>28200</v>
      </c>
      <c r="AA188" s="52" t="s">
        <v>75</v>
      </c>
      <c r="AB188" s="52" t="s">
        <v>75</v>
      </c>
      <c r="AC188" s="52" t="s">
        <v>173</v>
      </c>
      <c r="AD188" s="52" t="s">
        <v>352</v>
      </c>
      <c r="AE188" s="51" t="str">
        <f t="shared" si="9"/>
        <v>EXIDR02</v>
      </c>
      <c r="AF188" s="51" t="str">
        <f t="shared" si="10"/>
        <v>Jyotirlinga Trails</v>
      </c>
      <c r="AG188" s="74" t="str">
        <f t="shared" si="11"/>
        <v>Quick Getaways</v>
      </c>
      <c r="AH188" s="73" t="str">
        <f t="shared" si="12"/>
        <v>West MP</v>
      </c>
      <c r="AI188" s="52" t="s">
        <v>159</v>
      </c>
      <c r="AJ188" s="56"/>
      <c r="AK188" s="59" t="s">
        <v>79</v>
      </c>
      <c r="AL188" s="60" t="s">
        <v>80</v>
      </c>
      <c r="AM188" s="54" t="s">
        <v>80</v>
      </c>
      <c r="AN188" s="14">
        <v>46217</v>
      </c>
      <c r="AO188" s="15"/>
      <c r="AP188" s="91"/>
      <c r="AQ188" s="87"/>
      <c r="AR188" s="26"/>
      <c r="AS188" s="65"/>
      <c r="AT188" s="88" t="s">
        <v>81</v>
      </c>
      <c r="AU188" s="67" t="s">
        <v>82</v>
      </c>
      <c r="BX188" s="1">
        <v>184</v>
      </c>
      <c r="CN188" s="102" t="s">
        <v>1599</v>
      </c>
      <c r="DA188" t="str" cm="1">
        <f t="array" ref="DA188:DY188">IF(U188&lt;&gt;"", TRANSPOSE(_xlfn._xlws.FILTER(CZ:CZ, CY:CY=U188, "")), "")</f>
        <v>Gwl (2N) + Mor</v>
      </c>
      <c r="DB188" t="str">
        <v>Ex Idr | Idr - Ujj (1N) - Omk - Mah (1N) - Man - Idr</v>
      </c>
      <c r="DC188" t="str">
        <v>Ujj (1N) - Omk - Idr (1N)</v>
      </c>
      <c r="DD188" t="str">
        <v>Ex Jlr | Jlr - Kan (2N) - Jlr</v>
      </c>
      <c r="DE188" t="str">
        <v>Ex Jlr | Jlr - Ban (2N) - Jlr</v>
      </c>
      <c r="DF188" t="str">
        <v>Ex Bho | Bho (2N) + Bhim + Bhoj + San</v>
      </c>
      <c r="DG188" t="str">
        <v>Ex Idr | Idr - Man (2N) - Idr</v>
      </c>
      <c r="DH188" t="str">
        <v>Ex Jlr | Jlr - Kan (2N) - Jlr</v>
      </c>
      <c r="DI188" t="str">
        <v>Ex Bho | Bho (2N) + Bhim + Bhoj + San + HDCT Bho</v>
      </c>
      <c r="DJ188" t="str">
        <v>Ex Bho | Bho - Bhim - Tawa (1N) - Mad (1N) - Bho</v>
      </c>
      <c r="DK188" t="str">
        <v>Ujj (1N) - Omk - Mah (1N) - Idr</v>
      </c>
      <c r="DL188" t="str">
        <v>Ujj (1N) -  Idr (1N)</v>
      </c>
      <c r="DM188" t="str">
        <v>Ex Idr | Idr (2N) + Ujj + Omk + Mah</v>
      </c>
      <c r="DN188" t="str">
        <v>Idr - Mah - Omk (1N) - Ujj (1N)</v>
      </c>
      <c r="DO188" t="str">
        <v>Idr - Ujj (1N) - Mah - Omk (1N) - Khandwa</v>
      </c>
      <c r="DP188" t="str">
        <v>Ex Idr | Idr (EX Ujj) (1N) - Mah - Omk (1N) - Idr HDCT</v>
      </c>
      <c r="DQ188" t="str">
        <v>Ujj (1N) - Sehor - Bho (1N) HDCT</v>
      </c>
      <c r="DR188" t="str">
        <v>Ex Jlr | Jlr (1N) - Ban (1N)</v>
      </c>
      <c r="DS188" t="str">
        <v>Ex Jlr | Ban (1N)</v>
      </c>
      <c r="DT188" t="str">
        <v>Ex Jlr | Jlr (2 N) Kan</v>
      </c>
      <c r="DU188" t="str">
        <v>Ex Jlr | Jlr - Amr (1 N) - (1 N) Ban</v>
      </c>
      <c r="DV188" t="str">
        <v>Ex Rpr | Rpr - (2N) Kan</v>
      </c>
      <c r="DW188" t="str">
        <v>Hjr (1N) - Mahi (1N) - Sat</v>
      </c>
      <c r="DX188" t="str">
        <v>Ex Bhp | Bhp - Bhim - Pch (2N) - Bhp</v>
      </c>
      <c r="DY188" t="str">
        <v xml:space="preserve">Ex Ujj I 2N Ujj </v>
      </c>
    </row>
    <row r="189" spans="2:145" ht="15" customHeight="1">
      <c r="B189" s="34">
        <v>185</v>
      </c>
      <c r="C189" s="36" t="s">
        <v>1600</v>
      </c>
      <c r="D189" s="76">
        <v>46214</v>
      </c>
      <c r="E189" s="37" t="str">
        <f>IF(Table5[[#This Row],[Query Date]]&lt;&gt;"", TEXT(Table5[[#This Row],[Query Date]], "dddd"), "")</f>
        <v>Saturday</v>
      </c>
      <c r="F189" s="37" t="str">
        <f>IF(Table5[[#This Row],[Query Date]]&lt;&gt;"", TEXT(Table5[[#This Row],[Query Date]], "mmmm"), "")</f>
        <v>July</v>
      </c>
      <c r="G189" s="28" t="s">
        <v>65</v>
      </c>
      <c r="H189" s="28" t="s">
        <v>66</v>
      </c>
      <c r="I189" s="28" t="s">
        <v>67</v>
      </c>
      <c r="J189" s="28" t="s">
        <v>68</v>
      </c>
      <c r="K189" s="28" t="s">
        <v>246</v>
      </c>
      <c r="L189" s="25" t="s">
        <v>70</v>
      </c>
      <c r="M189" s="112" t="s">
        <v>247</v>
      </c>
      <c r="N189" s="25" t="s">
        <v>248</v>
      </c>
      <c r="O189" s="130">
        <v>9330469599</v>
      </c>
      <c r="P189" s="46" t="s">
        <v>719</v>
      </c>
      <c r="Q189" s="77">
        <v>46232</v>
      </c>
      <c r="R189" s="77" t="str">
        <f>IF(Table5[[#This Row],[Tour Starting Date]]&lt;&gt;"", TEXT(Table5[[#This Row],[Tour Starting Date]], "dddd"), "")</f>
        <v>Wednesday</v>
      </c>
      <c r="S189" s="77">
        <v>46234</v>
      </c>
      <c r="T189" s="25" t="str">
        <f>IF(Table5[[#This Row],[Tour Ending Date]]&lt;&gt;"", TEXT(Table5[[#This Row],[Tour Ending Date]], "dddd"), "")</f>
        <v>Friday</v>
      </c>
      <c r="U189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189" s="37" t="str">
        <f>IF(Table5[[#This Row],[Tour Starting Date]]&lt;&gt;"", TEXT(Table5[[#This Row],[Tour Starting Date]], "mmmm"), "")</f>
        <v>July</v>
      </c>
      <c r="W189" s="80" t="str" cm="1">
        <f t="array" ref="W189">IF(Q189&lt;&gt;"", INDEX(CI:CI, MATCH(1, (Q189&gt;=CG:CG)*(Q189&lt;=CH:CH), 0)), "")</f>
        <v>Regular Dates - Weekday</v>
      </c>
      <c r="X189" s="39">
        <v>2</v>
      </c>
      <c r="Y189" s="74">
        <v>16500</v>
      </c>
      <c r="Z189" s="74">
        <f>IF(OR(Table5[[#This Row],[Per Person Package Cost]]="", Table5[[#This Row],[No. of Pax]]=""), "", Table5[[#This Row],[Per Person Package Cost]] * Table5[[#This Row],[No. of Pax]])</f>
        <v>33000</v>
      </c>
      <c r="AA189" s="52" t="s">
        <v>75</v>
      </c>
      <c r="AB189" s="52" t="s">
        <v>75</v>
      </c>
      <c r="AC189" s="52" t="s">
        <v>76</v>
      </c>
      <c r="AD189" s="52" t="s">
        <v>352</v>
      </c>
      <c r="AE189" s="51" t="str">
        <f t="shared" si="9"/>
        <v>EXIDR02</v>
      </c>
      <c r="AF189" s="51" t="str">
        <f t="shared" si="10"/>
        <v>Jyotirlinga Trails</v>
      </c>
      <c r="AG189" s="74" t="str">
        <f t="shared" si="11"/>
        <v>Quick Getaways</v>
      </c>
      <c r="AH189" s="73" t="str">
        <f t="shared" si="12"/>
        <v>West MP</v>
      </c>
      <c r="AI189" s="52" t="s">
        <v>107</v>
      </c>
      <c r="AJ189" s="56"/>
      <c r="AK189" s="59" t="s">
        <v>79</v>
      </c>
      <c r="AL189" s="60" t="s">
        <v>80</v>
      </c>
      <c r="AM189" s="54" t="s">
        <v>80</v>
      </c>
      <c r="AN189" s="14">
        <v>46217</v>
      </c>
      <c r="AO189" s="15"/>
      <c r="AP189" s="91"/>
      <c r="AQ189" s="87"/>
      <c r="AR189" s="26"/>
      <c r="AS189" s="65"/>
      <c r="AT189" s="88" t="s">
        <v>81</v>
      </c>
      <c r="AU189" s="67" t="s">
        <v>82</v>
      </c>
      <c r="BX189" s="1">
        <v>185</v>
      </c>
      <c r="CN189" t="s">
        <v>1601</v>
      </c>
      <c r="DA189" t="str" cm="1">
        <f t="array" ref="DA189:DY189">IF(U189&lt;&gt;"", TRANSPOSE(_xlfn._xlws.FILTER(CZ:CZ, CY:CY=U189, "")), "")</f>
        <v>Gwl (2N) + Mor</v>
      </c>
      <c r="DB189" t="str">
        <v>Ex Idr | Idr - Ujj (1N) - Omk - Mah (1N) - Man - Idr</v>
      </c>
      <c r="DC189" t="str">
        <v>Ujj (1N) - Omk - Idr (1N)</v>
      </c>
      <c r="DD189" t="str">
        <v>Ex Jlr | Jlr - Kan (2N) - Jlr</v>
      </c>
      <c r="DE189" t="str">
        <v>Ex Jlr | Jlr - Ban (2N) - Jlr</v>
      </c>
      <c r="DF189" t="str">
        <v>Ex Bho | Bho (2N) + Bhim + Bhoj + San</v>
      </c>
      <c r="DG189" t="str">
        <v>Ex Idr | Idr - Man (2N) - Idr</v>
      </c>
      <c r="DH189" t="str">
        <v>Ex Jlr | Jlr - Kan (2N) - Jlr</v>
      </c>
      <c r="DI189" t="str">
        <v>Ex Bho | Bho (2N) + Bhim + Bhoj + San + HDCT Bho</v>
      </c>
      <c r="DJ189" t="str">
        <v>Ex Bho | Bho - Bhim - Tawa (1N) - Mad (1N) - Bho</v>
      </c>
      <c r="DK189" t="str">
        <v>Ujj (1N) - Omk - Mah (1N) - Idr</v>
      </c>
      <c r="DL189" t="str">
        <v>Ujj (1N) -  Idr (1N)</v>
      </c>
      <c r="DM189" t="str">
        <v>Ex Idr | Idr (2N) + Ujj + Omk + Mah</v>
      </c>
      <c r="DN189" t="str">
        <v>Idr - Mah - Omk (1N) - Ujj (1N)</v>
      </c>
      <c r="DO189" t="str">
        <v>Idr - Ujj (1N) - Mah - Omk (1N) - Khandwa</v>
      </c>
      <c r="DP189" t="str">
        <v>Ex Idr | Idr (EX Ujj) (1N) - Mah - Omk (1N) - Idr HDCT</v>
      </c>
      <c r="DQ189" t="str">
        <v>Ujj (1N) - Sehor - Bho (1N) HDCT</v>
      </c>
      <c r="DR189" t="str">
        <v>Ex Jlr | Jlr (1N) - Ban (1N)</v>
      </c>
      <c r="DS189" t="str">
        <v>Ex Jlr | Ban (1N)</v>
      </c>
      <c r="DT189" t="str">
        <v>Ex Jlr | Jlr (2 N) Kan</v>
      </c>
      <c r="DU189" t="str">
        <v>Ex Jlr | Jlr - Amr (1 N) - (1 N) Ban</v>
      </c>
      <c r="DV189" t="str">
        <v>Ex Rpr | Rpr - (2N) Kan</v>
      </c>
      <c r="DW189" t="str">
        <v>Hjr (1N) - Mahi (1N) - Sat</v>
      </c>
      <c r="DX189" t="str">
        <v>Ex Bhp | Bhp - Bhim - Pch (2N) - Bhp</v>
      </c>
      <c r="DY189" t="str">
        <v xml:space="preserve">Ex Ujj I 2N Ujj </v>
      </c>
    </row>
    <row r="190" spans="2:145" ht="15" customHeight="1">
      <c r="B190" s="35">
        <v>186</v>
      </c>
      <c r="C190" s="36" t="s">
        <v>1602</v>
      </c>
      <c r="D190" s="76">
        <v>46212</v>
      </c>
      <c r="E190" s="37" t="str">
        <f>IF(Table5[[#This Row],[Query Date]]&lt;&gt;"", TEXT(Table5[[#This Row],[Query Date]], "dddd"), "")</f>
        <v>Thursday</v>
      </c>
      <c r="F190" s="37" t="str">
        <f>IF(Table5[[#This Row],[Query Date]]&lt;&gt;"", TEXT(Table5[[#This Row],[Query Date]], "mmmm"), "")</f>
        <v>July</v>
      </c>
      <c r="G190" s="28" t="s">
        <v>113</v>
      </c>
      <c r="H190" s="28" t="s">
        <v>66</v>
      </c>
      <c r="I190" s="28" t="s">
        <v>67</v>
      </c>
      <c r="J190" s="28" t="s">
        <v>68</v>
      </c>
      <c r="K190" s="28" t="s">
        <v>178</v>
      </c>
      <c r="L190" s="25" t="s">
        <v>160</v>
      </c>
      <c r="M190" s="112" t="s">
        <v>90</v>
      </c>
      <c r="N190" s="25" t="s">
        <v>1603</v>
      </c>
      <c r="O190" s="130" t="s">
        <v>1604</v>
      </c>
      <c r="P190" s="46"/>
      <c r="Q190" s="77">
        <v>46254</v>
      </c>
      <c r="R190" s="77" t="str">
        <f>IF(Table5[[#This Row],[Tour Starting Date]]&lt;&gt;"", TEXT(Table5[[#This Row],[Tour Starting Date]], "dddd"), "")</f>
        <v>Thursday</v>
      </c>
      <c r="S190" s="77">
        <v>46256</v>
      </c>
      <c r="T190" s="25" t="str">
        <f>IF(Table5[[#This Row],[Tour Ending Date]]&lt;&gt;"", TEXT(Table5[[#This Row],[Tour Ending Date]], "dddd"), "")</f>
        <v>Saturday</v>
      </c>
      <c r="U190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190" s="37" t="str">
        <f>IF(Table5[[#This Row],[Tour Starting Date]]&lt;&gt;"", TEXT(Table5[[#This Row],[Tour Starting Date]], "mmmm"), "")</f>
        <v>August</v>
      </c>
      <c r="W190" s="80" t="str" cm="1">
        <f t="array" ref="W190">IF(Q190&lt;&gt;"", INDEX(CI:CI, MATCH(1, (Q190&gt;=CG:CG)*(Q190&lt;=CH:CH), 0)), "")</f>
        <v>Regular Dates - Weekday</v>
      </c>
      <c r="X190" s="39">
        <v>2</v>
      </c>
      <c r="Y190" s="74">
        <v>9900</v>
      </c>
      <c r="Z190" s="74">
        <f>IF(OR(Table5[[#This Row],[Per Person Package Cost]]="", Table5[[#This Row],[No. of Pax]]=""), "", Table5[[#This Row],[Per Person Package Cost]] * Table5[[#This Row],[No. of Pax]])</f>
        <v>19800</v>
      </c>
      <c r="AA190" s="52" t="s">
        <v>75</v>
      </c>
      <c r="AB190" s="52" t="s">
        <v>75</v>
      </c>
      <c r="AC190" s="52" t="s">
        <v>76</v>
      </c>
      <c r="AD190" s="52" t="s">
        <v>352</v>
      </c>
      <c r="AE190" s="51" t="str">
        <f t="shared" si="9"/>
        <v>EXIDR02</v>
      </c>
      <c r="AF190" s="51" t="str">
        <f t="shared" si="10"/>
        <v>Jyotirlinga Trails</v>
      </c>
      <c r="AG190" s="74" t="str">
        <f t="shared" si="11"/>
        <v>Quick Getaways</v>
      </c>
      <c r="AH190" s="73" t="str">
        <f t="shared" si="12"/>
        <v>West MP</v>
      </c>
      <c r="AI190" s="52" t="s">
        <v>159</v>
      </c>
      <c r="AJ190" s="56"/>
      <c r="AK190" s="59" t="s">
        <v>79</v>
      </c>
      <c r="AL190" s="60" t="s">
        <v>80</v>
      </c>
      <c r="AM190" s="54" t="s">
        <v>80</v>
      </c>
      <c r="AN190" s="14">
        <v>46214</v>
      </c>
      <c r="AO190" s="15"/>
      <c r="AP190" s="91"/>
      <c r="AQ190" s="87"/>
      <c r="AR190" s="26"/>
      <c r="AS190" s="65"/>
      <c r="AT190" s="88" t="s">
        <v>81</v>
      </c>
      <c r="AU190" s="67" t="s">
        <v>82</v>
      </c>
      <c r="BX190" s="1">
        <v>186</v>
      </c>
      <c r="CN190" t="s">
        <v>1473</v>
      </c>
      <c r="DA190" t="str" cm="1">
        <f t="array" ref="DA190:DY190">IF(U190&lt;&gt;"", TRANSPOSE(_xlfn._xlws.FILTER(CZ:CZ, CY:CY=U190, "")), "")</f>
        <v>Gwl (2N) + Mor</v>
      </c>
      <c r="DB190" t="str">
        <v>Ex Idr | Idr - Ujj (1N) - Omk - Mah (1N) - Man - Idr</v>
      </c>
      <c r="DC190" t="str">
        <v>Ujj (1N) - Omk - Idr (1N)</v>
      </c>
      <c r="DD190" t="str">
        <v>Ex Jlr | Jlr - Kan (2N) - Jlr</v>
      </c>
      <c r="DE190" t="str">
        <v>Ex Jlr | Jlr - Ban (2N) - Jlr</v>
      </c>
      <c r="DF190" t="str">
        <v>Ex Bho | Bho (2N) + Bhim + Bhoj + San</v>
      </c>
      <c r="DG190" t="str">
        <v>Ex Idr | Idr - Man (2N) - Idr</v>
      </c>
      <c r="DH190" t="str">
        <v>Ex Jlr | Jlr - Kan (2N) - Jlr</v>
      </c>
      <c r="DI190" t="str">
        <v>Ex Bho | Bho (2N) + Bhim + Bhoj + San + HDCT Bho</v>
      </c>
      <c r="DJ190" t="str">
        <v>Ex Bho | Bho - Bhim - Tawa (1N) - Mad (1N) - Bho</v>
      </c>
      <c r="DK190" t="str">
        <v>Ujj (1N) - Omk - Mah (1N) - Idr</v>
      </c>
      <c r="DL190" t="str">
        <v>Ujj (1N) -  Idr (1N)</v>
      </c>
      <c r="DM190" t="str">
        <v>Ex Idr | Idr (2N) + Ujj + Omk + Mah</v>
      </c>
      <c r="DN190" t="str">
        <v>Idr - Mah - Omk (1N) - Ujj (1N)</v>
      </c>
      <c r="DO190" t="str">
        <v>Idr - Ujj (1N) - Mah - Omk (1N) - Khandwa</v>
      </c>
      <c r="DP190" t="str">
        <v>Ex Idr | Idr (EX Ujj) (1N) - Mah - Omk (1N) - Idr HDCT</v>
      </c>
      <c r="DQ190" t="str">
        <v>Ujj (1N) - Sehor - Bho (1N) HDCT</v>
      </c>
      <c r="DR190" t="str">
        <v>Ex Jlr | Jlr (1N) - Ban (1N)</v>
      </c>
      <c r="DS190" t="str">
        <v>Ex Jlr | Ban (1N)</v>
      </c>
      <c r="DT190" t="str">
        <v>Ex Jlr | Jlr (2 N) Kan</v>
      </c>
      <c r="DU190" t="str">
        <v>Ex Jlr | Jlr - Amr (1 N) - (1 N) Ban</v>
      </c>
      <c r="DV190" t="str">
        <v>Ex Rpr | Rpr - (2N) Kan</v>
      </c>
      <c r="DW190" t="str">
        <v>Hjr (1N) - Mahi (1N) - Sat</v>
      </c>
      <c r="DX190" t="str">
        <v>Ex Bhp | Bhp - Bhim - Pch (2N) - Bhp</v>
      </c>
      <c r="DY190" t="str">
        <v xml:space="preserve">Ex Ujj I 2N Ujj </v>
      </c>
    </row>
    <row r="191" spans="2:145" ht="15" customHeight="1">
      <c r="B191" s="34">
        <v>187</v>
      </c>
      <c r="C191" s="36" t="s">
        <v>1605</v>
      </c>
      <c r="D191" s="76">
        <v>46214</v>
      </c>
      <c r="E191" s="37" t="str">
        <f>IF(Table5[[#This Row],[Query Date]]&lt;&gt;"", TEXT(Table5[[#This Row],[Query Date]], "dddd"), "")</f>
        <v>Saturday</v>
      </c>
      <c r="F191" s="37" t="str">
        <f>IF(Table5[[#This Row],[Query Date]]&lt;&gt;"", TEXT(Table5[[#This Row],[Query Date]], "mmmm"), "")</f>
        <v>July</v>
      </c>
      <c r="G191" s="28" t="s">
        <v>65</v>
      </c>
      <c r="H191" s="28" t="s">
        <v>120</v>
      </c>
      <c r="I191" s="28" t="s">
        <v>67</v>
      </c>
      <c r="J191" s="28" t="s">
        <v>68</v>
      </c>
      <c r="K191" s="28" t="s">
        <v>488</v>
      </c>
      <c r="L191" s="25" t="s">
        <v>70</v>
      </c>
      <c r="M191" s="112"/>
      <c r="N191" s="25" t="s">
        <v>1606</v>
      </c>
      <c r="O191" s="130" t="s">
        <v>1607</v>
      </c>
      <c r="P191" s="106" t="s">
        <v>1608</v>
      </c>
      <c r="Q191" s="77">
        <v>46223</v>
      </c>
      <c r="R191" s="77" t="str">
        <f>IF(Table5[[#This Row],[Tour Starting Date]]&lt;&gt;"", TEXT(Table5[[#This Row],[Tour Starting Date]], "dddd"), "")</f>
        <v>Monday</v>
      </c>
      <c r="S191" s="77">
        <v>46226</v>
      </c>
      <c r="T191" s="25" t="str">
        <f>IF(Table5[[#This Row],[Tour Ending Date]]&lt;&gt;"", TEXT(Table5[[#This Row],[Tour Ending Date]], "dddd"), "")</f>
        <v>Thursday</v>
      </c>
      <c r="U191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191" s="37" t="str">
        <f>IF(Table5[[#This Row],[Tour Starting Date]]&lt;&gt;"", TEXT(Table5[[#This Row],[Tour Starting Date]], "mmmm"), "")</f>
        <v>July</v>
      </c>
      <c r="W191" s="80" t="str" cm="1">
        <f t="array" ref="W191">IF(Q191&lt;&gt;"", INDEX(CI:CI, MATCH(1, (Q191&gt;=CG:CG)*(Q191&lt;=CH:CH), 0)), "")</f>
        <v>Regular Dates - Weekday</v>
      </c>
      <c r="X191" s="39">
        <v>4</v>
      </c>
      <c r="Y191" s="74">
        <v>11500</v>
      </c>
      <c r="Z191" s="74">
        <f>IF(OR(Table5[[#This Row],[Per Person Package Cost]]="", Table5[[#This Row],[No. of Pax]]=""), "", Table5[[#This Row],[Per Person Package Cost]] * Table5[[#This Row],[No. of Pax]])</f>
        <v>46000</v>
      </c>
      <c r="AA191" s="52" t="s">
        <v>75</v>
      </c>
      <c r="AB191" s="52" t="s">
        <v>75</v>
      </c>
      <c r="AC191" s="52" t="s">
        <v>76</v>
      </c>
      <c r="AD191" s="52" t="s">
        <v>364</v>
      </c>
      <c r="AE191" s="51" t="str">
        <f>IF(AD191&lt;&gt;"", INDEX(CW:CW, MATCH(AD191, CZ:CZ, 0)), "")</f>
        <v>EXIDR03</v>
      </c>
      <c r="AF191" s="51" t="str">
        <f t="shared" si="10"/>
        <v>Temple Fort Odyssey</v>
      </c>
      <c r="AG191" s="74" t="str">
        <f t="shared" si="11"/>
        <v>Quick Getaways</v>
      </c>
      <c r="AH191" s="73" t="str">
        <f t="shared" si="12"/>
        <v>West MP</v>
      </c>
      <c r="AI191" s="52" t="s">
        <v>107</v>
      </c>
      <c r="AJ191" s="56"/>
      <c r="AK191" s="59" t="s">
        <v>79</v>
      </c>
      <c r="AL191" s="60" t="s">
        <v>80</v>
      </c>
      <c r="AM191" s="54" t="s">
        <v>80</v>
      </c>
      <c r="AN191" s="14">
        <v>46216</v>
      </c>
      <c r="AO191" s="15"/>
      <c r="AP191" s="91"/>
      <c r="AQ191" s="87"/>
      <c r="AR191" s="26"/>
      <c r="AS191" s="65"/>
      <c r="AT191" s="88" t="s">
        <v>81</v>
      </c>
      <c r="AU191" s="67"/>
      <c r="BX191" s="1">
        <v>187</v>
      </c>
      <c r="CN191" t="s">
        <v>1609</v>
      </c>
      <c r="DA191" t="str" cm="1">
        <f t="array" ref="DA191:EO191">IF(U191&lt;&gt;"", TRANSPOSE(_xlfn._xlws.FILTER(CZ:CZ, CY:CY=U191, "")), "")</f>
        <v>Gwl (3N) + Mor + Son + Dat + Orc</v>
      </c>
      <c r="DB191" t="str">
        <v>Ex Gwl | Gwl (1N) - Son - Dat - Orc (1N) - Gwl (1N)</v>
      </c>
      <c r="DC191" t="str">
        <v>Ex Idr | Idr - Ujj (1N) - Omk - Mah (1N) - Man (1N) - Idr</v>
      </c>
      <c r="DD191" t="str">
        <v>Ex Jlr | Jlr - Kan (2N) - Jlr (1N)</v>
      </c>
      <c r="DE191" t="str">
        <v>Ex Jlr | Jlr - Ban (2N) - Jlr (1N)</v>
      </c>
      <c r="DF191" t="str">
        <v>Ex Bho | Bho (1N) + San - Bhoj - Bhim - Pch (2N) - Bho</v>
      </c>
      <c r="DG191" t="str">
        <v>Ex Idr | Idr (1N) - Ujj (1N) - Omk (1N) - Mah - Idr</v>
      </c>
      <c r="DH191" t="str">
        <v>Gwl - Orc (1N) - Ckt (1N) - Myr (1N) - Jlr</v>
      </c>
      <c r="DI191" t="str">
        <v>Gwl - Orc (1N) - Ckt (2N) - Ixd</v>
      </c>
      <c r="DJ191" t="str">
        <v>Ex Idr | Idr - Ujj (1N) - Omk - Mah (1N) - Idr (1N)</v>
      </c>
      <c r="DK191" t="str">
        <v>Ex Jlr | Jlr - Kan (3N) - Jlr</v>
      </c>
      <c r="DL191" t="str">
        <v>Ex Bho | Bho (2N) + Bhim + Bhoj + San + Udaygiri + Vidisha + FDCT Bho</v>
      </c>
      <c r="DM191" t="str">
        <v>Bho (1N) + Bhim + Bhoj - HDCT  Bho + Sanchi - Ujj (2N)</v>
      </c>
      <c r="DN191" t="str">
        <v>Bho (1N) + Bhim + Bhoj - HDCT  Bho + Sanchi - Ujj (2N) - Idr</v>
      </c>
      <c r="DO191" t="str">
        <v>Ex Bho | Bho - Bhoj - Bhim - Mad (1N) - Pch (2N) - Bho</v>
      </c>
      <c r="DP191" t="str">
        <v>Ex Bho | Bho - Bhoj - Bhim - Mad (1N) - Pch (3N) - Bho</v>
      </c>
      <c r="DQ191" t="str">
        <v>Ex Bho | Bho - Bhoj - Bhim - Tawa (1N) - Mad (1N) - Bho (1N)</v>
      </c>
      <c r="DR191" t="str">
        <v>Bho (1N) - Bhim - Bhoj - San - Idr (2N) + Ujj</v>
      </c>
      <c r="DS191" t="str">
        <v>Bho (1N) - Bhoj - Bhim - Pch (2N) - Bho</v>
      </c>
      <c r="DT191" t="str">
        <v>Ujj (1N) - Omk - Mah (1N) - Idr (1N)</v>
      </c>
      <c r="DU191" t="str">
        <v>Ujj (1N) - Omk - Mah (1N) - Man (1N) - Idr</v>
      </c>
      <c r="DV191" t="str">
        <v>Ex Idr | Idr (1N) - Ujj (1N) - Omk - Mah (1N)</v>
      </c>
      <c r="DW191" t="str">
        <v>Ex Idr | Idr - Ujj (1N) - Omk (1N) - Mah (1N) - Idr</v>
      </c>
      <c r="DX191" t="str">
        <v>Khandwa - Omk (1N) - Mah (1N) - Ujj (1N) - Idr</v>
      </c>
      <c r="DY191" t="str">
        <v>Ex Idr | Idr - Ujj (1N) - Omk - Mah (1N) - Man - Idr (1N)</v>
      </c>
      <c r="DZ191" t="str">
        <v xml:space="preserve">Idr - Omk (1N) - Mah - Ujj (1N) San - Bho (1N) </v>
      </c>
      <c r="EA191" t="str">
        <v>Ex Idr | Idr - Man (1N) - Mah - Omk (1N) - Ujj (1N) - Idr</v>
      </c>
      <c r="EB191" t="str">
        <v>Khandwa - Omk (1N) - Mah - Ujj (2N)</v>
      </c>
      <c r="EC191" t="str">
        <v>Ex Jlr | Jlr (1N) - Amr (1N) - Ban (1N) - Jlr</v>
      </c>
      <c r="ED191" t="str">
        <v>Ex Jlr | Jlr - (1 N) Ban - (2 N) Amar</v>
      </c>
      <c r="EE191" t="str">
        <v>Jlr - Kan (1N) - Pch (2N)</v>
      </c>
      <c r="EF191" t="str">
        <v>Pi - Pch (2N)  - Kan (1N)</v>
      </c>
      <c r="EG191" t="str">
        <v>Ex Jlr | Jlr - Amr (1 N) - (1 N) Ban - (1 N) Jlr</v>
      </c>
      <c r="EH191" t="str">
        <v>Ppi - (2 N) Pch - (1 N) Pen</v>
      </c>
      <c r="EI191" t="str">
        <v>Bhp - Pch (2N) - Jlr (1N)</v>
      </c>
      <c r="EJ191" t="str">
        <v xml:space="preserve">Arr Jhn - Hjr (1N) - Orc - Gwl (2N) </v>
      </c>
      <c r="EK191" t="str">
        <v>(1 N) Ujj - (1 N) Mah - (1 N) Idr</v>
      </c>
      <c r="EL191" t="str">
        <v>Ex Bhp | Bhp - Bhoj - Bhim - Pch (3N) - Bhp</v>
      </c>
      <c r="EM191" t="str">
        <v>Ex Bhp | Bhp - Bhoj - Bhim - Pch (2N) - Mad (1N) - Bhp</v>
      </c>
      <c r="EN191" t="str">
        <v xml:space="preserve">Ex Nag - 3N Pch + Sat </v>
      </c>
      <c r="EO191" t="str">
        <v>1N Gwl - Son - Dat - 1N Hjr - 1N Orc - Jhn</v>
      </c>
    </row>
    <row r="192" spans="2:145" ht="15" customHeight="1">
      <c r="B192" s="35">
        <v>188</v>
      </c>
      <c r="C192" s="36" t="s">
        <v>1610</v>
      </c>
      <c r="D192" s="76">
        <v>46212</v>
      </c>
      <c r="E192" s="37" t="str">
        <f>IF(Table5[[#This Row],[Query Date]]&lt;&gt;"", TEXT(Table5[[#This Row],[Query Date]], "dddd"), "")</f>
        <v>Thursday</v>
      </c>
      <c r="F192" s="37" t="str">
        <f>IF(Table5[[#This Row],[Query Date]]&lt;&gt;"", TEXT(Table5[[#This Row],[Query Date]], "mmmm"), "")</f>
        <v>July</v>
      </c>
      <c r="G192" s="28" t="s">
        <v>113</v>
      </c>
      <c r="H192" s="28" t="s">
        <v>66</v>
      </c>
      <c r="I192" s="28" t="s">
        <v>67</v>
      </c>
      <c r="J192" s="28" t="s">
        <v>68</v>
      </c>
      <c r="K192" s="28" t="s">
        <v>178</v>
      </c>
      <c r="L192" s="25" t="s">
        <v>160</v>
      </c>
      <c r="M192" s="112" t="s">
        <v>90</v>
      </c>
      <c r="N192" s="25" t="s">
        <v>1611</v>
      </c>
      <c r="O192" s="130" t="s">
        <v>1612</v>
      </c>
      <c r="P192" s="46"/>
      <c r="Q192" s="77">
        <v>46223</v>
      </c>
      <c r="R192" s="77" t="str">
        <f>IF(Table5[[#This Row],[Tour Starting Date]]&lt;&gt;"", TEXT(Table5[[#This Row],[Tour Starting Date]], "dddd"), "")</f>
        <v>Monday</v>
      </c>
      <c r="S192" s="77">
        <v>46227</v>
      </c>
      <c r="T192" s="25" t="str">
        <f>IF(Table5[[#This Row],[Tour Ending Date]]&lt;&gt;"", TEXT(Table5[[#This Row],[Tour Ending Date]], "dddd"), "")</f>
        <v>Friday</v>
      </c>
      <c r="U192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4 Nights &amp; 5 Days</v>
      </c>
      <c r="V192" s="37" t="str">
        <f>IF(Table5[[#This Row],[Tour Starting Date]]&lt;&gt;"", TEXT(Table5[[#This Row],[Tour Starting Date]], "mmmm"), "")</f>
        <v>July</v>
      </c>
      <c r="W192" s="80" t="str" cm="1">
        <f t="array" ref="W192">IF(Q192&lt;&gt;"", INDEX(CI:CI, MATCH(1, (Q192&gt;=CG:CG)*(Q192&lt;=CH:CH), 0)), "")</f>
        <v>Regular Dates - Weekday</v>
      </c>
      <c r="X192" s="39">
        <v>1</v>
      </c>
      <c r="Y192" s="74">
        <v>45700</v>
      </c>
      <c r="Z192" s="74">
        <f>IF(OR(Table5[[#This Row],[Per Person Package Cost]]="", Table5[[#This Row],[No. of Pax]]=""), "", Table5[[#This Row],[Per Person Package Cost]] * Table5[[#This Row],[No. of Pax]])</f>
        <v>45700</v>
      </c>
      <c r="AA192" s="52" t="s">
        <v>1613</v>
      </c>
      <c r="AB192" s="52" t="s">
        <v>644</v>
      </c>
      <c r="AC192" s="52" t="s">
        <v>76</v>
      </c>
      <c r="AD192" s="52"/>
      <c r="AE192" s="51" t="str">
        <f t="shared" si="9"/>
        <v/>
      </c>
      <c r="AF192" s="51" t="str">
        <f t="shared" si="10"/>
        <v/>
      </c>
      <c r="AG192" s="74" t="str">
        <f t="shared" si="11"/>
        <v/>
      </c>
      <c r="AH192" s="73" t="str">
        <f t="shared" si="12"/>
        <v/>
      </c>
      <c r="AI192" s="52" t="s">
        <v>159</v>
      </c>
      <c r="AJ192" s="56" t="s">
        <v>115</v>
      </c>
      <c r="AK192" s="59" t="s">
        <v>79</v>
      </c>
      <c r="AL192" s="60" t="s">
        <v>80</v>
      </c>
      <c r="AM192" s="54" t="s">
        <v>80</v>
      </c>
      <c r="AN192" s="14">
        <v>46214</v>
      </c>
      <c r="AO192" s="15"/>
      <c r="AP192" s="91"/>
      <c r="AQ192" s="87"/>
      <c r="AR192" s="26"/>
      <c r="AS192" s="65"/>
      <c r="AT192" s="88" t="s">
        <v>138</v>
      </c>
      <c r="AU192" s="67"/>
      <c r="BX192" s="1">
        <v>188</v>
      </c>
      <c r="CN192" t="s">
        <v>1614</v>
      </c>
      <c r="DA192" t="str" cm="1">
        <f t="array" ref="DA192:EJ192">IF(U192&lt;&gt;"", TRANSPOSE(_xlfn._xlws.FILTER(CZ:CZ, CY:CY=U192, "")), "")</f>
        <v>Ex Gwl | Gwl (2N) + Mor - Son - Dat - Orc (1N) - Hjr (1N) - Gwl</v>
      </c>
      <c r="DB192" t="str">
        <v>Ex Idr | Idr - Ujj (1N) - Omk - Mah (1N) - Man (1N) - Idr (1N)</v>
      </c>
      <c r="DC192" t="str">
        <v>Ex Idr | Idr - Ujj (1N) - Omk (1N) - Mah (1N) - Man (1N) - Idr</v>
      </c>
      <c r="DD192" t="str">
        <v>Ex Jlr | Jlr - Kan (2N) - Amk (1N) - Jlr (1N)</v>
      </c>
      <c r="DE192" t="str">
        <v>Ex Jlr | Jlr - Ban (2N) - Amk (1N) - Jlr (1N)</v>
      </c>
      <c r="DF192" t="str">
        <v>Ex Jlr | Jlr (1N) - Hjr (1N) - Ban (2N) - Jlr</v>
      </c>
      <c r="DG192" t="str">
        <v>Ex Jlr | Jlr (1N) - Kan (1N) - Ban (2N) - Jlr</v>
      </c>
      <c r="DH192" t="str">
        <v>Ex Bho | Bho (1N) + San + Bhoj + Bhim - Tawa - Mad (1N) - Pch (2N) - Bho</v>
      </c>
      <c r="DI192" t="str">
        <v>Ex Idr | Idr - Ujj (1N) - Omk - Mah (1N) - Man (1N) - Idr (1N)</v>
      </c>
      <c r="DJ192" t="str">
        <v>Ex Bho | Bho (1N) - Bhoj - Bhim - Pch (3N) - Bho</v>
      </c>
      <c r="DK192" t="str">
        <v>Gwl (1N) - Dat (Pitambara Peeth) - Orc (1N) - Ckt (2N) - Ixd</v>
      </c>
      <c r="DL192" t="str">
        <v>Ex Jlr | Jlr - Ban (2N) - Kan (2N) - Jlr</v>
      </c>
      <c r="DM192" t="str">
        <v>Jlr - Ban (1N) - Kan (1N) - Pen (2N) - Nag</v>
      </c>
      <c r="DN192" t="str">
        <v>Ex Bho | Bho (1N) - Bhoj - Bhim - Pch (3N) - Bho</v>
      </c>
      <c r="DO192" t="str">
        <v>Ex Bho | Bho (2N) + Sanchi + Bhoj + Bhim - Tawa - Mad (1N) - Bho (1N)</v>
      </c>
      <c r="DP192" t="str">
        <v>Ex Bho | Bho - Bhoj - Bhim - Tawa (1N) - Mad (1N) - Pch (2N) - Bho</v>
      </c>
      <c r="DQ192" t="str">
        <v>Bho - Bhoj - Bhim - Pch (2N) - Kan (1N) - Jlr (1N)</v>
      </c>
      <c r="DR192" t="str">
        <v>Bho - Bhoj - Bhim - Pch (2N) - Kan (1N) - Amk (1N) - Jlr</v>
      </c>
      <c r="DS192" t="str">
        <v xml:space="preserve">Bho (1N) + Bhim + Bhoj + San - Ujj (1N) - Omk - Mah (1N) - Idr (1N) </v>
      </c>
      <c r="DT192" t="str">
        <v>Ex Gwl | Gwl - Hjr (1N) - Orc (1N) - Dat - Son - Gwl (2N)</v>
      </c>
      <c r="DU192" t="str">
        <v>Ex Gwl | Gwl - Orc (1N) - Hjr (1N) - Chn (1N) - Shiv (1N) - Gwl</v>
      </c>
      <c r="DV192" t="str">
        <v>Gwl - Hjr (1N) - Panna (1N) - Chit (1N) - Mahi (1N) - Sat</v>
      </c>
      <c r="DW192" t="str">
        <v>Jlr - (2 N) Kan - (2 N) Pch - Bhim - Bhoj - Bhp</v>
      </c>
      <c r="DX192" t="str">
        <v>Jlr - (2 N) Kan - (2 N) Pen - Rpr</v>
      </c>
      <c r="DY192" t="str">
        <v>Gwl (2N) (Ex Mor) - Dat -Orc (1N) - Hjr (1N) - Jhn</v>
      </c>
      <c r="DZ192" t="str">
        <v>Ex Gwl | Gwl (1N) - Son - Dat - Orc (1N) - Hjr (2N) (Ex Panna) - Gwl</v>
      </c>
      <c r="EA192" t="str">
        <v>Hjr (1N) - Orc (1N) - Dat - son - Gwl (2N)(Ex Mor)</v>
      </c>
      <c r="EB192" t="str">
        <v>(2 N) Gwl - (1 N) Orch - (1 N) Hjr</v>
      </c>
      <c r="EC192" t="str">
        <v>Ex Bhp | Bhp - Bhoj - Bhim - Pch (2N) - Mad (1N) - Tawa (1N) - Bhp</v>
      </c>
      <c r="ED192" t="str">
        <v>Ex Bhp | Bhp - Bhoj - Bhim - Pch (2N) - Mad (2N) - Bhp</v>
      </c>
      <c r="EE192" t="str">
        <v>Ex Idr | Idr - Ujj (1N) - Omk (1N) - Mah (2N) (Ex Man) - Idr (HDCT)</v>
      </c>
      <c r="EF192" t="str">
        <v>Arr Rpr - Amr (2N) - Par (2N) - IXD</v>
      </c>
      <c r="EG192" t="str">
        <v>1N Gwl - Orc - 2N Hjr - Jhn - 1N Gwl</v>
      </c>
      <c r="EH192" t="str">
        <v>1N Orc - 1N Hjr - 2N Gwl Ex Mor</v>
      </c>
      <c r="EI192" t="str">
        <v>1N Idr - Omk - 1N Mah - 1N Ujj - Seh - 1N Bho</v>
      </c>
      <c r="EJ192" t="str">
        <v>Ex Idr I 1N Idr - 1N Ujj - Omk - 2N Mah - Man - Idr</v>
      </c>
    </row>
    <row r="193" spans="2:145" ht="15" customHeight="1">
      <c r="B193" s="34">
        <v>189</v>
      </c>
      <c r="C193" s="36" t="s">
        <v>1615</v>
      </c>
      <c r="D193" s="76">
        <v>46213</v>
      </c>
      <c r="E193" s="37" t="str">
        <f>IF(Table5[[#This Row],[Query Date]]&lt;&gt;"", TEXT(Table5[[#This Row],[Query Date]], "dddd"), "")</f>
        <v>Friday</v>
      </c>
      <c r="F193" s="37" t="str">
        <f>IF(Table5[[#This Row],[Query Date]]&lt;&gt;"", TEXT(Table5[[#This Row],[Query Date]], "mmmm"), "")</f>
        <v>July</v>
      </c>
      <c r="G193" s="28" t="s">
        <v>113</v>
      </c>
      <c r="H193" s="28" t="s">
        <v>66</v>
      </c>
      <c r="I193" s="28" t="s">
        <v>67</v>
      </c>
      <c r="J193" s="28" t="s">
        <v>68</v>
      </c>
      <c r="K193" s="28" t="s">
        <v>178</v>
      </c>
      <c r="L193" s="25" t="s">
        <v>160</v>
      </c>
      <c r="M193" s="112" t="s">
        <v>90</v>
      </c>
      <c r="N193" s="25" t="s">
        <v>1616</v>
      </c>
      <c r="O193" s="130" t="s">
        <v>1617</v>
      </c>
      <c r="P193" s="31"/>
      <c r="Q193" s="77">
        <v>46276</v>
      </c>
      <c r="R193" s="77" t="str">
        <f>IF(Table5[[#This Row],[Tour Starting Date]]&lt;&gt;"", TEXT(Table5[[#This Row],[Tour Starting Date]], "dddd"), "")</f>
        <v>Friday</v>
      </c>
      <c r="S193" s="77">
        <v>46278</v>
      </c>
      <c r="T193" s="25" t="str">
        <f>IF(Table5[[#This Row],[Tour Ending Date]]&lt;&gt;"", TEXT(Table5[[#This Row],[Tour Ending Date]], "dddd"), "")</f>
        <v>Sunday</v>
      </c>
      <c r="U193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193" s="37" t="str">
        <f>IF(Table5[[#This Row],[Tour Starting Date]]&lt;&gt;"", TEXT(Table5[[#This Row],[Tour Starting Date]], "mmmm"), "")</f>
        <v>September</v>
      </c>
      <c r="W193" s="80" t="str" cm="1">
        <f t="array" ref="W193">IF(Q193&lt;&gt;"", INDEX(CI:CI, MATCH(1, (Q193&gt;=CG:CG)*(Q193&lt;=CH:CH), 0)), "")</f>
        <v>Regular Dates - Weekend</v>
      </c>
      <c r="X193" s="39">
        <v>2</v>
      </c>
      <c r="Y193" s="74">
        <v>12400</v>
      </c>
      <c r="Z193" s="74">
        <f>IF(OR(Table5[[#This Row],[Per Person Package Cost]]="", Table5[[#This Row],[No. of Pax]]=""), "", Table5[[#This Row],[Per Person Package Cost]] * Table5[[#This Row],[No. of Pax]])</f>
        <v>24800</v>
      </c>
      <c r="AA193" s="52" t="s">
        <v>75</v>
      </c>
      <c r="AB193" s="52" t="s">
        <v>75</v>
      </c>
      <c r="AC193" s="52" t="s">
        <v>173</v>
      </c>
      <c r="AD193" s="52" t="s">
        <v>364</v>
      </c>
      <c r="AE193" s="51" t="str">
        <f t="shared" si="9"/>
        <v>EXIDR03</v>
      </c>
      <c r="AF193" s="51" t="str">
        <f t="shared" si="10"/>
        <v>Temple Fort Odyssey</v>
      </c>
      <c r="AG193" s="74" t="str">
        <f t="shared" si="11"/>
        <v>Quick Getaways</v>
      </c>
      <c r="AH193" s="73" t="str">
        <f t="shared" si="12"/>
        <v>West MP</v>
      </c>
      <c r="AI193" s="52" t="s">
        <v>159</v>
      </c>
      <c r="AJ193" s="56" t="s">
        <v>115</v>
      </c>
      <c r="AK193" s="59" t="s">
        <v>79</v>
      </c>
      <c r="AL193" s="60" t="s">
        <v>80</v>
      </c>
      <c r="AM193" s="54" t="s">
        <v>80</v>
      </c>
      <c r="AN193" s="14">
        <v>46216</v>
      </c>
      <c r="AO193" s="15"/>
      <c r="AP193" s="91"/>
      <c r="AQ193" s="87"/>
      <c r="AR193" s="26"/>
      <c r="AS193" s="65"/>
      <c r="AT193" s="88" t="s">
        <v>138</v>
      </c>
      <c r="AU193" s="67"/>
      <c r="BX193" s="1">
        <v>189</v>
      </c>
      <c r="CN193" t="s">
        <v>1618</v>
      </c>
      <c r="DA193" t="str" cm="1">
        <f t="array" ref="DA193:DY193">IF(U193&lt;&gt;"", TRANSPOSE(_xlfn._xlws.FILTER(CZ:CZ, CY:CY=U193, "")), "")</f>
        <v>Gwl (2N) + Mor</v>
      </c>
      <c r="DB193" t="str">
        <v>Ex Idr | Idr - Ujj (1N) - Omk - Mah (1N) - Man - Idr</v>
      </c>
      <c r="DC193" t="str">
        <v>Ujj (1N) - Omk - Idr (1N)</v>
      </c>
      <c r="DD193" t="str">
        <v>Ex Jlr | Jlr - Kan (2N) - Jlr</v>
      </c>
      <c r="DE193" t="str">
        <v>Ex Jlr | Jlr - Ban (2N) - Jlr</v>
      </c>
      <c r="DF193" t="str">
        <v>Ex Bho | Bho (2N) + Bhim + Bhoj + San</v>
      </c>
      <c r="DG193" t="str">
        <v>Ex Idr | Idr - Man (2N) - Idr</v>
      </c>
      <c r="DH193" t="str">
        <v>Ex Jlr | Jlr - Kan (2N) - Jlr</v>
      </c>
      <c r="DI193" t="str">
        <v>Ex Bho | Bho (2N) + Bhim + Bhoj + San + HDCT Bho</v>
      </c>
      <c r="DJ193" t="str">
        <v>Ex Bho | Bho - Bhim - Tawa (1N) - Mad (1N) - Bho</v>
      </c>
      <c r="DK193" t="str">
        <v>Ujj (1N) - Omk - Mah (1N) - Idr</v>
      </c>
      <c r="DL193" t="str">
        <v>Ujj (1N) -  Idr (1N)</v>
      </c>
      <c r="DM193" t="str">
        <v>Ex Idr | Idr (2N) + Ujj + Omk + Mah</v>
      </c>
      <c r="DN193" t="str">
        <v>Idr - Mah - Omk (1N) - Ujj (1N)</v>
      </c>
      <c r="DO193" t="str">
        <v>Idr - Ujj (1N) - Mah - Omk (1N) - Khandwa</v>
      </c>
      <c r="DP193" t="str">
        <v>Ex Idr | Idr (EX Ujj) (1N) - Mah - Omk (1N) - Idr HDCT</v>
      </c>
      <c r="DQ193" t="str">
        <v>Ujj (1N) - Sehor - Bho (1N) HDCT</v>
      </c>
      <c r="DR193" t="str">
        <v>Ex Jlr | Jlr (1N) - Ban (1N)</v>
      </c>
      <c r="DS193" t="str">
        <v>Ex Jlr | Ban (1N)</v>
      </c>
      <c r="DT193" t="str">
        <v>Ex Jlr | Jlr (2 N) Kan</v>
      </c>
      <c r="DU193" t="str">
        <v>Ex Jlr | Jlr - Amr (1 N) - (1 N) Ban</v>
      </c>
      <c r="DV193" t="str">
        <v>Ex Rpr | Rpr - (2N) Kan</v>
      </c>
      <c r="DW193" t="str">
        <v>Hjr (1N) - Mahi (1N) - Sat</v>
      </c>
      <c r="DX193" t="str">
        <v>Ex Bhp | Bhp - Bhim - Pch (2N) - Bhp</v>
      </c>
      <c r="DY193" t="str">
        <v xml:space="preserve">Ex Ujj I 2N Ujj </v>
      </c>
    </row>
    <row r="194" spans="2:145" ht="15" customHeight="1">
      <c r="B194" s="35">
        <v>190</v>
      </c>
      <c r="C194" s="36" t="s">
        <v>1619</v>
      </c>
      <c r="D194" s="76">
        <v>46213</v>
      </c>
      <c r="E194" s="37" t="str">
        <f>IF(Table5[[#This Row],[Query Date]]&lt;&gt;"", TEXT(Table5[[#This Row],[Query Date]], "dddd"), "")</f>
        <v>Friday</v>
      </c>
      <c r="F194" s="37" t="str">
        <f>IF(Table5[[#This Row],[Query Date]]&lt;&gt;"", TEXT(Table5[[#This Row],[Query Date]], "mmmm"), "")</f>
        <v>July</v>
      </c>
      <c r="G194" s="28" t="s">
        <v>113</v>
      </c>
      <c r="H194" s="28" t="s">
        <v>66</v>
      </c>
      <c r="I194" s="28" t="s">
        <v>67</v>
      </c>
      <c r="J194" s="28" t="s">
        <v>68</v>
      </c>
      <c r="K194" s="28" t="s">
        <v>178</v>
      </c>
      <c r="L194" s="25" t="s">
        <v>160</v>
      </c>
      <c r="M194" s="112" t="s">
        <v>90</v>
      </c>
      <c r="N194" s="25" t="s">
        <v>1620</v>
      </c>
      <c r="O194" s="130" t="s">
        <v>1621</v>
      </c>
      <c r="P194" s="46"/>
      <c r="Q194" s="77">
        <v>46259</v>
      </c>
      <c r="R194" s="77" t="str">
        <f>IF(Table5[[#This Row],[Tour Starting Date]]&lt;&gt;"", TEXT(Table5[[#This Row],[Tour Starting Date]], "dddd"), "")</f>
        <v>Tuesday</v>
      </c>
      <c r="S194" s="77">
        <v>46261</v>
      </c>
      <c r="T194" s="25" t="str">
        <f>IF(Table5[[#This Row],[Tour Ending Date]]&lt;&gt;"", TEXT(Table5[[#This Row],[Tour Ending Date]], "dddd"), "")</f>
        <v>Thursday</v>
      </c>
      <c r="U194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194" s="37" t="str">
        <f>IF(Table5[[#This Row],[Tour Starting Date]]&lt;&gt;"", TEXT(Table5[[#This Row],[Tour Starting Date]], "mmmm"), "")</f>
        <v>August</v>
      </c>
      <c r="W194" s="80" t="str" cm="1">
        <f t="array" ref="W194">IF(Q194&lt;&gt;"", INDEX(CI:CI, MATCH(1, (Q194&gt;=CG:CG)*(Q194&lt;=CH:CH), 0)), "")</f>
        <v>Regular Dates - Weekday</v>
      </c>
      <c r="X194" s="39">
        <v>2</v>
      </c>
      <c r="Y194" s="74">
        <v>12500</v>
      </c>
      <c r="Z194" s="74">
        <f>IF(OR(Table5[[#This Row],[Per Person Package Cost]]="", Table5[[#This Row],[No. of Pax]]=""), "", Table5[[#This Row],[Per Person Package Cost]] * Table5[[#This Row],[No. of Pax]])</f>
        <v>25000</v>
      </c>
      <c r="AA194" s="52" t="s">
        <v>75</v>
      </c>
      <c r="AB194" s="52" t="s">
        <v>75</v>
      </c>
      <c r="AC194" s="52" t="s">
        <v>173</v>
      </c>
      <c r="AD194" s="52" t="s">
        <v>364</v>
      </c>
      <c r="AE194" s="51" t="str">
        <f t="shared" ref="AE194" si="13">IF(AD194&lt;&gt;"", INDEX(CW:CW, MATCH(AD194, CZ:CZ, 0)), "")</f>
        <v>EXIDR03</v>
      </c>
      <c r="AF194" s="51" t="str">
        <f t="shared" ref="AF194" si="14">IF(AD194&lt;&gt;"", INDEX(CX:CX, MATCH(AD194, CZ:CZ, 0)), "")</f>
        <v>Temple Fort Odyssey</v>
      </c>
      <c r="AG194" s="74" t="str">
        <f t="shared" ref="AG194" si="15">IF(AE194&lt;&gt;"", INDEX(CU:CU, MATCH(AE194, CW:CW, 0)), "")</f>
        <v>Quick Getaways</v>
      </c>
      <c r="AH194" s="73" t="str">
        <f t="shared" ref="AH194" si="16">IF(AD194&lt;&gt;"", INDEX(CV:CV, MATCH(AD194, CZ:CZ, 0)), "")</f>
        <v>West MP</v>
      </c>
      <c r="AI194" s="52" t="s">
        <v>159</v>
      </c>
      <c r="AJ194" s="56"/>
      <c r="AK194" s="59" t="s">
        <v>79</v>
      </c>
      <c r="AL194" s="60" t="s">
        <v>80</v>
      </c>
      <c r="AM194" s="54" t="s">
        <v>80</v>
      </c>
      <c r="AN194" s="14">
        <v>46216</v>
      </c>
      <c r="AO194" s="15"/>
      <c r="AP194" s="91"/>
      <c r="AQ194" s="87"/>
      <c r="AR194" s="26"/>
      <c r="AS194" s="65"/>
      <c r="AT194" s="88" t="s">
        <v>81</v>
      </c>
      <c r="AU194" s="67"/>
      <c r="BX194" s="1">
        <v>190</v>
      </c>
      <c r="CN194" s="103" t="s">
        <v>975</v>
      </c>
      <c r="DA194" t="str" cm="1">
        <f t="array" ref="DA194:DY194">IF(U194&lt;&gt;"", TRANSPOSE(_xlfn._xlws.FILTER(CZ:CZ, CY:CY=U194, "")), "")</f>
        <v>Gwl (2N) + Mor</v>
      </c>
      <c r="DB194" t="str">
        <v>Ex Idr | Idr - Ujj (1N) - Omk - Mah (1N) - Man - Idr</v>
      </c>
      <c r="DC194" t="str">
        <v>Ujj (1N) - Omk - Idr (1N)</v>
      </c>
      <c r="DD194" t="str">
        <v>Ex Jlr | Jlr - Kan (2N) - Jlr</v>
      </c>
      <c r="DE194" t="str">
        <v>Ex Jlr | Jlr - Ban (2N) - Jlr</v>
      </c>
      <c r="DF194" t="str">
        <v>Ex Bho | Bho (2N) + Bhim + Bhoj + San</v>
      </c>
      <c r="DG194" t="str">
        <v>Ex Idr | Idr - Man (2N) - Idr</v>
      </c>
      <c r="DH194" t="str">
        <v>Ex Jlr | Jlr - Kan (2N) - Jlr</v>
      </c>
      <c r="DI194" t="str">
        <v>Ex Bho | Bho (2N) + Bhim + Bhoj + San + HDCT Bho</v>
      </c>
      <c r="DJ194" t="str">
        <v>Ex Bho | Bho - Bhim - Tawa (1N) - Mad (1N) - Bho</v>
      </c>
      <c r="DK194" t="str">
        <v>Ujj (1N) - Omk - Mah (1N) - Idr</v>
      </c>
      <c r="DL194" t="str">
        <v>Ujj (1N) -  Idr (1N)</v>
      </c>
      <c r="DM194" t="str">
        <v>Ex Idr | Idr (2N) + Ujj + Omk + Mah</v>
      </c>
      <c r="DN194" t="str">
        <v>Idr - Mah - Omk (1N) - Ujj (1N)</v>
      </c>
      <c r="DO194" t="str">
        <v>Idr - Ujj (1N) - Mah - Omk (1N) - Khandwa</v>
      </c>
      <c r="DP194" t="str">
        <v>Ex Idr | Idr (EX Ujj) (1N) - Mah - Omk (1N) - Idr HDCT</v>
      </c>
      <c r="DQ194" t="str">
        <v>Ujj (1N) - Sehor - Bho (1N) HDCT</v>
      </c>
      <c r="DR194" t="str">
        <v>Ex Jlr | Jlr (1N) - Ban (1N)</v>
      </c>
      <c r="DS194" t="str">
        <v>Ex Jlr | Ban (1N)</v>
      </c>
      <c r="DT194" t="str">
        <v>Ex Jlr | Jlr (2 N) Kan</v>
      </c>
      <c r="DU194" t="str">
        <v>Ex Jlr | Jlr - Amr (1 N) - (1 N) Ban</v>
      </c>
      <c r="DV194" t="str">
        <v>Ex Rpr | Rpr - (2N) Kan</v>
      </c>
      <c r="DW194" t="str">
        <v>Hjr (1N) - Mahi (1N) - Sat</v>
      </c>
      <c r="DX194" t="str">
        <v>Ex Bhp | Bhp - Bhim - Pch (2N) - Bhp</v>
      </c>
      <c r="DY194" t="str">
        <v xml:space="preserve">Ex Ujj I 2N Ujj </v>
      </c>
    </row>
    <row r="195" spans="2:145" ht="15" customHeight="1">
      <c r="B195" s="34">
        <v>191</v>
      </c>
      <c r="C195" s="36" t="s">
        <v>1622</v>
      </c>
      <c r="D195" s="76">
        <v>46213</v>
      </c>
      <c r="E195" s="37" t="str">
        <f>IF(Table5[[#This Row],[Query Date]]&lt;&gt;"", TEXT(Table5[[#This Row],[Query Date]], "dddd"), "")</f>
        <v>Friday</v>
      </c>
      <c r="F195" s="37" t="str">
        <f>IF(Table5[[#This Row],[Query Date]]&lt;&gt;"", TEXT(Table5[[#This Row],[Query Date]], "mmmm"), "")</f>
        <v>July</v>
      </c>
      <c r="G195" s="28" t="s">
        <v>113</v>
      </c>
      <c r="H195" s="28" t="s">
        <v>66</v>
      </c>
      <c r="I195" s="28" t="s">
        <v>67</v>
      </c>
      <c r="J195" s="28" t="s">
        <v>68</v>
      </c>
      <c r="K195" s="28" t="s">
        <v>178</v>
      </c>
      <c r="L195" s="25" t="s">
        <v>160</v>
      </c>
      <c r="M195" s="112" t="s">
        <v>90</v>
      </c>
      <c r="N195" s="25" t="s">
        <v>1623</v>
      </c>
      <c r="O195" s="130" t="s">
        <v>1624</v>
      </c>
      <c r="P195" s="46"/>
      <c r="Q195" s="77">
        <v>46261</v>
      </c>
      <c r="R195" s="77" t="str">
        <f>IF(Table5[[#This Row],[Tour Starting Date]]&lt;&gt;"", TEXT(Table5[[#This Row],[Tour Starting Date]], "dddd"), "")</f>
        <v>Thursday</v>
      </c>
      <c r="S195" s="77">
        <v>46263</v>
      </c>
      <c r="T195" s="25" t="str">
        <f>IF(Table5[[#This Row],[Tour Ending Date]]&lt;&gt;"", TEXT(Table5[[#This Row],[Tour Ending Date]], "dddd"), "")</f>
        <v>Saturday</v>
      </c>
      <c r="U195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195" s="37" t="str">
        <f>IF(Table5[[#This Row],[Tour Starting Date]]&lt;&gt;"", TEXT(Table5[[#This Row],[Tour Starting Date]], "mmmm"), "")</f>
        <v>August</v>
      </c>
      <c r="W195" s="80" t="str" cm="1">
        <f t="array" ref="W195">IF(Q195&lt;&gt;"", INDEX(CI:CI, MATCH(1, (Q195&gt;=CG:CG)*(Q195&lt;=CH:CH), 0)), "")</f>
        <v>Regular Dates - Weekday</v>
      </c>
      <c r="X195" s="39">
        <v>2</v>
      </c>
      <c r="Y195" s="74">
        <v>11300</v>
      </c>
      <c r="Z195" s="74">
        <f>IF(OR(Table5[[#This Row],[Per Person Package Cost]]="", Table5[[#This Row],[No. of Pax]]=""), "", Table5[[#This Row],[Per Person Package Cost]] * Table5[[#This Row],[No. of Pax]])</f>
        <v>22600</v>
      </c>
      <c r="AA195" s="52" t="s">
        <v>75</v>
      </c>
      <c r="AB195" s="52" t="s">
        <v>75</v>
      </c>
      <c r="AC195" s="52" t="s">
        <v>76</v>
      </c>
      <c r="AD195" s="52" t="s">
        <v>364</v>
      </c>
      <c r="AE195" s="51" t="str">
        <f t="shared" ref="AE195" si="17">IF(AD195&lt;&gt;"", INDEX(CW:CW, MATCH(AD195, CZ:CZ, 0)), "")</f>
        <v>EXIDR03</v>
      </c>
      <c r="AF195" s="51" t="str">
        <f t="shared" ref="AF195" si="18">IF(AD195&lt;&gt;"", INDEX(CX:CX, MATCH(AD195, CZ:CZ, 0)), "")</f>
        <v>Temple Fort Odyssey</v>
      </c>
      <c r="AG195" s="74" t="str">
        <f t="shared" ref="AG195" si="19">IF(AE195&lt;&gt;"", INDEX(CU:CU, MATCH(AE195, CW:CW, 0)), "")</f>
        <v>Quick Getaways</v>
      </c>
      <c r="AH195" s="73" t="str">
        <f t="shared" ref="AH195" si="20">IF(AD195&lt;&gt;"", INDEX(CV:CV, MATCH(AD195, CZ:CZ, 0)), "")</f>
        <v>West MP</v>
      </c>
      <c r="AI195" s="52" t="s">
        <v>159</v>
      </c>
      <c r="AJ195" s="56" t="s">
        <v>115</v>
      </c>
      <c r="AK195" s="59" t="s">
        <v>79</v>
      </c>
      <c r="AL195" s="60" t="s">
        <v>80</v>
      </c>
      <c r="AM195" s="54" t="s">
        <v>80</v>
      </c>
      <c r="AN195" s="14">
        <v>46216</v>
      </c>
      <c r="AO195" s="15"/>
      <c r="AP195" s="91"/>
      <c r="AQ195" s="87"/>
      <c r="AR195" s="26"/>
      <c r="AS195" s="65"/>
      <c r="AT195" s="88" t="s">
        <v>138</v>
      </c>
      <c r="AU195" s="67"/>
      <c r="BX195" s="1">
        <v>191</v>
      </c>
      <c r="CN195" t="s">
        <v>1625</v>
      </c>
      <c r="DA195" t="str" cm="1">
        <f t="array" ref="DA195:DY195">IF(U195&lt;&gt;"", TRANSPOSE(_xlfn._xlws.FILTER(CZ:CZ, CY:CY=U195, "")), "")</f>
        <v>Gwl (2N) + Mor</v>
      </c>
      <c r="DB195" t="str">
        <v>Ex Idr | Idr - Ujj (1N) - Omk - Mah (1N) - Man - Idr</v>
      </c>
      <c r="DC195" t="str">
        <v>Ujj (1N) - Omk - Idr (1N)</v>
      </c>
      <c r="DD195" t="str">
        <v>Ex Jlr | Jlr - Kan (2N) - Jlr</v>
      </c>
      <c r="DE195" t="str">
        <v>Ex Jlr | Jlr - Ban (2N) - Jlr</v>
      </c>
      <c r="DF195" t="str">
        <v>Ex Bho | Bho (2N) + Bhim + Bhoj + San</v>
      </c>
      <c r="DG195" t="str">
        <v>Ex Idr | Idr - Man (2N) - Idr</v>
      </c>
      <c r="DH195" t="str">
        <v>Ex Jlr | Jlr - Kan (2N) - Jlr</v>
      </c>
      <c r="DI195" t="str">
        <v>Ex Bho | Bho (2N) + Bhim + Bhoj + San + HDCT Bho</v>
      </c>
      <c r="DJ195" t="str">
        <v>Ex Bho | Bho - Bhim - Tawa (1N) - Mad (1N) - Bho</v>
      </c>
      <c r="DK195" t="str">
        <v>Ujj (1N) - Omk - Mah (1N) - Idr</v>
      </c>
      <c r="DL195" t="str">
        <v>Ujj (1N) -  Idr (1N)</v>
      </c>
      <c r="DM195" t="str">
        <v>Ex Idr | Idr (2N) + Ujj + Omk + Mah</v>
      </c>
      <c r="DN195" t="str">
        <v>Idr - Mah - Omk (1N) - Ujj (1N)</v>
      </c>
      <c r="DO195" t="str">
        <v>Idr - Ujj (1N) - Mah - Omk (1N) - Khandwa</v>
      </c>
      <c r="DP195" t="str">
        <v>Ex Idr | Idr (EX Ujj) (1N) - Mah - Omk (1N) - Idr HDCT</v>
      </c>
      <c r="DQ195" t="str">
        <v>Ujj (1N) - Sehor - Bho (1N) HDCT</v>
      </c>
      <c r="DR195" t="str">
        <v>Ex Jlr | Jlr (1N) - Ban (1N)</v>
      </c>
      <c r="DS195" t="str">
        <v>Ex Jlr | Ban (1N)</v>
      </c>
      <c r="DT195" t="str">
        <v>Ex Jlr | Jlr (2 N) Kan</v>
      </c>
      <c r="DU195" t="str">
        <v>Ex Jlr | Jlr - Amr (1 N) - (1 N) Ban</v>
      </c>
      <c r="DV195" t="str">
        <v>Ex Rpr | Rpr - (2N) Kan</v>
      </c>
      <c r="DW195" t="str">
        <v>Hjr (1N) - Mahi (1N) - Sat</v>
      </c>
      <c r="DX195" t="str">
        <v>Ex Bhp | Bhp - Bhim - Pch (2N) - Bhp</v>
      </c>
      <c r="DY195" t="str">
        <v xml:space="preserve">Ex Ujj I 2N Ujj </v>
      </c>
    </row>
    <row r="196" spans="2:145" ht="15" customHeight="1">
      <c r="B196" s="35">
        <v>192</v>
      </c>
      <c r="C196" s="36" t="s">
        <v>1626</v>
      </c>
      <c r="D196" s="76">
        <v>46214</v>
      </c>
      <c r="E196" s="37" t="str">
        <f>IF(Table5[[#This Row],[Query Date]]&lt;&gt;"", TEXT(Table5[[#This Row],[Query Date]], "dddd"), "")</f>
        <v>Saturday</v>
      </c>
      <c r="F196" s="37" t="str">
        <f>IF(Table5[[#This Row],[Query Date]]&lt;&gt;"", TEXT(Table5[[#This Row],[Query Date]], "mmmm"), "")</f>
        <v>July</v>
      </c>
      <c r="G196" s="28" t="s">
        <v>65</v>
      </c>
      <c r="H196" s="28" t="s">
        <v>66</v>
      </c>
      <c r="I196" s="28" t="s">
        <v>67</v>
      </c>
      <c r="J196" s="28" t="s">
        <v>68</v>
      </c>
      <c r="K196" s="28" t="s">
        <v>644</v>
      </c>
      <c r="L196" s="25" t="s">
        <v>70</v>
      </c>
      <c r="M196" s="125"/>
      <c r="N196" s="25" t="s">
        <v>1557</v>
      </c>
      <c r="O196" s="130" t="s">
        <v>1558</v>
      </c>
      <c r="P196" s="31" t="s">
        <v>1559</v>
      </c>
      <c r="Q196" s="77">
        <v>46227</v>
      </c>
      <c r="R196" s="77" t="str">
        <f>IF(Table5[[#This Row],[Tour Starting Date]]&lt;&gt;"", TEXT(Table5[[#This Row],[Tour Starting Date]], "dddd"), "")</f>
        <v>Friday</v>
      </c>
      <c r="S196" s="77">
        <v>46229</v>
      </c>
      <c r="T196" s="25" t="str">
        <f>IF(Table5[[#This Row],[Tour Ending Date]]&lt;&gt;"", TEXT(Table5[[#This Row],[Tour Ending Date]], "dddd"), "")</f>
        <v>Sunday</v>
      </c>
      <c r="U196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196" s="37" t="str">
        <f>IF(Table5[[#This Row],[Tour Starting Date]]&lt;&gt;"", TEXT(Table5[[#This Row],[Tour Starting Date]], "mmmm"), "")</f>
        <v>July</v>
      </c>
      <c r="W196" s="80" t="str" cm="1">
        <f t="array" ref="W196">IF(Q196&lt;&gt;"", INDEX(CI:CI, MATCH(1, (Q196&gt;=CG:CG)*(Q196&lt;=CH:CH), 0)), "")</f>
        <v>Regular Dates - Weekend</v>
      </c>
      <c r="X196" s="39">
        <v>12</v>
      </c>
      <c r="Y196" s="74">
        <v>6800</v>
      </c>
      <c r="Z196" s="74">
        <f>IF(OR(Table5[[#This Row],[Per Person Package Cost]]="", Table5[[#This Row],[No. of Pax]]=""), "", Table5[[#This Row],[Per Person Package Cost]] * Table5[[#This Row],[No. of Pax]])</f>
        <v>81600</v>
      </c>
      <c r="AA196" s="52" t="s">
        <v>75</v>
      </c>
      <c r="AB196" s="52" t="s">
        <v>75</v>
      </c>
      <c r="AC196" s="52" t="s">
        <v>76</v>
      </c>
      <c r="AD196" s="52" t="s">
        <v>352</v>
      </c>
      <c r="AE196" s="51" t="str">
        <f t="shared" si="9"/>
        <v>EXIDR02</v>
      </c>
      <c r="AF196" s="51" t="str">
        <f t="shared" si="10"/>
        <v>Jyotirlinga Trails</v>
      </c>
      <c r="AG196" s="74" t="str">
        <f t="shared" si="11"/>
        <v>Quick Getaways</v>
      </c>
      <c r="AH196" s="73" t="str">
        <f t="shared" si="12"/>
        <v>West MP</v>
      </c>
      <c r="AI196" s="52" t="s">
        <v>159</v>
      </c>
      <c r="AJ196" s="56"/>
      <c r="AK196" s="59" t="s">
        <v>79</v>
      </c>
      <c r="AL196" s="60" t="s">
        <v>80</v>
      </c>
      <c r="AM196" s="54" t="s">
        <v>80</v>
      </c>
      <c r="AN196" s="14">
        <v>46216</v>
      </c>
      <c r="AO196" s="15"/>
      <c r="AP196" s="91"/>
      <c r="AQ196" s="87"/>
      <c r="AR196" s="26"/>
      <c r="AS196" s="65"/>
      <c r="AT196" s="88" t="s">
        <v>81</v>
      </c>
      <c r="AU196" s="67"/>
      <c r="BX196" s="1">
        <v>192</v>
      </c>
      <c r="CN196" t="s">
        <v>1627</v>
      </c>
      <c r="DA196" t="str" cm="1">
        <f t="array" ref="DA196:DY196">IF(U196&lt;&gt;"", TRANSPOSE(_xlfn._xlws.FILTER(CZ:CZ, CY:CY=U196, "")), "")</f>
        <v>Gwl (2N) + Mor</v>
      </c>
      <c r="DB196" t="str">
        <v>Ex Idr | Idr - Ujj (1N) - Omk - Mah (1N) - Man - Idr</v>
      </c>
      <c r="DC196" t="str">
        <v>Ujj (1N) - Omk - Idr (1N)</v>
      </c>
      <c r="DD196" t="str">
        <v>Ex Jlr | Jlr - Kan (2N) - Jlr</v>
      </c>
      <c r="DE196" t="str">
        <v>Ex Jlr | Jlr - Ban (2N) - Jlr</v>
      </c>
      <c r="DF196" t="str">
        <v>Ex Bho | Bho (2N) + Bhim + Bhoj + San</v>
      </c>
      <c r="DG196" t="str">
        <v>Ex Idr | Idr - Man (2N) - Idr</v>
      </c>
      <c r="DH196" t="str">
        <v>Ex Jlr | Jlr - Kan (2N) - Jlr</v>
      </c>
      <c r="DI196" t="str">
        <v>Ex Bho | Bho (2N) + Bhim + Bhoj + San + HDCT Bho</v>
      </c>
      <c r="DJ196" t="str">
        <v>Ex Bho | Bho - Bhim - Tawa (1N) - Mad (1N) - Bho</v>
      </c>
      <c r="DK196" t="str">
        <v>Ujj (1N) - Omk - Mah (1N) - Idr</v>
      </c>
      <c r="DL196" t="str">
        <v>Ujj (1N) -  Idr (1N)</v>
      </c>
      <c r="DM196" t="str">
        <v>Ex Idr | Idr (2N) + Ujj + Omk + Mah</v>
      </c>
      <c r="DN196" t="str">
        <v>Idr - Mah - Omk (1N) - Ujj (1N)</v>
      </c>
      <c r="DO196" t="str">
        <v>Idr - Ujj (1N) - Mah - Omk (1N) - Khandwa</v>
      </c>
      <c r="DP196" t="str">
        <v>Ex Idr | Idr (EX Ujj) (1N) - Mah - Omk (1N) - Idr HDCT</v>
      </c>
      <c r="DQ196" t="str">
        <v>Ujj (1N) - Sehor - Bho (1N) HDCT</v>
      </c>
      <c r="DR196" t="str">
        <v>Ex Jlr | Jlr (1N) - Ban (1N)</v>
      </c>
      <c r="DS196" t="str">
        <v>Ex Jlr | Ban (1N)</v>
      </c>
      <c r="DT196" t="str">
        <v>Ex Jlr | Jlr (2 N) Kan</v>
      </c>
      <c r="DU196" t="str">
        <v>Ex Jlr | Jlr - Amr (1 N) - (1 N) Ban</v>
      </c>
      <c r="DV196" t="str">
        <v>Ex Rpr | Rpr - (2N) Kan</v>
      </c>
      <c r="DW196" t="str">
        <v>Hjr (1N) - Mahi (1N) - Sat</v>
      </c>
      <c r="DX196" t="str">
        <v>Ex Bhp | Bhp - Bhim - Pch (2N) - Bhp</v>
      </c>
      <c r="DY196" t="str">
        <v xml:space="preserve">Ex Ujj I 2N Ujj </v>
      </c>
    </row>
    <row r="197" spans="2:145" ht="15" customHeight="1">
      <c r="B197" s="34">
        <v>193</v>
      </c>
      <c r="C197" s="36" t="s">
        <v>1628</v>
      </c>
      <c r="D197" s="76">
        <v>46216</v>
      </c>
      <c r="E197" s="37" t="str">
        <f>IF(Table5[[#This Row],[Query Date]]&lt;&gt;"", TEXT(Table5[[#This Row],[Query Date]], "dddd"), "")</f>
        <v>Monday</v>
      </c>
      <c r="F197" s="37" t="str">
        <f>IF(Table5[[#This Row],[Query Date]]&lt;&gt;"", TEXT(Table5[[#This Row],[Query Date]], "mmmm"), "")</f>
        <v>July</v>
      </c>
      <c r="G197" s="28" t="s">
        <v>65</v>
      </c>
      <c r="H197" s="28" t="s">
        <v>66</v>
      </c>
      <c r="I197" s="28" t="s">
        <v>67</v>
      </c>
      <c r="J197" s="28" t="s">
        <v>145</v>
      </c>
      <c r="K197" s="28" t="s">
        <v>69</v>
      </c>
      <c r="L197" s="25" t="s">
        <v>70</v>
      </c>
      <c r="M197" s="112" t="s">
        <v>266</v>
      </c>
      <c r="N197" s="25" t="s">
        <v>635</v>
      </c>
      <c r="O197" s="130" t="s">
        <v>636</v>
      </c>
      <c r="P197" s="46" t="s">
        <v>637</v>
      </c>
      <c r="Q197" s="77">
        <v>46217</v>
      </c>
      <c r="R197" s="77" t="str">
        <f>IF(Table5[[#This Row],[Tour Starting Date]]&lt;&gt;"", TEXT(Table5[[#This Row],[Tour Starting Date]], "dddd"), "")</f>
        <v>Tuesday</v>
      </c>
      <c r="S197" s="77">
        <v>46217</v>
      </c>
      <c r="T197" s="25" t="str">
        <f>IF(Table5[[#This Row],[Tour Ending Date]]&lt;&gt;"", TEXT(Table5[[#This Row],[Tour Ending Date]], "dddd"), "")</f>
        <v>Tuesday</v>
      </c>
      <c r="U197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0 Nights &amp; 1 Days</v>
      </c>
      <c r="V197" s="37" t="str">
        <f>IF(Table5[[#This Row],[Tour Starting Date]]&lt;&gt;"", TEXT(Table5[[#This Row],[Tour Starting Date]], "mmmm"), "")</f>
        <v>July</v>
      </c>
      <c r="W197" s="80" t="str" cm="1">
        <f t="array" ref="W197">IF(Q197&lt;&gt;"", INDEX(CI:CI, MATCH(1, (Q197&gt;=CG:CG)*(Q197&lt;=CH:CH), 0)), "")</f>
        <v>Regular Dates - Weekday</v>
      </c>
      <c r="X197" s="39">
        <v>1</v>
      </c>
      <c r="Y197" s="74">
        <v>5700</v>
      </c>
      <c r="Z197" s="74">
        <f>IF(OR(Table5[[#This Row],[Per Person Package Cost]]="", Table5[[#This Row],[No. of Pax]]=""), "", Table5[[#This Row],[Per Person Package Cost]] * Table5[[#This Row],[No. of Pax]])</f>
        <v>5700</v>
      </c>
      <c r="AA197" s="52" t="s">
        <v>205</v>
      </c>
      <c r="AB197" s="52" t="s">
        <v>75</v>
      </c>
      <c r="AC197" s="52" t="s">
        <v>76</v>
      </c>
      <c r="AD197" s="52" t="s">
        <v>335</v>
      </c>
      <c r="AE197" s="51" t="str">
        <f t="shared" ref="AE197:AE260" si="21">IF(AD197&lt;&gt;"", INDEX(CW:CW, MATCH(AD197, CZ:CZ, 0)), "")</f>
        <v>EXIDR01</v>
      </c>
      <c r="AF197" s="51" t="str">
        <f t="shared" ref="AF197:AF260" si="22">IF(AD197&lt;&gt;"", INDEX(CX:CX, MATCH(AD197, CZ:CZ, 0)), "")</f>
        <v>Mahakaal Darshan</v>
      </c>
      <c r="AG197" s="74" t="str">
        <f t="shared" ref="AG197:AG260" si="23">IF(AE197&lt;&gt;"", INDEX(CU:CU, MATCH(AE197, CW:CW, 0)), "")</f>
        <v>Quick Getaways</v>
      </c>
      <c r="AH197" s="73" t="str">
        <f t="shared" si="12"/>
        <v>West MP</v>
      </c>
      <c r="AI197" s="52" t="s">
        <v>107</v>
      </c>
      <c r="AJ197" s="56" t="s">
        <v>78</v>
      </c>
      <c r="AK197" s="59" t="s">
        <v>79</v>
      </c>
      <c r="AL197" s="60" t="s">
        <v>80</v>
      </c>
      <c r="AM197" s="54" t="s">
        <v>80</v>
      </c>
      <c r="AN197" s="14"/>
      <c r="AO197" s="15"/>
      <c r="AP197" s="91"/>
      <c r="AQ197" s="87"/>
      <c r="AR197" s="26"/>
      <c r="AS197" s="65"/>
      <c r="AT197" s="88" t="s">
        <v>85</v>
      </c>
      <c r="AU197" s="67"/>
      <c r="BX197" s="1">
        <v>193</v>
      </c>
      <c r="CN197" s="104" t="s">
        <v>1629</v>
      </c>
      <c r="DA197" t="str" cm="1">
        <f t="array" ref="DA197">IF(U197&lt;&gt;"", TRANSPOSE(_xlfn._xlws.FILTER(CZ:CZ, CY:CY=U197, "")), "")</f>
        <v/>
      </c>
    </row>
    <row r="198" spans="2:145" ht="15" customHeight="1">
      <c r="B198" s="35">
        <v>194</v>
      </c>
      <c r="C198" s="36" t="s">
        <v>1630</v>
      </c>
      <c r="D198" s="76">
        <v>46216</v>
      </c>
      <c r="E198" s="37" t="str">
        <f>IF(Table5[[#This Row],[Query Date]]&lt;&gt;"", TEXT(Table5[[#This Row],[Query Date]], "dddd"), "")</f>
        <v>Monday</v>
      </c>
      <c r="F198" s="37" t="str">
        <f>IF(Table5[[#This Row],[Query Date]]&lt;&gt;"", TEXT(Table5[[#This Row],[Query Date]], "mmmm"), "")</f>
        <v>July</v>
      </c>
      <c r="G198" s="28" t="s">
        <v>65</v>
      </c>
      <c r="H198" s="28" t="s">
        <v>66</v>
      </c>
      <c r="I198" s="28" t="s">
        <v>67</v>
      </c>
      <c r="J198" s="28" t="s">
        <v>276</v>
      </c>
      <c r="K198" s="28" t="s">
        <v>69</v>
      </c>
      <c r="L198" s="25" t="s">
        <v>70</v>
      </c>
      <c r="M198" s="112" t="s">
        <v>1421</v>
      </c>
      <c r="N198" s="25" t="s">
        <v>1631</v>
      </c>
      <c r="O198" s="130" t="s">
        <v>1632</v>
      </c>
      <c r="P198" s="46" t="s">
        <v>1633</v>
      </c>
      <c r="Q198" s="77">
        <v>46327</v>
      </c>
      <c r="R198" s="77" t="str">
        <f>IF(Table5[[#This Row],[Tour Starting Date]]&lt;&gt;"", TEXT(Table5[[#This Row],[Tour Starting Date]], "dddd"), "")</f>
        <v>Sunday</v>
      </c>
      <c r="S198" s="77">
        <v>46333</v>
      </c>
      <c r="T198" s="25" t="str">
        <f>IF(Table5[[#This Row],[Tour Ending Date]]&lt;&gt;"", TEXT(Table5[[#This Row],[Tour Ending Date]], "dddd"), "")</f>
        <v>Saturday</v>
      </c>
      <c r="U198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6 Nights &amp; 7 Days</v>
      </c>
      <c r="V198" s="37" t="str">
        <f>IF(Table5[[#This Row],[Tour Starting Date]]&lt;&gt;"", TEXT(Table5[[#This Row],[Tour Starting Date]], "mmmm"), "")</f>
        <v>November</v>
      </c>
      <c r="W198" s="80" t="str" cm="1">
        <f t="array" ref="W198">IF(Q198&lt;&gt;"", INDEX(CI:CI, MATCH(1, (Q198&gt;=CG:CG)*(Q198&lt;=CH:CH), 0)), "")</f>
        <v>Regular Dates - Weekend</v>
      </c>
      <c r="X198" s="39">
        <v>2</v>
      </c>
      <c r="Y198" s="74">
        <v>218600</v>
      </c>
      <c r="Z198" s="74">
        <f>IF(OR(Table5[[#This Row],[Per Person Package Cost]]="", Table5[[#This Row],[No. of Pax]]=""), "", Table5[[#This Row],[Per Person Package Cost]] * Table5[[#This Row],[No. of Pax]])</f>
        <v>437200</v>
      </c>
      <c r="AA198" s="52" t="s">
        <v>133</v>
      </c>
      <c r="AB198" s="52" t="s">
        <v>270</v>
      </c>
      <c r="AC198" s="52" t="s">
        <v>76</v>
      </c>
      <c r="AD198" s="52"/>
      <c r="AE198" s="51" t="str">
        <f t="shared" si="21"/>
        <v/>
      </c>
      <c r="AF198" s="51" t="str">
        <f t="shared" si="22"/>
        <v/>
      </c>
      <c r="AG198" s="74" t="str">
        <f t="shared" si="23"/>
        <v/>
      </c>
      <c r="AH198" s="73" t="str">
        <f t="shared" si="12"/>
        <v/>
      </c>
      <c r="AI198" s="52" t="s">
        <v>107</v>
      </c>
      <c r="AJ198" s="56" t="s">
        <v>78</v>
      </c>
      <c r="AK198" s="59" t="s">
        <v>79</v>
      </c>
      <c r="AL198" s="60" t="s">
        <v>80</v>
      </c>
      <c r="AM198" s="54" t="s">
        <v>80</v>
      </c>
      <c r="AN198" s="14">
        <v>46219</v>
      </c>
      <c r="AO198" s="15">
        <v>46231</v>
      </c>
      <c r="AP198" s="91">
        <v>46254</v>
      </c>
      <c r="AQ198" s="87"/>
      <c r="AR198" s="26"/>
      <c r="AS198" s="65"/>
      <c r="AT198" s="88" t="s">
        <v>138</v>
      </c>
      <c r="AU198" s="67"/>
      <c r="BX198" s="1">
        <v>194</v>
      </c>
      <c r="CN198" t="s">
        <v>1634</v>
      </c>
      <c r="DA198" t="str" cm="1">
        <f t="array" ref="DA198:DZ198">IF(U198&lt;&gt;"", TRANSPOSE(_xlfn._xlws.FILTER(CZ:CZ, CY:CY=U198, "")), "")</f>
        <v>Ex Gwl | Gwl (2N) + Mor - Orc - Pan (2N) - Hjr (1N) - Dat - Son - Gwl (1N)</v>
      </c>
      <c r="DB198" t="str">
        <v>Ex Gwl | GWL (2N) + Mor - Shiv - Chan (2N) - Hjr (1N) - Orc (1N) - Dat - Gwl</v>
      </c>
      <c r="DC198" t="str">
        <v>Gwl (2N) + Mor - Son - Dat - Orc (1N) - Hjr (1N) - Ban (1N) - Jlr (1N)</v>
      </c>
      <c r="DD198" t="str">
        <v>Idr - Ujj (1N) - Omk - Mah (1N) - Man (2N) - Bhp (2N) + Bhim + Bhoj + San</v>
      </c>
      <c r="DE198" t="str">
        <v>Bhp (1N) + Bhim + Bhoj + San - Ujj (1N) - Man (2N) - Mah - Omk (1N) - Idr (1N)</v>
      </c>
      <c r="DF198" t="str">
        <v>Jlr (1N) - Ban (1N) - Hjr (1N) - Orc (1N) - Dat - Son - Gwl (2N) + Mor</v>
      </c>
      <c r="DG198" t="str">
        <v>Bho (1N) + San - Bhoj - Bhim - Tawa (1N) - Mad (1N) - Pch (2N) - Jlr (1N)</v>
      </c>
      <c r="DH198" t="str">
        <v>Bho (1N) + San + Udaygiri - Bhoj - Bhim - Pch (2N) - Kan(2N) - Jlr (1N)</v>
      </c>
      <c r="DI198" t="str">
        <v>Bho (1N) + Bhim + Bhoj - San - Ujj (1N) - Man (2N) - Mah - Omk (1N) - Idr (1N)</v>
      </c>
      <c r="DJ198" t="str">
        <v>Gwl (2N) + Mor - Son - Dat - Orc (1N) - Hjr (1N) - Jab (1N) - Kan (1N) - Nag</v>
      </c>
      <c r="DK198" t="str">
        <v>Bho (2N) + San + Bhoj + Bhim - Ujj (1N) - Omk - Mah (1N) - Man (1N) - Idr (1N)</v>
      </c>
      <c r="DL198" t="str">
        <v>Ex Nag | Nag - Pch (2N) - Bhim - Bhoj - Bho (2N) + San + Udaygiri - Jlr (1N) - Kan (1N) - Nag</v>
      </c>
      <c r="DM198" t="str">
        <v>Bho (1N) - Mad (2N) + Tawa Cruise Safari - Pch (2N) - Jlr (1N) - Nag</v>
      </c>
      <c r="DN198" t="str">
        <v>Idr - Man (2N) - Idr (1N) - Bho (1N) + San - Bhoj - Bhim - Pch (2N) - Bho</v>
      </c>
      <c r="DO198" t="str">
        <v>Rpr - kan (2N) - Ban (1N) - Jlr (1N) - Mad (2N) - Bhim - Bhoj - Bho</v>
      </c>
      <c r="DP198" t="str">
        <v>Jlr - Amar (1 N) - Ban (2 N) - Kan (1N) - Pch (2N) - Ppi</v>
      </c>
      <c r="DQ198" t="str">
        <v>Jlr - (2N) Kan - (1N) Jlr - Bhim - Bhoj - (2N) Bho  (Ex San &amp; Uda)  - (1N) Ujj - Idr</v>
      </c>
      <c r="DR198" t="str">
        <v>Ex Nag | Nag (2 N) Pach - Bhim - Bhij - (2 N) Bho (Ex San &amp; Uad) - (1 N) Jlr - (1 N) Kan - Nag</v>
      </c>
      <c r="DS198" t="str">
        <v>(2 N) Bho (Ex San, Bhoj &amp; Bhim) - (1 N) Ujj - Omk - (1 N) Mah - (1 N) Man - (1 N) Idr</v>
      </c>
      <c r="DT198" t="str">
        <v>(2 N) Gwl (Ex Mor) - Son - Dat - (1 N) Orc - (1 N) Hjr - (1 N) Jlr - (1 N) Kan - Nag</v>
      </c>
      <c r="DU198" t="str">
        <v>(1 N) Jlr - (2 N) Kanha - (2 N Pach) - (1 N) BHo</v>
      </c>
      <c r="DV198" t="str">
        <v>(2 N) Gwl - (1 N) Orc - (1 N) Hjr - (1 N) Ban - (1 N) Jlr</v>
      </c>
      <c r="DW198" t="str">
        <v>(2 N) BHo - (2 N) Madhai - (1 N) Pach - (1 N) Jlr</v>
      </c>
      <c r="DX198" t="str">
        <v>Ex Bhp | Bhp - Bhoj - Bhim - Pach (3N) - Tawa - Mad - Tawa (1N) - Mad (1N) - Bho (1N)</v>
      </c>
      <c r="DY198" t="str">
        <v>Ex Idr I Idr - 2N Ujj - 1N Man - 1N Mah - 1N Omk - 1N Idr</v>
      </c>
      <c r="DZ198" t="str">
        <v>1N Jlr - 1N Kan - 1N Ban - 1N Hjr -2N Gwl</v>
      </c>
    </row>
    <row r="199" spans="2:145" ht="15" customHeight="1">
      <c r="B199" s="34">
        <v>195</v>
      </c>
      <c r="C199" s="36" t="s">
        <v>1635</v>
      </c>
      <c r="D199" s="76">
        <v>46216</v>
      </c>
      <c r="E199" s="37" t="str">
        <f>IF(Table5[[#This Row],[Query Date]]&lt;&gt;"", TEXT(Table5[[#This Row],[Query Date]], "dddd"), "")</f>
        <v>Monday</v>
      </c>
      <c r="F199" s="37" t="str">
        <f>IF(Table5[[#This Row],[Query Date]]&lt;&gt;"", TEXT(Table5[[#This Row],[Query Date]], "mmmm"), "")</f>
        <v>July</v>
      </c>
      <c r="G199" s="28" t="s">
        <v>113</v>
      </c>
      <c r="H199" s="28" t="s">
        <v>99</v>
      </c>
      <c r="I199" s="28" t="s">
        <v>67</v>
      </c>
      <c r="J199" s="28" t="s">
        <v>68</v>
      </c>
      <c r="K199" s="28" t="s">
        <v>178</v>
      </c>
      <c r="L199" s="25" t="s">
        <v>160</v>
      </c>
      <c r="M199" s="114" t="s">
        <v>90</v>
      </c>
      <c r="N199" s="25" t="s">
        <v>1636</v>
      </c>
      <c r="O199" s="130" t="s">
        <v>1637</v>
      </c>
      <c r="P199" s="46" t="s">
        <v>1638</v>
      </c>
      <c r="Q199" s="77">
        <v>46254</v>
      </c>
      <c r="R199" s="77" t="str">
        <f>IF(Table5[[#This Row],[Tour Starting Date]]&lt;&gt;"", TEXT(Table5[[#This Row],[Tour Starting Date]], "dddd"), "")</f>
        <v>Thursday</v>
      </c>
      <c r="S199" s="77">
        <v>46256</v>
      </c>
      <c r="T199" s="25" t="str">
        <f>IF(Table5[[#This Row],[Tour Ending Date]]&lt;&gt;"", TEXT(Table5[[#This Row],[Tour Ending Date]], "dddd"), "")</f>
        <v>Saturday</v>
      </c>
      <c r="U199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199" s="37" t="str">
        <f>IF(Table5[[#This Row],[Tour Starting Date]]&lt;&gt;"", TEXT(Table5[[#This Row],[Tour Starting Date]], "mmmm"), "")</f>
        <v>August</v>
      </c>
      <c r="W199" s="80" t="str" cm="1">
        <f t="array" ref="W199">IF(Q199&lt;&gt;"", INDEX(CI:CI, MATCH(1, (Q199&gt;=CG:CG)*(Q199&lt;=CH:CH), 0)), "")</f>
        <v>Regular Dates - Weekday</v>
      </c>
      <c r="X199" s="39">
        <v>3</v>
      </c>
      <c r="Y199" s="74">
        <v>7900</v>
      </c>
      <c r="Z199" s="74">
        <f>IF(OR(Table5[[#This Row],[Per Person Package Cost]]="", Table5[[#This Row],[No. of Pax]]=""), "", Table5[[#This Row],[Per Person Package Cost]] * Table5[[#This Row],[No. of Pax]])</f>
        <v>23700</v>
      </c>
      <c r="AA199" s="52" t="s">
        <v>75</v>
      </c>
      <c r="AB199" s="52" t="s">
        <v>75</v>
      </c>
      <c r="AC199" s="52" t="s">
        <v>76</v>
      </c>
      <c r="AD199" s="52" t="s">
        <v>352</v>
      </c>
      <c r="AE199" s="51" t="str">
        <f t="shared" si="21"/>
        <v>EXIDR02</v>
      </c>
      <c r="AF199" s="51" t="str">
        <f t="shared" si="22"/>
        <v>Jyotirlinga Trails</v>
      </c>
      <c r="AG199" s="74" t="str">
        <f t="shared" si="23"/>
        <v>Quick Getaways</v>
      </c>
      <c r="AH199" s="73" t="str">
        <f t="shared" si="12"/>
        <v>West MP</v>
      </c>
      <c r="AI199" s="52" t="s">
        <v>107</v>
      </c>
      <c r="AJ199" s="56"/>
      <c r="AK199" s="59" t="s">
        <v>79</v>
      </c>
      <c r="AL199" s="60" t="s">
        <v>80</v>
      </c>
      <c r="AM199" s="54" t="s">
        <v>80</v>
      </c>
      <c r="AN199" s="14">
        <v>46219</v>
      </c>
      <c r="AO199" s="15"/>
      <c r="AP199" s="91"/>
      <c r="AQ199" s="87"/>
      <c r="AR199" s="26"/>
      <c r="AS199" s="65"/>
      <c r="AT199" s="88" t="s">
        <v>81</v>
      </c>
      <c r="AU199" s="67" t="s">
        <v>82</v>
      </c>
      <c r="BX199" s="1">
        <v>195</v>
      </c>
      <c r="CN199" t="s">
        <v>1639</v>
      </c>
      <c r="DA199" t="str" cm="1">
        <f t="array" ref="DA199:DY199">IF(U199&lt;&gt;"", TRANSPOSE(_xlfn._xlws.FILTER(CZ:CZ, CY:CY=U199, "")), "")</f>
        <v>Gwl (2N) + Mor</v>
      </c>
      <c r="DB199" t="str">
        <v>Ex Idr | Idr - Ujj (1N) - Omk - Mah (1N) - Man - Idr</v>
      </c>
      <c r="DC199" t="str">
        <v>Ujj (1N) - Omk - Idr (1N)</v>
      </c>
      <c r="DD199" t="str">
        <v>Ex Jlr | Jlr - Kan (2N) - Jlr</v>
      </c>
      <c r="DE199" t="str">
        <v>Ex Jlr | Jlr - Ban (2N) - Jlr</v>
      </c>
      <c r="DF199" t="str">
        <v>Ex Bho | Bho (2N) + Bhim + Bhoj + San</v>
      </c>
      <c r="DG199" t="str">
        <v>Ex Idr | Idr - Man (2N) - Idr</v>
      </c>
      <c r="DH199" t="str">
        <v>Ex Jlr | Jlr - Kan (2N) - Jlr</v>
      </c>
      <c r="DI199" t="str">
        <v>Ex Bho | Bho (2N) + Bhim + Bhoj + San + HDCT Bho</v>
      </c>
      <c r="DJ199" t="str">
        <v>Ex Bho | Bho - Bhim - Tawa (1N) - Mad (1N) - Bho</v>
      </c>
      <c r="DK199" t="str">
        <v>Ujj (1N) - Omk - Mah (1N) - Idr</v>
      </c>
      <c r="DL199" t="str">
        <v>Ujj (1N) -  Idr (1N)</v>
      </c>
      <c r="DM199" t="str">
        <v>Ex Idr | Idr (2N) + Ujj + Omk + Mah</v>
      </c>
      <c r="DN199" t="str">
        <v>Idr - Mah - Omk (1N) - Ujj (1N)</v>
      </c>
      <c r="DO199" t="str">
        <v>Idr - Ujj (1N) - Mah - Omk (1N) - Khandwa</v>
      </c>
      <c r="DP199" t="str">
        <v>Ex Idr | Idr (EX Ujj) (1N) - Mah - Omk (1N) - Idr HDCT</v>
      </c>
      <c r="DQ199" t="str">
        <v>Ujj (1N) - Sehor - Bho (1N) HDCT</v>
      </c>
      <c r="DR199" t="str">
        <v>Ex Jlr | Jlr (1N) - Ban (1N)</v>
      </c>
      <c r="DS199" t="str">
        <v>Ex Jlr | Ban (1N)</v>
      </c>
      <c r="DT199" t="str">
        <v>Ex Jlr | Jlr (2 N) Kan</v>
      </c>
      <c r="DU199" t="str">
        <v>Ex Jlr | Jlr - Amr (1 N) - (1 N) Ban</v>
      </c>
      <c r="DV199" t="str">
        <v>Ex Rpr | Rpr - (2N) Kan</v>
      </c>
      <c r="DW199" t="str">
        <v>Hjr (1N) - Mahi (1N) - Sat</v>
      </c>
      <c r="DX199" t="str">
        <v>Ex Bhp | Bhp - Bhim - Pch (2N) - Bhp</v>
      </c>
      <c r="DY199" t="str">
        <v xml:space="preserve">Ex Ujj I 2N Ujj </v>
      </c>
    </row>
    <row r="200" spans="2:145" ht="15" customHeight="1">
      <c r="B200" s="35">
        <v>196</v>
      </c>
      <c r="C200" s="36" t="s">
        <v>1640</v>
      </c>
      <c r="D200" s="76">
        <v>46216</v>
      </c>
      <c r="E200" s="37" t="str">
        <f>IF(Table5[[#This Row],[Query Date]]&lt;&gt;"", TEXT(Table5[[#This Row],[Query Date]], "dddd"), "")</f>
        <v>Monday</v>
      </c>
      <c r="F200" s="37" t="str">
        <f>IF(Table5[[#This Row],[Query Date]]&lt;&gt;"", TEXT(Table5[[#This Row],[Query Date]], "mmmm"), "")</f>
        <v>July</v>
      </c>
      <c r="G200" s="28" t="s">
        <v>113</v>
      </c>
      <c r="H200" s="28" t="s">
        <v>99</v>
      </c>
      <c r="I200" s="28" t="s">
        <v>67</v>
      </c>
      <c r="J200" s="28" t="s">
        <v>68</v>
      </c>
      <c r="K200" s="28" t="s">
        <v>246</v>
      </c>
      <c r="L200" s="25" t="s">
        <v>160</v>
      </c>
      <c r="M200" s="112" t="s">
        <v>90</v>
      </c>
      <c r="N200" s="25" t="s">
        <v>1641</v>
      </c>
      <c r="O200" s="130" t="s">
        <v>1642</v>
      </c>
      <c r="P200" s="46" t="s">
        <v>1638</v>
      </c>
      <c r="Q200" s="77">
        <v>46240</v>
      </c>
      <c r="R200" s="77" t="str">
        <f>IF(Table5[[#This Row],[Tour Starting Date]]&lt;&gt;"", TEXT(Table5[[#This Row],[Tour Starting Date]], "dddd"), "")</f>
        <v>Thursday</v>
      </c>
      <c r="S200" s="77">
        <v>46243</v>
      </c>
      <c r="T200" s="25" t="str">
        <f>IF(Table5[[#This Row],[Tour Ending Date]]&lt;&gt;"", TEXT(Table5[[#This Row],[Tour Ending Date]], "dddd"), "")</f>
        <v>Sunday</v>
      </c>
      <c r="U200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200" s="37" t="str">
        <f>IF(Table5[[#This Row],[Tour Starting Date]]&lt;&gt;"", TEXT(Table5[[#This Row],[Tour Starting Date]], "mmmm"), "")</f>
        <v>August</v>
      </c>
      <c r="W200" s="80" t="str" cm="1">
        <f t="array" ref="W200">IF(Q200&lt;&gt;"", INDEX(CI:CI, MATCH(1, (Q200&gt;=CG:CG)*(Q200&lt;=CH:CH), 0)), "")</f>
        <v>Regular Dates - Weekday</v>
      </c>
      <c r="X200" s="39">
        <v>2</v>
      </c>
      <c r="Y200" s="74">
        <v>13500</v>
      </c>
      <c r="Z200" s="74">
        <f>IF(OR(Table5[[#This Row],[Per Person Package Cost]]="", Table5[[#This Row],[No. of Pax]]=""), "", Table5[[#This Row],[Per Person Package Cost]] * Table5[[#This Row],[No. of Pax]])</f>
        <v>27000</v>
      </c>
      <c r="AA200" s="52" t="s">
        <v>75</v>
      </c>
      <c r="AB200" s="52" t="s">
        <v>75</v>
      </c>
      <c r="AC200" s="52" t="s">
        <v>76</v>
      </c>
      <c r="AD200" s="52" t="s">
        <v>352</v>
      </c>
      <c r="AE200" s="51" t="str">
        <f t="shared" si="21"/>
        <v>EXIDR02</v>
      </c>
      <c r="AF200" s="51" t="str">
        <f t="shared" si="22"/>
        <v>Jyotirlinga Trails</v>
      </c>
      <c r="AG200" s="74" t="str">
        <f t="shared" si="23"/>
        <v>Quick Getaways</v>
      </c>
      <c r="AH200" s="73" t="str">
        <f t="shared" si="12"/>
        <v>West MP</v>
      </c>
      <c r="AI200" s="52" t="s">
        <v>107</v>
      </c>
      <c r="AJ200" s="56"/>
      <c r="AK200" s="59" t="s">
        <v>79</v>
      </c>
      <c r="AL200" s="60" t="s">
        <v>80</v>
      </c>
      <c r="AM200" s="54" t="s">
        <v>80</v>
      </c>
      <c r="AN200" s="14">
        <v>46219</v>
      </c>
      <c r="AO200" s="15"/>
      <c r="AP200" s="91"/>
      <c r="AQ200" s="87"/>
      <c r="AR200" s="26"/>
      <c r="AS200" s="65"/>
      <c r="AT200" s="88" t="s">
        <v>81</v>
      </c>
      <c r="AU200" s="67" t="s">
        <v>82</v>
      </c>
      <c r="BX200" s="1">
        <v>196</v>
      </c>
      <c r="CN200" t="s">
        <v>1643</v>
      </c>
      <c r="DA200" t="str" cm="1">
        <f t="array" ref="DA200:EO200">IF(U200&lt;&gt;"", TRANSPOSE(_xlfn._xlws.FILTER(CZ:CZ, CY:CY=U200, "")), "")</f>
        <v>Gwl (3N) + Mor + Son + Dat + Orc</v>
      </c>
      <c r="DB200" t="str">
        <v>Ex Gwl | Gwl (1N) - Son - Dat - Orc (1N) - Gwl (1N)</v>
      </c>
      <c r="DC200" t="str">
        <v>Ex Idr | Idr - Ujj (1N) - Omk - Mah (1N) - Man (1N) - Idr</v>
      </c>
      <c r="DD200" t="str">
        <v>Ex Jlr | Jlr - Kan (2N) - Jlr (1N)</v>
      </c>
      <c r="DE200" t="str">
        <v>Ex Jlr | Jlr - Ban (2N) - Jlr (1N)</v>
      </c>
      <c r="DF200" t="str">
        <v>Ex Bho | Bho (1N) + San - Bhoj - Bhim - Pch (2N) - Bho</v>
      </c>
      <c r="DG200" t="str">
        <v>Ex Idr | Idr (1N) - Ujj (1N) - Omk (1N) - Mah - Idr</v>
      </c>
      <c r="DH200" t="str">
        <v>Gwl - Orc (1N) - Ckt (1N) - Myr (1N) - Jlr</v>
      </c>
      <c r="DI200" t="str">
        <v>Gwl - Orc (1N) - Ckt (2N) - Ixd</v>
      </c>
      <c r="DJ200" t="str">
        <v>Ex Idr | Idr - Ujj (1N) - Omk - Mah (1N) - Idr (1N)</v>
      </c>
      <c r="DK200" t="str">
        <v>Ex Jlr | Jlr - Kan (3N) - Jlr</v>
      </c>
      <c r="DL200" t="str">
        <v>Ex Bho | Bho (2N) + Bhim + Bhoj + San + Udaygiri + Vidisha + FDCT Bho</v>
      </c>
      <c r="DM200" t="str">
        <v>Bho (1N) + Bhim + Bhoj - HDCT  Bho + Sanchi - Ujj (2N)</v>
      </c>
      <c r="DN200" t="str">
        <v>Bho (1N) + Bhim + Bhoj - HDCT  Bho + Sanchi - Ujj (2N) - Idr</v>
      </c>
      <c r="DO200" t="str">
        <v>Ex Bho | Bho - Bhoj - Bhim - Mad (1N) - Pch (2N) - Bho</v>
      </c>
      <c r="DP200" t="str">
        <v>Ex Bho | Bho - Bhoj - Bhim - Mad (1N) - Pch (3N) - Bho</v>
      </c>
      <c r="DQ200" t="str">
        <v>Ex Bho | Bho - Bhoj - Bhim - Tawa (1N) - Mad (1N) - Bho (1N)</v>
      </c>
      <c r="DR200" t="str">
        <v>Bho (1N) - Bhim - Bhoj - San - Idr (2N) + Ujj</v>
      </c>
      <c r="DS200" t="str">
        <v>Bho (1N) - Bhoj - Bhim - Pch (2N) - Bho</v>
      </c>
      <c r="DT200" t="str">
        <v>Ujj (1N) - Omk - Mah (1N) - Idr (1N)</v>
      </c>
      <c r="DU200" t="str">
        <v>Ujj (1N) - Omk - Mah (1N) - Man (1N) - Idr</v>
      </c>
      <c r="DV200" t="str">
        <v>Ex Idr | Idr (1N) - Ujj (1N) - Omk - Mah (1N)</v>
      </c>
      <c r="DW200" t="str">
        <v>Ex Idr | Idr - Ujj (1N) - Omk (1N) - Mah (1N) - Idr</v>
      </c>
      <c r="DX200" t="str">
        <v>Khandwa - Omk (1N) - Mah (1N) - Ujj (1N) - Idr</v>
      </c>
      <c r="DY200" t="str">
        <v>Ex Idr | Idr - Ujj (1N) - Omk - Mah (1N) - Man - Idr (1N)</v>
      </c>
      <c r="DZ200" t="str">
        <v xml:space="preserve">Idr - Omk (1N) - Mah - Ujj (1N) San - Bho (1N) </v>
      </c>
      <c r="EA200" t="str">
        <v>Ex Idr | Idr - Man (1N) - Mah - Omk (1N) - Ujj (1N) - Idr</v>
      </c>
      <c r="EB200" t="str">
        <v>Khandwa - Omk (1N) - Mah - Ujj (2N)</v>
      </c>
      <c r="EC200" t="str">
        <v>Ex Jlr | Jlr (1N) - Amr (1N) - Ban (1N) - Jlr</v>
      </c>
      <c r="ED200" t="str">
        <v>Ex Jlr | Jlr - (1 N) Ban - (2 N) Amar</v>
      </c>
      <c r="EE200" t="str">
        <v>Jlr - Kan (1N) - Pch (2N)</v>
      </c>
      <c r="EF200" t="str">
        <v>Pi - Pch (2N)  - Kan (1N)</v>
      </c>
      <c r="EG200" t="str">
        <v>Ex Jlr | Jlr - Amr (1 N) - (1 N) Ban - (1 N) Jlr</v>
      </c>
      <c r="EH200" t="str">
        <v>Ppi - (2 N) Pch - (1 N) Pen</v>
      </c>
      <c r="EI200" t="str">
        <v>Bhp - Pch (2N) - Jlr (1N)</v>
      </c>
      <c r="EJ200" t="str">
        <v xml:space="preserve">Arr Jhn - Hjr (1N) - Orc - Gwl (2N) </v>
      </c>
      <c r="EK200" t="str">
        <v>(1 N) Ujj - (1 N) Mah - (1 N) Idr</v>
      </c>
      <c r="EL200" t="str">
        <v>Ex Bhp | Bhp - Bhoj - Bhim - Pch (3N) - Bhp</v>
      </c>
      <c r="EM200" t="str">
        <v>Ex Bhp | Bhp - Bhoj - Bhim - Pch (2N) - Mad (1N) - Bhp</v>
      </c>
      <c r="EN200" t="str">
        <v xml:space="preserve">Ex Nag - 3N Pch + Sat </v>
      </c>
      <c r="EO200" t="str">
        <v>1N Gwl - Son - Dat - 1N Hjr - 1N Orc - Jhn</v>
      </c>
    </row>
    <row r="201" spans="2:145" ht="15" customHeight="1">
      <c r="B201" s="34">
        <v>197</v>
      </c>
      <c r="C201" s="36" t="s">
        <v>1644</v>
      </c>
      <c r="D201" s="76">
        <v>46216</v>
      </c>
      <c r="E201" s="37" t="str">
        <f>IF(Table5[[#This Row],[Query Date]]&lt;&gt;"", TEXT(Table5[[#This Row],[Query Date]], "dddd"), "")</f>
        <v>Monday</v>
      </c>
      <c r="F201" s="37" t="str">
        <f>IF(Table5[[#This Row],[Query Date]]&lt;&gt;"", TEXT(Table5[[#This Row],[Query Date]], "mmmm"), "")</f>
        <v>July</v>
      </c>
      <c r="G201" s="28" t="s">
        <v>113</v>
      </c>
      <c r="H201" s="28" t="s">
        <v>99</v>
      </c>
      <c r="I201" s="28" t="s">
        <v>67</v>
      </c>
      <c r="J201" s="28" t="s">
        <v>68</v>
      </c>
      <c r="K201" s="28" t="s">
        <v>1645</v>
      </c>
      <c r="L201" s="25" t="s">
        <v>160</v>
      </c>
      <c r="M201" s="112" t="s">
        <v>90</v>
      </c>
      <c r="N201" s="25" t="s">
        <v>1646</v>
      </c>
      <c r="O201" s="137" t="s">
        <v>1647</v>
      </c>
      <c r="P201" s="46" t="s">
        <v>1638</v>
      </c>
      <c r="Q201" s="77">
        <v>46244</v>
      </c>
      <c r="R201" s="77" t="str">
        <f>IF(Table5[[#This Row],[Tour Starting Date]]&lt;&gt;"", TEXT(Table5[[#This Row],[Tour Starting Date]], "dddd"), "")</f>
        <v>Monday</v>
      </c>
      <c r="S201" s="77">
        <v>46246</v>
      </c>
      <c r="T201" s="25" t="str">
        <f>IF(Table5[[#This Row],[Tour Ending Date]]&lt;&gt;"", TEXT(Table5[[#This Row],[Tour Ending Date]], "dddd"), "")</f>
        <v>Wednesday</v>
      </c>
      <c r="U201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201" s="37" t="str">
        <f>IF(Table5[[#This Row],[Tour Starting Date]]&lt;&gt;"", TEXT(Table5[[#This Row],[Tour Starting Date]], "mmmm"), "")</f>
        <v>August</v>
      </c>
      <c r="W201" s="80" t="str" cm="1">
        <f t="array" ref="W201">IF(Q201&lt;&gt;"", INDEX(CI:CI, MATCH(1, (Q201&gt;=CG:CG)*(Q201&lt;=CH:CH), 0)), "")</f>
        <v>Regular Dates - Weekday</v>
      </c>
      <c r="X201" s="39">
        <v>2</v>
      </c>
      <c r="Y201" s="74">
        <v>10200</v>
      </c>
      <c r="Z201" s="74">
        <f>IF(OR(Table5[[#This Row],[Per Person Package Cost]]="", Table5[[#This Row],[No. of Pax]]=""), "", Table5[[#This Row],[Per Person Package Cost]] * Table5[[#This Row],[No. of Pax]])</f>
        <v>20400</v>
      </c>
      <c r="AA201" s="52" t="s">
        <v>75</v>
      </c>
      <c r="AB201" s="52" t="s">
        <v>75</v>
      </c>
      <c r="AC201" s="52" t="s">
        <v>76</v>
      </c>
      <c r="AD201" s="52" t="s">
        <v>352</v>
      </c>
      <c r="AE201" s="51" t="str">
        <f t="shared" si="21"/>
        <v>EXIDR02</v>
      </c>
      <c r="AF201" s="51" t="str">
        <f t="shared" si="22"/>
        <v>Jyotirlinga Trails</v>
      </c>
      <c r="AG201" s="74" t="str">
        <f t="shared" si="23"/>
        <v>Quick Getaways</v>
      </c>
      <c r="AH201" s="73" t="str">
        <f t="shared" si="12"/>
        <v>West MP</v>
      </c>
      <c r="AI201" s="52" t="s">
        <v>77</v>
      </c>
      <c r="AJ201" s="56"/>
      <c r="AK201" s="59" t="s">
        <v>79</v>
      </c>
      <c r="AL201" s="60" t="s">
        <v>80</v>
      </c>
      <c r="AM201" s="54" t="s">
        <v>80</v>
      </c>
      <c r="AN201" s="14"/>
      <c r="AO201" s="15"/>
      <c r="AP201" s="91"/>
      <c r="AQ201" s="87"/>
      <c r="AR201" s="26"/>
      <c r="AS201" s="65"/>
      <c r="AT201" s="88" t="s">
        <v>81</v>
      </c>
      <c r="AU201" s="67" t="s">
        <v>82</v>
      </c>
      <c r="BX201" s="1">
        <v>197</v>
      </c>
      <c r="CN201" s="9" t="s">
        <v>1648</v>
      </c>
      <c r="DA201" t="str" cm="1">
        <f t="array" ref="DA201:DY201">IF(U201&lt;&gt;"", TRANSPOSE(_xlfn._xlws.FILTER(CZ:CZ, CY:CY=U201, "")), "")</f>
        <v>Gwl (2N) + Mor</v>
      </c>
      <c r="DB201" t="str">
        <v>Ex Idr | Idr - Ujj (1N) - Omk - Mah (1N) - Man - Idr</v>
      </c>
      <c r="DC201" t="str">
        <v>Ujj (1N) - Omk - Idr (1N)</v>
      </c>
      <c r="DD201" t="str">
        <v>Ex Jlr | Jlr - Kan (2N) - Jlr</v>
      </c>
      <c r="DE201" t="str">
        <v>Ex Jlr | Jlr - Ban (2N) - Jlr</v>
      </c>
      <c r="DF201" t="str">
        <v>Ex Bho | Bho (2N) + Bhim + Bhoj + San</v>
      </c>
      <c r="DG201" t="str">
        <v>Ex Idr | Idr - Man (2N) - Idr</v>
      </c>
      <c r="DH201" t="str">
        <v>Ex Jlr | Jlr - Kan (2N) - Jlr</v>
      </c>
      <c r="DI201" t="str">
        <v>Ex Bho | Bho (2N) + Bhim + Bhoj + San + HDCT Bho</v>
      </c>
      <c r="DJ201" t="str">
        <v>Ex Bho | Bho - Bhim - Tawa (1N) - Mad (1N) - Bho</v>
      </c>
      <c r="DK201" t="str">
        <v>Ujj (1N) - Omk - Mah (1N) - Idr</v>
      </c>
      <c r="DL201" t="str">
        <v>Ujj (1N) -  Idr (1N)</v>
      </c>
      <c r="DM201" t="str">
        <v>Ex Idr | Idr (2N) + Ujj + Omk + Mah</v>
      </c>
      <c r="DN201" t="str">
        <v>Idr - Mah - Omk (1N) - Ujj (1N)</v>
      </c>
      <c r="DO201" t="str">
        <v>Idr - Ujj (1N) - Mah - Omk (1N) - Khandwa</v>
      </c>
      <c r="DP201" t="str">
        <v>Ex Idr | Idr (EX Ujj) (1N) - Mah - Omk (1N) - Idr HDCT</v>
      </c>
      <c r="DQ201" t="str">
        <v>Ujj (1N) - Sehor - Bho (1N) HDCT</v>
      </c>
      <c r="DR201" t="str">
        <v>Ex Jlr | Jlr (1N) - Ban (1N)</v>
      </c>
      <c r="DS201" t="str">
        <v>Ex Jlr | Ban (1N)</v>
      </c>
      <c r="DT201" t="str">
        <v>Ex Jlr | Jlr (2 N) Kan</v>
      </c>
      <c r="DU201" t="str">
        <v>Ex Jlr | Jlr - Amr (1 N) - (1 N) Ban</v>
      </c>
      <c r="DV201" t="str">
        <v>Ex Rpr | Rpr - (2N) Kan</v>
      </c>
      <c r="DW201" t="str">
        <v>Hjr (1N) - Mahi (1N) - Sat</v>
      </c>
      <c r="DX201" t="str">
        <v>Ex Bhp | Bhp - Bhim - Pch (2N) - Bhp</v>
      </c>
      <c r="DY201" t="str">
        <v xml:space="preserve">Ex Ujj I 2N Ujj </v>
      </c>
    </row>
    <row r="202" spans="2:145" ht="15" customHeight="1">
      <c r="B202" s="35">
        <v>198</v>
      </c>
      <c r="C202" s="36" t="s">
        <v>1649</v>
      </c>
      <c r="D202" s="76">
        <v>46216</v>
      </c>
      <c r="E202" s="37" t="str">
        <f>IF(Table5[[#This Row],[Query Date]]&lt;&gt;"", TEXT(Table5[[#This Row],[Query Date]], "dddd"), "")</f>
        <v>Monday</v>
      </c>
      <c r="F202" s="37" t="str">
        <f>IF(Table5[[#This Row],[Query Date]]&lt;&gt;"", TEXT(Table5[[#This Row],[Query Date]], "mmmm"), "")</f>
        <v>July</v>
      </c>
      <c r="G202" s="28" t="s">
        <v>113</v>
      </c>
      <c r="H202" s="28" t="s">
        <v>99</v>
      </c>
      <c r="I202" s="28" t="s">
        <v>67</v>
      </c>
      <c r="J202" s="28" t="s">
        <v>68</v>
      </c>
      <c r="K202" s="28" t="s">
        <v>178</v>
      </c>
      <c r="L202" s="25" t="s">
        <v>160</v>
      </c>
      <c r="M202" s="112" t="s">
        <v>90</v>
      </c>
      <c r="N202" s="25" t="s">
        <v>1650</v>
      </c>
      <c r="O202" s="138"/>
      <c r="P202" s="46" t="s">
        <v>1638</v>
      </c>
      <c r="Q202" s="77">
        <v>46277</v>
      </c>
      <c r="R202" s="77" t="str">
        <f>IF(Table5[[#This Row],[Tour Starting Date]]&lt;&gt;"", TEXT(Table5[[#This Row],[Tour Starting Date]], "dddd"), "")</f>
        <v>Saturday</v>
      </c>
      <c r="S202" s="77">
        <v>46279</v>
      </c>
      <c r="T202" s="25" t="str">
        <f>IF(Table5[[#This Row],[Tour Ending Date]]&lt;&gt;"", TEXT(Table5[[#This Row],[Tour Ending Date]], "dddd"), "")</f>
        <v>Monday</v>
      </c>
      <c r="U202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202" s="37" t="str">
        <f>IF(Table5[[#This Row],[Tour Starting Date]]&lt;&gt;"", TEXT(Table5[[#This Row],[Tour Starting Date]], "mmmm"), "")</f>
        <v>September</v>
      </c>
      <c r="W202" s="80" t="str" cm="1">
        <f t="array" ref="W202">IF(Q202&lt;&gt;"", INDEX(CI:CI, MATCH(1, (Q202&gt;=CG:CG)*(Q202&lt;=CH:CH), 0)), "")</f>
        <v>Regular Dates - Weekend</v>
      </c>
      <c r="X202" s="39">
        <v>1</v>
      </c>
      <c r="Y202" s="74">
        <v>19500</v>
      </c>
      <c r="Z202" s="74">
        <f>IF(OR(Table5[[#This Row],[Per Person Package Cost]]="", Table5[[#This Row],[No. of Pax]]=""), "", Table5[[#This Row],[Per Person Package Cost]] * Table5[[#This Row],[No. of Pax]])</f>
        <v>19500</v>
      </c>
      <c r="AA202" s="52" t="s">
        <v>75</v>
      </c>
      <c r="AB202" s="52" t="s">
        <v>75</v>
      </c>
      <c r="AC202" s="52" t="s">
        <v>76</v>
      </c>
      <c r="AD202" s="52" t="s">
        <v>352</v>
      </c>
      <c r="AE202" s="51" t="str">
        <f t="shared" si="21"/>
        <v>EXIDR02</v>
      </c>
      <c r="AF202" s="51" t="str">
        <f t="shared" si="22"/>
        <v>Jyotirlinga Trails</v>
      </c>
      <c r="AG202" s="74" t="str">
        <f t="shared" si="23"/>
        <v>Quick Getaways</v>
      </c>
      <c r="AH202" s="73" t="str">
        <f t="shared" si="12"/>
        <v>West MP</v>
      </c>
      <c r="AI202" s="52" t="s">
        <v>77</v>
      </c>
      <c r="AJ202" s="56" t="s">
        <v>115</v>
      </c>
      <c r="AK202" s="59" t="s">
        <v>79</v>
      </c>
      <c r="AL202" s="60" t="s">
        <v>80</v>
      </c>
      <c r="AM202" s="54" t="s">
        <v>80</v>
      </c>
      <c r="AN202" s="14"/>
      <c r="AO202" s="15"/>
      <c r="AP202" s="91"/>
      <c r="AQ202" s="87"/>
      <c r="AR202" s="26"/>
      <c r="AS202" s="65"/>
      <c r="AT202" s="88" t="s">
        <v>138</v>
      </c>
      <c r="AU202" s="67"/>
      <c r="BX202" s="1">
        <v>198</v>
      </c>
      <c r="CN202" s="9" t="s">
        <v>1651</v>
      </c>
      <c r="DA202" t="str" cm="1">
        <f t="array" ref="DA202:DY202">IF(U202&lt;&gt;"", TRANSPOSE(_xlfn._xlws.FILTER(CZ:CZ, CY:CY=U202, "")), "")</f>
        <v>Gwl (2N) + Mor</v>
      </c>
      <c r="DB202" t="str">
        <v>Ex Idr | Idr - Ujj (1N) - Omk - Mah (1N) - Man - Idr</v>
      </c>
      <c r="DC202" t="str">
        <v>Ujj (1N) - Omk - Idr (1N)</v>
      </c>
      <c r="DD202" t="str">
        <v>Ex Jlr | Jlr - Kan (2N) - Jlr</v>
      </c>
      <c r="DE202" t="str">
        <v>Ex Jlr | Jlr - Ban (2N) - Jlr</v>
      </c>
      <c r="DF202" t="str">
        <v>Ex Bho | Bho (2N) + Bhim + Bhoj + San</v>
      </c>
      <c r="DG202" t="str">
        <v>Ex Idr | Idr - Man (2N) - Idr</v>
      </c>
      <c r="DH202" t="str">
        <v>Ex Jlr | Jlr - Kan (2N) - Jlr</v>
      </c>
      <c r="DI202" t="str">
        <v>Ex Bho | Bho (2N) + Bhim + Bhoj + San + HDCT Bho</v>
      </c>
      <c r="DJ202" t="str">
        <v>Ex Bho | Bho - Bhim - Tawa (1N) - Mad (1N) - Bho</v>
      </c>
      <c r="DK202" t="str">
        <v>Ujj (1N) - Omk - Mah (1N) - Idr</v>
      </c>
      <c r="DL202" t="str">
        <v>Ujj (1N) -  Idr (1N)</v>
      </c>
      <c r="DM202" t="str">
        <v>Ex Idr | Idr (2N) + Ujj + Omk + Mah</v>
      </c>
      <c r="DN202" t="str">
        <v>Idr - Mah - Omk (1N) - Ujj (1N)</v>
      </c>
      <c r="DO202" t="str">
        <v>Idr - Ujj (1N) - Mah - Omk (1N) - Khandwa</v>
      </c>
      <c r="DP202" t="str">
        <v>Ex Idr | Idr (EX Ujj) (1N) - Mah - Omk (1N) - Idr HDCT</v>
      </c>
      <c r="DQ202" t="str">
        <v>Ujj (1N) - Sehor - Bho (1N) HDCT</v>
      </c>
      <c r="DR202" t="str">
        <v>Ex Jlr | Jlr (1N) - Ban (1N)</v>
      </c>
      <c r="DS202" t="str">
        <v>Ex Jlr | Ban (1N)</v>
      </c>
      <c r="DT202" t="str">
        <v>Ex Jlr | Jlr (2 N) Kan</v>
      </c>
      <c r="DU202" t="str">
        <v>Ex Jlr | Jlr - Amr (1 N) - (1 N) Ban</v>
      </c>
      <c r="DV202" t="str">
        <v>Ex Rpr | Rpr - (2N) Kan</v>
      </c>
      <c r="DW202" t="str">
        <v>Hjr (1N) - Mahi (1N) - Sat</v>
      </c>
      <c r="DX202" t="str">
        <v>Ex Bhp | Bhp - Bhim - Pch (2N) - Bhp</v>
      </c>
      <c r="DY202" t="str">
        <v xml:space="preserve">Ex Ujj I 2N Ujj </v>
      </c>
    </row>
    <row r="203" spans="2:145" ht="15" customHeight="1">
      <c r="B203" s="34">
        <v>199</v>
      </c>
      <c r="C203" s="36" t="s">
        <v>1652</v>
      </c>
      <c r="D203" s="76">
        <v>46217</v>
      </c>
      <c r="E203" s="37" t="str">
        <f>IF(Table5[[#This Row],[Query Date]]&lt;&gt;"", TEXT(Table5[[#This Row],[Query Date]], "dddd"), "")</f>
        <v>Tuesday</v>
      </c>
      <c r="F203" s="37" t="str">
        <f>IF(Table5[[#This Row],[Query Date]]&lt;&gt;"", TEXT(Table5[[#This Row],[Query Date]], "mmmm"), "")</f>
        <v>July</v>
      </c>
      <c r="G203" s="28" t="s">
        <v>65</v>
      </c>
      <c r="H203" s="28" t="s">
        <v>66</v>
      </c>
      <c r="I203" s="28" t="s">
        <v>67</v>
      </c>
      <c r="J203" s="28" t="s">
        <v>68</v>
      </c>
      <c r="K203" s="28" t="s">
        <v>69</v>
      </c>
      <c r="L203" s="25" t="s">
        <v>70</v>
      </c>
      <c r="M203" s="112" t="s">
        <v>266</v>
      </c>
      <c r="N203" s="25" t="s">
        <v>635</v>
      </c>
      <c r="O203" s="130" t="s">
        <v>636</v>
      </c>
      <c r="P203" s="46" t="s">
        <v>637</v>
      </c>
      <c r="Q203" s="77">
        <v>46219</v>
      </c>
      <c r="R203" s="77" t="str">
        <f>IF(Table5[[#This Row],[Tour Starting Date]]&lt;&gt;"", TEXT(Table5[[#This Row],[Tour Starting Date]], "dddd"), "")</f>
        <v>Thursday</v>
      </c>
      <c r="S203" s="77">
        <v>46222</v>
      </c>
      <c r="T203" s="25" t="str">
        <f>IF(Table5[[#This Row],[Tour Ending Date]]&lt;&gt;"", TEXT(Table5[[#This Row],[Tour Ending Date]], "dddd"), "")</f>
        <v>Sunday</v>
      </c>
      <c r="U203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203" s="37" t="str">
        <f>IF(Table5[[#This Row],[Tour Starting Date]]&lt;&gt;"", TEXT(Table5[[#This Row],[Tour Starting Date]], "mmmm"), "")</f>
        <v>July</v>
      </c>
      <c r="W203" s="80" t="str" cm="1">
        <f t="array" ref="W203">IF(Q203&lt;&gt;"", INDEX(CI:CI, MATCH(1, (Q203&gt;=CG:CG)*(Q203&lt;=CH:CH), 0)), "")</f>
        <v>Regular Dates - Weekday</v>
      </c>
      <c r="X203" s="39">
        <v>1</v>
      </c>
      <c r="Y203" s="74">
        <v>44600</v>
      </c>
      <c r="Z203" s="74">
        <f>IF(OR(Table5[[#This Row],[Per Person Package Cost]]="", Table5[[#This Row],[No. of Pax]]=""), "", Table5[[#This Row],[Per Person Package Cost]] * Table5[[#This Row],[No. of Pax]])</f>
        <v>44600</v>
      </c>
      <c r="AA203" s="52" t="s">
        <v>520</v>
      </c>
      <c r="AB203" s="52" t="s">
        <v>520</v>
      </c>
      <c r="AC203" s="52" t="s">
        <v>173</v>
      </c>
      <c r="AD203" s="52" t="s">
        <v>1242</v>
      </c>
      <c r="AE203" s="51" t="str">
        <f t="shared" si="21"/>
        <v>EXJBP24</v>
      </c>
      <c r="AF203" s="51" t="str">
        <f t="shared" si="22"/>
        <v>Majestic Peaks &amp; River Trails</v>
      </c>
      <c r="AG203" s="74" t="str">
        <f t="shared" si="23"/>
        <v>Quick Getaways</v>
      </c>
      <c r="AH203" s="73" t="str">
        <f t="shared" si="12"/>
        <v>East MP</v>
      </c>
      <c r="AI203" s="52" t="s">
        <v>107</v>
      </c>
      <c r="AJ203" s="56"/>
      <c r="AK203" s="59" t="s">
        <v>79</v>
      </c>
      <c r="AL203" s="60" t="s">
        <v>80</v>
      </c>
      <c r="AM203" s="54" t="s">
        <v>80</v>
      </c>
      <c r="AN203" s="14">
        <v>46218</v>
      </c>
      <c r="AO203" s="15"/>
      <c r="AP203" s="91"/>
      <c r="AQ203" s="87"/>
      <c r="AR203" s="26"/>
      <c r="AS203" s="65"/>
      <c r="AT203" s="88" t="s">
        <v>81</v>
      </c>
      <c r="AU203" s="67"/>
      <c r="BX203" s="1">
        <v>199</v>
      </c>
      <c r="CN203" t="s">
        <v>1653</v>
      </c>
      <c r="DA203" t="str" cm="1">
        <f t="array" ref="DA203:EO203">IF(U203&lt;&gt;"", TRANSPOSE(_xlfn._xlws.FILTER(CZ:CZ, CY:CY=U203, "")), "")</f>
        <v>Gwl (3N) + Mor + Son + Dat + Orc</v>
      </c>
      <c r="DB203" t="str">
        <v>Ex Gwl | Gwl (1N) - Son - Dat - Orc (1N) - Gwl (1N)</v>
      </c>
      <c r="DC203" t="str">
        <v>Ex Idr | Idr - Ujj (1N) - Omk - Mah (1N) - Man (1N) - Idr</v>
      </c>
      <c r="DD203" t="str">
        <v>Ex Jlr | Jlr - Kan (2N) - Jlr (1N)</v>
      </c>
      <c r="DE203" t="str">
        <v>Ex Jlr | Jlr - Ban (2N) - Jlr (1N)</v>
      </c>
      <c r="DF203" t="str">
        <v>Ex Bho | Bho (1N) + San - Bhoj - Bhim - Pch (2N) - Bho</v>
      </c>
      <c r="DG203" t="str">
        <v>Ex Idr | Idr (1N) - Ujj (1N) - Omk (1N) - Mah - Idr</v>
      </c>
      <c r="DH203" t="str">
        <v>Gwl - Orc (1N) - Ckt (1N) - Myr (1N) - Jlr</v>
      </c>
      <c r="DI203" t="str">
        <v>Gwl - Orc (1N) - Ckt (2N) - Ixd</v>
      </c>
      <c r="DJ203" t="str">
        <v>Ex Idr | Idr - Ujj (1N) - Omk - Mah (1N) - Idr (1N)</v>
      </c>
      <c r="DK203" t="str">
        <v>Ex Jlr | Jlr - Kan (3N) - Jlr</v>
      </c>
      <c r="DL203" t="str">
        <v>Ex Bho | Bho (2N) + Bhim + Bhoj + San + Udaygiri + Vidisha + FDCT Bho</v>
      </c>
      <c r="DM203" t="str">
        <v>Bho (1N) + Bhim + Bhoj - HDCT  Bho + Sanchi - Ujj (2N)</v>
      </c>
      <c r="DN203" t="str">
        <v>Bho (1N) + Bhim + Bhoj - HDCT  Bho + Sanchi - Ujj (2N) - Idr</v>
      </c>
      <c r="DO203" t="str">
        <v>Ex Bho | Bho - Bhoj - Bhim - Mad (1N) - Pch (2N) - Bho</v>
      </c>
      <c r="DP203" t="str">
        <v>Ex Bho | Bho - Bhoj - Bhim - Mad (1N) - Pch (3N) - Bho</v>
      </c>
      <c r="DQ203" t="str">
        <v>Ex Bho | Bho - Bhoj - Bhim - Tawa (1N) - Mad (1N) - Bho (1N)</v>
      </c>
      <c r="DR203" t="str">
        <v>Bho (1N) - Bhim - Bhoj - San - Idr (2N) + Ujj</v>
      </c>
      <c r="DS203" t="str">
        <v>Bho (1N) - Bhoj - Bhim - Pch (2N) - Bho</v>
      </c>
      <c r="DT203" t="str">
        <v>Ujj (1N) - Omk - Mah (1N) - Idr (1N)</v>
      </c>
      <c r="DU203" t="str">
        <v>Ujj (1N) - Omk - Mah (1N) - Man (1N) - Idr</v>
      </c>
      <c r="DV203" t="str">
        <v>Ex Idr | Idr (1N) - Ujj (1N) - Omk - Mah (1N)</v>
      </c>
      <c r="DW203" t="str">
        <v>Ex Idr | Idr - Ujj (1N) - Omk (1N) - Mah (1N) - Idr</v>
      </c>
      <c r="DX203" t="str">
        <v>Khandwa - Omk (1N) - Mah (1N) - Ujj (1N) - Idr</v>
      </c>
      <c r="DY203" t="str">
        <v>Ex Idr | Idr - Ujj (1N) - Omk - Mah (1N) - Man - Idr (1N)</v>
      </c>
      <c r="DZ203" t="str">
        <v xml:space="preserve">Idr - Omk (1N) - Mah - Ujj (1N) San - Bho (1N) </v>
      </c>
      <c r="EA203" t="str">
        <v>Ex Idr | Idr - Man (1N) - Mah - Omk (1N) - Ujj (1N) - Idr</v>
      </c>
      <c r="EB203" t="str">
        <v>Khandwa - Omk (1N) - Mah - Ujj (2N)</v>
      </c>
      <c r="EC203" t="str">
        <v>Ex Jlr | Jlr (1N) - Amr (1N) - Ban (1N) - Jlr</v>
      </c>
      <c r="ED203" t="str">
        <v>Ex Jlr | Jlr - (1 N) Ban - (2 N) Amar</v>
      </c>
      <c r="EE203" t="str">
        <v>Jlr - Kan (1N) - Pch (2N)</v>
      </c>
      <c r="EF203" t="str">
        <v>Pi - Pch (2N)  - Kan (1N)</v>
      </c>
      <c r="EG203" t="str">
        <v>Ex Jlr | Jlr - Amr (1 N) - (1 N) Ban - (1 N) Jlr</v>
      </c>
      <c r="EH203" t="str">
        <v>Ppi - (2 N) Pch - (1 N) Pen</v>
      </c>
      <c r="EI203" t="str">
        <v>Bhp - Pch (2N) - Jlr (1N)</v>
      </c>
      <c r="EJ203" t="str">
        <v xml:space="preserve">Arr Jhn - Hjr (1N) - Orc - Gwl (2N) </v>
      </c>
      <c r="EK203" t="str">
        <v>(1 N) Ujj - (1 N) Mah - (1 N) Idr</v>
      </c>
      <c r="EL203" t="str">
        <v>Ex Bhp | Bhp - Bhoj - Bhim - Pch (3N) - Bhp</v>
      </c>
      <c r="EM203" t="str">
        <v>Ex Bhp | Bhp - Bhoj - Bhim - Pch (2N) - Mad (1N) - Bhp</v>
      </c>
      <c r="EN203" t="str">
        <v xml:space="preserve">Ex Nag - 3N Pch + Sat </v>
      </c>
      <c r="EO203" t="str">
        <v>1N Gwl - Son - Dat - 1N Hjr - 1N Orc - Jhn</v>
      </c>
    </row>
    <row r="204" spans="2:145" ht="15" customHeight="1">
      <c r="B204" s="35">
        <v>200</v>
      </c>
      <c r="C204" s="36" t="s">
        <v>1654</v>
      </c>
      <c r="D204" s="76">
        <v>46218</v>
      </c>
      <c r="E204" s="37" t="str">
        <f>IF(Table5[[#This Row],[Query Date]]&lt;&gt;"", TEXT(Table5[[#This Row],[Query Date]], "dddd"), "")</f>
        <v>Wednesday</v>
      </c>
      <c r="F204" s="37" t="str">
        <f>IF(Table5[[#This Row],[Query Date]]&lt;&gt;"", TEXT(Table5[[#This Row],[Query Date]], "mmmm"), "")</f>
        <v>July</v>
      </c>
      <c r="G204" s="28" t="s">
        <v>65</v>
      </c>
      <c r="H204" s="28" t="s">
        <v>66</v>
      </c>
      <c r="I204" s="28" t="s">
        <v>67</v>
      </c>
      <c r="J204" s="28" t="s">
        <v>68</v>
      </c>
      <c r="K204" s="28" t="s">
        <v>178</v>
      </c>
      <c r="L204" s="25" t="s">
        <v>70</v>
      </c>
      <c r="M204" s="112" t="s">
        <v>417</v>
      </c>
      <c r="N204" s="25" t="s">
        <v>1412</v>
      </c>
      <c r="O204" s="130" t="s">
        <v>1655</v>
      </c>
      <c r="P204" s="106" t="s">
        <v>888</v>
      </c>
      <c r="Q204" s="77">
        <v>46254</v>
      </c>
      <c r="R204" s="77" t="str">
        <f>IF(Table5[[#This Row],[Tour Starting Date]]&lt;&gt;"", TEXT(Table5[[#This Row],[Tour Starting Date]], "dddd"), "")</f>
        <v>Thursday</v>
      </c>
      <c r="S204" s="77">
        <v>46257</v>
      </c>
      <c r="T204" s="25" t="str">
        <f>IF(Table5[[#This Row],[Tour Ending Date]]&lt;&gt;"", TEXT(Table5[[#This Row],[Tour Ending Date]], "dddd"), "")</f>
        <v>Sunday</v>
      </c>
      <c r="U204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204" s="37" t="str">
        <f>IF(Table5[[#This Row],[Tour Starting Date]]&lt;&gt;"", TEXT(Table5[[#This Row],[Tour Starting Date]], "mmmm"), "")</f>
        <v>August</v>
      </c>
      <c r="W204" s="80" t="str" cm="1">
        <f t="array" ref="W204">IF(Q204&lt;&gt;"", INDEX(CI:CI, MATCH(1, (Q204&gt;=CG:CG)*(Q204&lt;=CH:CH), 0)), "")</f>
        <v>Regular Dates - Weekday</v>
      </c>
      <c r="X204" s="39">
        <v>2</v>
      </c>
      <c r="Y204" s="74">
        <v>15500</v>
      </c>
      <c r="Z204" s="74">
        <f>IF(OR(Table5[[#This Row],[Per Person Package Cost]]="", Table5[[#This Row],[No. of Pax]]=""), "", Table5[[#This Row],[Per Person Package Cost]] * Table5[[#This Row],[No. of Pax]])</f>
        <v>31000</v>
      </c>
      <c r="AA204" s="52" t="s">
        <v>75</v>
      </c>
      <c r="AB204" s="52" t="s">
        <v>75</v>
      </c>
      <c r="AC204" s="52" t="s">
        <v>76</v>
      </c>
      <c r="AD204" s="52" t="s">
        <v>395</v>
      </c>
      <c r="AE204" s="51" t="str">
        <f t="shared" si="21"/>
        <v>EXIDR06</v>
      </c>
      <c r="AF204" s="51" t="str">
        <f t="shared" si="22"/>
        <v>Jyotirlinga &amp; Heritage Trails of Madhya Pradesh</v>
      </c>
      <c r="AG204" s="74" t="str">
        <f t="shared" si="23"/>
        <v>Quick Getaways</v>
      </c>
      <c r="AH204" s="73" t="str">
        <f t="shared" si="12"/>
        <v>West MP</v>
      </c>
      <c r="AI204" s="52" t="s">
        <v>107</v>
      </c>
      <c r="AJ204" s="56"/>
      <c r="AK204" s="59" t="s">
        <v>79</v>
      </c>
      <c r="AL204" s="60" t="s">
        <v>80</v>
      </c>
      <c r="AM204" s="54" t="s">
        <v>80</v>
      </c>
      <c r="AN204" s="14">
        <v>46221</v>
      </c>
      <c r="AO204" s="15">
        <v>46237</v>
      </c>
      <c r="AP204" s="91"/>
      <c r="AQ204" s="87"/>
      <c r="AR204" s="26"/>
      <c r="AS204" s="65"/>
      <c r="AT204" s="88" t="s">
        <v>81</v>
      </c>
      <c r="AU204" s="67"/>
      <c r="BX204" s="1">
        <v>200</v>
      </c>
      <c r="CN204" t="s">
        <v>581</v>
      </c>
      <c r="DA204" t="str" cm="1">
        <f t="array" ref="DA204:EO204">IF(U204&lt;&gt;"", TRANSPOSE(_xlfn._xlws.FILTER(CZ:CZ, CY:CY=U204, "")), "")</f>
        <v>Gwl (3N) + Mor + Son + Dat + Orc</v>
      </c>
      <c r="DB204" t="str">
        <v>Ex Gwl | Gwl (1N) - Son - Dat - Orc (1N) - Gwl (1N)</v>
      </c>
      <c r="DC204" t="str">
        <v>Ex Idr | Idr - Ujj (1N) - Omk - Mah (1N) - Man (1N) - Idr</v>
      </c>
      <c r="DD204" t="str">
        <v>Ex Jlr | Jlr - Kan (2N) - Jlr (1N)</v>
      </c>
      <c r="DE204" t="str">
        <v>Ex Jlr | Jlr - Ban (2N) - Jlr (1N)</v>
      </c>
      <c r="DF204" t="str">
        <v>Ex Bho | Bho (1N) + San - Bhoj - Bhim - Pch (2N) - Bho</v>
      </c>
      <c r="DG204" t="str">
        <v>Ex Idr | Idr (1N) - Ujj (1N) - Omk (1N) - Mah - Idr</v>
      </c>
      <c r="DH204" t="str">
        <v>Gwl - Orc (1N) - Ckt (1N) - Myr (1N) - Jlr</v>
      </c>
      <c r="DI204" t="str">
        <v>Gwl - Orc (1N) - Ckt (2N) - Ixd</v>
      </c>
      <c r="DJ204" t="str">
        <v>Ex Idr | Idr - Ujj (1N) - Omk - Mah (1N) - Idr (1N)</v>
      </c>
      <c r="DK204" t="str">
        <v>Ex Jlr | Jlr - Kan (3N) - Jlr</v>
      </c>
      <c r="DL204" t="str">
        <v>Ex Bho | Bho (2N) + Bhim + Bhoj + San + Udaygiri + Vidisha + FDCT Bho</v>
      </c>
      <c r="DM204" t="str">
        <v>Bho (1N) + Bhim + Bhoj - HDCT  Bho + Sanchi - Ujj (2N)</v>
      </c>
      <c r="DN204" t="str">
        <v>Bho (1N) + Bhim + Bhoj - HDCT  Bho + Sanchi - Ujj (2N) - Idr</v>
      </c>
      <c r="DO204" t="str">
        <v>Ex Bho | Bho - Bhoj - Bhim - Mad (1N) - Pch (2N) - Bho</v>
      </c>
      <c r="DP204" t="str">
        <v>Ex Bho | Bho - Bhoj - Bhim - Mad (1N) - Pch (3N) - Bho</v>
      </c>
      <c r="DQ204" t="str">
        <v>Ex Bho | Bho - Bhoj - Bhim - Tawa (1N) - Mad (1N) - Bho (1N)</v>
      </c>
      <c r="DR204" t="str">
        <v>Bho (1N) - Bhim - Bhoj - San - Idr (2N) + Ujj</v>
      </c>
      <c r="DS204" t="str">
        <v>Bho (1N) - Bhoj - Bhim - Pch (2N) - Bho</v>
      </c>
      <c r="DT204" t="str">
        <v>Ujj (1N) - Omk - Mah (1N) - Idr (1N)</v>
      </c>
      <c r="DU204" t="str">
        <v>Ujj (1N) - Omk - Mah (1N) - Man (1N) - Idr</v>
      </c>
      <c r="DV204" t="str">
        <v>Ex Idr | Idr (1N) - Ujj (1N) - Omk - Mah (1N)</v>
      </c>
      <c r="DW204" t="str">
        <v>Ex Idr | Idr - Ujj (1N) - Omk (1N) - Mah (1N) - Idr</v>
      </c>
      <c r="DX204" t="str">
        <v>Khandwa - Omk (1N) - Mah (1N) - Ujj (1N) - Idr</v>
      </c>
      <c r="DY204" t="str">
        <v>Ex Idr | Idr - Ujj (1N) - Omk - Mah (1N) - Man - Idr (1N)</v>
      </c>
      <c r="DZ204" t="str">
        <v xml:space="preserve">Idr - Omk (1N) - Mah - Ujj (1N) San - Bho (1N) </v>
      </c>
      <c r="EA204" t="str">
        <v>Ex Idr | Idr - Man (1N) - Mah - Omk (1N) - Ujj (1N) - Idr</v>
      </c>
      <c r="EB204" t="str">
        <v>Khandwa - Omk (1N) - Mah - Ujj (2N)</v>
      </c>
      <c r="EC204" t="str">
        <v>Ex Jlr | Jlr (1N) - Amr (1N) - Ban (1N) - Jlr</v>
      </c>
      <c r="ED204" t="str">
        <v>Ex Jlr | Jlr - (1 N) Ban - (2 N) Amar</v>
      </c>
      <c r="EE204" t="str">
        <v>Jlr - Kan (1N) - Pch (2N)</v>
      </c>
      <c r="EF204" t="str">
        <v>Pi - Pch (2N)  - Kan (1N)</v>
      </c>
      <c r="EG204" t="str">
        <v>Ex Jlr | Jlr - Amr (1 N) - (1 N) Ban - (1 N) Jlr</v>
      </c>
      <c r="EH204" t="str">
        <v>Ppi - (2 N) Pch - (1 N) Pen</v>
      </c>
      <c r="EI204" t="str">
        <v>Bhp - Pch (2N) - Jlr (1N)</v>
      </c>
      <c r="EJ204" t="str">
        <v xml:space="preserve">Arr Jhn - Hjr (1N) - Orc - Gwl (2N) </v>
      </c>
      <c r="EK204" t="str">
        <v>(1 N) Ujj - (1 N) Mah - (1 N) Idr</v>
      </c>
      <c r="EL204" t="str">
        <v>Ex Bhp | Bhp - Bhoj - Bhim - Pch (3N) - Bhp</v>
      </c>
      <c r="EM204" t="str">
        <v>Ex Bhp | Bhp - Bhoj - Bhim - Pch (2N) - Mad (1N) - Bhp</v>
      </c>
      <c r="EN204" t="str">
        <v xml:space="preserve">Ex Nag - 3N Pch + Sat </v>
      </c>
      <c r="EO204" t="str">
        <v>1N Gwl - Son - Dat - 1N Hjr - 1N Orc - Jhn</v>
      </c>
    </row>
    <row r="205" spans="2:145" ht="15" customHeight="1">
      <c r="B205" s="34">
        <v>201</v>
      </c>
      <c r="C205" s="36" t="s">
        <v>1656</v>
      </c>
      <c r="D205" s="76">
        <v>46218</v>
      </c>
      <c r="E205" s="37" t="str">
        <f>IF(Table5[[#This Row],[Query Date]]&lt;&gt;"", TEXT(Table5[[#This Row],[Query Date]], "dddd"), "")</f>
        <v>Wednesday</v>
      </c>
      <c r="F205" s="37" t="str">
        <f>IF(Table5[[#This Row],[Query Date]]&lt;&gt;"", TEXT(Table5[[#This Row],[Query Date]], "mmmm"), "")</f>
        <v>July</v>
      </c>
      <c r="G205" s="28" t="s">
        <v>65</v>
      </c>
      <c r="H205" s="28" t="s">
        <v>99</v>
      </c>
      <c r="I205" s="28" t="s">
        <v>67</v>
      </c>
      <c r="J205" s="28" t="s">
        <v>68</v>
      </c>
      <c r="K205" s="28" t="s">
        <v>644</v>
      </c>
      <c r="L205" s="25" t="s">
        <v>70</v>
      </c>
      <c r="M205" s="112" t="s">
        <v>1135</v>
      </c>
      <c r="N205" s="25" t="s">
        <v>1136</v>
      </c>
      <c r="O205" s="130" t="s">
        <v>1137</v>
      </c>
      <c r="P205" s="46" t="s">
        <v>1138</v>
      </c>
      <c r="Q205" s="77">
        <v>46303</v>
      </c>
      <c r="R205" s="77" t="str">
        <f>IF(Table5[[#This Row],[Tour Starting Date]]&lt;&gt;"", TEXT(Table5[[#This Row],[Tour Starting Date]], "dddd"), "")</f>
        <v>Thursday</v>
      </c>
      <c r="S205" s="77">
        <v>46309</v>
      </c>
      <c r="T205" s="25" t="str">
        <f>IF(Table5[[#This Row],[Tour Ending Date]]&lt;&gt;"", TEXT(Table5[[#This Row],[Tour Ending Date]], "dddd"), "")</f>
        <v>Wednesday</v>
      </c>
      <c r="U205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6 Nights &amp; 7 Days</v>
      </c>
      <c r="V205" s="37" t="str">
        <f>IF(Table5[[#This Row],[Tour Starting Date]]&lt;&gt;"", TEXT(Table5[[#This Row],[Tour Starting Date]], "mmmm"), "")</f>
        <v>October</v>
      </c>
      <c r="W205" s="80" t="str" cm="1">
        <f t="array" ref="W205">IF(Q205&lt;&gt;"", INDEX(CI:CI, MATCH(1, (Q205&gt;=CG:CG)*(Q205&lt;=CH:CH), 0)), "")</f>
        <v>Regular Dates - Weekday</v>
      </c>
      <c r="X205" s="39">
        <v>26</v>
      </c>
      <c r="Y205" s="74">
        <v>17000</v>
      </c>
      <c r="Z205" s="74">
        <f>IF(OR(Table5[[#This Row],[Per Person Package Cost]]="", Table5[[#This Row],[No. of Pax]]=""), "", Table5[[#This Row],[Per Person Package Cost]] * Table5[[#This Row],[No. of Pax]])</f>
        <v>442000</v>
      </c>
      <c r="AA205" s="52"/>
      <c r="AB205" s="52"/>
      <c r="AC205" s="52"/>
      <c r="AD205" s="52"/>
      <c r="AE205" s="51" t="str">
        <f t="shared" si="21"/>
        <v/>
      </c>
      <c r="AF205" s="51" t="str">
        <f t="shared" si="22"/>
        <v/>
      </c>
      <c r="AG205" s="74" t="str">
        <f t="shared" si="23"/>
        <v/>
      </c>
      <c r="AH205" s="73" t="str">
        <f t="shared" si="12"/>
        <v/>
      </c>
      <c r="AI205" s="52" t="s">
        <v>107</v>
      </c>
      <c r="AJ205" s="56"/>
      <c r="AK205" s="59" t="s">
        <v>79</v>
      </c>
      <c r="AL205" s="60" t="s">
        <v>80</v>
      </c>
      <c r="AM205" s="54" t="s">
        <v>80</v>
      </c>
      <c r="AN205" s="14">
        <v>46221</v>
      </c>
      <c r="AO205" s="15"/>
      <c r="AP205" s="91"/>
      <c r="AQ205" s="87"/>
      <c r="AR205" s="26"/>
      <c r="AS205" s="65"/>
      <c r="AT205" s="88" t="s">
        <v>81</v>
      </c>
      <c r="AU205" s="67" t="s">
        <v>207</v>
      </c>
      <c r="BX205" s="1">
        <v>201</v>
      </c>
      <c r="CN205" t="s">
        <v>1657</v>
      </c>
      <c r="DA205" t="str" cm="1">
        <f t="array" ref="DA205:DZ205">IF(U205&lt;&gt;"", TRANSPOSE(_xlfn._xlws.FILTER(CZ:CZ, CY:CY=U205, "")), "")</f>
        <v>Ex Gwl | Gwl (2N) + Mor - Orc - Pan (2N) - Hjr (1N) - Dat - Son - Gwl (1N)</v>
      </c>
      <c r="DB205" t="str">
        <v>Ex Gwl | GWL (2N) + Mor - Shiv - Chan (2N) - Hjr (1N) - Orc (1N) - Dat - Gwl</v>
      </c>
      <c r="DC205" t="str">
        <v>Gwl (2N) + Mor - Son - Dat - Orc (1N) - Hjr (1N) - Ban (1N) - Jlr (1N)</v>
      </c>
      <c r="DD205" t="str">
        <v>Idr - Ujj (1N) - Omk - Mah (1N) - Man (2N) - Bhp (2N) + Bhim + Bhoj + San</v>
      </c>
      <c r="DE205" t="str">
        <v>Bhp (1N) + Bhim + Bhoj + San - Ujj (1N) - Man (2N) - Mah - Omk (1N) - Idr (1N)</v>
      </c>
      <c r="DF205" t="str">
        <v>Jlr (1N) - Ban (1N) - Hjr (1N) - Orc (1N) - Dat - Son - Gwl (2N) + Mor</v>
      </c>
      <c r="DG205" t="str">
        <v>Bho (1N) + San - Bhoj - Bhim - Tawa (1N) - Mad (1N) - Pch (2N) - Jlr (1N)</v>
      </c>
      <c r="DH205" t="str">
        <v>Bho (1N) + San + Udaygiri - Bhoj - Bhim - Pch (2N) - Kan(2N) - Jlr (1N)</v>
      </c>
      <c r="DI205" t="str">
        <v>Bho (1N) + Bhim + Bhoj - San - Ujj (1N) - Man (2N) - Mah - Omk (1N) - Idr (1N)</v>
      </c>
      <c r="DJ205" t="str">
        <v>Gwl (2N) + Mor - Son - Dat - Orc (1N) - Hjr (1N) - Jab (1N) - Kan (1N) - Nag</v>
      </c>
      <c r="DK205" t="str">
        <v>Bho (2N) + San + Bhoj + Bhim - Ujj (1N) - Omk - Mah (1N) - Man (1N) - Idr (1N)</v>
      </c>
      <c r="DL205" t="str">
        <v>Ex Nag | Nag - Pch (2N) - Bhim - Bhoj - Bho (2N) + San + Udaygiri - Jlr (1N) - Kan (1N) - Nag</v>
      </c>
      <c r="DM205" t="str">
        <v>Bho (1N) - Mad (2N) + Tawa Cruise Safari - Pch (2N) - Jlr (1N) - Nag</v>
      </c>
      <c r="DN205" t="str">
        <v>Idr - Man (2N) - Idr (1N) - Bho (1N) + San - Bhoj - Bhim - Pch (2N) - Bho</v>
      </c>
      <c r="DO205" t="str">
        <v>Rpr - kan (2N) - Ban (1N) - Jlr (1N) - Mad (2N) - Bhim - Bhoj - Bho</v>
      </c>
      <c r="DP205" t="str">
        <v>Jlr - Amar (1 N) - Ban (2 N) - Kan (1N) - Pch (2N) - Ppi</v>
      </c>
      <c r="DQ205" t="str">
        <v>Jlr - (2N) Kan - (1N) Jlr - Bhim - Bhoj - (2N) Bho  (Ex San &amp; Uda)  - (1N) Ujj - Idr</v>
      </c>
      <c r="DR205" t="str">
        <v>Ex Nag | Nag (2 N) Pach - Bhim - Bhij - (2 N) Bho (Ex San &amp; Uad) - (1 N) Jlr - (1 N) Kan - Nag</v>
      </c>
      <c r="DS205" t="str">
        <v>(2 N) Bho (Ex San, Bhoj &amp; Bhim) - (1 N) Ujj - Omk - (1 N) Mah - (1 N) Man - (1 N) Idr</v>
      </c>
      <c r="DT205" t="str">
        <v>(2 N) Gwl (Ex Mor) - Son - Dat - (1 N) Orc - (1 N) Hjr - (1 N) Jlr - (1 N) Kan - Nag</v>
      </c>
      <c r="DU205" t="str">
        <v>(1 N) Jlr - (2 N) Kanha - (2 N Pach) - (1 N) BHo</v>
      </c>
      <c r="DV205" t="str">
        <v>(2 N) Gwl - (1 N) Orc - (1 N) Hjr - (1 N) Ban - (1 N) Jlr</v>
      </c>
      <c r="DW205" t="str">
        <v>(2 N) BHo - (2 N) Madhai - (1 N) Pach - (1 N) Jlr</v>
      </c>
      <c r="DX205" t="str">
        <v>Ex Bhp | Bhp - Bhoj - Bhim - Pach (3N) - Tawa - Mad - Tawa (1N) - Mad (1N) - Bho (1N)</v>
      </c>
      <c r="DY205" t="str">
        <v>Ex Idr I Idr - 2N Ujj - 1N Man - 1N Mah - 1N Omk - 1N Idr</v>
      </c>
      <c r="DZ205" t="str">
        <v>1N Jlr - 1N Kan - 1N Ban - 1N Hjr -2N Gwl</v>
      </c>
    </row>
    <row r="206" spans="2:145" ht="15" customHeight="1">
      <c r="B206" s="35">
        <v>202</v>
      </c>
      <c r="C206" s="36" t="s">
        <v>1658</v>
      </c>
      <c r="D206" s="76">
        <v>46218</v>
      </c>
      <c r="E206" s="37" t="str">
        <f>IF(Table5[[#This Row],[Query Date]]&lt;&gt;"", TEXT(Table5[[#This Row],[Query Date]], "dddd"), "")</f>
        <v>Wednesday</v>
      </c>
      <c r="F206" s="37" t="str">
        <f>IF(Table5[[#This Row],[Query Date]]&lt;&gt;"", TEXT(Table5[[#This Row],[Query Date]], "mmmm"), "")</f>
        <v>July</v>
      </c>
      <c r="G206" s="28" t="s">
        <v>65</v>
      </c>
      <c r="H206" s="28" t="s">
        <v>66</v>
      </c>
      <c r="I206" s="28" t="s">
        <v>67</v>
      </c>
      <c r="J206" s="28" t="s">
        <v>68</v>
      </c>
      <c r="K206" s="28" t="s">
        <v>128</v>
      </c>
      <c r="L206" s="25" t="s">
        <v>70</v>
      </c>
      <c r="M206" s="112" t="s">
        <v>295</v>
      </c>
      <c r="N206" s="25" t="s">
        <v>1267</v>
      </c>
      <c r="O206" s="130" t="s">
        <v>1268</v>
      </c>
      <c r="P206" s="106" t="s">
        <v>1269</v>
      </c>
      <c r="Q206" s="77">
        <v>46233</v>
      </c>
      <c r="R206" s="77" t="str">
        <f>IF(Table5[[#This Row],[Tour Starting Date]]&lt;&gt;"", TEXT(Table5[[#This Row],[Tour Starting Date]], "dddd"), "")</f>
        <v>Thursday</v>
      </c>
      <c r="S206" s="77">
        <v>46236</v>
      </c>
      <c r="T206" s="25" t="str">
        <f>IF(Table5[[#This Row],[Tour Ending Date]]&lt;&gt;"", TEXT(Table5[[#This Row],[Tour Ending Date]], "dddd"), "")</f>
        <v>Sunday</v>
      </c>
      <c r="U206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206" s="37" t="str">
        <f>IF(Table5[[#This Row],[Tour Starting Date]]&lt;&gt;"", TEXT(Table5[[#This Row],[Tour Starting Date]], "mmmm"), "")</f>
        <v>July</v>
      </c>
      <c r="W206" s="80" t="str" cm="1">
        <f t="array" ref="W206">IF(Q206&lt;&gt;"", INDEX(CI:CI, MATCH(1, (Q206&gt;=CG:CG)*(Q206&lt;=CH:CH), 0)), "")</f>
        <v>Regular Dates - Weekday</v>
      </c>
      <c r="X206" s="39">
        <v>5</v>
      </c>
      <c r="Y206" s="74">
        <v>11900</v>
      </c>
      <c r="Z206" s="74">
        <f>IF(OR(Table5[[#This Row],[Per Person Package Cost]]="", Table5[[#This Row],[No. of Pax]]=""), "", Table5[[#This Row],[Per Person Package Cost]] * Table5[[#This Row],[No. of Pax]])</f>
        <v>59500</v>
      </c>
      <c r="AA206" s="52" t="s">
        <v>205</v>
      </c>
      <c r="AB206" s="52" t="s">
        <v>520</v>
      </c>
      <c r="AC206" s="52" t="s">
        <v>134</v>
      </c>
      <c r="AD206" s="52" t="s">
        <v>1549</v>
      </c>
      <c r="AE206" s="51" t="str">
        <f t="shared" si="21"/>
        <v>EXIDR33</v>
      </c>
      <c r="AF206" s="51" t="str">
        <f t="shared" si="22"/>
        <v>Pilgrim’s Heritage Path</v>
      </c>
      <c r="AG206" s="74" t="str">
        <f t="shared" si="23"/>
        <v>Quick Getaways</v>
      </c>
      <c r="AH206" s="73" t="str">
        <f t="shared" si="12"/>
        <v>West MP</v>
      </c>
      <c r="AI206" s="52" t="s">
        <v>107</v>
      </c>
      <c r="AJ206" s="56" t="s">
        <v>78</v>
      </c>
      <c r="AK206" s="59" t="s">
        <v>79</v>
      </c>
      <c r="AL206" s="60" t="s">
        <v>80</v>
      </c>
      <c r="AM206" s="54" t="s">
        <v>80</v>
      </c>
      <c r="AN206" s="14">
        <v>46221</v>
      </c>
      <c r="AO206" s="15"/>
      <c r="AP206" s="91"/>
      <c r="AQ206" s="87"/>
      <c r="AR206" s="26"/>
      <c r="AS206" s="65"/>
      <c r="AT206" s="88" t="s">
        <v>85</v>
      </c>
      <c r="AU206" s="67"/>
      <c r="BX206" s="1">
        <v>202</v>
      </c>
      <c r="CN206" t="s">
        <v>1659</v>
      </c>
      <c r="DA206" t="str" cm="1">
        <f t="array" ref="DA206:EO206">IF(U206&lt;&gt;"", TRANSPOSE(_xlfn._xlws.FILTER(CZ:CZ, CY:CY=U206, "")), "")</f>
        <v>Gwl (3N) + Mor + Son + Dat + Orc</v>
      </c>
      <c r="DB206" t="str">
        <v>Ex Gwl | Gwl (1N) - Son - Dat - Orc (1N) - Gwl (1N)</v>
      </c>
      <c r="DC206" t="str">
        <v>Ex Idr | Idr - Ujj (1N) - Omk - Mah (1N) - Man (1N) - Idr</v>
      </c>
      <c r="DD206" t="str">
        <v>Ex Jlr | Jlr - Kan (2N) - Jlr (1N)</v>
      </c>
      <c r="DE206" t="str">
        <v>Ex Jlr | Jlr - Ban (2N) - Jlr (1N)</v>
      </c>
      <c r="DF206" t="str">
        <v>Ex Bho | Bho (1N) + San - Bhoj - Bhim - Pch (2N) - Bho</v>
      </c>
      <c r="DG206" t="str">
        <v>Ex Idr | Idr (1N) - Ujj (1N) - Omk (1N) - Mah - Idr</v>
      </c>
      <c r="DH206" t="str">
        <v>Gwl - Orc (1N) - Ckt (1N) - Myr (1N) - Jlr</v>
      </c>
      <c r="DI206" t="str">
        <v>Gwl - Orc (1N) - Ckt (2N) - Ixd</v>
      </c>
      <c r="DJ206" t="str">
        <v>Ex Idr | Idr - Ujj (1N) - Omk - Mah (1N) - Idr (1N)</v>
      </c>
      <c r="DK206" t="str">
        <v>Ex Jlr | Jlr - Kan (3N) - Jlr</v>
      </c>
      <c r="DL206" t="str">
        <v>Ex Bho | Bho (2N) + Bhim + Bhoj + San + Udaygiri + Vidisha + FDCT Bho</v>
      </c>
      <c r="DM206" t="str">
        <v>Bho (1N) + Bhim + Bhoj - HDCT  Bho + Sanchi - Ujj (2N)</v>
      </c>
      <c r="DN206" t="str">
        <v>Bho (1N) + Bhim + Bhoj - HDCT  Bho + Sanchi - Ujj (2N) - Idr</v>
      </c>
      <c r="DO206" t="str">
        <v>Ex Bho | Bho - Bhoj - Bhim - Mad (1N) - Pch (2N) - Bho</v>
      </c>
      <c r="DP206" t="str">
        <v>Ex Bho | Bho - Bhoj - Bhim - Mad (1N) - Pch (3N) - Bho</v>
      </c>
      <c r="DQ206" t="str">
        <v>Ex Bho | Bho - Bhoj - Bhim - Tawa (1N) - Mad (1N) - Bho (1N)</v>
      </c>
      <c r="DR206" t="str">
        <v>Bho (1N) - Bhim - Bhoj - San - Idr (2N) + Ujj</v>
      </c>
      <c r="DS206" t="str">
        <v>Bho (1N) - Bhoj - Bhim - Pch (2N) - Bho</v>
      </c>
      <c r="DT206" t="str">
        <v>Ujj (1N) - Omk - Mah (1N) - Idr (1N)</v>
      </c>
      <c r="DU206" t="str">
        <v>Ujj (1N) - Omk - Mah (1N) - Man (1N) - Idr</v>
      </c>
      <c r="DV206" t="str">
        <v>Ex Idr | Idr (1N) - Ujj (1N) - Omk - Mah (1N)</v>
      </c>
      <c r="DW206" t="str">
        <v>Ex Idr | Idr - Ujj (1N) - Omk (1N) - Mah (1N) - Idr</v>
      </c>
      <c r="DX206" t="str">
        <v>Khandwa - Omk (1N) - Mah (1N) - Ujj (1N) - Idr</v>
      </c>
      <c r="DY206" t="str">
        <v>Ex Idr | Idr - Ujj (1N) - Omk - Mah (1N) - Man - Idr (1N)</v>
      </c>
      <c r="DZ206" t="str">
        <v xml:space="preserve">Idr - Omk (1N) - Mah - Ujj (1N) San - Bho (1N) </v>
      </c>
      <c r="EA206" t="str">
        <v>Ex Idr | Idr - Man (1N) - Mah - Omk (1N) - Ujj (1N) - Idr</v>
      </c>
      <c r="EB206" t="str">
        <v>Khandwa - Omk (1N) - Mah - Ujj (2N)</v>
      </c>
      <c r="EC206" t="str">
        <v>Ex Jlr | Jlr (1N) - Amr (1N) - Ban (1N) - Jlr</v>
      </c>
      <c r="ED206" t="str">
        <v>Ex Jlr | Jlr - (1 N) Ban - (2 N) Amar</v>
      </c>
      <c r="EE206" t="str">
        <v>Jlr - Kan (1N) - Pch (2N)</v>
      </c>
      <c r="EF206" t="str">
        <v>Pi - Pch (2N)  - Kan (1N)</v>
      </c>
      <c r="EG206" t="str">
        <v>Ex Jlr | Jlr - Amr (1 N) - (1 N) Ban - (1 N) Jlr</v>
      </c>
      <c r="EH206" t="str">
        <v>Ppi - (2 N) Pch - (1 N) Pen</v>
      </c>
      <c r="EI206" t="str">
        <v>Bhp - Pch (2N) - Jlr (1N)</v>
      </c>
      <c r="EJ206" t="str">
        <v xml:space="preserve">Arr Jhn - Hjr (1N) - Orc - Gwl (2N) </v>
      </c>
      <c r="EK206" t="str">
        <v>(1 N) Ujj - (1 N) Mah - (1 N) Idr</v>
      </c>
      <c r="EL206" t="str">
        <v>Ex Bhp | Bhp - Bhoj - Bhim - Pch (3N) - Bhp</v>
      </c>
      <c r="EM206" t="str">
        <v>Ex Bhp | Bhp - Bhoj - Bhim - Pch (2N) - Mad (1N) - Bhp</v>
      </c>
      <c r="EN206" t="str">
        <v xml:space="preserve">Ex Nag - 3N Pch + Sat </v>
      </c>
      <c r="EO206" t="str">
        <v>1N Gwl - Son - Dat - 1N Hjr - 1N Orc - Jhn</v>
      </c>
    </row>
    <row r="207" spans="2:145" ht="15" customHeight="1">
      <c r="B207" s="34">
        <v>203</v>
      </c>
      <c r="C207" s="36" t="s">
        <v>1660</v>
      </c>
      <c r="D207" s="76">
        <v>46218</v>
      </c>
      <c r="E207" s="37" t="str">
        <f>IF(Table5[[#This Row],[Query Date]]&lt;&gt;"", TEXT(Table5[[#This Row],[Query Date]], "dddd"), "")</f>
        <v>Wednesday</v>
      </c>
      <c r="F207" s="37" t="str">
        <f>IF(Table5[[#This Row],[Query Date]]&lt;&gt;"", TEXT(Table5[[#This Row],[Query Date]], "mmmm"), "")</f>
        <v>July</v>
      </c>
      <c r="G207" s="28" t="s">
        <v>65</v>
      </c>
      <c r="H207" s="28" t="s">
        <v>120</v>
      </c>
      <c r="I207" s="28" t="s">
        <v>100</v>
      </c>
      <c r="J207" s="28" t="s">
        <v>68</v>
      </c>
      <c r="K207" s="28" t="s">
        <v>488</v>
      </c>
      <c r="L207" s="25" t="s">
        <v>70</v>
      </c>
      <c r="M207" s="112" t="s">
        <v>516</v>
      </c>
      <c r="N207" s="25" t="s">
        <v>517</v>
      </c>
      <c r="O207" s="130" t="s">
        <v>518</v>
      </c>
      <c r="P207" s="106" t="s">
        <v>519</v>
      </c>
      <c r="Q207" s="77">
        <v>46248</v>
      </c>
      <c r="R207" s="77" t="str">
        <f>IF(Table5[[#This Row],[Tour Starting Date]]&lt;&gt;"", TEXT(Table5[[#This Row],[Tour Starting Date]], "dddd"), "")</f>
        <v>Friday</v>
      </c>
      <c r="S207" s="77">
        <v>46250</v>
      </c>
      <c r="T207" s="25" t="str">
        <f>IF(Table5[[#This Row],[Tour Ending Date]]&lt;&gt;"", TEXT(Table5[[#This Row],[Tour Ending Date]], "dddd"), "")</f>
        <v>Sunday</v>
      </c>
      <c r="U207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207" s="37" t="str">
        <f>IF(Table5[[#This Row],[Tour Starting Date]]&lt;&gt;"", TEXT(Table5[[#This Row],[Tour Starting Date]], "mmmm"), "")</f>
        <v>August</v>
      </c>
      <c r="W207" s="80" t="str" cm="1">
        <f t="array" ref="W207">IF(Q207&lt;&gt;"", INDEX(CI:CI, MATCH(1, (Q207&gt;=CG:CG)*(Q207&lt;=CH:CH), 0)), "")</f>
        <v>Long Weekend - Independence Day</v>
      </c>
      <c r="X207" s="39">
        <v>2</v>
      </c>
      <c r="Y207" s="74">
        <v>15200</v>
      </c>
      <c r="Z207" s="74">
        <f>IF(OR(Table5[[#This Row],[Per Person Package Cost]]="", Table5[[#This Row],[No. of Pax]]=""), "", Table5[[#This Row],[Per Person Package Cost]] * Table5[[#This Row],[No. of Pax]])</f>
        <v>30400</v>
      </c>
      <c r="AA207" s="52" t="s">
        <v>624</v>
      </c>
      <c r="AB207" s="52" t="s">
        <v>624</v>
      </c>
      <c r="AC207" s="52" t="s">
        <v>220</v>
      </c>
      <c r="AD207" s="52"/>
      <c r="AE207" s="51" t="str">
        <f t="shared" si="21"/>
        <v/>
      </c>
      <c r="AF207" s="51" t="str">
        <f t="shared" si="22"/>
        <v/>
      </c>
      <c r="AG207" s="74" t="str">
        <f t="shared" si="23"/>
        <v/>
      </c>
      <c r="AH207" s="73" t="str">
        <f t="shared" si="12"/>
        <v/>
      </c>
      <c r="AI207" s="52" t="s">
        <v>159</v>
      </c>
      <c r="AJ207" s="56"/>
      <c r="AK207" s="59" t="s">
        <v>79</v>
      </c>
      <c r="AL207" s="60" t="s">
        <v>80</v>
      </c>
      <c r="AM207" s="54" t="s">
        <v>80</v>
      </c>
      <c r="AN207" s="14">
        <v>46221</v>
      </c>
      <c r="AO207" s="15"/>
      <c r="AP207" s="91"/>
      <c r="AQ207" s="87"/>
      <c r="AR207" s="26"/>
      <c r="AS207" s="65"/>
      <c r="AT207" s="88" t="s">
        <v>81</v>
      </c>
      <c r="AU207" s="67"/>
      <c r="BX207" s="1">
        <v>203</v>
      </c>
      <c r="CN207" t="s">
        <v>1661</v>
      </c>
      <c r="DA207" t="str" cm="1">
        <f t="array" ref="DA207:DY207">IF(U207&lt;&gt;"", TRANSPOSE(_xlfn._xlws.FILTER(CZ:CZ, CY:CY=U207, "")), "")</f>
        <v>Gwl (2N) + Mor</v>
      </c>
      <c r="DB207" t="str">
        <v>Ex Idr | Idr - Ujj (1N) - Omk - Mah (1N) - Man - Idr</v>
      </c>
      <c r="DC207" t="str">
        <v>Ujj (1N) - Omk - Idr (1N)</v>
      </c>
      <c r="DD207" t="str">
        <v>Ex Jlr | Jlr - Kan (2N) - Jlr</v>
      </c>
      <c r="DE207" t="str">
        <v>Ex Jlr | Jlr - Ban (2N) - Jlr</v>
      </c>
      <c r="DF207" t="str">
        <v>Ex Bho | Bho (2N) + Bhim + Bhoj + San</v>
      </c>
      <c r="DG207" t="str">
        <v>Ex Idr | Idr - Man (2N) - Idr</v>
      </c>
      <c r="DH207" t="str">
        <v>Ex Jlr | Jlr - Kan (2N) - Jlr</v>
      </c>
      <c r="DI207" t="str">
        <v>Ex Bho | Bho (2N) + Bhim + Bhoj + San + HDCT Bho</v>
      </c>
      <c r="DJ207" t="str">
        <v>Ex Bho | Bho - Bhim - Tawa (1N) - Mad (1N) - Bho</v>
      </c>
      <c r="DK207" t="str">
        <v>Ujj (1N) - Omk - Mah (1N) - Idr</v>
      </c>
      <c r="DL207" t="str">
        <v>Ujj (1N) -  Idr (1N)</v>
      </c>
      <c r="DM207" t="str">
        <v>Ex Idr | Idr (2N) + Ujj + Omk + Mah</v>
      </c>
      <c r="DN207" t="str">
        <v>Idr - Mah - Omk (1N) - Ujj (1N)</v>
      </c>
      <c r="DO207" t="str">
        <v>Idr - Ujj (1N) - Mah - Omk (1N) - Khandwa</v>
      </c>
      <c r="DP207" t="str">
        <v>Ex Idr | Idr (EX Ujj) (1N) - Mah - Omk (1N) - Idr HDCT</v>
      </c>
      <c r="DQ207" t="str">
        <v>Ujj (1N) - Sehor - Bho (1N) HDCT</v>
      </c>
      <c r="DR207" t="str">
        <v>Ex Jlr | Jlr (1N) - Ban (1N)</v>
      </c>
      <c r="DS207" t="str">
        <v>Ex Jlr | Ban (1N)</v>
      </c>
      <c r="DT207" t="str">
        <v>Ex Jlr | Jlr (2 N) Kan</v>
      </c>
      <c r="DU207" t="str">
        <v>Ex Jlr | Jlr - Amr (1 N) - (1 N) Ban</v>
      </c>
      <c r="DV207" t="str">
        <v>Ex Rpr | Rpr - (2N) Kan</v>
      </c>
      <c r="DW207" t="str">
        <v>Hjr (1N) - Mahi (1N) - Sat</v>
      </c>
      <c r="DX207" t="str">
        <v>Ex Bhp | Bhp - Bhim - Pch (2N) - Bhp</v>
      </c>
      <c r="DY207" t="str">
        <v xml:space="preserve">Ex Ujj I 2N Ujj </v>
      </c>
    </row>
    <row r="208" spans="2:145" ht="15" customHeight="1">
      <c r="B208" s="35">
        <v>204</v>
      </c>
      <c r="C208" s="36" t="s">
        <v>1662</v>
      </c>
      <c r="D208" s="76">
        <v>46219</v>
      </c>
      <c r="E208" s="37"/>
      <c r="F208" s="37"/>
      <c r="G208" s="28" t="s">
        <v>113</v>
      </c>
      <c r="H208" s="28" t="s">
        <v>120</v>
      </c>
      <c r="I208" s="28" t="s">
        <v>67</v>
      </c>
      <c r="J208" s="28" t="s">
        <v>145</v>
      </c>
      <c r="K208" s="28" t="s">
        <v>1663</v>
      </c>
      <c r="L208" s="25" t="s">
        <v>160</v>
      </c>
      <c r="M208" s="115" t="s">
        <v>90</v>
      </c>
      <c r="N208" s="25" t="s">
        <v>1274</v>
      </c>
      <c r="O208" s="130"/>
      <c r="P208" s="106"/>
      <c r="Q208" s="77">
        <v>46228</v>
      </c>
      <c r="R208" s="77" t="str">
        <f>IF(Table5[[#This Row],[Tour Starting Date]]&lt;&gt;"", TEXT(Table5[[#This Row],[Tour Starting Date]], "dddd"), "")</f>
        <v>Saturday</v>
      </c>
      <c r="S208" s="77">
        <v>46228</v>
      </c>
      <c r="T208" s="25" t="str">
        <f>IF(Table5[[#This Row],[Tour Ending Date]]&lt;&gt;"", TEXT(Table5[[#This Row],[Tour Ending Date]], "dddd"), "")</f>
        <v>Saturday</v>
      </c>
      <c r="U208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0 Nights &amp; 1 Days</v>
      </c>
      <c r="V208" s="37" t="str">
        <f>IF(Table5[[#This Row],[Tour Starting Date]]&lt;&gt;"", TEXT(Table5[[#This Row],[Tour Starting Date]], "mmmm"), "")</f>
        <v>July</v>
      </c>
      <c r="W208" s="80" t="str" cm="1">
        <f t="array" ref="W208">IF(Q208&lt;&gt;"", INDEX(CI:CI, MATCH(1, (Q208&gt;=CG:CG)*(Q208&lt;=CH:CH), 0)), "")</f>
        <v>Regular Dates - Weekend</v>
      </c>
      <c r="X208" s="39">
        <v>5</v>
      </c>
      <c r="Y208" s="74">
        <v>17000</v>
      </c>
      <c r="Z208" s="74">
        <f>IF(OR(Table5[[#This Row],[Per Person Package Cost]]="", Table5[[#This Row],[No. of Pax]]=""), "", Table5[[#This Row],[Per Person Package Cost]] * Table5[[#This Row],[No. of Pax]])</f>
        <v>85000</v>
      </c>
      <c r="AA208" s="52" t="s">
        <v>1664</v>
      </c>
      <c r="AB208" s="52" t="s">
        <v>1664</v>
      </c>
      <c r="AC208" s="52" t="s">
        <v>134</v>
      </c>
      <c r="AD208" s="52"/>
      <c r="AE208" s="51" t="str">
        <f t="shared" si="21"/>
        <v/>
      </c>
      <c r="AF208" s="51" t="str">
        <f t="shared" si="22"/>
        <v/>
      </c>
      <c r="AG208" s="74" t="str">
        <f t="shared" si="23"/>
        <v/>
      </c>
      <c r="AH208" s="73" t="str">
        <f t="shared" si="12"/>
        <v/>
      </c>
      <c r="AI208" s="52" t="s">
        <v>84</v>
      </c>
      <c r="AJ208" s="56" t="s">
        <v>115</v>
      </c>
      <c r="AK208" s="59" t="s">
        <v>79</v>
      </c>
      <c r="AL208" s="60" t="s">
        <v>80</v>
      </c>
      <c r="AM208" s="54" t="s">
        <v>80</v>
      </c>
      <c r="AN208" s="14">
        <v>46219</v>
      </c>
      <c r="AO208" s="15"/>
      <c r="AP208" s="91"/>
      <c r="AQ208" s="87"/>
      <c r="AR208" s="26"/>
      <c r="AS208" s="65"/>
      <c r="AT208" s="88" t="s">
        <v>85</v>
      </c>
      <c r="AU208" s="67"/>
      <c r="BX208" s="1">
        <v>204</v>
      </c>
      <c r="CN208" t="s">
        <v>1665</v>
      </c>
      <c r="DA208" t="str" cm="1">
        <f t="array" ref="DA208">IF(U208&lt;&gt;"", TRANSPOSE(_xlfn._xlws.FILTER(CZ:CZ, CY:CY=U208, "")), "")</f>
        <v/>
      </c>
    </row>
    <row r="209" spans="2:145" ht="15" customHeight="1">
      <c r="B209" s="34">
        <v>205</v>
      </c>
      <c r="C209" s="36" t="s">
        <v>1666</v>
      </c>
      <c r="D209" s="76">
        <v>46220</v>
      </c>
      <c r="E209" s="37" t="str">
        <f>IF(Table5[[#This Row],[Query Date]]&lt;&gt;"", TEXT(Table5[[#This Row],[Query Date]], "dddd"), "")</f>
        <v>Friday</v>
      </c>
      <c r="F209" s="37" t="str">
        <f>IF(Table5[[#This Row],[Query Date]]&lt;&gt;"", TEXT(Table5[[#This Row],[Query Date]], "mmmm"), "")</f>
        <v>July</v>
      </c>
      <c r="G209" s="28" t="s">
        <v>65</v>
      </c>
      <c r="H209" s="28" t="s">
        <v>99</v>
      </c>
      <c r="I209" s="28" t="s">
        <v>100</v>
      </c>
      <c r="J209" s="28" t="s">
        <v>68</v>
      </c>
      <c r="K209" s="28" t="s">
        <v>178</v>
      </c>
      <c r="L209" s="25" t="s">
        <v>70</v>
      </c>
      <c r="M209" s="112" t="s">
        <v>417</v>
      </c>
      <c r="N209" s="25" t="s">
        <v>418</v>
      </c>
      <c r="O209" s="130" t="s">
        <v>419</v>
      </c>
      <c r="P209" s="106" t="s">
        <v>420</v>
      </c>
      <c r="Q209" s="77">
        <v>46305</v>
      </c>
      <c r="R209" s="77" t="str">
        <f>IF(Table5[[#This Row],[Tour Starting Date]]&lt;&gt;"", TEXT(Table5[[#This Row],[Tour Starting Date]], "dddd"), "")</f>
        <v>Saturday</v>
      </c>
      <c r="S209" s="77">
        <v>46311</v>
      </c>
      <c r="T209" s="25" t="str">
        <f>IF(Table5[[#This Row],[Tour Ending Date]]&lt;&gt;"", TEXT(Table5[[#This Row],[Tour Ending Date]], "dddd"), "")</f>
        <v>Friday</v>
      </c>
      <c r="U209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6 Nights &amp; 7 Days</v>
      </c>
      <c r="V209" s="37" t="str">
        <f>IF(Table5[[#This Row],[Tour Starting Date]]&lt;&gt;"", TEXT(Table5[[#This Row],[Tour Starting Date]], "mmmm"), "")</f>
        <v>October</v>
      </c>
      <c r="W209" s="80" t="str" cm="1">
        <f t="array" ref="W209">IF(Q209&lt;&gt;"", INDEX(CI:CI, MATCH(1, (Q209&gt;=CG:CG)*(Q209&lt;=CH:CH), 0)), "")</f>
        <v>Regular Dates - Weekend</v>
      </c>
      <c r="X209" s="39">
        <v>10</v>
      </c>
      <c r="Y209" s="74">
        <v>19900</v>
      </c>
      <c r="Z209" s="74">
        <f>IF(OR(Table5[[#This Row],[Per Person Package Cost]]="", Table5[[#This Row],[No. of Pax]]=""), "", Table5[[#This Row],[Per Person Package Cost]] * Table5[[#This Row],[No. of Pax]])</f>
        <v>199000</v>
      </c>
      <c r="AA209" s="52" t="s">
        <v>133</v>
      </c>
      <c r="AB209" s="52" t="s">
        <v>75</v>
      </c>
      <c r="AC209" s="52" t="s">
        <v>76</v>
      </c>
      <c r="AD209" s="52"/>
      <c r="AE209" s="51" t="str">
        <f t="shared" si="21"/>
        <v/>
      </c>
      <c r="AF209" s="51" t="str">
        <f t="shared" si="22"/>
        <v/>
      </c>
      <c r="AG209" s="74" t="str">
        <f t="shared" si="23"/>
        <v/>
      </c>
      <c r="AH209" s="73" t="str">
        <f t="shared" si="12"/>
        <v/>
      </c>
      <c r="AI209" s="52" t="s">
        <v>159</v>
      </c>
      <c r="AJ209" s="56" t="s">
        <v>78</v>
      </c>
      <c r="AK209" s="59" t="s">
        <v>79</v>
      </c>
      <c r="AL209" s="60" t="s">
        <v>80</v>
      </c>
      <c r="AM209" s="54" t="s">
        <v>80</v>
      </c>
      <c r="AN209" s="14">
        <v>46254</v>
      </c>
      <c r="AO209" s="15">
        <v>46266</v>
      </c>
      <c r="AP209" s="91"/>
      <c r="AQ209" s="87"/>
      <c r="AR209" s="26"/>
      <c r="AS209" s="65"/>
      <c r="AT209" s="88" t="s">
        <v>138</v>
      </c>
      <c r="AU209" s="67"/>
      <c r="BX209" s="1">
        <v>205</v>
      </c>
      <c r="CN209" t="s">
        <v>1667</v>
      </c>
      <c r="DA209" t="str" cm="1">
        <f t="array" ref="DA209:DZ209">IF(U209&lt;&gt;"", TRANSPOSE(_xlfn._xlws.FILTER(CZ:CZ, CY:CY=U209, "")), "")</f>
        <v>Ex Gwl | Gwl (2N) + Mor - Orc - Pan (2N) - Hjr (1N) - Dat - Son - Gwl (1N)</v>
      </c>
      <c r="DB209" t="str">
        <v>Ex Gwl | GWL (2N) + Mor - Shiv - Chan (2N) - Hjr (1N) - Orc (1N) - Dat - Gwl</v>
      </c>
      <c r="DC209" t="str">
        <v>Gwl (2N) + Mor - Son - Dat - Orc (1N) - Hjr (1N) - Ban (1N) - Jlr (1N)</v>
      </c>
      <c r="DD209" t="str">
        <v>Idr - Ujj (1N) - Omk - Mah (1N) - Man (2N) - Bhp (2N) + Bhim + Bhoj + San</v>
      </c>
      <c r="DE209" t="str">
        <v>Bhp (1N) + Bhim + Bhoj + San - Ujj (1N) - Man (2N) - Mah - Omk (1N) - Idr (1N)</v>
      </c>
      <c r="DF209" t="str">
        <v>Jlr (1N) - Ban (1N) - Hjr (1N) - Orc (1N) - Dat - Son - Gwl (2N) + Mor</v>
      </c>
      <c r="DG209" t="str">
        <v>Bho (1N) + San - Bhoj - Bhim - Tawa (1N) - Mad (1N) - Pch (2N) - Jlr (1N)</v>
      </c>
      <c r="DH209" t="str">
        <v>Bho (1N) + San + Udaygiri - Bhoj - Bhim - Pch (2N) - Kan(2N) - Jlr (1N)</v>
      </c>
      <c r="DI209" t="str">
        <v>Bho (1N) + Bhim + Bhoj - San - Ujj (1N) - Man (2N) - Mah - Omk (1N) - Idr (1N)</v>
      </c>
      <c r="DJ209" t="str">
        <v>Gwl (2N) + Mor - Son - Dat - Orc (1N) - Hjr (1N) - Jab (1N) - Kan (1N) - Nag</v>
      </c>
      <c r="DK209" t="str">
        <v>Bho (2N) + San + Bhoj + Bhim - Ujj (1N) - Omk - Mah (1N) - Man (1N) - Idr (1N)</v>
      </c>
      <c r="DL209" t="str">
        <v>Ex Nag | Nag - Pch (2N) - Bhim - Bhoj - Bho (2N) + San + Udaygiri - Jlr (1N) - Kan (1N) - Nag</v>
      </c>
      <c r="DM209" t="str">
        <v>Bho (1N) - Mad (2N) + Tawa Cruise Safari - Pch (2N) - Jlr (1N) - Nag</v>
      </c>
      <c r="DN209" t="str">
        <v>Idr - Man (2N) - Idr (1N) - Bho (1N) + San - Bhoj - Bhim - Pch (2N) - Bho</v>
      </c>
      <c r="DO209" t="str">
        <v>Rpr - kan (2N) - Ban (1N) - Jlr (1N) - Mad (2N) - Bhim - Bhoj - Bho</v>
      </c>
      <c r="DP209" t="str">
        <v>Jlr - Amar (1 N) - Ban (2 N) - Kan (1N) - Pch (2N) - Ppi</v>
      </c>
      <c r="DQ209" t="str">
        <v>Jlr - (2N) Kan - (1N) Jlr - Bhim - Bhoj - (2N) Bho  (Ex San &amp; Uda)  - (1N) Ujj - Idr</v>
      </c>
      <c r="DR209" t="str">
        <v>Ex Nag | Nag (2 N) Pach - Bhim - Bhij - (2 N) Bho (Ex San &amp; Uad) - (1 N) Jlr - (1 N) Kan - Nag</v>
      </c>
      <c r="DS209" t="str">
        <v>(2 N) Bho (Ex San, Bhoj &amp; Bhim) - (1 N) Ujj - Omk - (1 N) Mah - (1 N) Man - (1 N) Idr</v>
      </c>
      <c r="DT209" t="str">
        <v>(2 N) Gwl (Ex Mor) - Son - Dat - (1 N) Orc - (1 N) Hjr - (1 N) Jlr - (1 N) Kan - Nag</v>
      </c>
      <c r="DU209" t="str">
        <v>(1 N) Jlr - (2 N) Kanha - (2 N Pach) - (1 N) BHo</v>
      </c>
      <c r="DV209" t="str">
        <v>(2 N) Gwl - (1 N) Orc - (1 N) Hjr - (1 N) Ban - (1 N) Jlr</v>
      </c>
      <c r="DW209" t="str">
        <v>(2 N) BHo - (2 N) Madhai - (1 N) Pach - (1 N) Jlr</v>
      </c>
      <c r="DX209" t="str">
        <v>Ex Bhp | Bhp - Bhoj - Bhim - Pach (3N) - Tawa - Mad - Tawa (1N) - Mad (1N) - Bho (1N)</v>
      </c>
      <c r="DY209" t="str">
        <v>Ex Idr I Idr - 2N Ujj - 1N Man - 1N Mah - 1N Omk - 1N Idr</v>
      </c>
      <c r="DZ209" t="str">
        <v>1N Jlr - 1N Kan - 1N Ban - 1N Hjr -2N Gwl</v>
      </c>
    </row>
    <row r="210" spans="2:145" ht="15" customHeight="1">
      <c r="B210" s="35">
        <v>206</v>
      </c>
      <c r="C210" s="36" t="s">
        <v>1668</v>
      </c>
      <c r="D210" s="76">
        <v>46219</v>
      </c>
      <c r="E210" s="37" t="str">
        <f>IF(Table5[[#This Row],[Query Date]]&lt;&gt;"", TEXT(Table5[[#This Row],[Query Date]], "dddd"), "")</f>
        <v>Thursday</v>
      </c>
      <c r="F210" s="37" t="str">
        <f>IF(Table5[[#This Row],[Query Date]]&lt;&gt;"", TEXT(Table5[[#This Row],[Query Date]], "mmmm"), "")</f>
        <v>July</v>
      </c>
      <c r="G210" s="28" t="s">
        <v>113</v>
      </c>
      <c r="H210" s="28" t="s">
        <v>99</v>
      </c>
      <c r="I210" s="28" t="s">
        <v>67</v>
      </c>
      <c r="J210" s="28" t="s">
        <v>68</v>
      </c>
      <c r="K210" s="28" t="s">
        <v>1645</v>
      </c>
      <c r="L210" s="25" t="s">
        <v>160</v>
      </c>
      <c r="M210" s="112" t="s">
        <v>90</v>
      </c>
      <c r="N210" s="25" t="s">
        <v>1669</v>
      </c>
      <c r="O210" s="130" t="s">
        <v>1670</v>
      </c>
      <c r="P210" s="106" t="s">
        <v>1638</v>
      </c>
      <c r="Q210" s="77">
        <v>46248</v>
      </c>
      <c r="R210" s="77" t="str">
        <f>IF(Table5[[#This Row],[Tour Starting Date]]&lt;&gt;"", TEXT(Table5[[#This Row],[Tour Starting Date]], "dddd"), "")</f>
        <v>Friday</v>
      </c>
      <c r="S210" s="77">
        <v>46251</v>
      </c>
      <c r="T210" s="25" t="str">
        <f>IF(Table5[[#This Row],[Tour Ending Date]]&lt;&gt;"", TEXT(Table5[[#This Row],[Tour Ending Date]], "dddd"), "")</f>
        <v>Monday</v>
      </c>
      <c r="U210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210" s="37" t="str">
        <f>IF(Table5[[#This Row],[Tour Starting Date]]&lt;&gt;"", TEXT(Table5[[#This Row],[Tour Starting Date]], "mmmm"), "")</f>
        <v>August</v>
      </c>
      <c r="W210" s="80" t="str" cm="1">
        <f t="array" ref="W210">IF(Q210&lt;&gt;"", INDEX(CI:CI, MATCH(1, (Q210&gt;=CG:CG)*(Q210&lt;=CH:CH), 0)), "")</f>
        <v>Long Weekend - Independence Day</v>
      </c>
      <c r="X210" s="39">
        <v>2</v>
      </c>
      <c r="Y210" s="74">
        <v>15300</v>
      </c>
      <c r="Z210" s="74">
        <f>IF(OR(Table5[[#This Row],[Per Person Package Cost]]="", Table5[[#This Row],[No. of Pax]]=""), "", Table5[[#This Row],[Per Person Package Cost]] * Table5[[#This Row],[No. of Pax]])</f>
        <v>30600</v>
      </c>
      <c r="AA210" s="52" t="s">
        <v>75</v>
      </c>
      <c r="AB210" s="52" t="s">
        <v>75</v>
      </c>
      <c r="AC210" s="52" t="s">
        <v>173</v>
      </c>
      <c r="AD210" s="52" t="s">
        <v>364</v>
      </c>
      <c r="AE210" s="51" t="str">
        <f t="shared" si="21"/>
        <v>EXIDR03</v>
      </c>
      <c r="AF210" s="51" t="str">
        <f t="shared" si="22"/>
        <v>Temple Fort Odyssey</v>
      </c>
      <c r="AG210" s="74" t="str">
        <f t="shared" si="23"/>
        <v>Quick Getaways</v>
      </c>
      <c r="AH210" s="73" t="str">
        <f t="shared" si="12"/>
        <v>West MP</v>
      </c>
      <c r="AI210" s="52" t="s">
        <v>159</v>
      </c>
      <c r="AJ210" s="56"/>
      <c r="AK210" s="59" t="s">
        <v>79</v>
      </c>
      <c r="AL210" s="60" t="s">
        <v>80</v>
      </c>
      <c r="AM210" s="54" t="s">
        <v>80</v>
      </c>
      <c r="AN210" s="14">
        <v>46223</v>
      </c>
      <c r="AO210" s="15"/>
      <c r="AP210" s="91"/>
      <c r="AQ210" s="87"/>
      <c r="AR210" s="26"/>
      <c r="AS210" s="65"/>
      <c r="AT210" s="88" t="s">
        <v>81</v>
      </c>
      <c r="AU210" s="67" t="s">
        <v>82</v>
      </c>
      <c r="BX210" s="1">
        <v>206</v>
      </c>
      <c r="CN210" t="s">
        <v>1671</v>
      </c>
      <c r="DA210" t="str" cm="1">
        <f t="array" ref="DA210:EO210">IF(U210&lt;&gt;"", TRANSPOSE(_xlfn._xlws.FILTER(CZ:CZ, CY:CY=U210, "")), "")</f>
        <v>Gwl (3N) + Mor + Son + Dat + Orc</v>
      </c>
      <c r="DB210" t="str">
        <v>Ex Gwl | Gwl (1N) - Son - Dat - Orc (1N) - Gwl (1N)</v>
      </c>
      <c r="DC210" t="str">
        <v>Ex Idr | Idr - Ujj (1N) - Omk - Mah (1N) - Man (1N) - Idr</v>
      </c>
      <c r="DD210" t="str">
        <v>Ex Jlr | Jlr - Kan (2N) - Jlr (1N)</v>
      </c>
      <c r="DE210" t="str">
        <v>Ex Jlr | Jlr - Ban (2N) - Jlr (1N)</v>
      </c>
      <c r="DF210" t="str">
        <v>Ex Bho | Bho (1N) + San - Bhoj - Bhim - Pch (2N) - Bho</v>
      </c>
      <c r="DG210" t="str">
        <v>Ex Idr | Idr (1N) - Ujj (1N) - Omk (1N) - Mah - Idr</v>
      </c>
      <c r="DH210" t="str">
        <v>Gwl - Orc (1N) - Ckt (1N) - Myr (1N) - Jlr</v>
      </c>
      <c r="DI210" t="str">
        <v>Gwl - Orc (1N) - Ckt (2N) - Ixd</v>
      </c>
      <c r="DJ210" t="str">
        <v>Ex Idr | Idr - Ujj (1N) - Omk - Mah (1N) - Idr (1N)</v>
      </c>
      <c r="DK210" t="str">
        <v>Ex Jlr | Jlr - Kan (3N) - Jlr</v>
      </c>
      <c r="DL210" t="str">
        <v>Ex Bho | Bho (2N) + Bhim + Bhoj + San + Udaygiri + Vidisha + FDCT Bho</v>
      </c>
      <c r="DM210" t="str">
        <v>Bho (1N) + Bhim + Bhoj - HDCT  Bho + Sanchi - Ujj (2N)</v>
      </c>
      <c r="DN210" t="str">
        <v>Bho (1N) + Bhim + Bhoj - HDCT  Bho + Sanchi - Ujj (2N) - Idr</v>
      </c>
      <c r="DO210" t="str">
        <v>Ex Bho | Bho - Bhoj - Bhim - Mad (1N) - Pch (2N) - Bho</v>
      </c>
      <c r="DP210" t="str">
        <v>Ex Bho | Bho - Bhoj - Bhim - Mad (1N) - Pch (3N) - Bho</v>
      </c>
      <c r="DQ210" t="str">
        <v>Ex Bho | Bho - Bhoj - Bhim - Tawa (1N) - Mad (1N) - Bho (1N)</v>
      </c>
      <c r="DR210" t="str">
        <v>Bho (1N) - Bhim - Bhoj - San - Idr (2N) + Ujj</v>
      </c>
      <c r="DS210" t="str">
        <v>Bho (1N) - Bhoj - Bhim - Pch (2N) - Bho</v>
      </c>
      <c r="DT210" t="str">
        <v>Ujj (1N) - Omk - Mah (1N) - Idr (1N)</v>
      </c>
      <c r="DU210" t="str">
        <v>Ujj (1N) - Omk - Mah (1N) - Man (1N) - Idr</v>
      </c>
      <c r="DV210" t="str">
        <v>Ex Idr | Idr (1N) - Ujj (1N) - Omk - Mah (1N)</v>
      </c>
      <c r="DW210" t="str">
        <v>Ex Idr | Idr - Ujj (1N) - Omk (1N) - Mah (1N) - Idr</v>
      </c>
      <c r="DX210" t="str">
        <v>Khandwa - Omk (1N) - Mah (1N) - Ujj (1N) - Idr</v>
      </c>
      <c r="DY210" t="str">
        <v>Ex Idr | Idr - Ujj (1N) - Omk - Mah (1N) - Man - Idr (1N)</v>
      </c>
      <c r="DZ210" t="str">
        <v xml:space="preserve">Idr - Omk (1N) - Mah - Ujj (1N) San - Bho (1N) </v>
      </c>
      <c r="EA210" t="str">
        <v>Ex Idr | Idr - Man (1N) - Mah - Omk (1N) - Ujj (1N) - Idr</v>
      </c>
      <c r="EB210" t="str">
        <v>Khandwa - Omk (1N) - Mah - Ujj (2N)</v>
      </c>
      <c r="EC210" t="str">
        <v>Ex Jlr | Jlr (1N) - Amr (1N) - Ban (1N) - Jlr</v>
      </c>
      <c r="ED210" t="str">
        <v>Ex Jlr | Jlr - (1 N) Ban - (2 N) Amar</v>
      </c>
      <c r="EE210" t="str">
        <v>Jlr - Kan (1N) - Pch (2N)</v>
      </c>
      <c r="EF210" t="str">
        <v>Pi - Pch (2N)  - Kan (1N)</v>
      </c>
      <c r="EG210" t="str">
        <v>Ex Jlr | Jlr - Amr (1 N) - (1 N) Ban - (1 N) Jlr</v>
      </c>
      <c r="EH210" t="str">
        <v>Ppi - (2 N) Pch - (1 N) Pen</v>
      </c>
      <c r="EI210" t="str">
        <v>Bhp - Pch (2N) - Jlr (1N)</v>
      </c>
      <c r="EJ210" t="str">
        <v xml:space="preserve">Arr Jhn - Hjr (1N) - Orc - Gwl (2N) </v>
      </c>
      <c r="EK210" t="str">
        <v>(1 N) Ujj - (1 N) Mah - (1 N) Idr</v>
      </c>
      <c r="EL210" t="str">
        <v>Ex Bhp | Bhp - Bhoj - Bhim - Pch (3N) - Bhp</v>
      </c>
      <c r="EM210" t="str">
        <v>Ex Bhp | Bhp - Bhoj - Bhim - Pch (2N) - Mad (1N) - Bhp</v>
      </c>
      <c r="EN210" t="str">
        <v xml:space="preserve">Ex Nag - 3N Pch + Sat </v>
      </c>
      <c r="EO210" t="str">
        <v>1N Gwl - Son - Dat - 1N Hjr - 1N Orc - Jhn</v>
      </c>
    </row>
    <row r="211" spans="2:145" ht="15" customHeight="1">
      <c r="B211" s="34">
        <v>207</v>
      </c>
      <c r="C211" s="36" t="s">
        <v>1672</v>
      </c>
      <c r="D211" s="76">
        <v>46219</v>
      </c>
      <c r="E211" s="37" t="str">
        <f>IF(Table5[[#This Row],[Query Date]]&lt;&gt;"", TEXT(Table5[[#This Row],[Query Date]], "dddd"), "")</f>
        <v>Thursday</v>
      </c>
      <c r="F211" s="37" t="str">
        <f>IF(Table5[[#This Row],[Query Date]]&lt;&gt;"", TEXT(Table5[[#This Row],[Query Date]], "mmmm"), "")</f>
        <v>July</v>
      </c>
      <c r="G211" s="28" t="s">
        <v>113</v>
      </c>
      <c r="H211" s="28" t="s">
        <v>99</v>
      </c>
      <c r="I211" s="28" t="s">
        <v>67</v>
      </c>
      <c r="J211" s="28" t="s">
        <v>68</v>
      </c>
      <c r="K211" s="28" t="s">
        <v>178</v>
      </c>
      <c r="L211" s="25" t="s">
        <v>160</v>
      </c>
      <c r="M211" s="112" t="s">
        <v>90</v>
      </c>
      <c r="N211" s="25" t="s">
        <v>1673</v>
      </c>
      <c r="O211" s="130" t="s">
        <v>1674</v>
      </c>
      <c r="P211" s="106" t="s">
        <v>1638</v>
      </c>
      <c r="Q211" s="77">
        <v>46269</v>
      </c>
      <c r="R211" s="77" t="str">
        <f>IF(Table5[[#This Row],[Tour Starting Date]]&lt;&gt;"", TEXT(Table5[[#This Row],[Tour Starting Date]], "dddd"), "")</f>
        <v>Friday</v>
      </c>
      <c r="S211" s="77">
        <v>46271</v>
      </c>
      <c r="T211" s="25" t="str">
        <f>IF(Table5[[#This Row],[Tour Ending Date]]&lt;&gt;"", TEXT(Table5[[#This Row],[Tour Ending Date]], "dddd"), "")</f>
        <v>Sunday</v>
      </c>
      <c r="U211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211" s="37" t="str">
        <f>IF(Table5[[#This Row],[Tour Starting Date]]&lt;&gt;"", TEXT(Table5[[#This Row],[Tour Starting Date]], "mmmm"), "")</f>
        <v>September</v>
      </c>
      <c r="W211" s="80" t="str" cm="1">
        <f t="array" ref="W211">IF(Q211&lt;&gt;"", INDEX(CI:CI, MATCH(1, (Q211&gt;=CG:CG)*(Q211&lt;=CH:CH), 0)), "")</f>
        <v>Long Weekend - Janmashtami</v>
      </c>
      <c r="X211" s="39">
        <v>2</v>
      </c>
      <c r="Y211" s="74">
        <v>7800</v>
      </c>
      <c r="Z211" s="74">
        <f>IF(OR(Table5[[#This Row],[Per Person Package Cost]]="", Table5[[#This Row],[No. of Pax]]=""), "", Table5[[#This Row],[Per Person Package Cost]] * Table5[[#This Row],[No. of Pax]])</f>
        <v>15600</v>
      </c>
      <c r="AA211" s="52" t="s">
        <v>75</v>
      </c>
      <c r="AB211" s="52" t="s">
        <v>75</v>
      </c>
      <c r="AC211" s="52" t="s">
        <v>173</v>
      </c>
      <c r="AD211" s="52" t="s">
        <v>352</v>
      </c>
      <c r="AE211" s="51" t="str">
        <f t="shared" si="21"/>
        <v>EXIDR02</v>
      </c>
      <c r="AF211" s="51" t="str">
        <f t="shared" si="22"/>
        <v>Jyotirlinga Trails</v>
      </c>
      <c r="AG211" s="74" t="str">
        <f t="shared" si="23"/>
        <v>Quick Getaways</v>
      </c>
      <c r="AH211" s="73" t="str">
        <f t="shared" si="12"/>
        <v>West MP</v>
      </c>
      <c r="AI211" s="52" t="s">
        <v>77</v>
      </c>
      <c r="AJ211" s="56" t="s">
        <v>115</v>
      </c>
      <c r="AK211" s="59" t="s">
        <v>79</v>
      </c>
      <c r="AL211" s="60" t="s">
        <v>80</v>
      </c>
      <c r="AM211" s="54" t="s">
        <v>80</v>
      </c>
      <c r="AN211" s="14">
        <v>46223</v>
      </c>
      <c r="AO211" s="15"/>
      <c r="AP211" s="91"/>
      <c r="AQ211" s="87"/>
      <c r="AR211" s="26"/>
      <c r="AS211" s="65"/>
      <c r="AT211" s="88" t="s">
        <v>138</v>
      </c>
      <c r="AU211" s="67"/>
      <c r="BX211" s="1">
        <v>207</v>
      </c>
      <c r="CN211" t="s">
        <v>1675</v>
      </c>
      <c r="DA211" t="str" cm="1">
        <f t="array" ref="DA211:DY211">IF(U211&lt;&gt;"", TRANSPOSE(_xlfn._xlws.FILTER(CZ:CZ, CY:CY=U211, "")), "")</f>
        <v>Gwl (2N) + Mor</v>
      </c>
      <c r="DB211" t="str">
        <v>Ex Idr | Idr - Ujj (1N) - Omk - Mah (1N) - Man - Idr</v>
      </c>
      <c r="DC211" t="str">
        <v>Ujj (1N) - Omk - Idr (1N)</v>
      </c>
      <c r="DD211" t="str">
        <v>Ex Jlr | Jlr - Kan (2N) - Jlr</v>
      </c>
      <c r="DE211" t="str">
        <v>Ex Jlr | Jlr - Ban (2N) - Jlr</v>
      </c>
      <c r="DF211" t="str">
        <v>Ex Bho | Bho (2N) + Bhim + Bhoj + San</v>
      </c>
      <c r="DG211" t="str">
        <v>Ex Idr | Idr - Man (2N) - Idr</v>
      </c>
      <c r="DH211" t="str">
        <v>Ex Jlr | Jlr - Kan (2N) - Jlr</v>
      </c>
      <c r="DI211" t="str">
        <v>Ex Bho | Bho (2N) + Bhim + Bhoj + San + HDCT Bho</v>
      </c>
      <c r="DJ211" t="str">
        <v>Ex Bho | Bho - Bhim - Tawa (1N) - Mad (1N) - Bho</v>
      </c>
      <c r="DK211" t="str">
        <v>Ujj (1N) - Omk - Mah (1N) - Idr</v>
      </c>
      <c r="DL211" t="str">
        <v>Ujj (1N) -  Idr (1N)</v>
      </c>
      <c r="DM211" t="str">
        <v>Ex Idr | Idr (2N) + Ujj + Omk + Mah</v>
      </c>
      <c r="DN211" t="str">
        <v>Idr - Mah - Omk (1N) - Ujj (1N)</v>
      </c>
      <c r="DO211" t="str">
        <v>Idr - Ujj (1N) - Mah - Omk (1N) - Khandwa</v>
      </c>
      <c r="DP211" t="str">
        <v>Ex Idr | Idr (EX Ujj) (1N) - Mah - Omk (1N) - Idr HDCT</v>
      </c>
      <c r="DQ211" t="str">
        <v>Ujj (1N) - Sehor - Bho (1N) HDCT</v>
      </c>
      <c r="DR211" t="str">
        <v>Ex Jlr | Jlr (1N) - Ban (1N)</v>
      </c>
      <c r="DS211" t="str">
        <v>Ex Jlr | Ban (1N)</v>
      </c>
      <c r="DT211" t="str">
        <v>Ex Jlr | Jlr (2 N) Kan</v>
      </c>
      <c r="DU211" t="str">
        <v>Ex Jlr | Jlr - Amr (1 N) - (1 N) Ban</v>
      </c>
      <c r="DV211" t="str">
        <v>Ex Rpr | Rpr - (2N) Kan</v>
      </c>
      <c r="DW211" t="str">
        <v>Hjr (1N) - Mahi (1N) - Sat</v>
      </c>
      <c r="DX211" t="str">
        <v>Ex Bhp | Bhp - Bhim - Pch (2N) - Bhp</v>
      </c>
      <c r="DY211" t="str">
        <v xml:space="preserve">Ex Ujj I 2N Ujj </v>
      </c>
    </row>
    <row r="212" spans="2:145" ht="15" customHeight="1">
      <c r="B212" s="35">
        <v>208</v>
      </c>
      <c r="C212" s="36" t="s">
        <v>1676</v>
      </c>
      <c r="D212" s="76">
        <v>46219</v>
      </c>
      <c r="E212" s="37" t="str">
        <f>IF(Table5[[#This Row],[Query Date]]&lt;&gt;"", TEXT(Table5[[#This Row],[Query Date]], "dddd"), "")</f>
        <v>Thursday</v>
      </c>
      <c r="F212" s="37" t="str">
        <f>IF(Table5[[#This Row],[Query Date]]&lt;&gt;"", TEXT(Table5[[#This Row],[Query Date]], "mmmm"), "")</f>
        <v>July</v>
      </c>
      <c r="G212" s="28" t="s">
        <v>113</v>
      </c>
      <c r="H212" s="28" t="s">
        <v>99</v>
      </c>
      <c r="I212" s="28" t="s">
        <v>67</v>
      </c>
      <c r="J212" s="28" t="s">
        <v>68</v>
      </c>
      <c r="K212" s="28" t="s">
        <v>178</v>
      </c>
      <c r="L212" s="25" t="s">
        <v>160</v>
      </c>
      <c r="M212" s="112" t="s">
        <v>90</v>
      </c>
      <c r="N212" s="25" t="s">
        <v>1677</v>
      </c>
      <c r="O212" s="130" t="s">
        <v>1678</v>
      </c>
      <c r="P212" s="106" t="s">
        <v>1638</v>
      </c>
      <c r="Q212" s="77">
        <v>46312</v>
      </c>
      <c r="R212" s="77" t="str">
        <f>IF(Table5[[#This Row],[Tour Starting Date]]&lt;&gt;"", TEXT(Table5[[#This Row],[Tour Starting Date]], "dddd"), "")</f>
        <v>Saturday</v>
      </c>
      <c r="S212" s="77">
        <v>46316</v>
      </c>
      <c r="T212" s="25" t="str">
        <f>IF(Table5[[#This Row],[Tour Ending Date]]&lt;&gt;"", TEXT(Table5[[#This Row],[Tour Ending Date]], "dddd"), "")</f>
        <v>Wednesday</v>
      </c>
      <c r="U212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4 Nights &amp; 5 Days</v>
      </c>
      <c r="V212" s="37" t="str">
        <f>IF(Table5[[#This Row],[Tour Starting Date]]&lt;&gt;"", TEXT(Table5[[#This Row],[Tour Starting Date]], "mmmm"), "")</f>
        <v>October</v>
      </c>
      <c r="W212" s="80" t="str" cm="1">
        <f t="array" ref="W212">IF(Q212&lt;&gt;"", INDEX(CI:CI, MATCH(1, (Q212&gt;=CG:CG)*(Q212&lt;=CH:CH), 0)), "")</f>
        <v>Regular Dates - Weekend</v>
      </c>
      <c r="X212" s="39">
        <v>7</v>
      </c>
      <c r="Y212" s="74">
        <v>15900</v>
      </c>
      <c r="Z212" s="74">
        <f>IF(OR(Table5[[#This Row],[Per Person Package Cost]]="", Table5[[#This Row],[No. of Pax]]=""), "", Table5[[#This Row],[Per Person Package Cost]] * Table5[[#This Row],[No. of Pax]])</f>
        <v>111300</v>
      </c>
      <c r="AA212" s="52" t="s">
        <v>75</v>
      </c>
      <c r="AB212" s="52" t="s">
        <v>75</v>
      </c>
      <c r="AC212" s="52" t="s">
        <v>173</v>
      </c>
      <c r="AD212" s="52" t="s">
        <v>106</v>
      </c>
      <c r="AE212" s="51" t="str">
        <f t="shared" si="21"/>
        <v>EXIDR04</v>
      </c>
      <c r="AF212" s="51" t="str">
        <f t="shared" si="22"/>
        <v>Heritage Pilgrimage</v>
      </c>
      <c r="AG212" s="74" t="str">
        <f t="shared" si="23"/>
        <v>Quick Getaways</v>
      </c>
      <c r="AH212" s="73" t="str">
        <f t="shared" ref="AH212:AH275" si="24">IF(AD212&lt;&gt;"", INDEX(CV:CV, MATCH(AD212, CZ:CZ, 0)), "")</f>
        <v>West MP</v>
      </c>
      <c r="AI212" s="52" t="s">
        <v>77</v>
      </c>
      <c r="AJ212" s="56" t="s">
        <v>115</v>
      </c>
      <c r="AK212" s="59" t="s">
        <v>79</v>
      </c>
      <c r="AL212" s="60" t="s">
        <v>80</v>
      </c>
      <c r="AM212" s="54" t="s">
        <v>80</v>
      </c>
      <c r="AN212" s="14">
        <v>46223</v>
      </c>
      <c r="AO212" s="15"/>
      <c r="AP212" s="91"/>
      <c r="AQ212" s="87"/>
      <c r="AR212" s="26"/>
      <c r="AS212" s="65"/>
      <c r="AT212" s="88" t="s">
        <v>138</v>
      </c>
      <c r="AU212" s="67"/>
      <c r="BX212" s="1">
        <v>208</v>
      </c>
      <c r="CN212" t="s">
        <v>1679</v>
      </c>
      <c r="DA212" t="str" cm="1">
        <f t="array" ref="DA212:EJ212">IF(U212&lt;&gt;"", TRANSPOSE(_xlfn._xlws.FILTER(CZ:CZ, CY:CY=U212, "")), "")</f>
        <v>Ex Gwl | Gwl (2N) + Mor - Son - Dat - Orc (1N) - Hjr (1N) - Gwl</v>
      </c>
      <c r="DB212" t="str">
        <v>Ex Idr | Idr - Ujj (1N) - Omk - Mah (1N) - Man (1N) - Idr (1N)</v>
      </c>
      <c r="DC212" t="str">
        <v>Ex Idr | Idr - Ujj (1N) - Omk (1N) - Mah (1N) - Man (1N) - Idr</v>
      </c>
      <c r="DD212" t="str">
        <v>Ex Jlr | Jlr - Kan (2N) - Amk (1N) - Jlr (1N)</v>
      </c>
      <c r="DE212" t="str">
        <v>Ex Jlr | Jlr - Ban (2N) - Amk (1N) - Jlr (1N)</v>
      </c>
      <c r="DF212" t="str">
        <v>Ex Jlr | Jlr (1N) - Hjr (1N) - Ban (2N) - Jlr</v>
      </c>
      <c r="DG212" t="str">
        <v>Ex Jlr | Jlr (1N) - Kan (1N) - Ban (2N) - Jlr</v>
      </c>
      <c r="DH212" t="str">
        <v>Ex Bho | Bho (1N) + San + Bhoj + Bhim - Tawa - Mad (1N) - Pch (2N) - Bho</v>
      </c>
      <c r="DI212" t="str">
        <v>Ex Idr | Idr - Ujj (1N) - Omk - Mah (1N) - Man (1N) - Idr (1N)</v>
      </c>
      <c r="DJ212" t="str">
        <v>Ex Bho | Bho (1N) - Bhoj - Bhim - Pch (3N) - Bho</v>
      </c>
      <c r="DK212" t="str">
        <v>Gwl (1N) - Dat (Pitambara Peeth) - Orc (1N) - Ckt (2N) - Ixd</v>
      </c>
      <c r="DL212" t="str">
        <v>Ex Jlr | Jlr - Ban (2N) - Kan (2N) - Jlr</v>
      </c>
      <c r="DM212" t="str">
        <v>Jlr - Ban (1N) - Kan (1N) - Pen (2N) - Nag</v>
      </c>
      <c r="DN212" t="str">
        <v>Ex Bho | Bho (1N) - Bhoj - Bhim - Pch (3N) - Bho</v>
      </c>
      <c r="DO212" t="str">
        <v>Ex Bho | Bho (2N) + Sanchi + Bhoj + Bhim - Tawa - Mad (1N) - Bho (1N)</v>
      </c>
      <c r="DP212" t="str">
        <v>Ex Bho | Bho - Bhoj - Bhim - Tawa (1N) - Mad (1N) - Pch (2N) - Bho</v>
      </c>
      <c r="DQ212" t="str">
        <v>Bho - Bhoj - Bhim - Pch (2N) - Kan (1N) - Jlr (1N)</v>
      </c>
      <c r="DR212" t="str">
        <v>Bho - Bhoj - Bhim - Pch (2N) - Kan (1N) - Amk (1N) - Jlr</v>
      </c>
      <c r="DS212" t="str">
        <v xml:space="preserve">Bho (1N) + Bhim + Bhoj + San - Ujj (1N) - Omk - Mah (1N) - Idr (1N) </v>
      </c>
      <c r="DT212" t="str">
        <v>Ex Gwl | Gwl - Hjr (1N) - Orc (1N) - Dat - Son - Gwl (2N)</v>
      </c>
      <c r="DU212" t="str">
        <v>Ex Gwl | Gwl - Orc (1N) - Hjr (1N) - Chn (1N) - Shiv (1N) - Gwl</v>
      </c>
      <c r="DV212" t="str">
        <v>Gwl - Hjr (1N) - Panna (1N) - Chit (1N) - Mahi (1N) - Sat</v>
      </c>
      <c r="DW212" t="str">
        <v>Jlr - (2 N) Kan - (2 N) Pch - Bhim - Bhoj - Bhp</v>
      </c>
      <c r="DX212" t="str">
        <v>Jlr - (2 N) Kan - (2 N) Pen - Rpr</v>
      </c>
      <c r="DY212" t="str">
        <v>Gwl (2N) (Ex Mor) - Dat -Orc (1N) - Hjr (1N) - Jhn</v>
      </c>
      <c r="DZ212" t="str">
        <v>Ex Gwl | Gwl (1N) - Son - Dat - Orc (1N) - Hjr (2N) (Ex Panna) - Gwl</v>
      </c>
      <c r="EA212" t="str">
        <v>Hjr (1N) - Orc (1N) - Dat - son - Gwl (2N)(Ex Mor)</v>
      </c>
      <c r="EB212" t="str">
        <v>(2 N) Gwl - (1 N) Orch - (1 N) Hjr</v>
      </c>
      <c r="EC212" t="str">
        <v>Ex Bhp | Bhp - Bhoj - Bhim - Pch (2N) - Mad (1N) - Tawa (1N) - Bhp</v>
      </c>
      <c r="ED212" t="str">
        <v>Ex Bhp | Bhp - Bhoj - Bhim - Pch (2N) - Mad (2N) - Bhp</v>
      </c>
      <c r="EE212" t="str">
        <v>Ex Idr | Idr - Ujj (1N) - Omk (1N) - Mah (2N) (Ex Man) - Idr (HDCT)</v>
      </c>
      <c r="EF212" t="str">
        <v>Arr Rpr - Amr (2N) - Par (2N) - IXD</v>
      </c>
      <c r="EG212" t="str">
        <v>1N Gwl - Orc - 2N Hjr - Jhn - 1N Gwl</v>
      </c>
      <c r="EH212" t="str">
        <v>1N Orc - 1N Hjr - 2N Gwl Ex Mor</v>
      </c>
      <c r="EI212" t="str">
        <v>1N Idr - Omk - 1N Mah - 1N Ujj - Seh - 1N Bho</v>
      </c>
      <c r="EJ212" t="str">
        <v>Ex Idr I 1N Idr - 1N Ujj - Omk - 2N Mah - Man - Idr</v>
      </c>
    </row>
    <row r="213" spans="2:145" ht="15" customHeight="1">
      <c r="B213" s="34">
        <v>209</v>
      </c>
      <c r="C213" s="36" t="s">
        <v>1680</v>
      </c>
      <c r="D213" s="76">
        <v>46219</v>
      </c>
      <c r="E213" s="37" t="str">
        <f>IF(Table5[[#This Row],[Query Date]]&lt;&gt;"", TEXT(Table5[[#This Row],[Query Date]], "dddd"), "")</f>
        <v>Thursday</v>
      </c>
      <c r="F213" s="37" t="str">
        <f>IF(Table5[[#This Row],[Query Date]]&lt;&gt;"", TEXT(Table5[[#This Row],[Query Date]], "mmmm"), "")</f>
        <v>July</v>
      </c>
      <c r="G213" s="28" t="s">
        <v>113</v>
      </c>
      <c r="H213" s="28" t="s">
        <v>99</v>
      </c>
      <c r="I213" s="28" t="s">
        <v>100</v>
      </c>
      <c r="J213" s="28" t="s">
        <v>68</v>
      </c>
      <c r="K213" s="28" t="s">
        <v>178</v>
      </c>
      <c r="L213" s="25" t="s">
        <v>160</v>
      </c>
      <c r="M213" s="112" t="s">
        <v>90</v>
      </c>
      <c r="N213" s="25" t="s">
        <v>1681</v>
      </c>
      <c r="O213" s="130" t="s">
        <v>1682</v>
      </c>
      <c r="P213" s="46" t="s">
        <v>1638</v>
      </c>
      <c r="Q213" s="77">
        <v>46282</v>
      </c>
      <c r="R213" s="77" t="str">
        <f>IF(Table5[[#This Row],[Tour Starting Date]]&lt;&gt;"", TEXT(Table5[[#This Row],[Tour Starting Date]], "dddd"), "")</f>
        <v>Thursday</v>
      </c>
      <c r="S213" s="77">
        <v>46284</v>
      </c>
      <c r="T213" s="25" t="str">
        <f>IF(Table5[[#This Row],[Tour Ending Date]]&lt;&gt;"", TEXT(Table5[[#This Row],[Tour Ending Date]], "dddd"), "")</f>
        <v>Saturday</v>
      </c>
      <c r="U213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213" s="37" t="str">
        <f>IF(Table5[[#This Row],[Tour Starting Date]]&lt;&gt;"", TEXT(Table5[[#This Row],[Tour Starting Date]], "mmmm"), "")</f>
        <v>September</v>
      </c>
      <c r="W213" s="80" t="str" cm="1">
        <f t="array" ref="W213">IF(Q213&lt;&gt;"", INDEX(CI:CI, MATCH(1, (Q213&gt;=CG:CG)*(Q213&lt;=CH:CH), 0)), "")</f>
        <v>Regular Dates - Weekday</v>
      </c>
      <c r="X213" s="39">
        <v>10</v>
      </c>
      <c r="Y213" s="74">
        <v>7000</v>
      </c>
      <c r="Z213" s="74">
        <f>IF(OR(Table5[[#This Row],[Per Person Package Cost]]="", Table5[[#This Row],[No. of Pax]]=""), "", Table5[[#This Row],[Per Person Package Cost]] * Table5[[#This Row],[No. of Pax]])</f>
        <v>70000</v>
      </c>
      <c r="AA213" s="52" t="s">
        <v>75</v>
      </c>
      <c r="AB213" s="52" t="s">
        <v>75</v>
      </c>
      <c r="AC213" s="52" t="s">
        <v>173</v>
      </c>
      <c r="AD213" s="52" t="s">
        <v>352</v>
      </c>
      <c r="AE213" s="51" t="str">
        <f t="shared" si="21"/>
        <v>EXIDR02</v>
      </c>
      <c r="AF213" s="51" t="str">
        <f t="shared" si="22"/>
        <v>Jyotirlinga Trails</v>
      </c>
      <c r="AG213" s="74" t="str">
        <f t="shared" si="23"/>
        <v>Quick Getaways</v>
      </c>
      <c r="AH213" s="73" t="str">
        <f t="shared" si="24"/>
        <v>West MP</v>
      </c>
      <c r="AI213" s="52" t="s">
        <v>107</v>
      </c>
      <c r="AJ213" s="56" t="s">
        <v>115</v>
      </c>
      <c r="AK213" s="59" t="s">
        <v>79</v>
      </c>
      <c r="AL213" s="60" t="s">
        <v>80</v>
      </c>
      <c r="AM213" s="54" t="s">
        <v>80</v>
      </c>
      <c r="AN213" s="14">
        <v>46223</v>
      </c>
      <c r="AO213" s="15"/>
      <c r="AP213" s="91"/>
      <c r="AQ213" s="87"/>
      <c r="AR213" s="26"/>
      <c r="AS213" s="65"/>
      <c r="AT213" s="88" t="s">
        <v>138</v>
      </c>
      <c r="AU213" s="67"/>
      <c r="BX213" s="1">
        <v>209</v>
      </c>
      <c r="CN213" t="s">
        <v>1683</v>
      </c>
      <c r="DA213" t="str" cm="1">
        <f t="array" ref="DA213:DY213">IF(U213&lt;&gt;"", TRANSPOSE(_xlfn._xlws.FILTER(CZ:CZ, CY:CY=U213, "")), "")</f>
        <v>Gwl (2N) + Mor</v>
      </c>
      <c r="DB213" t="str">
        <v>Ex Idr | Idr - Ujj (1N) - Omk - Mah (1N) - Man - Idr</v>
      </c>
      <c r="DC213" t="str">
        <v>Ujj (1N) - Omk - Idr (1N)</v>
      </c>
      <c r="DD213" t="str">
        <v>Ex Jlr | Jlr - Kan (2N) - Jlr</v>
      </c>
      <c r="DE213" t="str">
        <v>Ex Jlr | Jlr - Ban (2N) - Jlr</v>
      </c>
      <c r="DF213" t="str">
        <v>Ex Bho | Bho (2N) + Bhim + Bhoj + San</v>
      </c>
      <c r="DG213" t="str">
        <v>Ex Idr | Idr - Man (2N) - Idr</v>
      </c>
      <c r="DH213" t="str">
        <v>Ex Jlr | Jlr - Kan (2N) - Jlr</v>
      </c>
      <c r="DI213" t="str">
        <v>Ex Bho | Bho (2N) + Bhim + Bhoj + San + HDCT Bho</v>
      </c>
      <c r="DJ213" t="str">
        <v>Ex Bho | Bho - Bhim - Tawa (1N) - Mad (1N) - Bho</v>
      </c>
      <c r="DK213" t="str">
        <v>Ujj (1N) - Omk - Mah (1N) - Idr</v>
      </c>
      <c r="DL213" t="str">
        <v>Ujj (1N) -  Idr (1N)</v>
      </c>
      <c r="DM213" t="str">
        <v>Ex Idr | Idr (2N) + Ujj + Omk + Mah</v>
      </c>
      <c r="DN213" t="str">
        <v>Idr - Mah - Omk (1N) - Ujj (1N)</v>
      </c>
      <c r="DO213" t="str">
        <v>Idr - Ujj (1N) - Mah - Omk (1N) - Khandwa</v>
      </c>
      <c r="DP213" t="str">
        <v>Ex Idr | Idr (EX Ujj) (1N) - Mah - Omk (1N) - Idr HDCT</v>
      </c>
      <c r="DQ213" t="str">
        <v>Ujj (1N) - Sehor - Bho (1N) HDCT</v>
      </c>
      <c r="DR213" t="str">
        <v>Ex Jlr | Jlr (1N) - Ban (1N)</v>
      </c>
      <c r="DS213" t="str">
        <v>Ex Jlr | Ban (1N)</v>
      </c>
      <c r="DT213" t="str">
        <v>Ex Jlr | Jlr (2 N) Kan</v>
      </c>
      <c r="DU213" t="str">
        <v>Ex Jlr | Jlr - Amr (1 N) - (1 N) Ban</v>
      </c>
      <c r="DV213" t="str">
        <v>Ex Rpr | Rpr - (2N) Kan</v>
      </c>
      <c r="DW213" t="str">
        <v>Hjr (1N) - Mahi (1N) - Sat</v>
      </c>
      <c r="DX213" t="str">
        <v>Ex Bhp | Bhp - Bhim - Pch (2N) - Bhp</v>
      </c>
      <c r="DY213" t="str">
        <v xml:space="preserve">Ex Ujj I 2N Ujj </v>
      </c>
    </row>
    <row r="214" spans="2:145" ht="15" customHeight="1">
      <c r="B214" s="35">
        <v>210</v>
      </c>
      <c r="C214" s="36" t="s">
        <v>1684</v>
      </c>
      <c r="D214" s="76">
        <v>46220</v>
      </c>
      <c r="E214" s="37" t="str">
        <f>IF(Table5[[#This Row],[Query Date]]&lt;&gt;"", TEXT(Table5[[#This Row],[Query Date]], "dddd"), "")</f>
        <v>Friday</v>
      </c>
      <c r="F214" s="37" t="str">
        <f>IF(Table5[[#This Row],[Query Date]]&lt;&gt;"", TEXT(Table5[[#This Row],[Query Date]], "mmmm"), "")</f>
        <v>July</v>
      </c>
      <c r="G214" s="28" t="s">
        <v>65</v>
      </c>
      <c r="H214" s="28" t="s">
        <v>120</v>
      </c>
      <c r="I214" s="28" t="s">
        <v>67</v>
      </c>
      <c r="J214" s="28" t="s">
        <v>68</v>
      </c>
      <c r="K214" s="28" t="s">
        <v>488</v>
      </c>
      <c r="L214" s="25" t="s">
        <v>70</v>
      </c>
      <c r="M214" s="112" t="s">
        <v>266</v>
      </c>
      <c r="N214" s="25" t="s">
        <v>1685</v>
      </c>
      <c r="O214" s="130" t="s">
        <v>1686</v>
      </c>
      <c r="P214" s="46" t="s">
        <v>910</v>
      </c>
      <c r="Q214" s="77">
        <v>46228</v>
      </c>
      <c r="R214" s="77" t="str">
        <f>IF(Table5[[#This Row],[Tour Starting Date]]&lt;&gt;"", TEXT(Table5[[#This Row],[Tour Starting Date]], "dddd"), "")</f>
        <v>Saturday</v>
      </c>
      <c r="S214" s="77">
        <v>46228</v>
      </c>
      <c r="T214" s="25" t="str">
        <f>IF(Table5[[#This Row],[Tour Ending Date]]&lt;&gt;"", TEXT(Table5[[#This Row],[Tour Ending Date]], "dddd"), "")</f>
        <v>Saturday</v>
      </c>
      <c r="U214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0 Nights &amp; 1 Days</v>
      </c>
      <c r="V214" s="37" t="str">
        <f>IF(Table5[[#This Row],[Tour Starting Date]]&lt;&gt;"", TEXT(Table5[[#This Row],[Tour Starting Date]], "mmmm"), "")</f>
        <v>July</v>
      </c>
      <c r="W214" s="80" t="str" cm="1">
        <f t="array" ref="W214">IF(Q214&lt;&gt;"", INDEX(CI:CI, MATCH(1, (Q214&gt;=CG:CG)*(Q214&lt;=CH:CH), 0)), "")</f>
        <v>Regular Dates - Weekend</v>
      </c>
      <c r="X214" s="39"/>
      <c r="Y214" s="74">
        <v>3600</v>
      </c>
      <c r="Z214" s="74" t="str">
        <f>IF(OR(Table5[[#This Row],[Per Person Package Cost]]="", Table5[[#This Row],[No. of Pax]]=""), "", Table5[[#This Row],[Per Person Package Cost]] * Table5[[#This Row],[No. of Pax]])</f>
        <v/>
      </c>
      <c r="AA214" s="52" t="s">
        <v>520</v>
      </c>
      <c r="AB214" s="52" t="s">
        <v>520</v>
      </c>
      <c r="AC214" s="52"/>
      <c r="AD214" s="52"/>
      <c r="AE214" s="51" t="str">
        <f t="shared" si="21"/>
        <v/>
      </c>
      <c r="AF214" s="51" t="str">
        <f t="shared" si="22"/>
        <v/>
      </c>
      <c r="AG214" s="74" t="str">
        <f t="shared" si="23"/>
        <v/>
      </c>
      <c r="AH214" s="73" t="str">
        <f t="shared" si="24"/>
        <v/>
      </c>
      <c r="AI214" s="52" t="s">
        <v>77</v>
      </c>
      <c r="AJ214" s="56"/>
      <c r="AK214" s="59" t="s">
        <v>79</v>
      </c>
      <c r="AL214" s="60" t="s">
        <v>80</v>
      </c>
      <c r="AM214" s="54" t="s">
        <v>80</v>
      </c>
      <c r="AN214" s="14">
        <v>46221</v>
      </c>
      <c r="AO214" s="15"/>
      <c r="AP214" s="91"/>
      <c r="AQ214" s="87"/>
      <c r="AR214" s="26"/>
      <c r="AS214" s="65"/>
      <c r="AT214" s="88" t="s">
        <v>81</v>
      </c>
      <c r="AU214" s="67" t="s">
        <v>82</v>
      </c>
      <c r="BX214" s="1">
        <v>210</v>
      </c>
      <c r="CN214" t="s">
        <v>1687</v>
      </c>
      <c r="DA214" t="str" cm="1">
        <f t="array" ref="DA214">IF(U214&lt;&gt;"", TRANSPOSE(_xlfn._xlws.FILTER(CZ:CZ, CY:CY=U214, "")), "")</f>
        <v/>
      </c>
    </row>
    <row r="215" spans="2:145" ht="15" customHeight="1">
      <c r="B215" s="34">
        <v>211</v>
      </c>
      <c r="C215" s="36" t="s">
        <v>1688</v>
      </c>
      <c r="D215" s="76">
        <v>46221</v>
      </c>
      <c r="E215" s="37" t="str">
        <f>IF(Table5[[#This Row],[Query Date]]&lt;&gt;"", TEXT(Table5[[#This Row],[Query Date]], "dddd"), "")</f>
        <v>Saturday</v>
      </c>
      <c r="F215" s="37" t="str">
        <f>IF(Table5[[#This Row],[Query Date]]&lt;&gt;"", TEXT(Table5[[#This Row],[Query Date]], "mmmm"), "")</f>
        <v>July</v>
      </c>
      <c r="G215" s="28" t="s">
        <v>65</v>
      </c>
      <c r="H215" s="28" t="s">
        <v>66</v>
      </c>
      <c r="I215" s="28" t="s">
        <v>67</v>
      </c>
      <c r="J215" s="28" t="s">
        <v>68</v>
      </c>
      <c r="K215" s="28" t="s">
        <v>1689</v>
      </c>
      <c r="L215" s="25" t="s">
        <v>70</v>
      </c>
      <c r="M215" s="112"/>
      <c r="N215" s="25"/>
      <c r="O215" s="130" t="s">
        <v>1690</v>
      </c>
      <c r="P215" s="46" t="s">
        <v>1691</v>
      </c>
      <c r="Q215" s="77">
        <v>46227</v>
      </c>
      <c r="R215" s="77" t="str">
        <f>IF(Table5[[#This Row],[Tour Starting Date]]&lt;&gt;"", TEXT(Table5[[#This Row],[Tour Starting Date]], "dddd"), "")</f>
        <v>Friday</v>
      </c>
      <c r="S215" s="77">
        <v>46230</v>
      </c>
      <c r="T215" s="25" t="str">
        <f>IF(Table5[[#This Row],[Tour Ending Date]]&lt;&gt;"", TEXT(Table5[[#This Row],[Tour Ending Date]], "dddd"), "")</f>
        <v>Monday</v>
      </c>
      <c r="U215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215" s="37" t="str">
        <f>IF(Table5[[#This Row],[Tour Starting Date]]&lt;&gt;"", TEXT(Table5[[#This Row],[Tour Starting Date]], "mmmm"), "")</f>
        <v>July</v>
      </c>
      <c r="W215" s="80" t="str" cm="1">
        <f t="array" ref="W215">IF(Q215&lt;&gt;"", INDEX(CI:CI, MATCH(1, (Q215&gt;=CG:CG)*(Q215&lt;=CH:CH), 0)), "")</f>
        <v>Regular Dates - Weekend</v>
      </c>
      <c r="X215" s="39">
        <v>8</v>
      </c>
      <c r="Y215" s="74">
        <v>10600</v>
      </c>
      <c r="Z215" s="74">
        <f>IF(OR(Table5[[#This Row],[Per Person Package Cost]]="", Table5[[#This Row],[No. of Pax]]=""), "", Table5[[#This Row],[Per Person Package Cost]] * Table5[[#This Row],[No. of Pax]])</f>
        <v>84800</v>
      </c>
      <c r="AA215" s="52" t="s">
        <v>75</v>
      </c>
      <c r="AB215" s="52" t="s">
        <v>75</v>
      </c>
      <c r="AC215" s="52" t="s">
        <v>76</v>
      </c>
      <c r="AD215" s="52" t="s">
        <v>352</v>
      </c>
      <c r="AE215" s="51" t="str">
        <f t="shared" si="21"/>
        <v>EXIDR02</v>
      </c>
      <c r="AF215" s="51" t="str">
        <f t="shared" si="22"/>
        <v>Jyotirlinga Trails</v>
      </c>
      <c r="AG215" s="74" t="str">
        <f t="shared" si="23"/>
        <v>Quick Getaways</v>
      </c>
      <c r="AH215" s="73" t="str">
        <f t="shared" si="24"/>
        <v>West MP</v>
      </c>
      <c r="AI215" s="52" t="s">
        <v>107</v>
      </c>
      <c r="AJ215" s="56"/>
      <c r="AK215" s="59" t="s">
        <v>79</v>
      </c>
      <c r="AL215" s="60" t="s">
        <v>80</v>
      </c>
      <c r="AM215" s="54" t="s">
        <v>80</v>
      </c>
      <c r="AN215" s="14">
        <v>46223</v>
      </c>
      <c r="AO215" s="15"/>
      <c r="AP215" s="91"/>
      <c r="AQ215" s="87"/>
      <c r="AR215" s="26"/>
      <c r="AS215" s="65"/>
      <c r="AT215" s="88" t="s">
        <v>81</v>
      </c>
      <c r="AU215" s="67"/>
      <c r="BX215" s="1">
        <v>211</v>
      </c>
      <c r="CN215" t="s">
        <v>1692</v>
      </c>
      <c r="DA215" t="str" cm="1">
        <f t="array" ref="DA215:EO215">IF(U215&lt;&gt;"", TRANSPOSE(_xlfn._xlws.FILTER(CZ:CZ, CY:CY=U215, "")), "")</f>
        <v>Gwl (3N) + Mor + Son + Dat + Orc</v>
      </c>
      <c r="DB215" t="str">
        <v>Ex Gwl | Gwl (1N) - Son - Dat - Orc (1N) - Gwl (1N)</v>
      </c>
      <c r="DC215" t="str">
        <v>Ex Idr | Idr - Ujj (1N) - Omk - Mah (1N) - Man (1N) - Idr</v>
      </c>
      <c r="DD215" t="str">
        <v>Ex Jlr | Jlr - Kan (2N) - Jlr (1N)</v>
      </c>
      <c r="DE215" t="str">
        <v>Ex Jlr | Jlr - Ban (2N) - Jlr (1N)</v>
      </c>
      <c r="DF215" t="str">
        <v>Ex Bho | Bho (1N) + San - Bhoj - Bhim - Pch (2N) - Bho</v>
      </c>
      <c r="DG215" t="str">
        <v>Ex Idr | Idr (1N) - Ujj (1N) - Omk (1N) - Mah - Idr</v>
      </c>
      <c r="DH215" t="str">
        <v>Gwl - Orc (1N) - Ckt (1N) - Myr (1N) - Jlr</v>
      </c>
      <c r="DI215" t="str">
        <v>Gwl - Orc (1N) - Ckt (2N) - Ixd</v>
      </c>
      <c r="DJ215" t="str">
        <v>Ex Idr | Idr - Ujj (1N) - Omk - Mah (1N) - Idr (1N)</v>
      </c>
      <c r="DK215" t="str">
        <v>Ex Jlr | Jlr - Kan (3N) - Jlr</v>
      </c>
      <c r="DL215" t="str">
        <v>Ex Bho | Bho (2N) + Bhim + Bhoj + San + Udaygiri + Vidisha + FDCT Bho</v>
      </c>
      <c r="DM215" t="str">
        <v>Bho (1N) + Bhim + Bhoj - HDCT  Bho + Sanchi - Ujj (2N)</v>
      </c>
      <c r="DN215" t="str">
        <v>Bho (1N) + Bhim + Bhoj - HDCT  Bho + Sanchi - Ujj (2N) - Idr</v>
      </c>
      <c r="DO215" t="str">
        <v>Ex Bho | Bho - Bhoj - Bhim - Mad (1N) - Pch (2N) - Bho</v>
      </c>
      <c r="DP215" t="str">
        <v>Ex Bho | Bho - Bhoj - Bhim - Mad (1N) - Pch (3N) - Bho</v>
      </c>
      <c r="DQ215" t="str">
        <v>Ex Bho | Bho - Bhoj - Bhim - Tawa (1N) - Mad (1N) - Bho (1N)</v>
      </c>
      <c r="DR215" t="str">
        <v>Bho (1N) - Bhim - Bhoj - San - Idr (2N) + Ujj</v>
      </c>
      <c r="DS215" t="str">
        <v>Bho (1N) - Bhoj - Bhim - Pch (2N) - Bho</v>
      </c>
      <c r="DT215" t="str">
        <v>Ujj (1N) - Omk - Mah (1N) - Idr (1N)</v>
      </c>
      <c r="DU215" t="str">
        <v>Ujj (1N) - Omk - Mah (1N) - Man (1N) - Idr</v>
      </c>
      <c r="DV215" t="str">
        <v>Ex Idr | Idr (1N) - Ujj (1N) - Omk - Mah (1N)</v>
      </c>
      <c r="DW215" t="str">
        <v>Ex Idr | Idr - Ujj (1N) - Omk (1N) - Mah (1N) - Idr</v>
      </c>
      <c r="DX215" t="str">
        <v>Khandwa - Omk (1N) - Mah (1N) - Ujj (1N) - Idr</v>
      </c>
      <c r="DY215" t="str">
        <v>Ex Idr | Idr - Ujj (1N) - Omk - Mah (1N) - Man - Idr (1N)</v>
      </c>
      <c r="DZ215" t="str">
        <v xml:space="preserve">Idr - Omk (1N) - Mah - Ujj (1N) San - Bho (1N) </v>
      </c>
      <c r="EA215" t="str">
        <v>Ex Idr | Idr - Man (1N) - Mah - Omk (1N) - Ujj (1N) - Idr</v>
      </c>
      <c r="EB215" t="str">
        <v>Khandwa - Omk (1N) - Mah - Ujj (2N)</v>
      </c>
      <c r="EC215" t="str">
        <v>Ex Jlr | Jlr (1N) - Amr (1N) - Ban (1N) - Jlr</v>
      </c>
      <c r="ED215" t="str">
        <v>Ex Jlr | Jlr - (1 N) Ban - (2 N) Amar</v>
      </c>
      <c r="EE215" t="str">
        <v>Jlr - Kan (1N) - Pch (2N)</v>
      </c>
      <c r="EF215" t="str">
        <v>Pi - Pch (2N)  - Kan (1N)</v>
      </c>
      <c r="EG215" t="str">
        <v>Ex Jlr | Jlr - Amr (1 N) - (1 N) Ban - (1 N) Jlr</v>
      </c>
      <c r="EH215" t="str">
        <v>Ppi - (2 N) Pch - (1 N) Pen</v>
      </c>
      <c r="EI215" t="str">
        <v>Bhp - Pch (2N) - Jlr (1N)</v>
      </c>
      <c r="EJ215" t="str">
        <v xml:space="preserve">Arr Jhn - Hjr (1N) - Orc - Gwl (2N) </v>
      </c>
      <c r="EK215" t="str">
        <v>(1 N) Ujj - (1 N) Mah - (1 N) Idr</v>
      </c>
      <c r="EL215" t="str">
        <v>Ex Bhp | Bhp - Bhoj - Bhim - Pch (3N) - Bhp</v>
      </c>
      <c r="EM215" t="str">
        <v>Ex Bhp | Bhp - Bhoj - Bhim - Pch (2N) - Mad (1N) - Bhp</v>
      </c>
      <c r="EN215" t="str">
        <v xml:space="preserve">Ex Nag - 3N Pch + Sat </v>
      </c>
      <c r="EO215" t="str">
        <v>1N Gwl - Son - Dat - 1N Hjr - 1N Orc - Jhn</v>
      </c>
    </row>
    <row r="216" spans="2:145" ht="15" customHeight="1">
      <c r="B216" s="35">
        <v>212</v>
      </c>
      <c r="C216" s="36" t="s">
        <v>1693</v>
      </c>
      <c r="D216" s="76">
        <v>46221</v>
      </c>
      <c r="E216" s="37" t="str">
        <f>IF(Table5[[#This Row],[Query Date]]&lt;&gt;"", TEXT(Table5[[#This Row],[Query Date]], "dddd"), "")</f>
        <v>Saturday</v>
      </c>
      <c r="F216" s="37" t="str">
        <f>IF(Table5[[#This Row],[Query Date]]&lt;&gt;"", TEXT(Table5[[#This Row],[Query Date]], "mmmm"), "")</f>
        <v>July</v>
      </c>
      <c r="G216" s="28" t="s">
        <v>65</v>
      </c>
      <c r="H216" s="28" t="s">
        <v>99</v>
      </c>
      <c r="I216" s="28" t="s">
        <v>67</v>
      </c>
      <c r="J216" s="28" t="s">
        <v>68</v>
      </c>
      <c r="K216" s="28" t="s">
        <v>1645</v>
      </c>
      <c r="L216" s="25" t="s">
        <v>160</v>
      </c>
      <c r="M216" s="112" t="s">
        <v>90</v>
      </c>
      <c r="N216" s="25"/>
      <c r="O216" s="130" t="s">
        <v>1694</v>
      </c>
      <c r="P216" s="46" t="s">
        <v>1638</v>
      </c>
      <c r="Q216" s="77">
        <v>46252</v>
      </c>
      <c r="R216" s="77" t="str">
        <f>IF(Table5[[#This Row],[Tour Starting Date]]&lt;&gt;"", TEXT(Table5[[#This Row],[Tour Starting Date]], "dddd"), "")</f>
        <v>Tuesday</v>
      </c>
      <c r="S216" s="77">
        <v>46254</v>
      </c>
      <c r="T216" s="25" t="str">
        <f>IF(Table5[[#This Row],[Tour Ending Date]]&lt;&gt;"", TEXT(Table5[[#This Row],[Tour Ending Date]], "dddd"), "")</f>
        <v>Thursday</v>
      </c>
      <c r="U216" s="37"/>
      <c r="V216" s="37" t="str">
        <f>IF(Table5[[#This Row],[Tour Starting Date]]&lt;&gt;"", TEXT(Table5[[#This Row],[Tour Starting Date]], "mmmm"), "")</f>
        <v>August</v>
      </c>
      <c r="W216" s="80" t="str" cm="1">
        <f t="array" ref="W216">IF(Q216&lt;&gt;"", INDEX(CI:CI, MATCH(1, (Q216&gt;=CG:CG)*(Q216&lt;=CH:CH), 0)), "")</f>
        <v>Regular Dates - Weekday</v>
      </c>
      <c r="X216" s="39">
        <v>4</v>
      </c>
      <c r="Y216" s="74">
        <v>28000</v>
      </c>
      <c r="Z216" s="74">
        <f>IF(OR(Table5[[#This Row],[Per Person Package Cost]]="", Table5[[#This Row],[No. of Pax]]=""), "", Table5[[#This Row],[Per Person Package Cost]] * Table5[[#This Row],[No. of Pax]])</f>
        <v>112000</v>
      </c>
      <c r="AA216" s="52" t="s">
        <v>75</v>
      </c>
      <c r="AB216" s="52" t="s">
        <v>75</v>
      </c>
      <c r="AC216" s="52" t="s">
        <v>76</v>
      </c>
      <c r="AD216" s="52" t="s">
        <v>352</v>
      </c>
      <c r="AE216" s="51" t="str">
        <f t="shared" ref="AE216" si="25">IF(AD216&lt;&gt;"", INDEX(CW:CW, MATCH(AD216, CZ:CZ, 0)), "")</f>
        <v>EXIDR02</v>
      </c>
      <c r="AF216" s="51" t="str">
        <f t="shared" ref="AF216" si="26">IF(AD216&lt;&gt;"", INDEX(CX:CX, MATCH(AD216, CZ:CZ, 0)), "")</f>
        <v>Jyotirlinga Trails</v>
      </c>
      <c r="AG216" s="74" t="str">
        <f t="shared" ref="AG216" si="27">IF(AE216&lt;&gt;"", INDEX(CU:CU, MATCH(AE216, CW:CW, 0)), "")</f>
        <v>Quick Getaways</v>
      </c>
      <c r="AH216" s="73" t="str">
        <f t="shared" ref="AH216" si="28">IF(AD216&lt;&gt;"", INDEX(CV:CV, MATCH(AD216, CZ:CZ, 0)), "")</f>
        <v>West MP</v>
      </c>
      <c r="AI216" s="52" t="s">
        <v>107</v>
      </c>
      <c r="AJ216" s="56"/>
      <c r="AK216" s="59" t="s">
        <v>79</v>
      </c>
      <c r="AL216" s="60" t="s">
        <v>80</v>
      </c>
      <c r="AM216" s="54" t="s">
        <v>80</v>
      </c>
      <c r="AN216" s="14">
        <v>46223</v>
      </c>
      <c r="AO216" s="15"/>
      <c r="AP216" s="91"/>
      <c r="AQ216" s="87"/>
      <c r="AR216" s="26"/>
      <c r="AS216" s="65"/>
      <c r="AT216" s="88" t="s">
        <v>81</v>
      </c>
      <c r="AU216" s="67" t="s">
        <v>82</v>
      </c>
      <c r="BX216" s="1">
        <v>212</v>
      </c>
      <c r="CN216" t="s">
        <v>1695</v>
      </c>
      <c r="DA216" t="str" cm="1">
        <f t="array" ref="DA216">IF(U216&lt;&gt;"", TRANSPOSE(_xlfn._xlws.FILTER(CZ:CZ, CY:CY=U216, "")), "")</f>
        <v/>
      </c>
    </row>
    <row r="217" spans="2:145" ht="15" customHeight="1">
      <c r="B217" s="34">
        <v>213</v>
      </c>
      <c r="C217" s="36" t="s">
        <v>1696</v>
      </c>
      <c r="D217" s="76">
        <v>46223</v>
      </c>
      <c r="E217" s="37" t="str">
        <f>IF(Table5[[#This Row],[Query Date]]&lt;&gt;"", TEXT(Table5[[#This Row],[Query Date]], "dddd"), "")</f>
        <v>Monday</v>
      </c>
      <c r="F217" s="37" t="str">
        <f>IF(Table5[[#This Row],[Query Date]]&lt;&gt;"", TEXT(Table5[[#This Row],[Query Date]], "mmmm"), "")</f>
        <v>July</v>
      </c>
      <c r="G217" s="28" t="s">
        <v>65</v>
      </c>
      <c r="H217" s="28" t="s">
        <v>66</v>
      </c>
      <c r="I217" s="28" t="s">
        <v>67</v>
      </c>
      <c r="J217" s="28" t="s">
        <v>145</v>
      </c>
      <c r="K217" s="28" t="s">
        <v>698</v>
      </c>
      <c r="L217" s="25" t="s">
        <v>70</v>
      </c>
      <c r="M217" s="112" t="s">
        <v>522</v>
      </c>
      <c r="N217" s="25" t="s">
        <v>699</v>
      </c>
      <c r="O217" s="130">
        <v>9897115379</v>
      </c>
      <c r="P217" s="46" t="s">
        <v>700</v>
      </c>
      <c r="Q217" s="77">
        <v>46296</v>
      </c>
      <c r="R217" s="77" t="str">
        <f>IF(Table5[[#This Row],[Tour Starting Date]]&lt;&gt;"", TEXT(Table5[[#This Row],[Tour Starting Date]], "dddd"), "")</f>
        <v>Thursday</v>
      </c>
      <c r="S217" s="77">
        <v>46298</v>
      </c>
      <c r="T217" s="25" t="str">
        <f>IF(Table5[[#This Row],[Tour Ending Date]]&lt;&gt;"", TEXT(Table5[[#This Row],[Tour Ending Date]], "dddd"), "")</f>
        <v>Saturday</v>
      </c>
      <c r="U217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217" s="37" t="str">
        <f>IF(Table5[[#This Row],[Tour Starting Date]]&lt;&gt;"", TEXT(Table5[[#This Row],[Tour Starting Date]], "mmmm"), "")</f>
        <v>October</v>
      </c>
      <c r="W217" s="80" t="str" cm="1">
        <f t="array" ref="W217">IF(Q217&lt;&gt;"", INDEX(CI:CI, MATCH(1, (Q217&gt;=CG:CG)*(Q217&lt;=CH:CH), 0)), "")</f>
        <v>Regular Dates - Weekday</v>
      </c>
      <c r="X217" s="39">
        <v>20</v>
      </c>
      <c r="Y217" s="74">
        <v>8500</v>
      </c>
      <c r="Z217" s="74">
        <f>IF(OR(Table5[[#This Row],[Per Person Package Cost]]="", Table5[[#This Row],[No. of Pax]]=""), "", Table5[[#This Row],[Per Person Package Cost]] * Table5[[#This Row],[No. of Pax]])</f>
        <v>170000</v>
      </c>
      <c r="AA217" s="52" t="s">
        <v>75</v>
      </c>
      <c r="AB217" s="52" t="s">
        <v>75</v>
      </c>
      <c r="AC217" s="52" t="s">
        <v>134</v>
      </c>
      <c r="AD217" s="52" t="s">
        <v>352</v>
      </c>
      <c r="AE217" s="51" t="str">
        <f t="shared" si="21"/>
        <v>EXIDR02</v>
      </c>
      <c r="AF217" s="51" t="str">
        <f t="shared" si="22"/>
        <v>Jyotirlinga Trails</v>
      </c>
      <c r="AG217" s="74" t="str">
        <f t="shared" si="23"/>
        <v>Quick Getaways</v>
      </c>
      <c r="AH217" s="73" t="str">
        <f t="shared" si="24"/>
        <v>West MP</v>
      </c>
      <c r="AI217" s="52" t="s">
        <v>77</v>
      </c>
      <c r="AJ217" s="56"/>
      <c r="AK217" s="59" t="s">
        <v>79</v>
      </c>
      <c r="AL217" s="60" t="s">
        <v>80</v>
      </c>
      <c r="AM217" s="54" t="s">
        <v>80</v>
      </c>
      <c r="AN217" s="14">
        <v>46248</v>
      </c>
      <c r="AO217" s="15"/>
      <c r="AP217" s="91"/>
      <c r="AQ217" s="87"/>
      <c r="AR217" s="26"/>
      <c r="AS217" s="65"/>
      <c r="AT217" s="88" t="s">
        <v>81</v>
      </c>
      <c r="AU217" s="67"/>
      <c r="CN217" t="s">
        <v>1697</v>
      </c>
      <c r="DA217" t="str" cm="1">
        <f t="array" ref="DA217:DY217">IF(U217&lt;&gt;"", TRANSPOSE(_xlfn._xlws.FILTER(CZ:CZ, CY:CY=U217, "")), "")</f>
        <v>Gwl (2N) + Mor</v>
      </c>
      <c r="DB217" t="str">
        <v>Ex Idr | Idr - Ujj (1N) - Omk - Mah (1N) - Man - Idr</v>
      </c>
      <c r="DC217" t="str">
        <v>Ujj (1N) - Omk - Idr (1N)</v>
      </c>
      <c r="DD217" t="str">
        <v>Ex Jlr | Jlr - Kan (2N) - Jlr</v>
      </c>
      <c r="DE217" t="str">
        <v>Ex Jlr | Jlr - Ban (2N) - Jlr</v>
      </c>
      <c r="DF217" t="str">
        <v>Ex Bho | Bho (2N) + Bhim + Bhoj + San</v>
      </c>
      <c r="DG217" t="str">
        <v>Ex Idr | Idr - Man (2N) - Idr</v>
      </c>
      <c r="DH217" t="str">
        <v>Ex Jlr | Jlr - Kan (2N) - Jlr</v>
      </c>
      <c r="DI217" t="str">
        <v>Ex Bho | Bho (2N) + Bhim + Bhoj + San + HDCT Bho</v>
      </c>
      <c r="DJ217" t="str">
        <v>Ex Bho | Bho - Bhim - Tawa (1N) - Mad (1N) - Bho</v>
      </c>
      <c r="DK217" t="str">
        <v>Ujj (1N) - Omk - Mah (1N) - Idr</v>
      </c>
      <c r="DL217" t="str">
        <v>Ujj (1N) -  Idr (1N)</v>
      </c>
      <c r="DM217" t="str">
        <v>Ex Idr | Idr (2N) + Ujj + Omk + Mah</v>
      </c>
      <c r="DN217" t="str">
        <v>Idr - Mah - Omk (1N) - Ujj (1N)</v>
      </c>
      <c r="DO217" t="str">
        <v>Idr - Ujj (1N) - Mah - Omk (1N) - Khandwa</v>
      </c>
      <c r="DP217" t="str">
        <v>Ex Idr | Idr (EX Ujj) (1N) - Mah - Omk (1N) - Idr HDCT</v>
      </c>
      <c r="DQ217" t="str">
        <v>Ujj (1N) - Sehor - Bho (1N) HDCT</v>
      </c>
      <c r="DR217" t="str">
        <v>Ex Jlr | Jlr (1N) - Ban (1N)</v>
      </c>
      <c r="DS217" t="str">
        <v>Ex Jlr | Ban (1N)</v>
      </c>
      <c r="DT217" t="str">
        <v>Ex Jlr | Jlr (2 N) Kan</v>
      </c>
      <c r="DU217" t="str">
        <v>Ex Jlr | Jlr - Amr (1 N) - (1 N) Ban</v>
      </c>
      <c r="DV217" t="str">
        <v>Ex Rpr | Rpr - (2N) Kan</v>
      </c>
      <c r="DW217" t="str">
        <v>Hjr (1N) - Mahi (1N) - Sat</v>
      </c>
      <c r="DX217" t="str">
        <v>Ex Bhp | Bhp - Bhim - Pch (2N) - Bhp</v>
      </c>
      <c r="DY217" t="str">
        <v xml:space="preserve">Ex Ujj I 2N Ujj </v>
      </c>
    </row>
    <row r="218" spans="2:145" ht="15" customHeight="1">
      <c r="B218" s="35">
        <v>214</v>
      </c>
      <c r="C218" s="36" t="s">
        <v>1698</v>
      </c>
      <c r="D218" s="76">
        <v>46223</v>
      </c>
      <c r="E218" s="37" t="str">
        <f>IF(Table5[[#This Row],[Query Date]]&lt;&gt;"", TEXT(Table5[[#This Row],[Query Date]], "dddd"), "")</f>
        <v>Monday</v>
      </c>
      <c r="F218" s="37" t="str">
        <f>IF(Table5[[#This Row],[Query Date]]&lt;&gt;"", TEXT(Table5[[#This Row],[Query Date]], "mmmm"), "")</f>
        <v>July</v>
      </c>
      <c r="G218" s="28" t="s">
        <v>65</v>
      </c>
      <c r="H218" s="28" t="s">
        <v>120</v>
      </c>
      <c r="I218" s="28" t="s">
        <v>100</v>
      </c>
      <c r="J218" s="28" t="s">
        <v>68</v>
      </c>
      <c r="K218" s="28" t="s">
        <v>1663</v>
      </c>
      <c r="L218" s="25" t="s">
        <v>70</v>
      </c>
      <c r="M218" s="112"/>
      <c r="N218" s="25" t="s">
        <v>1699</v>
      </c>
      <c r="O218" s="136" t="s">
        <v>1700</v>
      </c>
      <c r="P218" s="46" t="s">
        <v>1701</v>
      </c>
      <c r="Q218" s="77">
        <v>46341</v>
      </c>
      <c r="R218" s="77" t="str">
        <f>IF(Table5[[#This Row],[Tour Starting Date]]&lt;&gt;"", TEXT(Table5[[#This Row],[Tour Starting Date]], "dddd"), "")</f>
        <v>Sunday</v>
      </c>
      <c r="S218" s="77">
        <v>46344</v>
      </c>
      <c r="T218" s="25" t="str">
        <f>IF(Table5[[#This Row],[Tour Ending Date]]&lt;&gt;"", TEXT(Table5[[#This Row],[Tour Ending Date]], "dddd"), "")</f>
        <v>Wednesday</v>
      </c>
      <c r="U218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218" s="37" t="str">
        <f>IF(Table5[[#This Row],[Tour Starting Date]]&lt;&gt;"", TEXT(Table5[[#This Row],[Tour Starting Date]], "mmmm"), "")</f>
        <v>November</v>
      </c>
      <c r="W218" s="80" t="str" cm="1">
        <f t="array" ref="W218">IF(Q218&lt;&gt;"", INDEX(CI:CI, MATCH(1, (Q218&gt;=CG:CG)*(Q218&lt;=CH:CH), 0)), "")</f>
        <v>Regular Dates - Weekend</v>
      </c>
      <c r="X218" s="39">
        <v>10</v>
      </c>
      <c r="Y218" s="74">
        <v>37100</v>
      </c>
      <c r="Z218" s="74">
        <f>IF(OR(Table5[[#This Row],[Per Person Package Cost]]="", Table5[[#This Row],[No. of Pax]]=""), "", Table5[[#This Row],[Per Person Package Cost]] * Table5[[#This Row],[No. of Pax]])</f>
        <v>371000</v>
      </c>
      <c r="AA218" s="52" t="s">
        <v>520</v>
      </c>
      <c r="AB218" s="52" t="s">
        <v>520</v>
      </c>
      <c r="AC218" s="52" t="s">
        <v>220</v>
      </c>
      <c r="AD218" s="52"/>
      <c r="AE218" s="51" t="str">
        <f t="shared" si="21"/>
        <v/>
      </c>
      <c r="AF218" s="51" t="str">
        <f t="shared" si="22"/>
        <v/>
      </c>
      <c r="AG218" s="74" t="str">
        <f t="shared" si="23"/>
        <v/>
      </c>
      <c r="AH218" s="73" t="str">
        <f t="shared" si="24"/>
        <v/>
      </c>
      <c r="AI218" s="52" t="s">
        <v>107</v>
      </c>
      <c r="AJ218" s="56" t="s">
        <v>78</v>
      </c>
      <c r="AK218" s="59" t="s">
        <v>79</v>
      </c>
      <c r="AL218" s="60" t="s">
        <v>80</v>
      </c>
      <c r="AM218" s="54" t="s">
        <v>80</v>
      </c>
      <c r="AN218" s="14">
        <v>46254</v>
      </c>
      <c r="AO218" s="15"/>
      <c r="AP218" s="91"/>
      <c r="AQ218" s="87"/>
      <c r="AR218" s="26"/>
      <c r="AS218" s="65"/>
      <c r="AT218" s="88" t="s">
        <v>81</v>
      </c>
      <c r="AU218" s="67"/>
      <c r="CN218" t="s">
        <v>1702</v>
      </c>
      <c r="DA218" t="str" cm="1">
        <f t="array" ref="DA218:EO218">IF(U218&lt;&gt;"", TRANSPOSE(_xlfn._xlws.FILTER(CZ:CZ, CY:CY=U218, "")), "")</f>
        <v>Gwl (3N) + Mor + Son + Dat + Orc</v>
      </c>
      <c r="DB218" t="str">
        <v>Ex Gwl | Gwl (1N) - Son - Dat - Orc (1N) - Gwl (1N)</v>
      </c>
      <c r="DC218" t="str">
        <v>Ex Idr | Idr - Ujj (1N) - Omk - Mah (1N) - Man (1N) - Idr</v>
      </c>
      <c r="DD218" t="str">
        <v>Ex Jlr | Jlr - Kan (2N) - Jlr (1N)</v>
      </c>
      <c r="DE218" t="str">
        <v>Ex Jlr | Jlr - Ban (2N) - Jlr (1N)</v>
      </c>
      <c r="DF218" t="str">
        <v>Ex Bho | Bho (1N) + San - Bhoj - Bhim - Pch (2N) - Bho</v>
      </c>
      <c r="DG218" t="str">
        <v>Ex Idr | Idr (1N) - Ujj (1N) - Omk (1N) - Mah - Idr</v>
      </c>
      <c r="DH218" t="str">
        <v>Gwl - Orc (1N) - Ckt (1N) - Myr (1N) - Jlr</v>
      </c>
      <c r="DI218" t="str">
        <v>Gwl - Orc (1N) - Ckt (2N) - Ixd</v>
      </c>
      <c r="DJ218" t="str">
        <v>Ex Idr | Idr - Ujj (1N) - Omk - Mah (1N) - Idr (1N)</v>
      </c>
      <c r="DK218" t="str">
        <v>Ex Jlr | Jlr - Kan (3N) - Jlr</v>
      </c>
      <c r="DL218" t="str">
        <v>Ex Bho | Bho (2N) + Bhim + Bhoj + San + Udaygiri + Vidisha + FDCT Bho</v>
      </c>
      <c r="DM218" t="str">
        <v>Bho (1N) + Bhim + Bhoj - HDCT  Bho + Sanchi - Ujj (2N)</v>
      </c>
      <c r="DN218" t="str">
        <v>Bho (1N) + Bhim + Bhoj - HDCT  Bho + Sanchi - Ujj (2N) - Idr</v>
      </c>
      <c r="DO218" t="str">
        <v>Ex Bho | Bho - Bhoj - Bhim - Mad (1N) - Pch (2N) - Bho</v>
      </c>
      <c r="DP218" t="str">
        <v>Ex Bho | Bho - Bhoj - Bhim - Mad (1N) - Pch (3N) - Bho</v>
      </c>
      <c r="DQ218" t="str">
        <v>Ex Bho | Bho - Bhoj - Bhim - Tawa (1N) - Mad (1N) - Bho (1N)</v>
      </c>
      <c r="DR218" t="str">
        <v>Bho (1N) - Bhim - Bhoj - San - Idr (2N) + Ujj</v>
      </c>
      <c r="DS218" t="str">
        <v>Bho (1N) - Bhoj - Bhim - Pch (2N) - Bho</v>
      </c>
      <c r="DT218" t="str">
        <v>Ujj (1N) - Omk - Mah (1N) - Idr (1N)</v>
      </c>
      <c r="DU218" t="str">
        <v>Ujj (1N) - Omk - Mah (1N) - Man (1N) - Idr</v>
      </c>
      <c r="DV218" t="str">
        <v>Ex Idr | Idr (1N) - Ujj (1N) - Omk - Mah (1N)</v>
      </c>
      <c r="DW218" t="str">
        <v>Ex Idr | Idr - Ujj (1N) - Omk (1N) - Mah (1N) - Idr</v>
      </c>
      <c r="DX218" t="str">
        <v>Khandwa - Omk (1N) - Mah (1N) - Ujj (1N) - Idr</v>
      </c>
      <c r="DY218" t="str">
        <v>Ex Idr | Idr - Ujj (1N) - Omk - Mah (1N) - Man - Idr (1N)</v>
      </c>
      <c r="DZ218" t="str">
        <v xml:space="preserve">Idr - Omk (1N) - Mah - Ujj (1N) San - Bho (1N) </v>
      </c>
      <c r="EA218" t="str">
        <v>Ex Idr | Idr - Man (1N) - Mah - Omk (1N) - Ujj (1N) - Idr</v>
      </c>
      <c r="EB218" t="str">
        <v>Khandwa - Omk (1N) - Mah - Ujj (2N)</v>
      </c>
      <c r="EC218" t="str">
        <v>Ex Jlr | Jlr (1N) - Amr (1N) - Ban (1N) - Jlr</v>
      </c>
      <c r="ED218" t="str">
        <v>Ex Jlr | Jlr - (1 N) Ban - (2 N) Amar</v>
      </c>
      <c r="EE218" t="str">
        <v>Jlr - Kan (1N) - Pch (2N)</v>
      </c>
      <c r="EF218" t="str">
        <v>Pi - Pch (2N)  - Kan (1N)</v>
      </c>
      <c r="EG218" t="str">
        <v>Ex Jlr | Jlr - Amr (1 N) - (1 N) Ban - (1 N) Jlr</v>
      </c>
      <c r="EH218" t="str">
        <v>Ppi - (2 N) Pch - (1 N) Pen</v>
      </c>
      <c r="EI218" t="str">
        <v>Bhp - Pch (2N) - Jlr (1N)</v>
      </c>
      <c r="EJ218" t="str">
        <v xml:space="preserve">Arr Jhn - Hjr (1N) - Orc - Gwl (2N) </v>
      </c>
      <c r="EK218" t="str">
        <v>(1 N) Ujj - (1 N) Mah - (1 N) Idr</v>
      </c>
      <c r="EL218" t="str">
        <v>Ex Bhp | Bhp - Bhoj - Bhim - Pch (3N) - Bhp</v>
      </c>
      <c r="EM218" t="str">
        <v>Ex Bhp | Bhp - Bhoj - Bhim - Pch (2N) - Mad (1N) - Bhp</v>
      </c>
      <c r="EN218" t="str">
        <v xml:space="preserve">Ex Nag - 3N Pch + Sat </v>
      </c>
      <c r="EO218" t="str">
        <v>1N Gwl - Son - Dat - 1N Hjr - 1N Orc - Jhn</v>
      </c>
    </row>
    <row r="219" spans="2:145" ht="15" customHeight="1">
      <c r="B219" s="34">
        <v>215</v>
      </c>
      <c r="C219" s="36" t="s">
        <v>1703</v>
      </c>
      <c r="D219" s="76">
        <v>46223</v>
      </c>
      <c r="E219" s="37" t="str">
        <f>IF(Table5[[#This Row],[Query Date]]&lt;&gt;"", TEXT(Table5[[#This Row],[Query Date]], "dddd"), "")</f>
        <v>Monday</v>
      </c>
      <c r="F219" s="37" t="str">
        <f>IF(Table5[[#This Row],[Query Date]]&lt;&gt;"", TEXT(Table5[[#This Row],[Query Date]], "mmmm"), "")</f>
        <v>July</v>
      </c>
      <c r="G219" s="28" t="s">
        <v>65</v>
      </c>
      <c r="H219" s="28" t="s">
        <v>120</v>
      </c>
      <c r="I219" s="28" t="s">
        <v>100</v>
      </c>
      <c r="J219" s="28" t="s">
        <v>68</v>
      </c>
      <c r="K219" s="28" t="s">
        <v>644</v>
      </c>
      <c r="L219" s="25" t="s">
        <v>70</v>
      </c>
      <c r="M219" s="112" t="s">
        <v>1519</v>
      </c>
      <c r="N219" s="25" t="s">
        <v>1704</v>
      </c>
      <c r="O219" s="130" t="s">
        <v>1705</v>
      </c>
      <c r="P219" s="106" t="s">
        <v>1706</v>
      </c>
      <c r="Q219" s="77">
        <v>46270</v>
      </c>
      <c r="R219" s="77" t="str">
        <f>IF(Table5[[#This Row],[Tour Starting Date]]&lt;&gt;"", TEXT(Table5[[#This Row],[Tour Starting Date]], "dddd"), "")</f>
        <v>Saturday</v>
      </c>
      <c r="S219" s="77">
        <v>46272</v>
      </c>
      <c r="T219" s="25" t="str">
        <f>IF(Table5[[#This Row],[Tour Ending Date]]&lt;&gt;"", TEXT(Table5[[#This Row],[Tour Ending Date]], "dddd"), "")</f>
        <v>Monday</v>
      </c>
      <c r="U219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219" s="37" t="str">
        <f>IF(Table5[[#This Row],[Tour Starting Date]]&lt;&gt;"", TEXT(Table5[[#This Row],[Tour Starting Date]], "mmmm"), "")</f>
        <v>September</v>
      </c>
      <c r="W219" s="80" t="str" cm="1">
        <f t="array" ref="W219">IF(Q219&lt;&gt;"", INDEX(CI:CI, MATCH(1, (Q219&gt;=CG:CG)*(Q219&lt;=CH:CH), 0)), "")</f>
        <v>Long Weekend - Janmashtami</v>
      </c>
      <c r="X219" s="39">
        <v>35</v>
      </c>
      <c r="Y219" s="74">
        <v>6100</v>
      </c>
      <c r="Z219" s="74">
        <f>IF(OR(Table5[[#This Row],[Per Person Package Cost]]="", Table5[[#This Row],[No. of Pax]]=""), "", Table5[[#This Row],[Per Person Package Cost]] * Table5[[#This Row],[No. of Pax]])</f>
        <v>213500</v>
      </c>
      <c r="AA219" s="52" t="s">
        <v>75</v>
      </c>
      <c r="AB219" s="52" t="s">
        <v>75</v>
      </c>
      <c r="AC219" s="52" t="s">
        <v>173</v>
      </c>
      <c r="AD219" s="52" t="s">
        <v>352</v>
      </c>
      <c r="AE219" s="51" t="str">
        <f t="shared" si="21"/>
        <v>EXIDR02</v>
      </c>
      <c r="AF219" s="51" t="str">
        <f t="shared" si="22"/>
        <v>Jyotirlinga Trails</v>
      </c>
      <c r="AG219" s="74" t="str">
        <f t="shared" si="23"/>
        <v>Quick Getaways</v>
      </c>
      <c r="AH219" s="73" t="str">
        <f t="shared" si="24"/>
        <v>West MP</v>
      </c>
      <c r="AI219" s="52" t="s">
        <v>77</v>
      </c>
      <c r="AJ219" s="56" t="s">
        <v>115</v>
      </c>
      <c r="AK219" s="59" t="s">
        <v>79</v>
      </c>
      <c r="AL219" s="60" t="s">
        <v>80</v>
      </c>
      <c r="AM219" s="54" t="s">
        <v>80</v>
      </c>
      <c r="AN219" s="14">
        <v>46226</v>
      </c>
      <c r="AO219" s="15">
        <v>46237</v>
      </c>
      <c r="AP219" s="91">
        <v>46248</v>
      </c>
      <c r="AQ219" s="87">
        <v>46254</v>
      </c>
      <c r="AR219" s="26"/>
      <c r="AS219" s="65"/>
      <c r="AT219" s="88" t="s">
        <v>81</v>
      </c>
      <c r="AU219" s="67"/>
      <c r="CN219" t="s">
        <v>1707</v>
      </c>
      <c r="DA219" t="str" cm="1">
        <f t="array" ref="DA219:DY219">IF(U219&lt;&gt;"", TRANSPOSE(_xlfn._xlws.FILTER(CZ:CZ, CY:CY=U219, "")), "")</f>
        <v>Gwl (2N) + Mor</v>
      </c>
      <c r="DB219" t="str">
        <v>Ex Idr | Idr - Ujj (1N) - Omk - Mah (1N) - Man - Idr</v>
      </c>
      <c r="DC219" t="str">
        <v>Ujj (1N) - Omk - Idr (1N)</v>
      </c>
      <c r="DD219" t="str">
        <v>Ex Jlr | Jlr - Kan (2N) - Jlr</v>
      </c>
      <c r="DE219" t="str">
        <v>Ex Jlr | Jlr - Ban (2N) - Jlr</v>
      </c>
      <c r="DF219" t="str">
        <v>Ex Bho | Bho (2N) + Bhim + Bhoj + San</v>
      </c>
      <c r="DG219" t="str">
        <v>Ex Idr | Idr - Man (2N) - Idr</v>
      </c>
      <c r="DH219" t="str">
        <v>Ex Jlr | Jlr - Kan (2N) - Jlr</v>
      </c>
      <c r="DI219" t="str">
        <v>Ex Bho | Bho (2N) + Bhim + Bhoj + San + HDCT Bho</v>
      </c>
      <c r="DJ219" t="str">
        <v>Ex Bho | Bho - Bhim - Tawa (1N) - Mad (1N) - Bho</v>
      </c>
      <c r="DK219" t="str">
        <v>Ujj (1N) - Omk - Mah (1N) - Idr</v>
      </c>
      <c r="DL219" t="str">
        <v>Ujj (1N) -  Idr (1N)</v>
      </c>
      <c r="DM219" t="str">
        <v>Ex Idr | Idr (2N) + Ujj + Omk + Mah</v>
      </c>
      <c r="DN219" t="str">
        <v>Idr - Mah - Omk (1N) - Ujj (1N)</v>
      </c>
      <c r="DO219" t="str">
        <v>Idr - Ujj (1N) - Mah - Omk (1N) - Khandwa</v>
      </c>
      <c r="DP219" t="str">
        <v>Ex Idr | Idr (EX Ujj) (1N) - Mah - Omk (1N) - Idr HDCT</v>
      </c>
      <c r="DQ219" t="str">
        <v>Ujj (1N) - Sehor - Bho (1N) HDCT</v>
      </c>
      <c r="DR219" t="str">
        <v>Ex Jlr | Jlr (1N) - Ban (1N)</v>
      </c>
      <c r="DS219" t="str">
        <v>Ex Jlr | Ban (1N)</v>
      </c>
      <c r="DT219" t="str">
        <v>Ex Jlr | Jlr (2 N) Kan</v>
      </c>
      <c r="DU219" t="str">
        <v>Ex Jlr | Jlr - Amr (1 N) - (1 N) Ban</v>
      </c>
      <c r="DV219" t="str">
        <v>Ex Rpr | Rpr - (2N) Kan</v>
      </c>
      <c r="DW219" t="str">
        <v>Hjr (1N) - Mahi (1N) - Sat</v>
      </c>
      <c r="DX219" t="str">
        <v>Ex Bhp | Bhp - Bhim - Pch (2N) - Bhp</v>
      </c>
      <c r="DY219" t="str">
        <v xml:space="preserve">Ex Ujj I 2N Ujj </v>
      </c>
    </row>
    <row r="220" spans="2:145" ht="15" customHeight="1">
      <c r="B220" s="35">
        <v>216</v>
      </c>
      <c r="C220" s="36" t="s">
        <v>1708</v>
      </c>
      <c r="D220" s="76">
        <v>46224</v>
      </c>
      <c r="E220" s="37" t="str">
        <f>IF(Table5[[#This Row],[Query Date]]&lt;&gt;"", TEXT(Table5[[#This Row],[Query Date]], "dddd"), "")</f>
        <v>Tuesday</v>
      </c>
      <c r="F220" s="37" t="str">
        <f>IF(Table5[[#This Row],[Query Date]]&lt;&gt;"", TEXT(Table5[[#This Row],[Query Date]], "mmmm"), "")</f>
        <v>July</v>
      </c>
      <c r="G220" s="28" t="s">
        <v>65</v>
      </c>
      <c r="H220" s="28" t="s">
        <v>120</v>
      </c>
      <c r="I220" s="28" t="s">
        <v>67</v>
      </c>
      <c r="J220" s="28" t="s">
        <v>145</v>
      </c>
      <c r="K220" s="28" t="s">
        <v>488</v>
      </c>
      <c r="L220" s="25" t="s">
        <v>70</v>
      </c>
      <c r="M220" s="112" t="s">
        <v>1709</v>
      </c>
      <c r="N220" s="25" t="s">
        <v>1710</v>
      </c>
      <c r="O220" s="130" t="s">
        <v>1711</v>
      </c>
      <c r="P220" s="46" t="s">
        <v>1712</v>
      </c>
      <c r="Q220" s="77">
        <v>46241</v>
      </c>
      <c r="R220" s="77" t="str">
        <f>IF(Table5[[#This Row],[Tour Starting Date]]&lt;&gt;"", TEXT(Table5[[#This Row],[Tour Starting Date]], "dddd"), "")</f>
        <v>Friday</v>
      </c>
      <c r="S220" s="77">
        <v>46243</v>
      </c>
      <c r="T220" s="25" t="str">
        <f>IF(Table5[[#This Row],[Tour Ending Date]]&lt;&gt;"", TEXT(Table5[[#This Row],[Tour Ending Date]], "dddd"), "")</f>
        <v>Sunday</v>
      </c>
      <c r="U220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220" s="37" t="str">
        <f>IF(Table5[[#This Row],[Tour Starting Date]]&lt;&gt;"", TEXT(Table5[[#This Row],[Tour Starting Date]], "mmmm"), "")</f>
        <v>August</v>
      </c>
      <c r="W220" s="80" t="str" cm="1">
        <f t="array" ref="W220">IF(Q220&lt;&gt;"", INDEX(CI:CI, MATCH(1, (Q220&gt;=CG:CG)*(Q220&lt;=CH:CH), 0)), "")</f>
        <v>Regular Dates - Weekend</v>
      </c>
      <c r="X220" s="39"/>
      <c r="Y220" s="74">
        <v>30500</v>
      </c>
      <c r="Z220" s="74" t="str">
        <f>IF(OR(Table5[[#This Row],[Per Person Package Cost]]="", Table5[[#This Row],[No. of Pax]]=""), "", Table5[[#This Row],[Per Person Package Cost]] * Table5[[#This Row],[No. of Pax]])</f>
        <v/>
      </c>
      <c r="AA220" s="52" t="s">
        <v>75</v>
      </c>
      <c r="AB220" s="52" t="s">
        <v>75</v>
      </c>
      <c r="AC220" s="52"/>
      <c r="AD220" s="52" t="s">
        <v>352</v>
      </c>
      <c r="AE220" s="51" t="str">
        <f t="shared" si="21"/>
        <v>EXIDR02</v>
      </c>
      <c r="AF220" s="51" t="str">
        <f t="shared" si="22"/>
        <v>Jyotirlinga Trails</v>
      </c>
      <c r="AG220" s="74" t="str">
        <f t="shared" si="23"/>
        <v>Quick Getaways</v>
      </c>
      <c r="AH220" s="73" t="str">
        <f t="shared" si="24"/>
        <v>West MP</v>
      </c>
      <c r="AI220" s="52" t="s">
        <v>107</v>
      </c>
      <c r="AJ220" s="56" t="s">
        <v>78</v>
      </c>
      <c r="AK220" s="59" t="s">
        <v>79</v>
      </c>
      <c r="AL220" s="60" t="s">
        <v>80</v>
      </c>
      <c r="AM220" s="54" t="s">
        <v>80</v>
      </c>
      <c r="AN220" s="14">
        <v>46226</v>
      </c>
      <c r="AO220" s="15">
        <v>46237</v>
      </c>
      <c r="AP220" s="91"/>
      <c r="AQ220" s="87"/>
      <c r="AR220" s="26"/>
      <c r="AS220" s="65"/>
      <c r="AT220" s="88" t="s">
        <v>81</v>
      </c>
      <c r="AU220" s="67"/>
      <c r="CN220" t="s">
        <v>1713</v>
      </c>
      <c r="DA220" t="str" cm="1">
        <f t="array" ref="DA220:DY220">IF(U220&lt;&gt;"", TRANSPOSE(_xlfn._xlws.FILTER(CZ:CZ, CY:CY=U220, "")), "")</f>
        <v>Gwl (2N) + Mor</v>
      </c>
      <c r="DB220" t="str">
        <v>Ex Idr | Idr - Ujj (1N) - Omk - Mah (1N) - Man - Idr</v>
      </c>
      <c r="DC220" t="str">
        <v>Ujj (1N) - Omk - Idr (1N)</v>
      </c>
      <c r="DD220" t="str">
        <v>Ex Jlr | Jlr - Kan (2N) - Jlr</v>
      </c>
      <c r="DE220" t="str">
        <v>Ex Jlr | Jlr - Ban (2N) - Jlr</v>
      </c>
      <c r="DF220" t="str">
        <v>Ex Bho | Bho (2N) + Bhim + Bhoj + San</v>
      </c>
      <c r="DG220" t="str">
        <v>Ex Idr | Idr - Man (2N) - Idr</v>
      </c>
      <c r="DH220" t="str">
        <v>Ex Jlr | Jlr - Kan (2N) - Jlr</v>
      </c>
      <c r="DI220" t="str">
        <v>Ex Bho | Bho (2N) + Bhim + Bhoj + San + HDCT Bho</v>
      </c>
      <c r="DJ220" t="str">
        <v>Ex Bho | Bho - Bhim - Tawa (1N) - Mad (1N) - Bho</v>
      </c>
      <c r="DK220" t="str">
        <v>Ujj (1N) - Omk - Mah (1N) - Idr</v>
      </c>
      <c r="DL220" t="str">
        <v>Ujj (1N) -  Idr (1N)</v>
      </c>
      <c r="DM220" t="str">
        <v>Ex Idr | Idr (2N) + Ujj + Omk + Mah</v>
      </c>
      <c r="DN220" t="str">
        <v>Idr - Mah - Omk (1N) - Ujj (1N)</v>
      </c>
      <c r="DO220" t="str">
        <v>Idr - Ujj (1N) - Mah - Omk (1N) - Khandwa</v>
      </c>
      <c r="DP220" t="str">
        <v>Ex Idr | Idr (EX Ujj) (1N) - Mah - Omk (1N) - Idr HDCT</v>
      </c>
      <c r="DQ220" t="str">
        <v>Ujj (1N) - Sehor - Bho (1N) HDCT</v>
      </c>
      <c r="DR220" t="str">
        <v>Ex Jlr | Jlr (1N) - Ban (1N)</v>
      </c>
      <c r="DS220" t="str">
        <v>Ex Jlr | Ban (1N)</v>
      </c>
      <c r="DT220" t="str">
        <v>Ex Jlr | Jlr (2 N) Kan</v>
      </c>
      <c r="DU220" t="str">
        <v>Ex Jlr | Jlr - Amr (1 N) - (1 N) Ban</v>
      </c>
      <c r="DV220" t="str">
        <v>Ex Rpr | Rpr - (2N) Kan</v>
      </c>
      <c r="DW220" t="str">
        <v>Hjr (1N) - Mahi (1N) - Sat</v>
      </c>
      <c r="DX220" t="str">
        <v>Ex Bhp | Bhp - Bhim - Pch (2N) - Bhp</v>
      </c>
      <c r="DY220" t="str">
        <v xml:space="preserve">Ex Ujj I 2N Ujj </v>
      </c>
    </row>
    <row r="221" spans="2:145" ht="15" customHeight="1">
      <c r="B221" s="34">
        <v>217</v>
      </c>
      <c r="C221" s="36" t="s">
        <v>1714</v>
      </c>
      <c r="D221" s="76">
        <v>46224</v>
      </c>
      <c r="E221" s="37" t="str">
        <f>IF(Table5[[#This Row],[Query Date]]&lt;&gt;"", TEXT(Table5[[#This Row],[Query Date]], "dddd"), "")</f>
        <v>Tuesday</v>
      </c>
      <c r="F221" s="37" t="str">
        <f>IF(Table5[[#This Row],[Query Date]]&lt;&gt;"", TEXT(Table5[[#This Row],[Query Date]], "mmmm"), "")</f>
        <v>July</v>
      </c>
      <c r="G221" s="28" t="s">
        <v>65</v>
      </c>
      <c r="H221" s="28" t="s">
        <v>66</v>
      </c>
      <c r="I221" s="28" t="s">
        <v>67</v>
      </c>
      <c r="J221" s="28" t="s">
        <v>68</v>
      </c>
      <c r="K221" s="28" t="s">
        <v>69</v>
      </c>
      <c r="L221" s="25" t="s">
        <v>70</v>
      </c>
      <c r="M221" s="112" t="s">
        <v>266</v>
      </c>
      <c r="N221" s="25" t="s">
        <v>900</v>
      </c>
      <c r="O221" s="130" t="s">
        <v>901</v>
      </c>
      <c r="P221" s="106" t="s">
        <v>902</v>
      </c>
      <c r="Q221" s="77">
        <v>46252</v>
      </c>
      <c r="R221" s="77" t="str">
        <f>IF(Table5[[#This Row],[Tour Starting Date]]&lt;&gt;"", TEXT(Table5[[#This Row],[Tour Starting Date]], "dddd"), "")</f>
        <v>Tuesday</v>
      </c>
      <c r="S221" s="77">
        <v>46255</v>
      </c>
      <c r="T221" s="25" t="str">
        <f>IF(Table5[[#This Row],[Tour Ending Date]]&lt;&gt;"", TEXT(Table5[[#This Row],[Tour Ending Date]], "dddd"), "")</f>
        <v>Friday</v>
      </c>
      <c r="U221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221" s="37" t="str">
        <f>IF(Table5[[#This Row],[Tour Starting Date]]&lt;&gt;"", TEXT(Table5[[#This Row],[Tour Starting Date]], "mmmm"), "")</f>
        <v>August</v>
      </c>
      <c r="W221" s="80" t="str" cm="1">
        <f t="array" ref="W221">IF(Q221&lt;&gt;"", INDEX(CI:CI, MATCH(1, (Q221&gt;=CG:CG)*(Q221&lt;=CH:CH), 0)), "")</f>
        <v>Regular Dates - Weekday</v>
      </c>
      <c r="X221" s="39">
        <v>3</v>
      </c>
      <c r="Y221" s="74">
        <v>32600</v>
      </c>
      <c r="Z221" s="74">
        <f>IF(OR(Table5[[#This Row],[Per Person Package Cost]]="", Table5[[#This Row],[No. of Pax]]=""), "", Table5[[#This Row],[Per Person Package Cost]] * Table5[[#This Row],[No. of Pax]])</f>
        <v>97800</v>
      </c>
      <c r="AA221" s="52" t="s">
        <v>75</v>
      </c>
      <c r="AB221" s="52" t="s">
        <v>75</v>
      </c>
      <c r="AC221" s="52" t="s">
        <v>240</v>
      </c>
      <c r="AD221" s="52" t="s">
        <v>352</v>
      </c>
      <c r="AE221" s="51" t="str">
        <f t="shared" si="21"/>
        <v>EXIDR02</v>
      </c>
      <c r="AF221" s="51" t="str">
        <f t="shared" si="22"/>
        <v>Jyotirlinga Trails</v>
      </c>
      <c r="AG221" s="74" t="str">
        <f t="shared" si="23"/>
        <v>Quick Getaways</v>
      </c>
      <c r="AH221" s="73" t="str">
        <f t="shared" si="24"/>
        <v>West MP</v>
      </c>
      <c r="AI221" s="52" t="s">
        <v>107</v>
      </c>
      <c r="AJ221" s="56" t="s">
        <v>78</v>
      </c>
      <c r="AK221" s="59" t="s">
        <v>79</v>
      </c>
      <c r="AL221" s="60" t="s">
        <v>80</v>
      </c>
      <c r="AM221" s="54" t="s">
        <v>80</v>
      </c>
      <c r="AN221" s="14">
        <v>46226</v>
      </c>
      <c r="AO221" s="15">
        <v>46237</v>
      </c>
      <c r="AP221" s="91"/>
      <c r="AQ221" s="87"/>
      <c r="AR221" s="26"/>
      <c r="AS221" s="65"/>
      <c r="AT221" s="88" t="s">
        <v>81</v>
      </c>
      <c r="AU221" s="67"/>
      <c r="CN221" t="s">
        <v>1715</v>
      </c>
      <c r="DA221" t="str" cm="1">
        <f t="array" ref="DA221:EO221">IF(U221&lt;&gt;"", TRANSPOSE(_xlfn._xlws.FILTER(CZ:CZ, CY:CY=U221, "")), "")</f>
        <v>Gwl (3N) + Mor + Son + Dat + Orc</v>
      </c>
      <c r="DB221" t="str">
        <v>Ex Gwl | Gwl (1N) - Son - Dat - Orc (1N) - Gwl (1N)</v>
      </c>
      <c r="DC221" t="str">
        <v>Ex Idr | Idr - Ujj (1N) - Omk - Mah (1N) - Man (1N) - Idr</v>
      </c>
      <c r="DD221" t="str">
        <v>Ex Jlr | Jlr - Kan (2N) - Jlr (1N)</v>
      </c>
      <c r="DE221" t="str">
        <v>Ex Jlr | Jlr - Ban (2N) - Jlr (1N)</v>
      </c>
      <c r="DF221" t="str">
        <v>Ex Bho | Bho (1N) + San - Bhoj - Bhim - Pch (2N) - Bho</v>
      </c>
      <c r="DG221" t="str">
        <v>Ex Idr | Idr (1N) - Ujj (1N) - Omk (1N) - Mah - Idr</v>
      </c>
      <c r="DH221" t="str">
        <v>Gwl - Orc (1N) - Ckt (1N) - Myr (1N) - Jlr</v>
      </c>
      <c r="DI221" t="str">
        <v>Gwl - Orc (1N) - Ckt (2N) - Ixd</v>
      </c>
      <c r="DJ221" t="str">
        <v>Ex Idr | Idr - Ujj (1N) - Omk - Mah (1N) - Idr (1N)</v>
      </c>
      <c r="DK221" t="str">
        <v>Ex Jlr | Jlr - Kan (3N) - Jlr</v>
      </c>
      <c r="DL221" t="str">
        <v>Ex Bho | Bho (2N) + Bhim + Bhoj + San + Udaygiri + Vidisha + FDCT Bho</v>
      </c>
      <c r="DM221" t="str">
        <v>Bho (1N) + Bhim + Bhoj - HDCT  Bho + Sanchi - Ujj (2N)</v>
      </c>
      <c r="DN221" t="str">
        <v>Bho (1N) + Bhim + Bhoj - HDCT  Bho + Sanchi - Ujj (2N) - Idr</v>
      </c>
      <c r="DO221" t="str">
        <v>Ex Bho | Bho - Bhoj - Bhim - Mad (1N) - Pch (2N) - Bho</v>
      </c>
      <c r="DP221" t="str">
        <v>Ex Bho | Bho - Bhoj - Bhim - Mad (1N) - Pch (3N) - Bho</v>
      </c>
      <c r="DQ221" t="str">
        <v>Ex Bho | Bho - Bhoj - Bhim - Tawa (1N) - Mad (1N) - Bho (1N)</v>
      </c>
      <c r="DR221" t="str">
        <v>Bho (1N) - Bhim - Bhoj - San - Idr (2N) + Ujj</v>
      </c>
      <c r="DS221" t="str">
        <v>Bho (1N) - Bhoj - Bhim - Pch (2N) - Bho</v>
      </c>
      <c r="DT221" t="str">
        <v>Ujj (1N) - Omk - Mah (1N) - Idr (1N)</v>
      </c>
      <c r="DU221" t="str">
        <v>Ujj (1N) - Omk - Mah (1N) - Man (1N) - Idr</v>
      </c>
      <c r="DV221" t="str">
        <v>Ex Idr | Idr (1N) - Ujj (1N) - Omk - Mah (1N)</v>
      </c>
      <c r="DW221" t="str">
        <v>Ex Idr | Idr - Ujj (1N) - Omk (1N) - Mah (1N) - Idr</v>
      </c>
      <c r="DX221" t="str">
        <v>Khandwa - Omk (1N) - Mah (1N) - Ujj (1N) - Idr</v>
      </c>
      <c r="DY221" t="str">
        <v>Ex Idr | Idr - Ujj (1N) - Omk - Mah (1N) - Man - Idr (1N)</v>
      </c>
      <c r="DZ221" t="str">
        <v xml:space="preserve">Idr - Omk (1N) - Mah - Ujj (1N) San - Bho (1N) </v>
      </c>
      <c r="EA221" t="str">
        <v>Ex Idr | Idr - Man (1N) - Mah - Omk (1N) - Ujj (1N) - Idr</v>
      </c>
      <c r="EB221" t="str">
        <v>Khandwa - Omk (1N) - Mah - Ujj (2N)</v>
      </c>
      <c r="EC221" t="str">
        <v>Ex Jlr | Jlr (1N) - Amr (1N) - Ban (1N) - Jlr</v>
      </c>
      <c r="ED221" t="str">
        <v>Ex Jlr | Jlr - (1 N) Ban - (2 N) Amar</v>
      </c>
      <c r="EE221" t="str">
        <v>Jlr - Kan (1N) - Pch (2N)</v>
      </c>
      <c r="EF221" t="str">
        <v>Pi - Pch (2N)  - Kan (1N)</v>
      </c>
      <c r="EG221" t="str">
        <v>Ex Jlr | Jlr - Amr (1 N) - (1 N) Ban - (1 N) Jlr</v>
      </c>
      <c r="EH221" t="str">
        <v>Ppi - (2 N) Pch - (1 N) Pen</v>
      </c>
      <c r="EI221" t="str">
        <v>Bhp - Pch (2N) - Jlr (1N)</v>
      </c>
      <c r="EJ221" t="str">
        <v xml:space="preserve">Arr Jhn - Hjr (1N) - Orc - Gwl (2N) </v>
      </c>
      <c r="EK221" t="str">
        <v>(1 N) Ujj - (1 N) Mah - (1 N) Idr</v>
      </c>
      <c r="EL221" t="str">
        <v>Ex Bhp | Bhp - Bhoj - Bhim - Pch (3N) - Bhp</v>
      </c>
      <c r="EM221" t="str">
        <v>Ex Bhp | Bhp - Bhoj - Bhim - Pch (2N) - Mad (1N) - Bhp</v>
      </c>
      <c r="EN221" t="str">
        <v xml:space="preserve">Ex Nag - 3N Pch + Sat </v>
      </c>
      <c r="EO221" t="str">
        <v>1N Gwl - Son - Dat - 1N Hjr - 1N Orc - Jhn</v>
      </c>
    </row>
    <row r="222" spans="2:145" ht="15" customHeight="1">
      <c r="B222" s="35">
        <v>218</v>
      </c>
      <c r="C222" s="36" t="s">
        <v>1716</v>
      </c>
      <c r="D222" s="76">
        <v>46224</v>
      </c>
      <c r="E222" s="37" t="str">
        <f>IF(Table5[[#This Row],[Query Date]]&lt;&gt;"", TEXT(Table5[[#This Row],[Query Date]], "dddd"), "")</f>
        <v>Tuesday</v>
      </c>
      <c r="F222" s="37" t="str">
        <f>IF(Table5[[#This Row],[Query Date]]&lt;&gt;"", TEXT(Table5[[#This Row],[Query Date]], "mmmm"), "")</f>
        <v>July</v>
      </c>
      <c r="G222" s="28" t="s">
        <v>65</v>
      </c>
      <c r="H222" s="28" t="s">
        <v>120</v>
      </c>
      <c r="I222" s="28" t="s">
        <v>67</v>
      </c>
      <c r="J222" s="28" t="s">
        <v>68</v>
      </c>
      <c r="K222" s="28" t="s">
        <v>1717</v>
      </c>
      <c r="L222" s="25" t="s">
        <v>70</v>
      </c>
      <c r="M222" s="112" t="s">
        <v>1629</v>
      </c>
      <c r="N222" s="25" t="s">
        <v>1718</v>
      </c>
      <c r="O222" s="130" t="s">
        <v>1719</v>
      </c>
      <c r="P222" s="46" t="s">
        <v>1720</v>
      </c>
      <c r="Q222" s="77">
        <v>46268</v>
      </c>
      <c r="R222" s="77" t="str">
        <f>IF(Table5[[#This Row],[Tour Starting Date]]&lt;&gt;"", TEXT(Table5[[#This Row],[Tour Starting Date]], "dddd"), "")</f>
        <v>Thursday</v>
      </c>
      <c r="S222" s="77">
        <v>46270</v>
      </c>
      <c r="T222" s="25" t="str">
        <f>IF(Table5[[#This Row],[Tour Ending Date]]&lt;&gt;"", TEXT(Table5[[#This Row],[Tour Ending Date]], "dddd"), "")</f>
        <v>Saturday</v>
      </c>
      <c r="U222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222" s="37" t="str">
        <f>IF(Table5[[#This Row],[Tour Starting Date]]&lt;&gt;"", TEXT(Table5[[#This Row],[Tour Starting Date]], "mmmm"), "")</f>
        <v>September</v>
      </c>
      <c r="W222" s="80" t="str" cm="1">
        <f t="array" ref="W222">IF(Q222&lt;&gt;"", INDEX(CI:CI, MATCH(1, (Q222&gt;=CG:CG)*(Q222&lt;=CH:CH), 0)), "")</f>
        <v>Regular Dates - Weekday</v>
      </c>
      <c r="X222" s="39">
        <v>3</v>
      </c>
      <c r="Y222" s="74">
        <v>41000</v>
      </c>
      <c r="Z222" s="74">
        <f>IF(OR(Table5[[#This Row],[Per Person Package Cost]]="", Table5[[#This Row],[No. of Pax]]=""), "", Table5[[#This Row],[Per Person Package Cost]] * Table5[[#This Row],[No. of Pax]])</f>
        <v>123000</v>
      </c>
      <c r="AA222" s="52" t="s">
        <v>75</v>
      </c>
      <c r="AB222" s="52" t="s">
        <v>75</v>
      </c>
      <c r="AC222" s="52" t="s">
        <v>240</v>
      </c>
      <c r="AD222" s="52" t="s">
        <v>352</v>
      </c>
      <c r="AE222" s="51" t="str">
        <f t="shared" ref="AE222" si="29">IF(AD222&lt;&gt;"", INDEX(CW:CW, MATCH(AD222, CZ:CZ, 0)), "")</f>
        <v>EXIDR02</v>
      </c>
      <c r="AF222" s="51" t="str">
        <f t="shared" ref="AF222" si="30">IF(AD222&lt;&gt;"", INDEX(CX:CX, MATCH(AD222, CZ:CZ, 0)), "")</f>
        <v>Jyotirlinga Trails</v>
      </c>
      <c r="AG222" s="74" t="str">
        <f t="shared" ref="AG222" si="31">IF(AE222&lt;&gt;"", INDEX(CU:CU, MATCH(AE222, CW:CW, 0)), "")</f>
        <v>Quick Getaways</v>
      </c>
      <c r="AH222" s="73" t="str">
        <f t="shared" ref="AH222" si="32">IF(AD222&lt;&gt;"", INDEX(CV:CV, MATCH(AD222, CZ:CZ, 0)), "")</f>
        <v>West MP</v>
      </c>
      <c r="AI222" s="52" t="s">
        <v>107</v>
      </c>
      <c r="AJ222" s="56" t="s">
        <v>78</v>
      </c>
      <c r="AK222" s="59" t="s">
        <v>79</v>
      </c>
      <c r="AL222" s="60" t="s">
        <v>80</v>
      </c>
      <c r="AM222" s="54" t="s">
        <v>80</v>
      </c>
      <c r="AN222" s="14">
        <v>46226</v>
      </c>
      <c r="AO222" s="15">
        <v>46244</v>
      </c>
      <c r="AP222" s="91"/>
      <c r="AQ222" s="87"/>
      <c r="AR222" s="26"/>
      <c r="AS222" s="65"/>
      <c r="AT222" s="88" t="s">
        <v>81</v>
      </c>
      <c r="AU222" s="67" t="s">
        <v>82</v>
      </c>
      <c r="CN222" t="s">
        <v>1721</v>
      </c>
      <c r="DA222" t="str" cm="1">
        <f t="array" ref="DA222:DY222">IF(U222&lt;&gt;"", TRANSPOSE(_xlfn._xlws.FILTER(CZ:CZ, CY:CY=U222, "")), "")</f>
        <v>Gwl (2N) + Mor</v>
      </c>
      <c r="DB222" t="str">
        <v>Ex Idr | Idr - Ujj (1N) - Omk - Mah (1N) - Man - Idr</v>
      </c>
      <c r="DC222" t="str">
        <v>Ujj (1N) - Omk - Idr (1N)</v>
      </c>
      <c r="DD222" t="str">
        <v>Ex Jlr | Jlr - Kan (2N) - Jlr</v>
      </c>
      <c r="DE222" t="str">
        <v>Ex Jlr | Jlr - Ban (2N) - Jlr</v>
      </c>
      <c r="DF222" t="str">
        <v>Ex Bho | Bho (2N) + Bhim + Bhoj + San</v>
      </c>
      <c r="DG222" t="str">
        <v>Ex Idr | Idr - Man (2N) - Idr</v>
      </c>
      <c r="DH222" t="str">
        <v>Ex Jlr | Jlr - Kan (2N) - Jlr</v>
      </c>
      <c r="DI222" t="str">
        <v>Ex Bho | Bho (2N) + Bhim + Bhoj + San + HDCT Bho</v>
      </c>
      <c r="DJ222" t="str">
        <v>Ex Bho | Bho - Bhim - Tawa (1N) - Mad (1N) - Bho</v>
      </c>
      <c r="DK222" t="str">
        <v>Ujj (1N) - Omk - Mah (1N) - Idr</v>
      </c>
      <c r="DL222" t="str">
        <v>Ujj (1N) -  Idr (1N)</v>
      </c>
      <c r="DM222" t="str">
        <v>Ex Idr | Idr (2N) + Ujj + Omk + Mah</v>
      </c>
      <c r="DN222" t="str">
        <v>Idr - Mah - Omk (1N) - Ujj (1N)</v>
      </c>
      <c r="DO222" t="str">
        <v>Idr - Ujj (1N) - Mah - Omk (1N) - Khandwa</v>
      </c>
      <c r="DP222" t="str">
        <v>Ex Idr | Idr (EX Ujj) (1N) - Mah - Omk (1N) - Idr HDCT</v>
      </c>
      <c r="DQ222" t="str">
        <v>Ujj (1N) - Sehor - Bho (1N) HDCT</v>
      </c>
      <c r="DR222" t="str">
        <v>Ex Jlr | Jlr (1N) - Ban (1N)</v>
      </c>
      <c r="DS222" t="str">
        <v>Ex Jlr | Ban (1N)</v>
      </c>
      <c r="DT222" t="str">
        <v>Ex Jlr | Jlr (2 N) Kan</v>
      </c>
      <c r="DU222" t="str">
        <v>Ex Jlr | Jlr - Amr (1 N) - (1 N) Ban</v>
      </c>
      <c r="DV222" t="str">
        <v>Ex Rpr | Rpr - (2N) Kan</v>
      </c>
      <c r="DW222" t="str">
        <v>Hjr (1N) - Mahi (1N) - Sat</v>
      </c>
      <c r="DX222" t="str">
        <v>Ex Bhp | Bhp - Bhim - Pch (2N) - Bhp</v>
      </c>
      <c r="DY222" t="str">
        <v xml:space="preserve">Ex Ujj I 2N Ujj </v>
      </c>
    </row>
    <row r="223" spans="2:145" ht="15" customHeight="1">
      <c r="B223" s="34">
        <v>219</v>
      </c>
      <c r="C223" s="36" t="s">
        <v>1722</v>
      </c>
      <c r="D223" s="76">
        <v>46224</v>
      </c>
      <c r="E223" s="37" t="str">
        <f>IF(Table5[[#This Row],[Query Date]]&lt;&gt;"", TEXT(Table5[[#This Row],[Query Date]], "dddd"), "")</f>
        <v>Tuesday</v>
      </c>
      <c r="F223" s="37" t="str">
        <f>IF(Table5[[#This Row],[Query Date]]&lt;&gt;"", TEXT(Table5[[#This Row],[Query Date]], "mmmm"), "")</f>
        <v>July</v>
      </c>
      <c r="G223" s="28" t="s">
        <v>65</v>
      </c>
      <c r="H223" s="28" t="s">
        <v>66</v>
      </c>
      <c r="I223" s="28" t="s">
        <v>67</v>
      </c>
      <c r="J223" s="28" t="s">
        <v>145</v>
      </c>
      <c r="K223" s="28" t="s">
        <v>69</v>
      </c>
      <c r="L223" s="25" t="s">
        <v>70</v>
      </c>
      <c r="M223" s="112" t="s">
        <v>266</v>
      </c>
      <c r="N223" s="25" t="s">
        <v>635</v>
      </c>
      <c r="O223" s="130" t="s">
        <v>636</v>
      </c>
      <c r="P223" s="46" t="s">
        <v>637</v>
      </c>
      <c r="Q223" s="77">
        <v>46225</v>
      </c>
      <c r="R223" s="77" t="str">
        <f>IF(Table5[[#This Row],[Tour Starting Date]]&lt;&gt;"", TEXT(Table5[[#This Row],[Tour Starting Date]], "dddd"), "")</f>
        <v>Wednesday</v>
      </c>
      <c r="S223" s="77">
        <v>46225</v>
      </c>
      <c r="T223" s="25" t="str">
        <f>IF(Table5[[#This Row],[Tour Ending Date]]&lt;&gt;"", TEXT(Table5[[#This Row],[Tour Ending Date]], "dddd"), "")</f>
        <v>Wednesday</v>
      </c>
      <c r="U223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0 Nights &amp; 1 Days</v>
      </c>
      <c r="V223" s="37" t="str">
        <f>IF(Table5[[#This Row],[Tour Starting Date]]&lt;&gt;"", TEXT(Table5[[#This Row],[Tour Starting Date]], "mmmm"), "")</f>
        <v>July</v>
      </c>
      <c r="W223" s="80" t="str" cm="1">
        <f t="array" ref="W223">IF(Q223&lt;&gt;"", INDEX(CI:CI, MATCH(1, (Q223&gt;=CG:CG)*(Q223&lt;=CH:CH), 0)), "")</f>
        <v>Regular Dates - Weekday</v>
      </c>
      <c r="X223" s="39"/>
      <c r="Y223" s="74">
        <v>5500</v>
      </c>
      <c r="Z223" s="74" t="str">
        <f>IF(OR(Table5[[#This Row],[Per Person Package Cost]]="", Table5[[#This Row],[No. of Pax]]=""), "", Table5[[#This Row],[Per Person Package Cost]] * Table5[[#This Row],[No. of Pax]])</f>
        <v/>
      </c>
      <c r="AA223" s="52" t="s">
        <v>75</v>
      </c>
      <c r="AB223" s="52" t="s">
        <v>75</v>
      </c>
      <c r="AC223" s="52"/>
      <c r="AD223" s="52"/>
      <c r="AE223" s="51" t="str">
        <f t="shared" si="21"/>
        <v/>
      </c>
      <c r="AF223" s="51" t="str">
        <f t="shared" si="22"/>
        <v/>
      </c>
      <c r="AG223" s="74" t="str">
        <f t="shared" si="23"/>
        <v/>
      </c>
      <c r="AH223" s="73" t="str">
        <f t="shared" si="24"/>
        <v/>
      </c>
      <c r="AI223" s="52" t="s">
        <v>107</v>
      </c>
      <c r="AJ223" s="56" t="s">
        <v>78</v>
      </c>
      <c r="AK223" s="59" t="s">
        <v>79</v>
      </c>
      <c r="AL223" s="60" t="s">
        <v>80</v>
      </c>
      <c r="AM223" s="54" t="s">
        <v>80</v>
      </c>
      <c r="AN223" s="14">
        <v>46226</v>
      </c>
      <c r="AO223" s="15"/>
      <c r="AP223" s="91"/>
      <c r="AQ223" s="87"/>
      <c r="AR223" s="26"/>
      <c r="AS223" s="65"/>
      <c r="AT223" s="88" t="s">
        <v>81</v>
      </c>
      <c r="AU223" s="67"/>
      <c r="CN223" t="s">
        <v>1723</v>
      </c>
      <c r="DA223" t="str" cm="1">
        <f t="array" ref="DA223">IF(U223&lt;&gt;"", TRANSPOSE(_xlfn._xlws.FILTER(CZ:CZ, CY:CY=U223, "")), "")</f>
        <v/>
      </c>
    </row>
    <row r="224" spans="2:145" ht="15" customHeight="1">
      <c r="B224" s="35">
        <v>220</v>
      </c>
      <c r="C224" s="36" t="s">
        <v>1724</v>
      </c>
      <c r="D224" s="76">
        <v>46224</v>
      </c>
      <c r="E224" s="37" t="str">
        <f>IF(Table5[[#This Row],[Query Date]]&lt;&gt;"", TEXT(Table5[[#This Row],[Query Date]], "dddd"), "")</f>
        <v>Tuesday</v>
      </c>
      <c r="F224" s="37" t="str">
        <f>IF(Table5[[#This Row],[Query Date]]&lt;&gt;"", TEXT(Table5[[#This Row],[Query Date]], "mmmm"), "")</f>
        <v>July</v>
      </c>
      <c r="G224" s="28" t="s">
        <v>65</v>
      </c>
      <c r="H224" s="28" t="s">
        <v>99</v>
      </c>
      <c r="I224" s="28" t="s">
        <v>67</v>
      </c>
      <c r="J224" s="28" t="s">
        <v>68</v>
      </c>
      <c r="K224" s="28" t="s">
        <v>246</v>
      </c>
      <c r="L224" s="25" t="s">
        <v>70</v>
      </c>
      <c r="M224" s="112" t="s">
        <v>1725</v>
      </c>
      <c r="N224" s="25" t="s">
        <v>1726</v>
      </c>
      <c r="O224" s="130" t="s">
        <v>1727</v>
      </c>
      <c r="P224" s="46" t="s">
        <v>1728</v>
      </c>
      <c r="Q224" s="77">
        <v>46389</v>
      </c>
      <c r="R224" s="77" t="str">
        <f>IF(Table5[[#This Row],[Tour Starting Date]]&lt;&gt;"", TEXT(Table5[[#This Row],[Tour Starting Date]], "dddd"), "")</f>
        <v>Saturday</v>
      </c>
      <c r="S224" s="77">
        <v>46393</v>
      </c>
      <c r="T224" s="25" t="str">
        <f>IF(Table5[[#This Row],[Tour Ending Date]]&lt;&gt;"", TEXT(Table5[[#This Row],[Tour Ending Date]], "dddd"), "")</f>
        <v>Wednesday</v>
      </c>
      <c r="U224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4 Nights &amp; 5 Days</v>
      </c>
      <c r="V224" s="37" t="str">
        <f>IF(Table5[[#This Row],[Tour Starting Date]]&lt;&gt;"", TEXT(Table5[[#This Row],[Tour Starting Date]], "mmmm"), "")</f>
        <v>January</v>
      </c>
      <c r="W224" s="80" t="str" cm="1">
        <f t="array" ref="W224">IF(Q224&lt;&gt;"", INDEX(CI:CI, MATCH(1, (Q224&gt;=CG:CG)*(Q224&lt;=CH:CH), 0)), "")</f>
        <v>Long Weekend - New Year</v>
      </c>
      <c r="X224" s="39">
        <v>5</v>
      </c>
      <c r="Y224" s="74">
        <v>83200</v>
      </c>
      <c r="Z224" s="74">
        <f>IF(OR(Table5[[#This Row],[Per Person Package Cost]]="", Table5[[#This Row],[No. of Pax]]=""), "", Table5[[#This Row],[Per Person Package Cost]] * Table5[[#This Row],[No. of Pax]])</f>
        <v>416000</v>
      </c>
      <c r="AA224" s="52" t="s">
        <v>270</v>
      </c>
      <c r="AB224" s="52" t="s">
        <v>270</v>
      </c>
      <c r="AC224" s="52" t="s">
        <v>240</v>
      </c>
      <c r="AD224" s="52"/>
      <c r="AE224" s="51" t="str">
        <f t="shared" si="21"/>
        <v/>
      </c>
      <c r="AF224" s="51" t="str">
        <f t="shared" si="22"/>
        <v/>
      </c>
      <c r="AG224" s="74" t="str">
        <f t="shared" si="23"/>
        <v/>
      </c>
      <c r="AH224" s="73" t="str">
        <f t="shared" si="24"/>
        <v/>
      </c>
      <c r="AI224" s="52" t="s">
        <v>77</v>
      </c>
      <c r="AJ224" s="56" t="s">
        <v>78</v>
      </c>
      <c r="AK224" s="59" t="s">
        <v>79</v>
      </c>
      <c r="AL224" s="60" t="s">
        <v>80</v>
      </c>
      <c r="AM224" s="54" t="s">
        <v>80</v>
      </c>
      <c r="AN224" s="14">
        <v>46226</v>
      </c>
      <c r="AO224" s="15">
        <v>46254</v>
      </c>
      <c r="AP224" s="91">
        <v>46268</v>
      </c>
      <c r="AQ224" s="87">
        <v>46273</v>
      </c>
      <c r="AR224" s="26"/>
      <c r="AS224" s="65"/>
      <c r="AT224" s="88" t="s">
        <v>138</v>
      </c>
      <c r="AU224" s="67"/>
      <c r="CN224" t="s">
        <v>1729</v>
      </c>
      <c r="DA224" t="str" cm="1">
        <f t="array" ref="DA224:EJ224">IF(U224&lt;&gt;"", TRANSPOSE(_xlfn._xlws.FILTER(CZ:CZ, CY:CY=U224, "")), "")</f>
        <v>Ex Gwl | Gwl (2N) + Mor - Son - Dat - Orc (1N) - Hjr (1N) - Gwl</v>
      </c>
      <c r="DB224" t="str">
        <v>Ex Idr | Idr - Ujj (1N) - Omk - Mah (1N) - Man (1N) - Idr (1N)</v>
      </c>
      <c r="DC224" t="str">
        <v>Ex Idr | Idr - Ujj (1N) - Omk (1N) - Mah (1N) - Man (1N) - Idr</v>
      </c>
      <c r="DD224" t="str">
        <v>Ex Jlr | Jlr - Kan (2N) - Amk (1N) - Jlr (1N)</v>
      </c>
      <c r="DE224" t="str">
        <v>Ex Jlr | Jlr - Ban (2N) - Amk (1N) - Jlr (1N)</v>
      </c>
      <c r="DF224" t="str">
        <v>Ex Jlr | Jlr (1N) - Hjr (1N) - Ban (2N) - Jlr</v>
      </c>
      <c r="DG224" t="str">
        <v>Ex Jlr | Jlr (1N) - Kan (1N) - Ban (2N) - Jlr</v>
      </c>
      <c r="DH224" t="str">
        <v>Ex Bho | Bho (1N) + San + Bhoj + Bhim - Tawa - Mad (1N) - Pch (2N) - Bho</v>
      </c>
      <c r="DI224" t="str">
        <v>Ex Idr | Idr - Ujj (1N) - Omk - Mah (1N) - Man (1N) - Idr (1N)</v>
      </c>
      <c r="DJ224" t="str">
        <v>Ex Bho | Bho (1N) - Bhoj - Bhim - Pch (3N) - Bho</v>
      </c>
      <c r="DK224" t="str">
        <v>Gwl (1N) - Dat (Pitambara Peeth) - Orc (1N) - Ckt (2N) - Ixd</v>
      </c>
      <c r="DL224" t="str">
        <v>Ex Jlr | Jlr - Ban (2N) - Kan (2N) - Jlr</v>
      </c>
      <c r="DM224" t="str">
        <v>Jlr - Ban (1N) - Kan (1N) - Pen (2N) - Nag</v>
      </c>
      <c r="DN224" t="str">
        <v>Ex Bho | Bho (1N) - Bhoj - Bhim - Pch (3N) - Bho</v>
      </c>
      <c r="DO224" t="str">
        <v>Ex Bho | Bho (2N) + Sanchi + Bhoj + Bhim - Tawa - Mad (1N) - Bho (1N)</v>
      </c>
      <c r="DP224" t="str">
        <v>Ex Bho | Bho - Bhoj - Bhim - Tawa (1N) - Mad (1N) - Pch (2N) - Bho</v>
      </c>
      <c r="DQ224" t="str">
        <v>Bho - Bhoj - Bhim - Pch (2N) - Kan (1N) - Jlr (1N)</v>
      </c>
      <c r="DR224" t="str">
        <v>Bho - Bhoj - Bhim - Pch (2N) - Kan (1N) - Amk (1N) - Jlr</v>
      </c>
      <c r="DS224" t="str">
        <v xml:space="preserve">Bho (1N) + Bhim + Bhoj + San - Ujj (1N) - Omk - Mah (1N) - Idr (1N) </v>
      </c>
      <c r="DT224" t="str">
        <v>Ex Gwl | Gwl - Hjr (1N) - Orc (1N) - Dat - Son - Gwl (2N)</v>
      </c>
      <c r="DU224" t="str">
        <v>Ex Gwl | Gwl - Orc (1N) - Hjr (1N) - Chn (1N) - Shiv (1N) - Gwl</v>
      </c>
      <c r="DV224" t="str">
        <v>Gwl - Hjr (1N) - Panna (1N) - Chit (1N) - Mahi (1N) - Sat</v>
      </c>
      <c r="DW224" t="str">
        <v>Jlr - (2 N) Kan - (2 N) Pch - Bhim - Bhoj - Bhp</v>
      </c>
      <c r="DX224" t="str">
        <v>Jlr - (2 N) Kan - (2 N) Pen - Rpr</v>
      </c>
      <c r="DY224" t="str">
        <v>Gwl (2N) (Ex Mor) - Dat -Orc (1N) - Hjr (1N) - Jhn</v>
      </c>
      <c r="DZ224" t="str">
        <v>Ex Gwl | Gwl (1N) - Son - Dat - Orc (1N) - Hjr (2N) (Ex Panna) - Gwl</v>
      </c>
      <c r="EA224" t="str">
        <v>Hjr (1N) - Orc (1N) - Dat - son - Gwl (2N)(Ex Mor)</v>
      </c>
      <c r="EB224" t="str">
        <v>(2 N) Gwl - (1 N) Orch - (1 N) Hjr</v>
      </c>
      <c r="EC224" t="str">
        <v>Ex Bhp | Bhp - Bhoj - Bhim - Pch (2N) - Mad (1N) - Tawa (1N) - Bhp</v>
      </c>
      <c r="ED224" t="str">
        <v>Ex Bhp | Bhp - Bhoj - Bhim - Pch (2N) - Mad (2N) - Bhp</v>
      </c>
      <c r="EE224" t="str">
        <v>Ex Idr | Idr - Ujj (1N) - Omk (1N) - Mah (2N) (Ex Man) - Idr (HDCT)</v>
      </c>
      <c r="EF224" t="str">
        <v>Arr Rpr - Amr (2N) - Par (2N) - IXD</v>
      </c>
      <c r="EG224" t="str">
        <v>1N Gwl - Orc - 2N Hjr - Jhn - 1N Gwl</v>
      </c>
      <c r="EH224" t="str">
        <v>1N Orc - 1N Hjr - 2N Gwl Ex Mor</v>
      </c>
      <c r="EI224" t="str">
        <v>1N Idr - Omk - 1N Mah - 1N Ujj - Seh - 1N Bho</v>
      </c>
      <c r="EJ224" t="str">
        <v>Ex Idr I 1N Idr - 1N Ujj - Omk - 2N Mah - Man - Idr</v>
      </c>
    </row>
    <row r="225" spans="2:145" ht="15" customHeight="1">
      <c r="B225" s="34">
        <v>221</v>
      </c>
      <c r="C225" s="36" t="s">
        <v>1730</v>
      </c>
      <c r="D225" s="76">
        <v>46223</v>
      </c>
      <c r="E225" s="37" t="str">
        <f>IF(Table5[[#This Row],[Query Date]]&lt;&gt;"", TEXT(Table5[[#This Row],[Query Date]], "dddd"), "")</f>
        <v>Monday</v>
      </c>
      <c r="F225" s="37" t="str">
        <f>IF(Table5[[#This Row],[Query Date]]&lt;&gt;"", TEXT(Table5[[#This Row],[Query Date]], "mmmm"), "")</f>
        <v>July</v>
      </c>
      <c r="G225" s="28" t="s">
        <v>113</v>
      </c>
      <c r="H225" s="28" t="s">
        <v>120</v>
      </c>
      <c r="I225" s="28" t="s">
        <v>67</v>
      </c>
      <c r="J225" s="28" t="s">
        <v>68</v>
      </c>
      <c r="K225" s="28" t="s">
        <v>1731</v>
      </c>
      <c r="L225" s="25" t="s">
        <v>160</v>
      </c>
      <c r="M225" s="112" t="s">
        <v>90</v>
      </c>
      <c r="N225" s="25" t="s">
        <v>1718</v>
      </c>
      <c r="O225" s="130" t="s">
        <v>1732</v>
      </c>
      <c r="P225" s="31"/>
      <c r="Q225" s="77">
        <v>46241</v>
      </c>
      <c r="R225" s="77" t="str">
        <f>IF(Table5[[#This Row],[Tour Starting Date]]&lt;&gt;"", TEXT(Table5[[#This Row],[Tour Starting Date]], "dddd"), "")</f>
        <v>Friday</v>
      </c>
      <c r="S225" s="77">
        <v>46244</v>
      </c>
      <c r="T225" s="25" t="str">
        <f>IF(Table5[[#This Row],[Tour Ending Date]]&lt;&gt;"", TEXT(Table5[[#This Row],[Tour Ending Date]], "dddd"), "")</f>
        <v>Monday</v>
      </c>
      <c r="U225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225" s="37" t="str">
        <f>IF(Table5[[#This Row],[Tour Starting Date]]&lt;&gt;"", TEXT(Table5[[#This Row],[Tour Starting Date]], "mmmm"), "")</f>
        <v>August</v>
      </c>
      <c r="W225" s="80" t="str" cm="1">
        <f t="array" ref="W225">IF(Q225&lt;&gt;"", INDEX(CI:CI, MATCH(1, (Q225&gt;=CG:CG)*(Q225&lt;=CH:CH), 0)), "")</f>
        <v>Regular Dates - Weekend</v>
      </c>
      <c r="X225" s="39">
        <v>3</v>
      </c>
      <c r="Y225" s="74">
        <v>11300</v>
      </c>
      <c r="Z225" s="74">
        <f>IF(OR(Table5[[#This Row],[Per Person Package Cost]]="", Table5[[#This Row],[No. of Pax]]=""), "", Table5[[#This Row],[Per Person Package Cost]] * Table5[[#This Row],[No. of Pax]])</f>
        <v>33900</v>
      </c>
      <c r="AA225" s="52" t="s">
        <v>75</v>
      </c>
      <c r="AB225" s="52" t="s">
        <v>75</v>
      </c>
      <c r="AC225" s="52" t="s">
        <v>173</v>
      </c>
      <c r="AD225" s="52" t="s">
        <v>352</v>
      </c>
      <c r="AE225" s="51" t="str">
        <f t="shared" si="21"/>
        <v>EXIDR02</v>
      </c>
      <c r="AF225" s="51" t="str">
        <f t="shared" si="22"/>
        <v>Jyotirlinga Trails</v>
      </c>
      <c r="AG225" s="74" t="str">
        <f t="shared" si="23"/>
        <v>Quick Getaways</v>
      </c>
      <c r="AH225" s="73" t="str">
        <f t="shared" si="24"/>
        <v>West MP</v>
      </c>
      <c r="AI225" s="52" t="s">
        <v>159</v>
      </c>
      <c r="AJ225" s="56" t="s">
        <v>115</v>
      </c>
      <c r="AK225" s="59" t="s">
        <v>79</v>
      </c>
      <c r="AL225" s="60" t="s">
        <v>80</v>
      </c>
      <c r="AM225" s="54" t="s">
        <v>80</v>
      </c>
      <c r="AN225" s="14">
        <v>46226</v>
      </c>
      <c r="AO225" s="15">
        <v>46244</v>
      </c>
      <c r="AP225" s="91"/>
      <c r="AQ225" s="87"/>
      <c r="AR225" s="26"/>
      <c r="AS225" s="65"/>
      <c r="AT225" s="88" t="s">
        <v>81</v>
      </c>
      <c r="AU225" s="67" t="s">
        <v>82</v>
      </c>
      <c r="CN225" t="s">
        <v>1733</v>
      </c>
      <c r="DA225" t="str" cm="1">
        <f t="array" ref="DA225:EO225">IF(U225&lt;&gt;"", TRANSPOSE(_xlfn._xlws.FILTER(CZ:CZ, CY:CY=U225, "")), "")</f>
        <v>Gwl (3N) + Mor + Son + Dat + Orc</v>
      </c>
      <c r="DB225" t="str">
        <v>Ex Gwl | Gwl (1N) - Son - Dat - Orc (1N) - Gwl (1N)</v>
      </c>
      <c r="DC225" t="str">
        <v>Ex Idr | Idr - Ujj (1N) - Omk - Mah (1N) - Man (1N) - Idr</v>
      </c>
      <c r="DD225" t="str">
        <v>Ex Jlr | Jlr - Kan (2N) - Jlr (1N)</v>
      </c>
      <c r="DE225" t="str">
        <v>Ex Jlr | Jlr - Ban (2N) - Jlr (1N)</v>
      </c>
      <c r="DF225" t="str">
        <v>Ex Bho | Bho (1N) + San - Bhoj - Bhim - Pch (2N) - Bho</v>
      </c>
      <c r="DG225" t="str">
        <v>Ex Idr | Idr (1N) - Ujj (1N) - Omk (1N) - Mah - Idr</v>
      </c>
      <c r="DH225" t="str">
        <v>Gwl - Orc (1N) - Ckt (1N) - Myr (1N) - Jlr</v>
      </c>
      <c r="DI225" t="str">
        <v>Gwl - Orc (1N) - Ckt (2N) - Ixd</v>
      </c>
      <c r="DJ225" t="str">
        <v>Ex Idr | Idr - Ujj (1N) - Omk - Mah (1N) - Idr (1N)</v>
      </c>
      <c r="DK225" t="str">
        <v>Ex Jlr | Jlr - Kan (3N) - Jlr</v>
      </c>
      <c r="DL225" t="str">
        <v>Ex Bho | Bho (2N) + Bhim + Bhoj + San + Udaygiri + Vidisha + FDCT Bho</v>
      </c>
      <c r="DM225" t="str">
        <v>Bho (1N) + Bhim + Bhoj - HDCT  Bho + Sanchi - Ujj (2N)</v>
      </c>
      <c r="DN225" t="str">
        <v>Bho (1N) + Bhim + Bhoj - HDCT  Bho + Sanchi - Ujj (2N) - Idr</v>
      </c>
      <c r="DO225" t="str">
        <v>Ex Bho | Bho - Bhoj - Bhim - Mad (1N) - Pch (2N) - Bho</v>
      </c>
      <c r="DP225" t="str">
        <v>Ex Bho | Bho - Bhoj - Bhim - Mad (1N) - Pch (3N) - Bho</v>
      </c>
      <c r="DQ225" t="str">
        <v>Ex Bho | Bho - Bhoj - Bhim - Tawa (1N) - Mad (1N) - Bho (1N)</v>
      </c>
      <c r="DR225" t="str">
        <v>Bho (1N) - Bhim - Bhoj - San - Idr (2N) + Ujj</v>
      </c>
      <c r="DS225" t="str">
        <v>Bho (1N) - Bhoj - Bhim - Pch (2N) - Bho</v>
      </c>
      <c r="DT225" t="str">
        <v>Ujj (1N) - Omk - Mah (1N) - Idr (1N)</v>
      </c>
      <c r="DU225" t="str">
        <v>Ujj (1N) - Omk - Mah (1N) - Man (1N) - Idr</v>
      </c>
      <c r="DV225" t="str">
        <v>Ex Idr | Idr (1N) - Ujj (1N) - Omk - Mah (1N)</v>
      </c>
      <c r="DW225" t="str">
        <v>Ex Idr | Idr - Ujj (1N) - Omk (1N) - Mah (1N) - Idr</v>
      </c>
      <c r="DX225" t="str">
        <v>Khandwa - Omk (1N) - Mah (1N) - Ujj (1N) - Idr</v>
      </c>
      <c r="DY225" t="str">
        <v>Ex Idr | Idr - Ujj (1N) - Omk - Mah (1N) - Man - Idr (1N)</v>
      </c>
      <c r="DZ225" t="str">
        <v xml:space="preserve">Idr - Omk (1N) - Mah - Ujj (1N) San - Bho (1N) </v>
      </c>
      <c r="EA225" t="str">
        <v>Ex Idr | Idr - Man (1N) - Mah - Omk (1N) - Ujj (1N) - Idr</v>
      </c>
      <c r="EB225" t="str">
        <v>Khandwa - Omk (1N) - Mah - Ujj (2N)</v>
      </c>
      <c r="EC225" t="str">
        <v>Ex Jlr | Jlr (1N) - Amr (1N) - Ban (1N) - Jlr</v>
      </c>
      <c r="ED225" t="str">
        <v>Ex Jlr | Jlr - (1 N) Ban - (2 N) Amar</v>
      </c>
      <c r="EE225" t="str">
        <v>Jlr - Kan (1N) - Pch (2N)</v>
      </c>
      <c r="EF225" t="str">
        <v>Pi - Pch (2N)  - Kan (1N)</v>
      </c>
      <c r="EG225" t="str">
        <v>Ex Jlr | Jlr - Amr (1 N) - (1 N) Ban - (1 N) Jlr</v>
      </c>
      <c r="EH225" t="str">
        <v>Ppi - (2 N) Pch - (1 N) Pen</v>
      </c>
      <c r="EI225" t="str">
        <v>Bhp - Pch (2N) - Jlr (1N)</v>
      </c>
      <c r="EJ225" t="str">
        <v xml:space="preserve">Arr Jhn - Hjr (1N) - Orc - Gwl (2N) </v>
      </c>
      <c r="EK225" t="str">
        <v>(1 N) Ujj - (1 N) Mah - (1 N) Idr</v>
      </c>
      <c r="EL225" t="str">
        <v>Ex Bhp | Bhp - Bhoj - Bhim - Pch (3N) - Bhp</v>
      </c>
      <c r="EM225" t="str">
        <v>Ex Bhp | Bhp - Bhoj - Bhim - Pch (2N) - Mad (1N) - Bhp</v>
      </c>
      <c r="EN225" t="str">
        <v xml:space="preserve">Ex Nag - 3N Pch + Sat </v>
      </c>
      <c r="EO225" t="str">
        <v>1N Gwl - Son - Dat - 1N Hjr - 1N Orc - Jhn</v>
      </c>
    </row>
    <row r="226" spans="2:145" ht="15" customHeight="1">
      <c r="B226" s="35">
        <v>222</v>
      </c>
      <c r="C226" s="36" t="s">
        <v>1734</v>
      </c>
      <c r="D226" s="76">
        <v>46223</v>
      </c>
      <c r="E226" s="37" t="str">
        <f>IF(Table5[[#This Row],[Query Date]]&lt;&gt;"", TEXT(Table5[[#This Row],[Query Date]], "dddd"), "")</f>
        <v>Monday</v>
      </c>
      <c r="F226" s="37" t="str">
        <f>IF(Table5[[#This Row],[Query Date]]&lt;&gt;"", TEXT(Table5[[#This Row],[Query Date]], "mmmm"), "")</f>
        <v>July</v>
      </c>
      <c r="G226" s="28" t="s">
        <v>113</v>
      </c>
      <c r="H226" s="28" t="s">
        <v>99</v>
      </c>
      <c r="I226" s="28" t="s">
        <v>67</v>
      </c>
      <c r="J226" s="28" t="s">
        <v>68</v>
      </c>
      <c r="K226" s="28" t="s">
        <v>178</v>
      </c>
      <c r="L226" s="25" t="s">
        <v>160</v>
      </c>
      <c r="M226" s="112" t="s">
        <v>90</v>
      </c>
      <c r="N226" s="25" t="s">
        <v>1735</v>
      </c>
      <c r="O226" s="130" t="s">
        <v>1736</v>
      </c>
      <c r="P226" s="31"/>
      <c r="Q226" s="77">
        <v>46245</v>
      </c>
      <c r="R226" s="77" t="str">
        <f>IF(Table5[[#This Row],[Tour Starting Date]]&lt;&gt;"", TEXT(Table5[[#This Row],[Tour Starting Date]], "dddd"), "")</f>
        <v>Tuesday</v>
      </c>
      <c r="S226" s="77">
        <v>46247</v>
      </c>
      <c r="T226" s="25" t="str">
        <f>IF(Table5[[#This Row],[Tour Ending Date]]&lt;&gt;"", TEXT(Table5[[#This Row],[Tour Ending Date]], "dddd"), "")</f>
        <v>Thursday</v>
      </c>
      <c r="U226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226" s="37" t="str">
        <f>IF(Table5[[#This Row],[Tour Starting Date]]&lt;&gt;"", TEXT(Table5[[#This Row],[Tour Starting Date]], "mmmm"), "")</f>
        <v>August</v>
      </c>
      <c r="W226" s="80" t="str" cm="1">
        <f t="array" ref="W226">IF(Q226&lt;&gt;"", INDEX(CI:CI, MATCH(1, (Q226&gt;=CG:CG)*(Q226&lt;=CH:CH), 0)), "")</f>
        <v>Regular Dates - Weekday</v>
      </c>
      <c r="X226" s="39">
        <v>2</v>
      </c>
      <c r="Y226" s="74">
        <v>10500</v>
      </c>
      <c r="Z226" s="74">
        <f>IF(OR(Table5[[#This Row],[Per Person Package Cost]]="", Table5[[#This Row],[No. of Pax]]=""), "", Table5[[#This Row],[Per Person Package Cost]] * Table5[[#This Row],[No. of Pax]])</f>
        <v>21000</v>
      </c>
      <c r="AA226" s="52" t="s">
        <v>75</v>
      </c>
      <c r="AB226" s="52" t="s">
        <v>75</v>
      </c>
      <c r="AC226" s="52" t="s">
        <v>173</v>
      </c>
      <c r="AD226" s="52" t="s">
        <v>352</v>
      </c>
      <c r="AE226" s="51" t="str">
        <f t="shared" si="21"/>
        <v>EXIDR02</v>
      </c>
      <c r="AF226" s="51" t="str">
        <f t="shared" si="22"/>
        <v>Jyotirlinga Trails</v>
      </c>
      <c r="AG226" s="74" t="str">
        <f t="shared" si="23"/>
        <v>Quick Getaways</v>
      </c>
      <c r="AH226" s="73" t="str">
        <f t="shared" si="24"/>
        <v>West MP</v>
      </c>
      <c r="AI226" s="52" t="s">
        <v>159</v>
      </c>
      <c r="AJ226" s="56" t="s">
        <v>115</v>
      </c>
      <c r="AK226" s="59" t="s">
        <v>79</v>
      </c>
      <c r="AL226" s="60" t="s">
        <v>80</v>
      </c>
      <c r="AM226" s="54" t="s">
        <v>80</v>
      </c>
      <c r="AN226" s="14">
        <v>46226</v>
      </c>
      <c r="AO226" s="15"/>
      <c r="AP226" s="91"/>
      <c r="AQ226" s="87"/>
      <c r="AR226" s="26"/>
      <c r="AS226" s="65"/>
      <c r="AT226" s="88" t="s">
        <v>81</v>
      </c>
      <c r="AU226" s="67" t="s">
        <v>82</v>
      </c>
      <c r="CN226" t="s">
        <v>1737</v>
      </c>
      <c r="DA226" t="str" cm="1">
        <f t="array" ref="DA226:DY226">IF(U226&lt;&gt;"", TRANSPOSE(_xlfn._xlws.FILTER(CZ:CZ, CY:CY=U226, "")), "")</f>
        <v>Gwl (2N) + Mor</v>
      </c>
      <c r="DB226" t="str">
        <v>Ex Idr | Idr - Ujj (1N) - Omk - Mah (1N) - Man - Idr</v>
      </c>
      <c r="DC226" t="str">
        <v>Ujj (1N) - Omk - Idr (1N)</v>
      </c>
      <c r="DD226" t="str">
        <v>Ex Jlr | Jlr - Kan (2N) - Jlr</v>
      </c>
      <c r="DE226" t="str">
        <v>Ex Jlr | Jlr - Ban (2N) - Jlr</v>
      </c>
      <c r="DF226" t="str">
        <v>Ex Bho | Bho (2N) + Bhim + Bhoj + San</v>
      </c>
      <c r="DG226" t="str">
        <v>Ex Idr | Idr - Man (2N) - Idr</v>
      </c>
      <c r="DH226" t="str">
        <v>Ex Jlr | Jlr - Kan (2N) - Jlr</v>
      </c>
      <c r="DI226" t="str">
        <v>Ex Bho | Bho (2N) + Bhim + Bhoj + San + HDCT Bho</v>
      </c>
      <c r="DJ226" t="str">
        <v>Ex Bho | Bho - Bhim - Tawa (1N) - Mad (1N) - Bho</v>
      </c>
      <c r="DK226" t="str">
        <v>Ujj (1N) - Omk - Mah (1N) - Idr</v>
      </c>
      <c r="DL226" t="str">
        <v>Ujj (1N) -  Idr (1N)</v>
      </c>
      <c r="DM226" t="str">
        <v>Ex Idr | Idr (2N) + Ujj + Omk + Mah</v>
      </c>
      <c r="DN226" t="str">
        <v>Idr - Mah - Omk (1N) - Ujj (1N)</v>
      </c>
      <c r="DO226" t="str">
        <v>Idr - Ujj (1N) - Mah - Omk (1N) - Khandwa</v>
      </c>
      <c r="DP226" t="str">
        <v>Ex Idr | Idr (EX Ujj) (1N) - Mah - Omk (1N) - Idr HDCT</v>
      </c>
      <c r="DQ226" t="str">
        <v>Ujj (1N) - Sehor - Bho (1N) HDCT</v>
      </c>
      <c r="DR226" t="str">
        <v>Ex Jlr | Jlr (1N) - Ban (1N)</v>
      </c>
      <c r="DS226" t="str">
        <v>Ex Jlr | Ban (1N)</v>
      </c>
      <c r="DT226" t="str">
        <v>Ex Jlr | Jlr (2 N) Kan</v>
      </c>
      <c r="DU226" t="str">
        <v>Ex Jlr | Jlr - Amr (1 N) - (1 N) Ban</v>
      </c>
      <c r="DV226" t="str">
        <v>Ex Rpr | Rpr - (2N) Kan</v>
      </c>
      <c r="DW226" t="str">
        <v>Hjr (1N) - Mahi (1N) - Sat</v>
      </c>
      <c r="DX226" t="str">
        <v>Ex Bhp | Bhp - Bhim - Pch (2N) - Bhp</v>
      </c>
      <c r="DY226" t="str">
        <v xml:space="preserve">Ex Ujj I 2N Ujj </v>
      </c>
    </row>
    <row r="227" spans="2:145" ht="15" customHeight="1">
      <c r="B227" s="34">
        <v>223</v>
      </c>
      <c r="C227" s="36" t="s">
        <v>1738</v>
      </c>
      <c r="D227" s="76">
        <v>46223</v>
      </c>
      <c r="E227" s="37" t="str">
        <f>IF(Table5[[#This Row],[Query Date]]&lt;&gt;"", TEXT(Table5[[#This Row],[Query Date]], "dddd"), "")</f>
        <v>Monday</v>
      </c>
      <c r="F227" s="37" t="str">
        <f>IF(Table5[[#This Row],[Query Date]]&lt;&gt;"", TEXT(Table5[[#This Row],[Query Date]], "mmmm"), "")</f>
        <v>July</v>
      </c>
      <c r="G227" s="28" t="s">
        <v>65</v>
      </c>
      <c r="H227" s="28" t="s">
        <v>99</v>
      </c>
      <c r="I227" s="28" t="s">
        <v>67</v>
      </c>
      <c r="J227" s="28" t="s">
        <v>68</v>
      </c>
      <c r="K227" s="28" t="s">
        <v>178</v>
      </c>
      <c r="L227" s="25" t="s">
        <v>70</v>
      </c>
      <c r="M227" s="112" t="s">
        <v>1739</v>
      </c>
      <c r="N227" s="25" t="s">
        <v>1740</v>
      </c>
      <c r="O227" s="134" t="s">
        <v>1741</v>
      </c>
      <c r="P227" s="31"/>
      <c r="Q227" s="77"/>
      <c r="R227" s="77" t="str">
        <f>IF(Table5[[#This Row],[Tour Starting Date]]&lt;&gt;"", TEXT(Table5[[#This Row],[Tour Starting Date]], "dddd"), "")</f>
        <v/>
      </c>
      <c r="S227" s="77"/>
      <c r="T227" s="25" t="str">
        <f>IF(Table5[[#This Row],[Tour Ending Date]]&lt;&gt;"", TEXT(Table5[[#This Row],[Tour Ending Date]], "dddd"), "")</f>
        <v/>
      </c>
      <c r="U227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/>
      </c>
      <c r="V227" s="37" t="str">
        <f>IF(Table5[[#This Row],[Tour Starting Date]]&lt;&gt;"", TEXT(Table5[[#This Row],[Tour Starting Date]], "mmmm"), "")</f>
        <v/>
      </c>
      <c r="W227" s="80" t="str" cm="1">
        <f t="array" ref="W227">IF(Q227&lt;&gt;"", INDEX(CI:CI, MATCH(1, (Q227&gt;=CG:CG)*(Q227&lt;=CH:CH), 0)), "")</f>
        <v/>
      </c>
      <c r="X227" s="39"/>
      <c r="Y227" s="74">
        <v>89000</v>
      </c>
      <c r="Z227" s="74" t="str">
        <f>IF(OR(Table5[[#This Row],[Per Person Package Cost]]="", Table5[[#This Row],[No. of Pax]]=""), "", Table5[[#This Row],[Per Person Package Cost]] * Table5[[#This Row],[No. of Pax]])</f>
        <v/>
      </c>
      <c r="AA227" s="52" t="s">
        <v>75</v>
      </c>
      <c r="AB227" s="52" t="s">
        <v>683</v>
      </c>
      <c r="AC227" s="52"/>
      <c r="AD227" s="52"/>
      <c r="AE227" s="51" t="str">
        <f t="shared" si="21"/>
        <v/>
      </c>
      <c r="AF227" s="51" t="str">
        <f t="shared" si="22"/>
        <v/>
      </c>
      <c r="AG227" s="74" t="str">
        <f t="shared" si="23"/>
        <v/>
      </c>
      <c r="AH227" s="73" t="str">
        <f t="shared" si="24"/>
        <v/>
      </c>
      <c r="AI227" s="52" t="s">
        <v>77</v>
      </c>
      <c r="AJ227" s="56" t="s">
        <v>115</v>
      </c>
      <c r="AK227" s="59" t="s">
        <v>79</v>
      </c>
      <c r="AL227" s="60" t="s">
        <v>80</v>
      </c>
      <c r="AM227" s="54" t="s">
        <v>80</v>
      </c>
      <c r="AN227" s="14">
        <v>46226</v>
      </c>
      <c r="AO227" s="15"/>
      <c r="AP227" s="91"/>
      <c r="AQ227" s="87"/>
      <c r="AR227" s="26"/>
      <c r="AS227" s="65"/>
      <c r="AT227" s="88" t="s">
        <v>138</v>
      </c>
      <c r="AU227" s="67"/>
      <c r="CN227" t="s">
        <v>1742</v>
      </c>
      <c r="DA227" t="str" cm="1">
        <f t="array" ref="DA227">IF(U227&lt;&gt;"", TRANSPOSE(_xlfn._xlws.FILTER(CZ:CZ, CY:CY=U227, "")), "")</f>
        <v/>
      </c>
    </row>
    <row r="228" spans="2:145" ht="15" customHeight="1">
      <c r="B228" s="35">
        <v>224</v>
      </c>
      <c r="C228" s="36" t="s">
        <v>1743</v>
      </c>
      <c r="D228" s="76">
        <v>46223</v>
      </c>
      <c r="E228" s="37" t="str">
        <f>IF(Table5[[#This Row],[Query Date]]&lt;&gt;"", TEXT(Table5[[#This Row],[Query Date]], "dddd"), "")</f>
        <v>Monday</v>
      </c>
      <c r="F228" s="37" t="str">
        <f>IF(Table5[[#This Row],[Query Date]]&lt;&gt;"", TEXT(Table5[[#This Row],[Query Date]], "mmmm"), "")</f>
        <v>July</v>
      </c>
      <c r="G228" s="28" t="s">
        <v>65</v>
      </c>
      <c r="H228" s="28" t="s">
        <v>99</v>
      </c>
      <c r="I228" s="28" t="s">
        <v>67</v>
      </c>
      <c r="J228" s="28" t="s">
        <v>68</v>
      </c>
      <c r="K228" s="28" t="s">
        <v>178</v>
      </c>
      <c r="L228" s="25" t="s">
        <v>70</v>
      </c>
      <c r="M228" s="112" t="s">
        <v>1739</v>
      </c>
      <c r="N228" s="25" t="s">
        <v>1740</v>
      </c>
      <c r="O228" s="134" t="s">
        <v>1741</v>
      </c>
      <c r="P228" s="31"/>
      <c r="Q228" s="77"/>
      <c r="R228" s="77" t="str">
        <f>IF(Table5[[#This Row],[Tour Starting Date]]&lt;&gt;"", TEXT(Table5[[#This Row],[Tour Starting Date]], "dddd"), "")</f>
        <v/>
      </c>
      <c r="S228" s="77"/>
      <c r="T228" s="25" t="str">
        <f>IF(Table5[[#This Row],[Tour Ending Date]]&lt;&gt;"", TEXT(Table5[[#This Row],[Tour Ending Date]], "dddd"), "")</f>
        <v/>
      </c>
      <c r="U228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/>
      </c>
      <c r="V228" s="37" t="str">
        <f>IF(Table5[[#This Row],[Tour Starting Date]]&lt;&gt;"", TEXT(Table5[[#This Row],[Tour Starting Date]], "mmmm"), "")</f>
        <v/>
      </c>
      <c r="W228" s="80" t="str" cm="1">
        <f t="array" ref="W228">IF(Q228&lt;&gt;"", INDEX(CI:CI, MATCH(1, (Q228&gt;=CG:CG)*(Q228&lt;=CH:CH), 0)), "")</f>
        <v/>
      </c>
      <c r="X228" s="39"/>
      <c r="Y228" s="74">
        <v>75000</v>
      </c>
      <c r="Z228" s="74" t="str">
        <f>IF(OR(Table5[[#This Row],[Per Person Package Cost]]="", Table5[[#This Row],[No. of Pax]]=""), "", Table5[[#This Row],[Per Person Package Cost]] * Table5[[#This Row],[No. of Pax]])</f>
        <v/>
      </c>
      <c r="AA228" s="52" t="s">
        <v>75</v>
      </c>
      <c r="AB228" s="52" t="s">
        <v>758</v>
      </c>
      <c r="AC228" s="52"/>
      <c r="AD228" s="52"/>
      <c r="AE228" s="51" t="str">
        <f t="shared" si="21"/>
        <v/>
      </c>
      <c r="AF228" s="51" t="str">
        <f t="shared" si="22"/>
        <v/>
      </c>
      <c r="AG228" s="74" t="str">
        <f t="shared" si="23"/>
        <v/>
      </c>
      <c r="AH228" s="73" t="str">
        <f t="shared" si="24"/>
        <v/>
      </c>
      <c r="AI228" s="52" t="s">
        <v>77</v>
      </c>
      <c r="AJ228" s="56" t="s">
        <v>115</v>
      </c>
      <c r="AK228" s="59" t="s">
        <v>79</v>
      </c>
      <c r="AL228" s="60" t="s">
        <v>80</v>
      </c>
      <c r="AM228" s="54" t="s">
        <v>80</v>
      </c>
      <c r="AN228" s="14">
        <v>46226</v>
      </c>
      <c r="AO228" s="15"/>
      <c r="AP228" s="91"/>
      <c r="AQ228" s="87"/>
      <c r="AR228" s="26"/>
      <c r="AS228" s="65"/>
      <c r="AT228" s="88" t="s">
        <v>138</v>
      </c>
      <c r="AU228" s="67"/>
      <c r="CN228" t="s">
        <v>1744</v>
      </c>
      <c r="DA228" t="str" cm="1">
        <f t="array" ref="DA228">IF(U228&lt;&gt;"", TRANSPOSE(_xlfn._xlws.FILTER(CZ:CZ, CY:CY=U228, "")), "")</f>
        <v/>
      </c>
    </row>
    <row r="229" spans="2:145" ht="15" customHeight="1">
      <c r="B229" s="34">
        <v>225</v>
      </c>
      <c r="C229" s="36" t="s">
        <v>1745</v>
      </c>
      <c r="D229" s="76">
        <v>46224</v>
      </c>
      <c r="E229" s="37" t="str">
        <f>IF(Table5[[#This Row],[Query Date]]&lt;&gt;"", TEXT(Table5[[#This Row],[Query Date]], "dddd"), "")</f>
        <v>Tuesday</v>
      </c>
      <c r="F229" s="37" t="str">
        <f>IF(Table5[[#This Row],[Query Date]]&lt;&gt;"", TEXT(Table5[[#This Row],[Query Date]], "mmmm"), "")</f>
        <v>July</v>
      </c>
      <c r="G229" s="28" t="s">
        <v>113</v>
      </c>
      <c r="H229" s="28" t="s">
        <v>99</v>
      </c>
      <c r="I229" s="28" t="s">
        <v>67</v>
      </c>
      <c r="J229" s="28" t="s">
        <v>68</v>
      </c>
      <c r="K229" s="28" t="s">
        <v>178</v>
      </c>
      <c r="L229" s="25" t="s">
        <v>160</v>
      </c>
      <c r="M229" s="112" t="s">
        <v>90</v>
      </c>
      <c r="N229" s="25" t="s">
        <v>1746</v>
      </c>
      <c r="O229" s="130" t="s">
        <v>1747</v>
      </c>
      <c r="P229" s="25"/>
      <c r="Q229" s="77">
        <v>46230</v>
      </c>
      <c r="R229" s="77" t="str">
        <f>IF(Table5[[#This Row],[Tour Starting Date]]&lt;&gt;"", TEXT(Table5[[#This Row],[Tour Starting Date]], "dddd"), "")</f>
        <v>Monday</v>
      </c>
      <c r="S229" s="77">
        <v>46232</v>
      </c>
      <c r="T229" s="25" t="str">
        <f>IF(Table5[[#This Row],[Tour Ending Date]]&lt;&gt;"", TEXT(Table5[[#This Row],[Tour Ending Date]], "dddd"), "")</f>
        <v>Wednesday</v>
      </c>
      <c r="U229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229" s="37" t="str">
        <f>IF(Table5[[#This Row],[Tour Starting Date]]&lt;&gt;"", TEXT(Table5[[#This Row],[Tour Starting Date]], "mmmm"), "")</f>
        <v>July</v>
      </c>
      <c r="W229" s="80" t="str" cm="1">
        <f t="array" ref="W229">IF(Q229&lt;&gt;"", INDEX(CI:CI, MATCH(1, (Q229&gt;=CG:CG)*(Q229&lt;=CH:CH), 0)), "")</f>
        <v>Regular Dates - Weekday</v>
      </c>
      <c r="X229" s="39">
        <v>4</v>
      </c>
      <c r="Y229" s="74">
        <v>8100</v>
      </c>
      <c r="Z229" s="74">
        <f>IF(OR(Table5[[#This Row],[Per Person Package Cost]]="", Table5[[#This Row],[No. of Pax]]=""), "", Table5[[#This Row],[Per Person Package Cost]] * Table5[[#This Row],[No. of Pax]])</f>
        <v>32400</v>
      </c>
      <c r="AA229" s="52" t="s">
        <v>75</v>
      </c>
      <c r="AB229" s="52" t="s">
        <v>75</v>
      </c>
      <c r="AC229" s="52" t="s">
        <v>76</v>
      </c>
      <c r="AD229" s="52" t="s">
        <v>352</v>
      </c>
      <c r="AE229" s="51" t="str">
        <f t="shared" si="21"/>
        <v>EXIDR02</v>
      </c>
      <c r="AF229" s="51" t="str">
        <f t="shared" si="22"/>
        <v>Jyotirlinga Trails</v>
      </c>
      <c r="AG229" s="74" t="str">
        <f t="shared" si="23"/>
        <v>Quick Getaways</v>
      </c>
      <c r="AH229" s="73" t="str">
        <f t="shared" si="24"/>
        <v>West MP</v>
      </c>
      <c r="AI229" s="52" t="s">
        <v>159</v>
      </c>
      <c r="AJ229" s="56" t="s">
        <v>115</v>
      </c>
      <c r="AK229" s="59" t="s">
        <v>79</v>
      </c>
      <c r="AL229" s="60" t="s">
        <v>80</v>
      </c>
      <c r="AM229" s="54" t="s">
        <v>80</v>
      </c>
      <c r="AN229" s="14">
        <v>46226</v>
      </c>
      <c r="AO229" s="15"/>
      <c r="AP229" s="91"/>
      <c r="AQ229" s="87"/>
      <c r="AR229" s="26"/>
      <c r="AS229" s="65"/>
      <c r="AT229" s="88" t="s">
        <v>138</v>
      </c>
      <c r="AU229" s="67"/>
      <c r="CN229" t="s">
        <v>1748</v>
      </c>
      <c r="DA229" t="str" cm="1">
        <f t="array" ref="DA229:DY229">IF(U229&lt;&gt;"", TRANSPOSE(_xlfn._xlws.FILTER(CZ:CZ, CY:CY=U229, "")), "")</f>
        <v>Gwl (2N) + Mor</v>
      </c>
      <c r="DB229" t="str">
        <v>Ex Idr | Idr - Ujj (1N) - Omk - Mah (1N) - Man - Idr</v>
      </c>
      <c r="DC229" t="str">
        <v>Ujj (1N) - Omk - Idr (1N)</v>
      </c>
      <c r="DD229" t="str">
        <v>Ex Jlr | Jlr - Kan (2N) - Jlr</v>
      </c>
      <c r="DE229" t="str">
        <v>Ex Jlr | Jlr - Ban (2N) - Jlr</v>
      </c>
      <c r="DF229" t="str">
        <v>Ex Bho | Bho (2N) + Bhim + Bhoj + San</v>
      </c>
      <c r="DG229" t="str">
        <v>Ex Idr | Idr - Man (2N) - Idr</v>
      </c>
      <c r="DH229" t="str">
        <v>Ex Jlr | Jlr - Kan (2N) - Jlr</v>
      </c>
      <c r="DI229" t="str">
        <v>Ex Bho | Bho (2N) + Bhim + Bhoj + San + HDCT Bho</v>
      </c>
      <c r="DJ229" t="str">
        <v>Ex Bho | Bho - Bhim - Tawa (1N) - Mad (1N) - Bho</v>
      </c>
      <c r="DK229" t="str">
        <v>Ujj (1N) - Omk - Mah (1N) - Idr</v>
      </c>
      <c r="DL229" t="str">
        <v>Ujj (1N) -  Idr (1N)</v>
      </c>
      <c r="DM229" t="str">
        <v>Ex Idr | Idr (2N) + Ujj + Omk + Mah</v>
      </c>
      <c r="DN229" t="str">
        <v>Idr - Mah - Omk (1N) - Ujj (1N)</v>
      </c>
      <c r="DO229" t="str">
        <v>Idr - Ujj (1N) - Mah - Omk (1N) - Khandwa</v>
      </c>
      <c r="DP229" t="str">
        <v>Ex Idr | Idr (EX Ujj) (1N) - Mah - Omk (1N) - Idr HDCT</v>
      </c>
      <c r="DQ229" t="str">
        <v>Ujj (1N) - Sehor - Bho (1N) HDCT</v>
      </c>
      <c r="DR229" t="str">
        <v>Ex Jlr | Jlr (1N) - Ban (1N)</v>
      </c>
      <c r="DS229" t="str">
        <v>Ex Jlr | Ban (1N)</v>
      </c>
      <c r="DT229" t="str">
        <v>Ex Jlr | Jlr (2 N) Kan</v>
      </c>
      <c r="DU229" t="str">
        <v>Ex Jlr | Jlr - Amr (1 N) - (1 N) Ban</v>
      </c>
      <c r="DV229" t="str">
        <v>Ex Rpr | Rpr - (2N) Kan</v>
      </c>
      <c r="DW229" t="str">
        <v>Hjr (1N) - Mahi (1N) - Sat</v>
      </c>
      <c r="DX229" t="str">
        <v>Ex Bhp | Bhp - Bhim - Pch (2N) - Bhp</v>
      </c>
      <c r="DY229" t="str">
        <v xml:space="preserve">Ex Ujj I 2N Ujj </v>
      </c>
    </row>
    <row r="230" spans="2:145" ht="15" customHeight="1">
      <c r="B230" s="35">
        <v>226</v>
      </c>
      <c r="C230" s="36" t="s">
        <v>1749</v>
      </c>
      <c r="D230" s="76">
        <v>46224</v>
      </c>
      <c r="E230" s="37" t="str">
        <f>IF(Table5[[#This Row],[Query Date]]&lt;&gt;"", TEXT(Table5[[#This Row],[Query Date]], "dddd"), "")</f>
        <v>Tuesday</v>
      </c>
      <c r="F230" s="37" t="str">
        <f>IF(Table5[[#This Row],[Query Date]]&lt;&gt;"", TEXT(Table5[[#This Row],[Query Date]], "mmmm"), "")</f>
        <v>July</v>
      </c>
      <c r="G230" s="28" t="s">
        <v>113</v>
      </c>
      <c r="H230" s="28" t="s">
        <v>99</v>
      </c>
      <c r="I230" s="28" t="s">
        <v>67</v>
      </c>
      <c r="J230" s="28" t="s">
        <v>68</v>
      </c>
      <c r="K230" s="28" t="s">
        <v>178</v>
      </c>
      <c r="L230" s="25" t="s">
        <v>160</v>
      </c>
      <c r="M230" s="112" t="s">
        <v>90</v>
      </c>
      <c r="N230" s="25" t="s">
        <v>1750</v>
      </c>
      <c r="O230" s="130" t="s">
        <v>1751</v>
      </c>
      <c r="P230" s="106"/>
      <c r="Q230" s="77">
        <v>46230</v>
      </c>
      <c r="R230" s="77" t="str">
        <f>IF(Table5[[#This Row],[Tour Starting Date]]&lt;&gt;"", TEXT(Table5[[#This Row],[Tour Starting Date]], "dddd"), "")</f>
        <v>Monday</v>
      </c>
      <c r="S230" s="77">
        <v>46233</v>
      </c>
      <c r="T230" s="25" t="str">
        <f>IF(Table5[[#This Row],[Tour Ending Date]]&lt;&gt;"", TEXT(Table5[[#This Row],[Tour Ending Date]], "dddd"), "")</f>
        <v>Thursday</v>
      </c>
      <c r="U230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230" s="37" t="str">
        <f>IF(Table5[[#This Row],[Tour Starting Date]]&lt;&gt;"", TEXT(Table5[[#This Row],[Tour Starting Date]], "mmmm"), "")</f>
        <v>July</v>
      </c>
      <c r="W230" s="80" t="str" cm="1">
        <f t="array" ref="W230">IF(Q230&lt;&gt;"", INDEX(CI:CI, MATCH(1, (Q230&gt;=CG:CG)*(Q230&lt;=CH:CH), 0)), "")</f>
        <v>Regular Dates - Weekday</v>
      </c>
      <c r="X230" s="39">
        <v>2</v>
      </c>
      <c r="Y230" s="74">
        <v>15500</v>
      </c>
      <c r="Z230" s="74">
        <f>IF(OR(Table5[[#This Row],[Per Person Package Cost]]="", Table5[[#This Row],[No. of Pax]]=""), "", Table5[[#This Row],[Per Person Package Cost]] * Table5[[#This Row],[No. of Pax]])</f>
        <v>31000</v>
      </c>
      <c r="AA230" s="52" t="s">
        <v>75</v>
      </c>
      <c r="AB230" s="52" t="s">
        <v>75</v>
      </c>
      <c r="AC230" s="52" t="s">
        <v>76</v>
      </c>
      <c r="AD230" s="52" t="s">
        <v>364</v>
      </c>
      <c r="AE230" s="51"/>
      <c r="AF230" s="51"/>
      <c r="AG230" s="74"/>
      <c r="AH230" s="73"/>
      <c r="AI230" s="52" t="s">
        <v>159</v>
      </c>
      <c r="AJ230" s="56" t="s">
        <v>115</v>
      </c>
      <c r="AK230" s="59" t="s">
        <v>79</v>
      </c>
      <c r="AL230" s="60" t="s">
        <v>80</v>
      </c>
      <c r="AM230" s="54" t="s">
        <v>80</v>
      </c>
      <c r="AN230" s="14">
        <v>46226</v>
      </c>
      <c r="AO230" s="15"/>
      <c r="AP230" s="91"/>
      <c r="AQ230" s="87"/>
      <c r="AR230" s="26"/>
      <c r="AS230" s="65"/>
      <c r="AT230" s="88" t="s">
        <v>138</v>
      </c>
      <c r="AU230" s="67"/>
      <c r="CN230" t="s">
        <v>1752</v>
      </c>
      <c r="DA230" t="str" cm="1">
        <f t="array" ref="DA230:EO230">IF(U230&lt;&gt;"", TRANSPOSE(_xlfn._xlws.FILTER(CZ:CZ, CY:CY=U230, "")), "")</f>
        <v>Gwl (3N) + Mor + Son + Dat + Orc</v>
      </c>
      <c r="DB230" t="str">
        <v>Ex Gwl | Gwl (1N) - Son - Dat - Orc (1N) - Gwl (1N)</v>
      </c>
      <c r="DC230" t="str">
        <v>Ex Idr | Idr - Ujj (1N) - Omk - Mah (1N) - Man (1N) - Idr</v>
      </c>
      <c r="DD230" t="str">
        <v>Ex Jlr | Jlr - Kan (2N) - Jlr (1N)</v>
      </c>
      <c r="DE230" t="str">
        <v>Ex Jlr | Jlr - Ban (2N) - Jlr (1N)</v>
      </c>
      <c r="DF230" t="str">
        <v>Ex Bho | Bho (1N) + San - Bhoj - Bhim - Pch (2N) - Bho</v>
      </c>
      <c r="DG230" t="str">
        <v>Ex Idr | Idr (1N) - Ujj (1N) - Omk (1N) - Mah - Idr</v>
      </c>
      <c r="DH230" t="str">
        <v>Gwl - Orc (1N) - Ckt (1N) - Myr (1N) - Jlr</v>
      </c>
      <c r="DI230" t="str">
        <v>Gwl - Orc (1N) - Ckt (2N) - Ixd</v>
      </c>
      <c r="DJ230" t="str">
        <v>Ex Idr | Idr - Ujj (1N) - Omk - Mah (1N) - Idr (1N)</v>
      </c>
      <c r="DK230" t="str">
        <v>Ex Jlr | Jlr - Kan (3N) - Jlr</v>
      </c>
      <c r="DL230" t="str">
        <v>Ex Bho | Bho (2N) + Bhim + Bhoj + San + Udaygiri + Vidisha + FDCT Bho</v>
      </c>
      <c r="DM230" t="str">
        <v>Bho (1N) + Bhim + Bhoj - HDCT  Bho + Sanchi - Ujj (2N)</v>
      </c>
      <c r="DN230" t="str">
        <v>Bho (1N) + Bhim + Bhoj - HDCT  Bho + Sanchi - Ujj (2N) - Idr</v>
      </c>
      <c r="DO230" t="str">
        <v>Ex Bho | Bho - Bhoj - Bhim - Mad (1N) - Pch (2N) - Bho</v>
      </c>
      <c r="DP230" t="str">
        <v>Ex Bho | Bho - Bhoj - Bhim - Mad (1N) - Pch (3N) - Bho</v>
      </c>
      <c r="DQ230" t="str">
        <v>Ex Bho | Bho - Bhoj - Bhim - Tawa (1N) - Mad (1N) - Bho (1N)</v>
      </c>
      <c r="DR230" t="str">
        <v>Bho (1N) - Bhim - Bhoj - San - Idr (2N) + Ujj</v>
      </c>
      <c r="DS230" t="str">
        <v>Bho (1N) - Bhoj - Bhim - Pch (2N) - Bho</v>
      </c>
      <c r="DT230" t="str">
        <v>Ujj (1N) - Omk - Mah (1N) - Idr (1N)</v>
      </c>
      <c r="DU230" t="str">
        <v>Ujj (1N) - Omk - Mah (1N) - Man (1N) - Idr</v>
      </c>
      <c r="DV230" t="str">
        <v>Ex Idr | Idr (1N) - Ujj (1N) - Omk - Mah (1N)</v>
      </c>
      <c r="DW230" t="str">
        <v>Ex Idr | Idr - Ujj (1N) - Omk (1N) - Mah (1N) - Idr</v>
      </c>
      <c r="DX230" t="str">
        <v>Khandwa - Omk (1N) - Mah (1N) - Ujj (1N) - Idr</v>
      </c>
      <c r="DY230" t="str">
        <v>Ex Idr | Idr - Ujj (1N) - Omk - Mah (1N) - Man - Idr (1N)</v>
      </c>
      <c r="DZ230" t="str">
        <v xml:space="preserve">Idr - Omk (1N) - Mah - Ujj (1N) San - Bho (1N) </v>
      </c>
      <c r="EA230" t="str">
        <v>Ex Idr | Idr - Man (1N) - Mah - Omk (1N) - Ujj (1N) - Idr</v>
      </c>
      <c r="EB230" t="str">
        <v>Khandwa - Omk (1N) - Mah - Ujj (2N)</v>
      </c>
      <c r="EC230" t="str">
        <v>Ex Jlr | Jlr (1N) - Amr (1N) - Ban (1N) - Jlr</v>
      </c>
      <c r="ED230" t="str">
        <v>Ex Jlr | Jlr - (1 N) Ban - (2 N) Amar</v>
      </c>
      <c r="EE230" t="str">
        <v>Jlr - Kan (1N) - Pch (2N)</v>
      </c>
      <c r="EF230" t="str">
        <v>Pi - Pch (2N)  - Kan (1N)</v>
      </c>
      <c r="EG230" t="str">
        <v>Ex Jlr | Jlr - Amr (1 N) - (1 N) Ban - (1 N) Jlr</v>
      </c>
      <c r="EH230" t="str">
        <v>Ppi - (2 N) Pch - (1 N) Pen</v>
      </c>
      <c r="EI230" t="str">
        <v>Bhp - Pch (2N) - Jlr (1N)</v>
      </c>
      <c r="EJ230" t="str">
        <v xml:space="preserve">Arr Jhn - Hjr (1N) - Orc - Gwl (2N) </v>
      </c>
      <c r="EK230" t="str">
        <v>(1 N) Ujj - (1 N) Mah - (1 N) Idr</v>
      </c>
      <c r="EL230" t="str">
        <v>Ex Bhp | Bhp - Bhoj - Bhim - Pch (3N) - Bhp</v>
      </c>
      <c r="EM230" t="str">
        <v>Ex Bhp | Bhp - Bhoj - Bhim - Pch (2N) - Mad (1N) - Bhp</v>
      </c>
      <c r="EN230" t="str">
        <v xml:space="preserve">Ex Nag - 3N Pch + Sat </v>
      </c>
      <c r="EO230" t="str">
        <v>1N Gwl - Son - Dat - 1N Hjr - 1N Orc - Jhn</v>
      </c>
    </row>
    <row r="231" spans="2:145" ht="15" customHeight="1">
      <c r="B231" s="34">
        <v>227</v>
      </c>
      <c r="C231" s="36" t="s">
        <v>1753</v>
      </c>
      <c r="D231" s="76">
        <v>46224</v>
      </c>
      <c r="E231" s="37" t="str">
        <f>IF(Table5[[#This Row],[Query Date]]&lt;&gt;"", TEXT(Table5[[#This Row],[Query Date]], "dddd"), "")</f>
        <v>Tuesday</v>
      </c>
      <c r="F231" s="37" t="str">
        <f>IF(Table5[[#This Row],[Query Date]]&lt;&gt;"", TEXT(Table5[[#This Row],[Query Date]], "mmmm"), "")</f>
        <v>July</v>
      </c>
      <c r="G231" s="28" t="s">
        <v>113</v>
      </c>
      <c r="H231" s="28" t="s">
        <v>99</v>
      </c>
      <c r="I231" s="28" t="s">
        <v>67</v>
      </c>
      <c r="J231" s="28" t="s">
        <v>68</v>
      </c>
      <c r="K231" s="28" t="s">
        <v>178</v>
      </c>
      <c r="L231" s="25" t="s">
        <v>160</v>
      </c>
      <c r="M231" s="112" t="s">
        <v>90</v>
      </c>
      <c r="N231" s="25" t="s">
        <v>1754</v>
      </c>
      <c r="O231" s="130" t="s">
        <v>1755</v>
      </c>
      <c r="P231" s="46"/>
      <c r="Q231" s="77">
        <v>46352</v>
      </c>
      <c r="R231" s="77" t="str">
        <f>IF(Table5[[#This Row],[Tour Starting Date]]&lt;&gt;"", TEXT(Table5[[#This Row],[Tour Starting Date]], "dddd"), "")</f>
        <v>Thursday</v>
      </c>
      <c r="S231" s="77">
        <v>46356</v>
      </c>
      <c r="T231" s="25" t="str">
        <f>IF(Table5[[#This Row],[Tour Ending Date]]&lt;&gt;"", TEXT(Table5[[#This Row],[Tour Ending Date]], "dddd"), "")</f>
        <v>Monday</v>
      </c>
      <c r="U231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4 Nights &amp; 5 Days</v>
      </c>
      <c r="V231" s="37" t="str">
        <f>IF(Table5[[#This Row],[Tour Starting Date]]&lt;&gt;"", TEXT(Table5[[#This Row],[Tour Starting Date]], "mmmm"), "")</f>
        <v>November</v>
      </c>
      <c r="W231" s="80" t="str" cm="1">
        <f t="array" ref="W231">IF(Q231&lt;&gt;"", INDEX(CI:CI, MATCH(1, (Q231&gt;=CG:CG)*(Q231&lt;=CH:CH), 0)), "")</f>
        <v>Regular Dates - Weekday</v>
      </c>
      <c r="X231" s="39">
        <v>1</v>
      </c>
      <c r="Y231" s="74">
        <v>46000</v>
      </c>
      <c r="Z231" s="74">
        <f>IF(OR(Table5[[#This Row],[Per Person Package Cost]]="", Table5[[#This Row],[No. of Pax]]=""), "", Table5[[#This Row],[Per Person Package Cost]] * Table5[[#This Row],[No. of Pax]])</f>
        <v>46000</v>
      </c>
      <c r="AA231" s="52" t="s">
        <v>75</v>
      </c>
      <c r="AB231" s="52" t="s">
        <v>75</v>
      </c>
      <c r="AC231" s="52" t="s">
        <v>134</v>
      </c>
      <c r="AD231" s="52" t="s">
        <v>106</v>
      </c>
      <c r="AE231" s="51" t="str">
        <f t="shared" si="21"/>
        <v>EXIDR04</v>
      </c>
      <c r="AF231" s="51" t="str">
        <f t="shared" si="22"/>
        <v>Heritage Pilgrimage</v>
      </c>
      <c r="AG231" s="74" t="str">
        <f t="shared" si="23"/>
        <v>Quick Getaways</v>
      </c>
      <c r="AH231" s="73" t="str">
        <f t="shared" si="24"/>
        <v>West MP</v>
      </c>
      <c r="AI231" s="52" t="s">
        <v>159</v>
      </c>
      <c r="AJ231" s="56" t="s">
        <v>115</v>
      </c>
      <c r="AK231" s="59" t="s">
        <v>79</v>
      </c>
      <c r="AL231" s="60" t="s">
        <v>80</v>
      </c>
      <c r="AM231" s="54" t="s">
        <v>80</v>
      </c>
      <c r="AN231" s="14">
        <v>46226</v>
      </c>
      <c r="AO231" s="15"/>
      <c r="AP231" s="91"/>
      <c r="AQ231" s="87"/>
      <c r="AR231" s="26"/>
      <c r="AS231" s="65"/>
      <c r="AT231" s="88" t="s">
        <v>138</v>
      </c>
      <c r="AU231" s="67"/>
      <c r="CN231" t="s">
        <v>1756</v>
      </c>
      <c r="DA231" t="str" cm="1">
        <f t="array" ref="DA231:EJ231">IF(U231&lt;&gt;"", TRANSPOSE(_xlfn._xlws.FILTER(CZ:CZ, CY:CY=U231, "")), "")</f>
        <v>Ex Gwl | Gwl (2N) + Mor - Son - Dat - Orc (1N) - Hjr (1N) - Gwl</v>
      </c>
      <c r="DB231" t="str">
        <v>Ex Idr | Idr - Ujj (1N) - Omk - Mah (1N) - Man (1N) - Idr (1N)</v>
      </c>
      <c r="DC231" t="str">
        <v>Ex Idr | Idr - Ujj (1N) - Omk (1N) - Mah (1N) - Man (1N) - Idr</v>
      </c>
      <c r="DD231" t="str">
        <v>Ex Jlr | Jlr - Kan (2N) - Amk (1N) - Jlr (1N)</v>
      </c>
      <c r="DE231" t="str">
        <v>Ex Jlr | Jlr - Ban (2N) - Amk (1N) - Jlr (1N)</v>
      </c>
      <c r="DF231" t="str">
        <v>Ex Jlr | Jlr (1N) - Hjr (1N) - Ban (2N) - Jlr</v>
      </c>
      <c r="DG231" t="str">
        <v>Ex Jlr | Jlr (1N) - Kan (1N) - Ban (2N) - Jlr</v>
      </c>
      <c r="DH231" t="str">
        <v>Ex Bho | Bho (1N) + San + Bhoj + Bhim - Tawa - Mad (1N) - Pch (2N) - Bho</v>
      </c>
      <c r="DI231" t="str">
        <v>Ex Idr | Idr - Ujj (1N) - Omk - Mah (1N) - Man (1N) - Idr (1N)</v>
      </c>
      <c r="DJ231" t="str">
        <v>Ex Bho | Bho (1N) - Bhoj - Bhim - Pch (3N) - Bho</v>
      </c>
      <c r="DK231" t="str">
        <v>Gwl (1N) - Dat (Pitambara Peeth) - Orc (1N) - Ckt (2N) - Ixd</v>
      </c>
      <c r="DL231" t="str">
        <v>Ex Jlr | Jlr - Ban (2N) - Kan (2N) - Jlr</v>
      </c>
      <c r="DM231" t="str">
        <v>Jlr - Ban (1N) - Kan (1N) - Pen (2N) - Nag</v>
      </c>
      <c r="DN231" t="str">
        <v>Ex Bho | Bho (1N) - Bhoj - Bhim - Pch (3N) - Bho</v>
      </c>
      <c r="DO231" t="str">
        <v>Ex Bho | Bho (2N) + Sanchi + Bhoj + Bhim - Tawa - Mad (1N) - Bho (1N)</v>
      </c>
      <c r="DP231" t="str">
        <v>Ex Bho | Bho - Bhoj - Bhim - Tawa (1N) - Mad (1N) - Pch (2N) - Bho</v>
      </c>
      <c r="DQ231" t="str">
        <v>Bho - Bhoj - Bhim - Pch (2N) - Kan (1N) - Jlr (1N)</v>
      </c>
      <c r="DR231" t="str">
        <v>Bho - Bhoj - Bhim - Pch (2N) - Kan (1N) - Amk (1N) - Jlr</v>
      </c>
      <c r="DS231" t="str">
        <v xml:space="preserve">Bho (1N) + Bhim + Bhoj + San - Ujj (1N) - Omk - Mah (1N) - Idr (1N) </v>
      </c>
      <c r="DT231" t="str">
        <v>Ex Gwl | Gwl - Hjr (1N) - Orc (1N) - Dat - Son - Gwl (2N)</v>
      </c>
      <c r="DU231" t="str">
        <v>Ex Gwl | Gwl - Orc (1N) - Hjr (1N) - Chn (1N) - Shiv (1N) - Gwl</v>
      </c>
      <c r="DV231" t="str">
        <v>Gwl - Hjr (1N) - Panna (1N) - Chit (1N) - Mahi (1N) - Sat</v>
      </c>
      <c r="DW231" t="str">
        <v>Jlr - (2 N) Kan - (2 N) Pch - Bhim - Bhoj - Bhp</v>
      </c>
      <c r="DX231" t="str">
        <v>Jlr - (2 N) Kan - (2 N) Pen - Rpr</v>
      </c>
      <c r="DY231" t="str">
        <v>Gwl (2N) (Ex Mor) - Dat -Orc (1N) - Hjr (1N) - Jhn</v>
      </c>
      <c r="DZ231" t="str">
        <v>Ex Gwl | Gwl (1N) - Son - Dat - Orc (1N) - Hjr (2N) (Ex Panna) - Gwl</v>
      </c>
      <c r="EA231" t="str">
        <v>Hjr (1N) - Orc (1N) - Dat - son - Gwl (2N)(Ex Mor)</v>
      </c>
      <c r="EB231" t="str">
        <v>(2 N) Gwl - (1 N) Orch - (1 N) Hjr</v>
      </c>
      <c r="EC231" t="str">
        <v>Ex Bhp | Bhp - Bhoj - Bhim - Pch (2N) - Mad (1N) - Tawa (1N) - Bhp</v>
      </c>
      <c r="ED231" t="str">
        <v>Ex Bhp | Bhp - Bhoj - Bhim - Pch (2N) - Mad (2N) - Bhp</v>
      </c>
      <c r="EE231" t="str">
        <v>Ex Idr | Idr - Ujj (1N) - Omk (1N) - Mah (2N) (Ex Man) - Idr (HDCT)</v>
      </c>
      <c r="EF231" t="str">
        <v>Arr Rpr - Amr (2N) - Par (2N) - IXD</v>
      </c>
      <c r="EG231" t="str">
        <v>1N Gwl - Orc - 2N Hjr - Jhn - 1N Gwl</v>
      </c>
      <c r="EH231" t="str">
        <v>1N Orc - 1N Hjr - 2N Gwl Ex Mor</v>
      </c>
      <c r="EI231" t="str">
        <v>1N Idr - Omk - 1N Mah - 1N Ujj - Seh - 1N Bho</v>
      </c>
      <c r="EJ231" t="str">
        <v>Ex Idr I 1N Idr - 1N Ujj - Omk - 2N Mah - Man - Idr</v>
      </c>
    </row>
    <row r="232" spans="2:145" ht="15" customHeight="1">
      <c r="B232" s="35">
        <v>228</v>
      </c>
      <c r="C232" s="36" t="s">
        <v>1757</v>
      </c>
      <c r="D232" s="76">
        <v>46224</v>
      </c>
      <c r="E232" s="37" t="str">
        <f>IF(Table5[[#This Row],[Query Date]]&lt;&gt;"", TEXT(Table5[[#This Row],[Query Date]], "dddd"), "")</f>
        <v>Tuesday</v>
      </c>
      <c r="F232" s="37" t="str">
        <f>IF(Table5[[#This Row],[Query Date]]&lt;&gt;"", TEXT(Table5[[#This Row],[Query Date]], "mmmm"), "")</f>
        <v>July</v>
      </c>
      <c r="G232" s="28" t="s">
        <v>113</v>
      </c>
      <c r="H232" s="28" t="s">
        <v>99</v>
      </c>
      <c r="I232" s="28" t="s">
        <v>67</v>
      </c>
      <c r="J232" s="28" t="s">
        <v>68</v>
      </c>
      <c r="K232" s="28" t="s">
        <v>178</v>
      </c>
      <c r="L232" s="25" t="s">
        <v>160</v>
      </c>
      <c r="M232" s="112" t="s">
        <v>90</v>
      </c>
      <c r="N232" s="25" t="s">
        <v>1758</v>
      </c>
      <c r="O232" s="130" t="s">
        <v>1759</v>
      </c>
      <c r="P232" s="46" t="s">
        <v>1638</v>
      </c>
      <c r="Q232" s="77">
        <v>46264</v>
      </c>
      <c r="R232" s="77" t="str">
        <f>IF(Table5[[#This Row],[Tour Starting Date]]&lt;&gt;"", TEXT(Table5[[#This Row],[Tour Starting Date]], "dddd"), "")</f>
        <v>Sunday</v>
      </c>
      <c r="S232" s="77">
        <v>46266</v>
      </c>
      <c r="T232" s="25" t="str">
        <f>IF(Table5[[#This Row],[Tour Ending Date]]&lt;&gt;"", TEXT(Table5[[#This Row],[Tour Ending Date]], "dddd"), "")</f>
        <v>Tuesday</v>
      </c>
      <c r="U232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232" s="37" t="str">
        <f>IF(Table5[[#This Row],[Tour Starting Date]]&lt;&gt;"", TEXT(Table5[[#This Row],[Tour Starting Date]], "mmmm"), "")</f>
        <v>August</v>
      </c>
      <c r="W232" s="80" t="str" cm="1">
        <f t="array" ref="W232">IF(Q232&lt;&gt;"", INDEX(CI:CI, MATCH(1, (Q232&gt;=CG:CG)*(Q232&lt;=CH:CH), 0)), "")</f>
        <v>Regular Dates - Weekend</v>
      </c>
      <c r="X232" s="39">
        <v>2</v>
      </c>
      <c r="Y232" s="74">
        <v>10300</v>
      </c>
      <c r="Z232" s="74">
        <f>IF(OR(Table5[[#This Row],[Per Person Package Cost]]="", Table5[[#This Row],[No. of Pax]]=""), "", Table5[[#This Row],[Per Person Package Cost]] * Table5[[#This Row],[No. of Pax]])</f>
        <v>20600</v>
      </c>
      <c r="AA232" s="52" t="s">
        <v>75</v>
      </c>
      <c r="AB232" s="52" t="s">
        <v>75</v>
      </c>
      <c r="AC232" s="52" t="s">
        <v>76</v>
      </c>
      <c r="AD232" s="52" t="s">
        <v>352</v>
      </c>
      <c r="AE232" s="51" t="str">
        <f t="shared" si="21"/>
        <v>EXIDR02</v>
      </c>
      <c r="AF232" s="51" t="str">
        <f t="shared" si="22"/>
        <v>Jyotirlinga Trails</v>
      </c>
      <c r="AG232" s="74" t="str">
        <f t="shared" si="23"/>
        <v>Quick Getaways</v>
      </c>
      <c r="AH232" s="73" t="str">
        <f t="shared" si="24"/>
        <v>West MP</v>
      </c>
      <c r="AI232" s="52" t="s">
        <v>159</v>
      </c>
      <c r="AJ232" s="56" t="s">
        <v>115</v>
      </c>
      <c r="AK232" s="59" t="s">
        <v>79</v>
      </c>
      <c r="AL232" s="60" t="s">
        <v>80</v>
      </c>
      <c r="AM232" s="54" t="s">
        <v>80</v>
      </c>
      <c r="AN232" s="14">
        <v>46226</v>
      </c>
      <c r="AO232" s="29"/>
      <c r="AP232" s="95"/>
      <c r="AQ232" s="90"/>
      <c r="AR232" s="26"/>
      <c r="AS232" s="65"/>
      <c r="AT232" s="88" t="s">
        <v>81</v>
      </c>
      <c r="AU232" s="67" t="s">
        <v>82</v>
      </c>
      <c r="CN232" t="s">
        <v>1760</v>
      </c>
      <c r="DA232" t="str" cm="1">
        <f t="array" ref="DA232:DY232">IF(U232&lt;&gt;"", TRANSPOSE(_xlfn._xlws.FILTER(CZ:CZ, CY:CY=U232, "")), "")</f>
        <v>Gwl (2N) + Mor</v>
      </c>
      <c r="DB232" t="str">
        <v>Ex Idr | Idr - Ujj (1N) - Omk - Mah (1N) - Man - Idr</v>
      </c>
      <c r="DC232" t="str">
        <v>Ujj (1N) - Omk - Idr (1N)</v>
      </c>
      <c r="DD232" t="str">
        <v>Ex Jlr | Jlr - Kan (2N) - Jlr</v>
      </c>
      <c r="DE232" t="str">
        <v>Ex Jlr | Jlr - Ban (2N) - Jlr</v>
      </c>
      <c r="DF232" t="str">
        <v>Ex Bho | Bho (2N) + Bhim + Bhoj + San</v>
      </c>
      <c r="DG232" t="str">
        <v>Ex Idr | Idr - Man (2N) - Idr</v>
      </c>
      <c r="DH232" t="str">
        <v>Ex Jlr | Jlr - Kan (2N) - Jlr</v>
      </c>
      <c r="DI232" t="str">
        <v>Ex Bho | Bho (2N) + Bhim + Bhoj + San + HDCT Bho</v>
      </c>
      <c r="DJ232" t="str">
        <v>Ex Bho | Bho - Bhim - Tawa (1N) - Mad (1N) - Bho</v>
      </c>
      <c r="DK232" t="str">
        <v>Ujj (1N) - Omk - Mah (1N) - Idr</v>
      </c>
      <c r="DL232" t="str">
        <v>Ujj (1N) -  Idr (1N)</v>
      </c>
      <c r="DM232" t="str">
        <v>Ex Idr | Idr (2N) + Ujj + Omk + Mah</v>
      </c>
      <c r="DN232" t="str">
        <v>Idr - Mah - Omk (1N) - Ujj (1N)</v>
      </c>
      <c r="DO232" t="str">
        <v>Idr - Ujj (1N) - Mah - Omk (1N) - Khandwa</v>
      </c>
      <c r="DP232" t="str">
        <v>Ex Idr | Idr (EX Ujj) (1N) - Mah - Omk (1N) - Idr HDCT</v>
      </c>
      <c r="DQ232" t="str">
        <v>Ujj (1N) - Sehor - Bho (1N) HDCT</v>
      </c>
      <c r="DR232" t="str">
        <v>Ex Jlr | Jlr (1N) - Ban (1N)</v>
      </c>
      <c r="DS232" t="str">
        <v>Ex Jlr | Ban (1N)</v>
      </c>
      <c r="DT232" t="str">
        <v>Ex Jlr | Jlr (2 N) Kan</v>
      </c>
      <c r="DU232" t="str">
        <v>Ex Jlr | Jlr - Amr (1 N) - (1 N) Ban</v>
      </c>
      <c r="DV232" t="str">
        <v>Ex Rpr | Rpr - (2N) Kan</v>
      </c>
      <c r="DW232" t="str">
        <v>Hjr (1N) - Mahi (1N) - Sat</v>
      </c>
      <c r="DX232" t="str">
        <v>Ex Bhp | Bhp - Bhim - Pch (2N) - Bhp</v>
      </c>
      <c r="DY232" t="str">
        <v xml:space="preserve">Ex Ujj I 2N Ujj </v>
      </c>
    </row>
    <row r="233" spans="2:145" ht="15" customHeight="1">
      <c r="B233" s="34">
        <v>229</v>
      </c>
      <c r="C233" s="36" t="s">
        <v>1761</v>
      </c>
      <c r="D233" s="76">
        <v>46225</v>
      </c>
      <c r="E233" s="37" t="str">
        <f>IF(Table5[[#This Row],[Query Date]]&lt;&gt;"", TEXT(Table5[[#This Row],[Query Date]], "dddd"), "")</f>
        <v>Wednesday</v>
      </c>
      <c r="F233" s="37" t="str">
        <f>IF(Table5[[#This Row],[Query Date]]&lt;&gt;"", TEXT(Table5[[#This Row],[Query Date]], "mmmm"), "")</f>
        <v>July</v>
      </c>
      <c r="G233" s="28" t="s">
        <v>65</v>
      </c>
      <c r="H233" s="28" t="s">
        <v>99</v>
      </c>
      <c r="I233" s="28" t="s">
        <v>67</v>
      </c>
      <c r="J233" s="28" t="s">
        <v>119</v>
      </c>
      <c r="K233" s="28" t="s">
        <v>69</v>
      </c>
      <c r="L233" s="25" t="s">
        <v>70</v>
      </c>
      <c r="M233" s="112" t="s">
        <v>266</v>
      </c>
      <c r="N233" s="25" t="s">
        <v>386</v>
      </c>
      <c r="O233" s="130" t="s">
        <v>387</v>
      </c>
      <c r="P233" s="46" t="s">
        <v>388</v>
      </c>
      <c r="Q233" s="77">
        <v>46235</v>
      </c>
      <c r="R233" s="77" t="str">
        <f>IF(Table5[[#This Row],[Tour Starting Date]]&lt;&gt;"", TEXT(Table5[[#This Row],[Tour Starting Date]], "dddd"), "")</f>
        <v>Saturday</v>
      </c>
      <c r="S233" s="77">
        <v>46242</v>
      </c>
      <c r="T233" s="25" t="str">
        <f>IF(Table5[[#This Row],[Tour Ending Date]]&lt;&gt;"", TEXT(Table5[[#This Row],[Tour Ending Date]], "dddd"), "")</f>
        <v>Saturday</v>
      </c>
      <c r="U233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7 Nights &amp; 8 Days</v>
      </c>
      <c r="V233" s="37" t="str">
        <f>IF(Table5[[#This Row],[Tour Starting Date]]&lt;&gt;"", TEXT(Table5[[#This Row],[Tour Starting Date]], "mmmm"), "")</f>
        <v>August</v>
      </c>
      <c r="W233" s="80" t="str" cm="1">
        <f t="array" ref="W233">IF(Q233&lt;&gt;"", INDEX(CI:CI, MATCH(1, (Q233&gt;=CG:CG)*(Q233&lt;=CH:CH), 0)), "")</f>
        <v>Regular Dates - Weekend</v>
      </c>
      <c r="X233" s="39">
        <v>3</v>
      </c>
      <c r="Y233" s="74">
        <v>11000</v>
      </c>
      <c r="Z233" s="74">
        <f>IF(OR(Table5[[#This Row],[Per Person Package Cost]]="", Table5[[#This Row],[No. of Pax]]=""), "", Table5[[#This Row],[Per Person Package Cost]] * Table5[[#This Row],[No. of Pax]])</f>
        <v>33000</v>
      </c>
      <c r="AA233" s="52" t="s">
        <v>520</v>
      </c>
      <c r="AB233" s="52" t="s">
        <v>520</v>
      </c>
      <c r="AC233" s="52" t="s">
        <v>220</v>
      </c>
      <c r="AD233" s="52"/>
      <c r="AE233" s="51" t="str">
        <f t="shared" si="21"/>
        <v/>
      </c>
      <c r="AF233" s="51" t="str">
        <f t="shared" si="22"/>
        <v/>
      </c>
      <c r="AG233" s="74" t="str">
        <f t="shared" si="23"/>
        <v/>
      </c>
      <c r="AH233" s="73" t="str">
        <f t="shared" si="24"/>
        <v/>
      </c>
      <c r="AI233" s="52" t="s">
        <v>107</v>
      </c>
      <c r="AJ233" s="56" t="s">
        <v>78</v>
      </c>
      <c r="AK233" s="59" t="s">
        <v>79</v>
      </c>
      <c r="AL233" s="60" t="s">
        <v>80</v>
      </c>
      <c r="AM233" s="54" t="s">
        <v>80</v>
      </c>
      <c r="AN233" s="14">
        <v>46230</v>
      </c>
      <c r="AO233" s="15"/>
      <c r="AP233" s="91"/>
      <c r="AQ233" s="87"/>
      <c r="AR233" s="26"/>
      <c r="AS233" s="65"/>
      <c r="AT233" s="88" t="s">
        <v>81</v>
      </c>
      <c r="AU233" s="67"/>
      <c r="CN233" t="s">
        <v>942</v>
      </c>
      <c r="DA233" t="str" cm="1">
        <f t="array" ref="DA233:DJ233">IF(U233&lt;&gt;"", TRANSPOSE(_xlfn._xlws.FILTER(CZ:CZ, CY:CY=U233, "")), "")</f>
        <v>Ex Idr | Idr (1N) - Ujj (1N) - Omk - Mah (1N) - Man (2N) - Bhp (2N) + Bhim + Bhoj + Sanchi - Idr</v>
      </c>
      <c r="DB233" t="str">
        <v>Bho (1N) + San + Udaygiri - Bhoj - Bhim - Tawa (1N) - Mad (1N) - Pch (2N) - Kan(1N) - Jlr (1N)</v>
      </c>
      <c r="DC233" t="str">
        <v>Bho (1N) + San + Udaygiri - Bhoj - Bhim - Pch (2N) - Kan(1N) - Amk (2N) - Jlr (1N)</v>
      </c>
      <c r="DD233" t="str">
        <v>Bho (2N) + San + Bhoj + Bhim - Ujj (1N) - Omk (1N) - Mah (1N) - Man (1N) - Idr (1N)</v>
      </c>
      <c r="DE233" t="str">
        <v>Gwl (2N) + Mor - Son - Dat - Orc (1N) - Hjr (2N) - San - Bho (2N) + Bhoj + Bhim</v>
      </c>
      <c r="DF233" t="str">
        <v>Idr - Man (2N) - Bho (2N) + San - Bhoj - Bhim - Pch (2N) - Tawa (1N) - Bho</v>
      </c>
      <c r="DG233" t="str">
        <v>Jlr (1N) - Amk (1N) - Myr (1N) - Ckt (1N) - Orc (1N) - Dat - Son - Gwl (2N) + Mor + Shanichara</v>
      </c>
      <c r="DH233" t="str">
        <v>Gwl (2N) + Mor + Sanchichara - Dat (Pitambara Peeth) - Orc (1N) - Ckt (2N) - Amk (1N) - Jlr (1N)</v>
      </c>
      <c r="DI233" t="str">
        <v>Jlr - (1 N) Kan - (2 N) Pch - Bhim - Bhoj - (1 N) Bho - (1 N) Ujj - (1 N) Mah - Man -  (1 N) Idr</v>
      </c>
      <c r="DJ233" t="str">
        <v>Ex Nag - 2N Tado - 2N Pen - 3N Nag</v>
      </c>
    </row>
    <row r="234" spans="2:145" ht="15" customHeight="1">
      <c r="B234" s="35">
        <v>230</v>
      </c>
      <c r="C234" s="36" t="s">
        <v>1762</v>
      </c>
      <c r="D234" s="76">
        <v>46224</v>
      </c>
      <c r="E234" s="37" t="str">
        <f>IF(Table5[[#This Row],[Query Date]]&lt;&gt;"", TEXT(Table5[[#This Row],[Query Date]], "dddd"), "")</f>
        <v>Tuesday</v>
      </c>
      <c r="F234" s="37" t="str">
        <f>IF(Table5[[#This Row],[Query Date]]&lt;&gt;"", TEXT(Table5[[#This Row],[Query Date]], "mmmm"), "")</f>
        <v>July</v>
      </c>
      <c r="G234" s="28" t="s">
        <v>113</v>
      </c>
      <c r="H234" s="28" t="s">
        <v>99</v>
      </c>
      <c r="I234" s="28" t="s">
        <v>67</v>
      </c>
      <c r="J234" s="28" t="s">
        <v>68</v>
      </c>
      <c r="K234" s="28" t="s">
        <v>178</v>
      </c>
      <c r="L234" s="25" t="s">
        <v>160</v>
      </c>
      <c r="M234" s="112" t="s">
        <v>90</v>
      </c>
      <c r="N234" s="25" t="s">
        <v>1763</v>
      </c>
      <c r="O234" s="130" t="s">
        <v>1764</v>
      </c>
      <c r="P234" s="31" t="s">
        <v>1638</v>
      </c>
      <c r="Q234" s="77">
        <v>46334</v>
      </c>
      <c r="R234" s="77" t="str">
        <f>IF(Table5[[#This Row],[Tour Starting Date]]&lt;&gt;"", TEXT(Table5[[#This Row],[Tour Starting Date]], "dddd"), "")</f>
        <v>Sunday</v>
      </c>
      <c r="S234" s="77">
        <v>46337</v>
      </c>
      <c r="T234" s="25" t="str">
        <f>IF(Table5[[#This Row],[Tour Ending Date]]&lt;&gt;"", TEXT(Table5[[#This Row],[Tour Ending Date]], "dddd"), "")</f>
        <v>Wednesday</v>
      </c>
      <c r="U234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234" s="37" t="str">
        <f>IF(Table5[[#This Row],[Tour Starting Date]]&lt;&gt;"", TEXT(Table5[[#This Row],[Tour Starting Date]], "mmmm"), "")</f>
        <v>November</v>
      </c>
      <c r="W234" s="80" t="str" cm="1">
        <f t="array" ref="W234">IF(Q234&lt;&gt;"", INDEX(CI:CI, MATCH(1, (Q234&gt;=CG:CG)*(Q234&lt;=CH:CH), 0)), "")</f>
        <v>Long Weekend - Diwali</v>
      </c>
      <c r="X234" s="39">
        <v>5</v>
      </c>
      <c r="Y234" s="74">
        <v>12800</v>
      </c>
      <c r="Z234" s="74">
        <f>IF(OR(Table5[[#This Row],[Per Person Package Cost]]="", Table5[[#This Row],[No. of Pax]]=""), "", Table5[[#This Row],[Per Person Package Cost]] * Table5[[#This Row],[No. of Pax]])</f>
        <v>64000</v>
      </c>
      <c r="AA234" s="52" t="s">
        <v>75</v>
      </c>
      <c r="AB234" s="52" t="s">
        <v>75</v>
      </c>
      <c r="AC234" s="52" t="s">
        <v>173</v>
      </c>
      <c r="AD234" s="52" t="s">
        <v>106</v>
      </c>
      <c r="AE234" s="51" t="str">
        <f t="shared" si="21"/>
        <v>EXIDR04</v>
      </c>
      <c r="AF234" s="51" t="str">
        <f t="shared" si="22"/>
        <v>Heritage Pilgrimage</v>
      </c>
      <c r="AG234" s="74" t="str">
        <f t="shared" si="23"/>
        <v>Quick Getaways</v>
      </c>
      <c r="AH234" s="73" t="str">
        <f t="shared" si="24"/>
        <v>West MP</v>
      </c>
      <c r="AI234" s="52" t="s">
        <v>77</v>
      </c>
      <c r="AJ234" s="56" t="s">
        <v>115</v>
      </c>
      <c r="AK234" s="59" t="s">
        <v>79</v>
      </c>
      <c r="AL234" s="60" t="s">
        <v>80</v>
      </c>
      <c r="AM234" s="54" t="s">
        <v>80</v>
      </c>
      <c r="AN234" s="14">
        <v>46227</v>
      </c>
      <c r="AO234" s="15"/>
      <c r="AP234" s="91"/>
      <c r="AQ234" s="87"/>
      <c r="AR234" s="26"/>
      <c r="AS234" s="65"/>
      <c r="AT234" s="88" t="s">
        <v>138</v>
      </c>
      <c r="AU234" s="67"/>
      <c r="CN234" t="s">
        <v>1765</v>
      </c>
      <c r="DA234" t="str" cm="1">
        <f t="array" ref="DA234:EO234">IF(U234&lt;&gt;"", TRANSPOSE(_xlfn._xlws.FILTER(CZ:CZ, CY:CY=U234, "")), "")</f>
        <v>Gwl (3N) + Mor + Son + Dat + Orc</v>
      </c>
      <c r="DB234" t="str">
        <v>Ex Gwl | Gwl (1N) - Son - Dat - Orc (1N) - Gwl (1N)</v>
      </c>
      <c r="DC234" t="str">
        <v>Ex Idr | Idr - Ujj (1N) - Omk - Mah (1N) - Man (1N) - Idr</v>
      </c>
      <c r="DD234" t="str">
        <v>Ex Jlr | Jlr - Kan (2N) - Jlr (1N)</v>
      </c>
      <c r="DE234" t="str">
        <v>Ex Jlr | Jlr - Ban (2N) - Jlr (1N)</v>
      </c>
      <c r="DF234" t="str">
        <v>Ex Bho | Bho (1N) + San - Bhoj - Bhim - Pch (2N) - Bho</v>
      </c>
      <c r="DG234" t="str">
        <v>Ex Idr | Idr (1N) - Ujj (1N) - Omk (1N) - Mah - Idr</v>
      </c>
      <c r="DH234" t="str">
        <v>Gwl - Orc (1N) - Ckt (1N) - Myr (1N) - Jlr</v>
      </c>
      <c r="DI234" t="str">
        <v>Gwl - Orc (1N) - Ckt (2N) - Ixd</v>
      </c>
      <c r="DJ234" t="str">
        <v>Ex Idr | Idr - Ujj (1N) - Omk - Mah (1N) - Idr (1N)</v>
      </c>
      <c r="DK234" t="str">
        <v>Ex Jlr | Jlr - Kan (3N) - Jlr</v>
      </c>
      <c r="DL234" t="str">
        <v>Ex Bho | Bho (2N) + Bhim + Bhoj + San + Udaygiri + Vidisha + FDCT Bho</v>
      </c>
      <c r="DM234" t="str">
        <v>Bho (1N) + Bhim + Bhoj - HDCT  Bho + Sanchi - Ujj (2N)</v>
      </c>
      <c r="DN234" t="str">
        <v>Bho (1N) + Bhim + Bhoj - HDCT  Bho + Sanchi - Ujj (2N) - Idr</v>
      </c>
      <c r="DO234" t="str">
        <v>Ex Bho | Bho - Bhoj - Bhim - Mad (1N) - Pch (2N) - Bho</v>
      </c>
      <c r="DP234" t="str">
        <v>Ex Bho | Bho - Bhoj - Bhim - Mad (1N) - Pch (3N) - Bho</v>
      </c>
      <c r="DQ234" t="str">
        <v>Ex Bho | Bho - Bhoj - Bhim - Tawa (1N) - Mad (1N) - Bho (1N)</v>
      </c>
      <c r="DR234" t="str">
        <v>Bho (1N) - Bhim - Bhoj - San - Idr (2N) + Ujj</v>
      </c>
      <c r="DS234" t="str">
        <v>Bho (1N) - Bhoj - Bhim - Pch (2N) - Bho</v>
      </c>
      <c r="DT234" t="str">
        <v>Ujj (1N) - Omk - Mah (1N) - Idr (1N)</v>
      </c>
      <c r="DU234" t="str">
        <v>Ujj (1N) - Omk - Mah (1N) - Man (1N) - Idr</v>
      </c>
      <c r="DV234" t="str">
        <v>Ex Idr | Idr (1N) - Ujj (1N) - Omk - Mah (1N)</v>
      </c>
      <c r="DW234" t="str">
        <v>Ex Idr | Idr - Ujj (1N) - Omk (1N) - Mah (1N) - Idr</v>
      </c>
      <c r="DX234" t="str">
        <v>Khandwa - Omk (1N) - Mah (1N) - Ujj (1N) - Idr</v>
      </c>
      <c r="DY234" t="str">
        <v>Ex Idr | Idr - Ujj (1N) - Omk - Mah (1N) - Man - Idr (1N)</v>
      </c>
      <c r="DZ234" t="str">
        <v xml:space="preserve">Idr - Omk (1N) - Mah - Ujj (1N) San - Bho (1N) </v>
      </c>
      <c r="EA234" t="str">
        <v>Ex Idr | Idr - Man (1N) - Mah - Omk (1N) - Ujj (1N) - Idr</v>
      </c>
      <c r="EB234" t="str">
        <v>Khandwa - Omk (1N) - Mah - Ujj (2N)</v>
      </c>
      <c r="EC234" t="str">
        <v>Ex Jlr | Jlr (1N) - Amr (1N) - Ban (1N) - Jlr</v>
      </c>
      <c r="ED234" t="str">
        <v>Ex Jlr | Jlr - (1 N) Ban - (2 N) Amar</v>
      </c>
      <c r="EE234" t="str">
        <v>Jlr - Kan (1N) - Pch (2N)</v>
      </c>
      <c r="EF234" t="str">
        <v>Pi - Pch (2N)  - Kan (1N)</v>
      </c>
      <c r="EG234" t="str">
        <v>Ex Jlr | Jlr - Amr (1 N) - (1 N) Ban - (1 N) Jlr</v>
      </c>
      <c r="EH234" t="str">
        <v>Ppi - (2 N) Pch - (1 N) Pen</v>
      </c>
      <c r="EI234" t="str">
        <v>Bhp - Pch (2N) - Jlr (1N)</v>
      </c>
      <c r="EJ234" t="str">
        <v xml:space="preserve">Arr Jhn - Hjr (1N) - Orc - Gwl (2N) </v>
      </c>
      <c r="EK234" t="str">
        <v>(1 N) Ujj - (1 N) Mah - (1 N) Idr</v>
      </c>
      <c r="EL234" t="str">
        <v>Ex Bhp | Bhp - Bhoj - Bhim - Pch (3N) - Bhp</v>
      </c>
      <c r="EM234" t="str">
        <v>Ex Bhp | Bhp - Bhoj - Bhim - Pch (2N) - Mad (1N) - Bhp</v>
      </c>
      <c r="EN234" t="str">
        <v xml:space="preserve">Ex Nag - 3N Pch + Sat </v>
      </c>
      <c r="EO234" t="str">
        <v>1N Gwl - Son - Dat - 1N Hjr - 1N Orc - Jhn</v>
      </c>
    </row>
    <row r="235" spans="2:145" ht="15" customHeight="1">
      <c r="B235" s="34">
        <v>231</v>
      </c>
      <c r="C235" s="36" t="s">
        <v>1766</v>
      </c>
      <c r="D235" s="76">
        <v>46225</v>
      </c>
      <c r="E235" s="37" t="str">
        <f>IF(Table5[[#This Row],[Query Date]]&lt;&gt;"", TEXT(Table5[[#This Row],[Query Date]], "dddd"), "")</f>
        <v>Wednesday</v>
      </c>
      <c r="F235" s="37" t="str">
        <f>IF(Table5[[#This Row],[Query Date]]&lt;&gt;"", TEXT(Table5[[#This Row],[Query Date]], "mmmm"), "")</f>
        <v>July</v>
      </c>
      <c r="G235" s="28" t="s">
        <v>113</v>
      </c>
      <c r="H235" s="28" t="s">
        <v>99</v>
      </c>
      <c r="I235" s="28" t="s">
        <v>67</v>
      </c>
      <c r="J235" s="28" t="s">
        <v>68</v>
      </c>
      <c r="K235" s="28" t="s">
        <v>178</v>
      </c>
      <c r="L235" s="25" t="s">
        <v>160</v>
      </c>
      <c r="M235" s="112" t="s">
        <v>90</v>
      </c>
      <c r="N235" s="25" t="s">
        <v>1767</v>
      </c>
      <c r="O235" s="130" t="s">
        <v>1768</v>
      </c>
      <c r="P235" s="46" t="s">
        <v>1638</v>
      </c>
      <c r="Q235" s="77">
        <v>46249</v>
      </c>
      <c r="R235" s="77" t="str">
        <f>IF(Table5[[#This Row],[Tour Starting Date]]&lt;&gt;"", TEXT(Table5[[#This Row],[Tour Starting Date]], "dddd"), "")</f>
        <v>Saturday</v>
      </c>
      <c r="S235" s="77">
        <v>46252</v>
      </c>
      <c r="T235" s="25" t="str">
        <f>IF(Table5[[#This Row],[Tour Ending Date]]&lt;&gt;"", TEXT(Table5[[#This Row],[Tour Ending Date]], "dddd"), "")</f>
        <v>Tuesday</v>
      </c>
      <c r="U235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235" s="37" t="str">
        <f>IF(Table5[[#This Row],[Tour Starting Date]]&lt;&gt;"", TEXT(Table5[[#This Row],[Tour Starting Date]], "mmmm"), "")</f>
        <v>August</v>
      </c>
      <c r="W235" s="80" t="str" cm="1">
        <f t="array" ref="W235">IF(Q235&lt;&gt;"", INDEX(CI:CI, MATCH(1, (Q235&gt;=CG:CG)*(Q235&lt;=CH:CH), 0)), "")</f>
        <v>Long Weekend - Independence Day</v>
      </c>
      <c r="X235" s="39">
        <v>2</v>
      </c>
      <c r="Y235" s="74">
        <v>11000</v>
      </c>
      <c r="Z235" s="74">
        <f>IF(OR(Table5[[#This Row],[Per Person Package Cost]]="", Table5[[#This Row],[No. of Pax]]=""), "", Table5[[#This Row],[Per Person Package Cost]] * Table5[[#This Row],[No. of Pax]])</f>
        <v>22000</v>
      </c>
      <c r="AA235" s="52" t="s">
        <v>75</v>
      </c>
      <c r="AB235" s="52" t="s">
        <v>75</v>
      </c>
      <c r="AC235" s="52" t="s">
        <v>105</v>
      </c>
      <c r="AD235" s="52" t="s">
        <v>106</v>
      </c>
      <c r="AE235" s="51" t="str">
        <f t="shared" si="21"/>
        <v>EXIDR04</v>
      </c>
      <c r="AF235" s="51" t="str">
        <f t="shared" si="22"/>
        <v>Heritage Pilgrimage</v>
      </c>
      <c r="AG235" s="74" t="str">
        <f t="shared" si="23"/>
        <v>Quick Getaways</v>
      </c>
      <c r="AH235" s="73" t="str">
        <f t="shared" si="24"/>
        <v>West MP</v>
      </c>
      <c r="AI235" s="52" t="s">
        <v>159</v>
      </c>
      <c r="AJ235" s="56" t="s">
        <v>115</v>
      </c>
      <c r="AK235" s="59" t="s">
        <v>79</v>
      </c>
      <c r="AL235" s="60" t="s">
        <v>80</v>
      </c>
      <c r="AM235" s="54" t="s">
        <v>80</v>
      </c>
      <c r="AN235" s="14">
        <v>46228</v>
      </c>
      <c r="AO235" s="15"/>
      <c r="AP235" s="91"/>
      <c r="AQ235" s="87"/>
      <c r="AR235" s="26"/>
      <c r="AS235" s="65"/>
      <c r="AT235" s="88" t="s">
        <v>81</v>
      </c>
      <c r="AU235" s="67" t="s">
        <v>82</v>
      </c>
      <c r="CN235" t="s">
        <v>1769</v>
      </c>
      <c r="DA235" t="str" cm="1">
        <f t="array" ref="DA235:EO235">IF(U235&lt;&gt;"", TRANSPOSE(_xlfn._xlws.FILTER(CZ:CZ, CY:CY=U235, "")), "")</f>
        <v>Gwl (3N) + Mor + Son + Dat + Orc</v>
      </c>
      <c r="DB235" t="str">
        <v>Ex Gwl | Gwl (1N) - Son - Dat - Orc (1N) - Gwl (1N)</v>
      </c>
      <c r="DC235" t="str">
        <v>Ex Idr | Idr - Ujj (1N) - Omk - Mah (1N) - Man (1N) - Idr</v>
      </c>
      <c r="DD235" t="str">
        <v>Ex Jlr | Jlr - Kan (2N) - Jlr (1N)</v>
      </c>
      <c r="DE235" t="str">
        <v>Ex Jlr | Jlr - Ban (2N) - Jlr (1N)</v>
      </c>
      <c r="DF235" t="str">
        <v>Ex Bho | Bho (1N) + San - Bhoj - Bhim - Pch (2N) - Bho</v>
      </c>
      <c r="DG235" t="str">
        <v>Ex Idr | Idr (1N) - Ujj (1N) - Omk (1N) - Mah - Idr</v>
      </c>
      <c r="DH235" t="str">
        <v>Gwl - Orc (1N) - Ckt (1N) - Myr (1N) - Jlr</v>
      </c>
      <c r="DI235" t="str">
        <v>Gwl - Orc (1N) - Ckt (2N) - Ixd</v>
      </c>
      <c r="DJ235" t="str">
        <v>Ex Idr | Idr - Ujj (1N) - Omk - Mah (1N) - Idr (1N)</v>
      </c>
      <c r="DK235" t="str">
        <v>Ex Jlr | Jlr - Kan (3N) - Jlr</v>
      </c>
      <c r="DL235" t="str">
        <v>Ex Bho | Bho (2N) + Bhim + Bhoj + San + Udaygiri + Vidisha + FDCT Bho</v>
      </c>
      <c r="DM235" t="str">
        <v>Bho (1N) + Bhim + Bhoj - HDCT  Bho + Sanchi - Ujj (2N)</v>
      </c>
      <c r="DN235" t="str">
        <v>Bho (1N) + Bhim + Bhoj - HDCT  Bho + Sanchi - Ujj (2N) - Idr</v>
      </c>
      <c r="DO235" t="str">
        <v>Ex Bho | Bho - Bhoj - Bhim - Mad (1N) - Pch (2N) - Bho</v>
      </c>
      <c r="DP235" t="str">
        <v>Ex Bho | Bho - Bhoj - Bhim - Mad (1N) - Pch (3N) - Bho</v>
      </c>
      <c r="DQ235" t="str">
        <v>Ex Bho | Bho - Bhoj - Bhim - Tawa (1N) - Mad (1N) - Bho (1N)</v>
      </c>
      <c r="DR235" t="str">
        <v>Bho (1N) - Bhim - Bhoj - San - Idr (2N) + Ujj</v>
      </c>
      <c r="DS235" t="str">
        <v>Bho (1N) - Bhoj - Bhim - Pch (2N) - Bho</v>
      </c>
      <c r="DT235" t="str">
        <v>Ujj (1N) - Omk - Mah (1N) - Idr (1N)</v>
      </c>
      <c r="DU235" t="str">
        <v>Ujj (1N) - Omk - Mah (1N) - Man (1N) - Idr</v>
      </c>
      <c r="DV235" t="str">
        <v>Ex Idr | Idr (1N) - Ujj (1N) - Omk - Mah (1N)</v>
      </c>
      <c r="DW235" t="str">
        <v>Ex Idr | Idr - Ujj (1N) - Omk (1N) - Mah (1N) - Idr</v>
      </c>
      <c r="DX235" t="str">
        <v>Khandwa - Omk (1N) - Mah (1N) - Ujj (1N) - Idr</v>
      </c>
      <c r="DY235" t="str">
        <v>Ex Idr | Idr - Ujj (1N) - Omk - Mah (1N) - Man - Idr (1N)</v>
      </c>
      <c r="DZ235" t="str">
        <v xml:space="preserve">Idr - Omk (1N) - Mah - Ujj (1N) San - Bho (1N) </v>
      </c>
      <c r="EA235" t="str">
        <v>Ex Idr | Idr - Man (1N) - Mah - Omk (1N) - Ujj (1N) - Idr</v>
      </c>
      <c r="EB235" t="str">
        <v>Khandwa - Omk (1N) - Mah - Ujj (2N)</v>
      </c>
      <c r="EC235" t="str">
        <v>Ex Jlr | Jlr (1N) - Amr (1N) - Ban (1N) - Jlr</v>
      </c>
      <c r="ED235" t="str">
        <v>Ex Jlr | Jlr - (1 N) Ban - (2 N) Amar</v>
      </c>
      <c r="EE235" t="str">
        <v>Jlr - Kan (1N) - Pch (2N)</v>
      </c>
      <c r="EF235" t="str">
        <v>Pi - Pch (2N)  - Kan (1N)</v>
      </c>
      <c r="EG235" t="str">
        <v>Ex Jlr | Jlr - Amr (1 N) - (1 N) Ban - (1 N) Jlr</v>
      </c>
      <c r="EH235" t="str">
        <v>Ppi - (2 N) Pch - (1 N) Pen</v>
      </c>
      <c r="EI235" t="str">
        <v>Bhp - Pch (2N) - Jlr (1N)</v>
      </c>
      <c r="EJ235" t="str">
        <v xml:space="preserve">Arr Jhn - Hjr (1N) - Orc - Gwl (2N) </v>
      </c>
      <c r="EK235" t="str">
        <v>(1 N) Ujj - (1 N) Mah - (1 N) Idr</v>
      </c>
      <c r="EL235" t="str">
        <v>Ex Bhp | Bhp - Bhoj - Bhim - Pch (3N) - Bhp</v>
      </c>
      <c r="EM235" t="str">
        <v>Ex Bhp | Bhp - Bhoj - Bhim - Pch (2N) - Mad (1N) - Bhp</v>
      </c>
      <c r="EN235" t="str">
        <v xml:space="preserve">Ex Nag - 3N Pch + Sat </v>
      </c>
      <c r="EO235" t="str">
        <v>1N Gwl - Son - Dat - 1N Hjr - 1N Orc - Jhn</v>
      </c>
    </row>
    <row r="236" spans="2:145" ht="15" customHeight="1">
      <c r="B236" s="35">
        <v>232</v>
      </c>
      <c r="C236" s="36" t="s">
        <v>1770</v>
      </c>
      <c r="D236" s="76">
        <v>46225</v>
      </c>
      <c r="E236" s="37" t="str">
        <f>IF(Table5[[#This Row],[Query Date]]&lt;&gt;"", TEXT(Table5[[#This Row],[Query Date]], "dddd"), "")</f>
        <v>Wednesday</v>
      </c>
      <c r="F236" s="37" t="str">
        <f>IF(Table5[[#This Row],[Query Date]]&lt;&gt;"", TEXT(Table5[[#This Row],[Query Date]], "mmmm"), "")</f>
        <v>July</v>
      </c>
      <c r="G236" s="28" t="s">
        <v>113</v>
      </c>
      <c r="H236" s="28" t="s">
        <v>99</v>
      </c>
      <c r="I236" s="28" t="s">
        <v>67</v>
      </c>
      <c r="J236" s="28" t="s">
        <v>68</v>
      </c>
      <c r="K236" s="28" t="s">
        <v>178</v>
      </c>
      <c r="L236" s="25" t="s">
        <v>160</v>
      </c>
      <c r="M236" s="112" t="s">
        <v>90</v>
      </c>
      <c r="N236" s="25" t="s">
        <v>1771</v>
      </c>
      <c r="O236" s="130" t="s">
        <v>1772</v>
      </c>
      <c r="P236" s="46" t="s">
        <v>1638</v>
      </c>
      <c r="Q236" s="77">
        <v>46244</v>
      </c>
      <c r="R236" s="77" t="str">
        <f>IF(Table5[[#This Row],[Tour Starting Date]]&lt;&gt;"", TEXT(Table5[[#This Row],[Tour Starting Date]], "dddd"), "")</f>
        <v>Monday</v>
      </c>
      <c r="S236" s="77">
        <v>46246</v>
      </c>
      <c r="T236" s="25" t="str">
        <f>IF(Table5[[#This Row],[Tour Ending Date]]&lt;&gt;"", TEXT(Table5[[#This Row],[Tour Ending Date]], "dddd"), "")</f>
        <v>Wednesday</v>
      </c>
      <c r="U236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236" s="37" t="str">
        <f>IF(Table5[[#This Row],[Tour Starting Date]]&lt;&gt;"", TEXT(Table5[[#This Row],[Tour Starting Date]], "mmmm"), "")</f>
        <v>August</v>
      </c>
      <c r="W236" s="80" t="str" cm="1">
        <f t="array" ref="W236">IF(Q236&lt;&gt;"", INDEX(CI:CI, MATCH(1, (Q236&gt;=CG:CG)*(Q236&lt;=CH:CH), 0)), "")</f>
        <v>Regular Dates - Weekday</v>
      </c>
      <c r="X236" s="39">
        <v>2</v>
      </c>
      <c r="Y236" s="74">
        <v>10200</v>
      </c>
      <c r="Z236" s="74">
        <f>IF(OR(Table5[[#This Row],[Per Person Package Cost]]="", Table5[[#This Row],[No. of Pax]]=""), "", Table5[[#This Row],[Per Person Package Cost]] * Table5[[#This Row],[No. of Pax]])</f>
        <v>20400</v>
      </c>
      <c r="AA236" s="52" t="s">
        <v>75</v>
      </c>
      <c r="AB236" s="52" t="s">
        <v>75</v>
      </c>
      <c r="AC236" s="52" t="s">
        <v>76</v>
      </c>
      <c r="AD236" s="52" t="s">
        <v>352</v>
      </c>
      <c r="AE236" s="51" t="str">
        <f t="shared" si="21"/>
        <v>EXIDR02</v>
      </c>
      <c r="AF236" s="51" t="str">
        <f t="shared" si="22"/>
        <v>Jyotirlinga Trails</v>
      </c>
      <c r="AG236" s="74" t="str">
        <f t="shared" si="23"/>
        <v>Quick Getaways</v>
      </c>
      <c r="AH236" s="73" t="str">
        <f t="shared" si="24"/>
        <v>West MP</v>
      </c>
      <c r="AI236" s="52" t="s">
        <v>159</v>
      </c>
      <c r="AJ236" s="56" t="s">
        <v>115</v>
      </c>
      <c r="AK236" s="59" t="s">
        <v>79</v>
      </c>
      <c r="AL236" s="60" t="s">
        <v>80</v>
      </c>
      <c r="AM236" s="54" t="s">
        <v>80</v>
      </c>
      <c r="AN236" s="14">
        <v>46228</v>
      </c>
      <c r="AO236" s="15"/>
      <c r="AP236" s="91"/>
      <c r="AQ236" s="87"/>
      <c r="AR236" s="26"/>
      <c r="AS236" s="65"/>
      <c r="AT236" s="88" t="s">
        <v>81</v>
      </c>
      <c r="AU236" s="67" t="s">
        <v>82</v>
      </c>
      <c r="CN236" t="s">
        <v>1773</v>
      </c>
      <c r="DA236" t="str" cm="1">
        <f t="array" ref="DA236:DY236">IF(U236&lt;&gt;"", TRANSPOSE(_xlfn._xlws.FILTER(CZ:CZ, CY:CY=U236, "")), "")</f>
        <v>Gwl (2N) + Mor</v>
      </c>
      <c r="DB236" t="str">
        <v>Ex Idr | Idr - Ujj (1N) - Omk - Mah (1N) - Man - Idr</v>
      </c>
      <c r="DC236" t="str">
        <v>Ujj (1N) - Omk - Idr (1N)</v>
      </c>
      <c r="DD236" t="str">
        <v>Ex Jlr | Jlr - Kan (2N) - Jlr</v>
      </c>
      <c r="DE236" t="str">
        <v>Ex Jlr | Jlr - Ban (2N) - Jlr</v>
      </c>
      <c r="DF236" t="str">
        <v>Ex Bho | Bho (2N) + Bhim + Bhoj + San</v>
      </c>
      <c r="DG236" t="str">
        <v>Ex Idr | Idr - Man (2N) - Idr</v>
      </c>
      <c r="DH236" t="str">
        <v>Ex Jlr | Jlr - Kan (2N) - Jlr</v>
      </c>
      <c r="DI236" t="str">
        <v>Ex Bho | Bho (2N) + Bhim + Bhoj + San + HDCT Bho</v>
      </c>
      <c r="DJ236" t="str">
        <v>Ex Bho | Bho - Bhim - Tawa (1N) - Mad (1N) - Bho</v>
      </c>
      <c r="DK236" t="str">
        <v>Ujj (1N) - Omk - Mah (1N) - Idr</v>
      </c>
      <c r="DL236" t="str">
        <v>Ujj (1N) -  Idr (1N)</v>
      </c>
      <c r="DM236" t="str">
        <v>Ex Idr | Idr (2N) + Ujj + Omk + Mah</v>
      </c>
      <c r="DN236" t="str">
        <v>Idr - Mah - Omk (1N) - Ujj (1N)</v>
      </c>
      <c r="DO236" t="str">
        <v>Idr - Ujj (1N) - Mah - Omk (1N) - Khandwa</v>
      </c>
      <c r="DP236" t="str">
        <v>Ex Idr | Idr (EX Ujj) (1N) - Mah - Omk (1N) - Idr HDCT</v>
      </c>
      <c r="DQ236" t="str">
        <v>Ujj (1N) - Sehor - Bho (1N) HDCT</v>
      </c>
      <c r="DR236" t="str">
        <v>Ex Jlr | Jlr (1N) - Ban (1N)</v>
      </c>
      <c r="DS236" t="str">
        <v>Ex Jlr | Ban (1N)</v>
      </c>
      <c r="DT236" t="str">
        <v>Ex Jlr | Jlr (2 N) Kan</v>
      </c>
      <c r="DU236" t="str">
        <v>Ex Jlr | Jlr - Amr (1 N) - (1 N) Ban</v>
      </c>
      <c r="DV236" t="str">
        <v>Ex Rpr | Rpr - (2N) Kan</v>
      </c>
      <c r="DW236" t="str">
        <v>Hjr (1N) - Mahi (1N) - Sat</v>
      </c>
      <c r="DX236" t="str">
        <v>Ex Bhp | Bhp - Bhim - Pch (2N) - Bhp</v>
      </c>
      <c r="DY236" t="str">
        <v xml:space="preserve">Ex Ujj I 2N Ujj </v>
      </c>
    </row>
    <row r="237" spans="2:145" ht="15" customHeight="1">
      <c r="B237" s="34">
        <v>233</v>
      </c>
      <c r="C237" s="36" t="s">
        <v>1774</v>
      </c>
      <c r="D237" s="76">
        <v>46225</v>
      </c>
      <c r="E237" s="37" t="str">
        <f>IF(Table5[[#This Row],[Query Date]]&lt;&gt;"", TEXT(Table5[[#This Row],[Query Date]], "dddd"), "")</f>
        <v>Wednesday</v>
      </c>
      <c r="F237" s="37" t="str">
        <f>IF(Table5[[#This Row],[Query Date]]&lt;&gt;"", TEXT(Table5[[#This Row],[Query Date]], "mmmm"), "")</f>
        <v>July</v>
      </c>
      <c r="G237" s="28" t="s">
        <v>113</v>
      </c>
      <c r="H237" s="28" t="s">
        <v>99</v>
      </c>
      <c r="I237" s="28" t="s">
        <v>67</v>
      </c>
      <c r="J237" s="28" t="s">
        <v>68</v>
      </c>
      <c r="K237" s="28" t="s">
        <v>178</v>
      </c>
      <c r="L237" s="25" t="s">
        <v>160</v>
      </c>
      <c r="M237" s="112" t="s">
        <v>90</v>
      </c>
      <c r="N237" s="25" t="s">
        <v>1775</v>
      </c>
      <c r="O237" s="130" t="s">
        <v>1776</v>
      </c>
      <c r="P237" s="46" t="s">
        <v>1638</v>
      </c>
      <c r="Q237" s="77">
        <v>46311</v>
      </c>
      <c r="R237" s="77" t="str">
        <f>IF(Table5[[#This Row],[Tour Starting Date]]&lt;&gt;"", TEXT(Table5[[#This Row],[Tour Starting Date]], "dddd"), "")</f>
        <v>Friday</v>
      </c>
      <c r="S237" s="77">
        <v>46315</v>
      </c>
      <c r="T237" s="25" t="str">
        <f>IF(Table5[[#This Row],[Tour Ending Date]]&lt;&gt;"", TEXT(Table5[[#This Row],[Tour Ending Date]], "dddd"), "")</f>
        <v>Tuesday</v>
      </c>
      <c r="U237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4 Nights &amp; 5 Days</v>
      </c>
      <c r="V237" s="37" t="str">
        <f>IF(Table5[[#This Row],[Tour Starting Date]]&lt;&gt;"", TEXT(Table5[[#This Row],[Tour Starting Date]], "mmmm"), "")</f>
        <v>October</v>
      </c>
      <c r="W237" s="80" t="str" cm="1">
        <f t="array" ref="W237">IF(Q237&lt;&gt;"", INDEX(CI:CI, MATCH(1, (Q237&gt;=CG:CG)*(Q237&lt;=CH:CH), 0)), "")</f>
        <v>Regular Dates - Weekend</v>
      </c>
      <c r="X237" s="39">
        <v>3</v>
      </c>
      <c r="Y237" s="74">
        <v>22500</v>
      </c>
      <c r="Z237" s="74">
        <f>IF(OR(Table5[[#This Row],[Per Person Package Cost]]="", Table5[[#This Row],[No. of Pax]]=""), "", Table5[[#This Row],[Per Person Package Cost]] * Table5[[#This Row],[No. of Pax]])</f>
        <v>67500</v>
      </c>
      <c r="AA237" s="52" t="s">
        <v>683</v>
      </c>
      <c r="AB237" s="52" t="s">
        <v>1777</v>
      </c>
      <c r="AC237" s="52" t="s">
        <v>173</v>
      </c>
      <c r="AD237" s="52"/>
      <c r="AE237" s="51" t="str">
        <f t="shared" si="21"/>
        <v/>
      </c>
      <c r="AF237" s="51" t="str">
        <f t="shared" si="22"/>
        <v/>
      </c>
      <c r="AG237" s="74" t="str">
        <f t="shared" si="23"/>
        <v/>
      </c>
      <c r="AH237" s="73" t="str">
        <f t="shared" si="24"/>
        <v/>
      </c>
      <c r="AI237" s="52" t="s">
        <v>107</v>
      </c>
      <c r="AJ237" s="56" t="s">
        <v>115</v>
      </c>
      <c r="AK237" s="59" t="s">
        <v>79</v>
      </c>
      <c r="AL237" s="60" t="s">
        <v>80</v>
      </c>
      <c r="AM237" s="54" t="s">
        <v>80</v>
      </c>
      <c r="AN237" s="14">
        <v>46228</v>
      </c>
      <c r="AO237" s="15"/>
      <c r="AP237" s="91"/>
      <c r="AQ237" s="87"/>
      <c r="AR237" s="26"/>
      <c r="AS237" s="65"/>
      <c r="AT237" s="88" t="s">
        <v>138</v>
      </c>
      <c r="AU237" s="67"/>
      <c r="CN237" t="s">
        <v>1778</v>
      </c>
      <c r="DA237" t="str" cm="1">
        <f t="array" ref="DA237:EJ237">IF(U237&lt;&gt;"", TRANSPOSE(_xlfn._xlws.FILTER(CZ:CZ, CY:CY=U237, "")), "")</f>
        <v>Ex Gwl | Gwl (2N) + Mor - Son - Dat - Orc (1N) - Hjr (1N) - Gwl</v>
      </c>
      <c r="DB237" t="str">
        <v>Ex Idr | Idr - Ujj (1N) - Omk - Mah (1N) - Man (1N) - Idr (1N)</v>
      </c>
      <c r="DC237" t="str">
        <v>Ex Idr | Idr - Ujj (1N) - Omk (1N) - Mah (1N) - Man (1N) - Idr</v>
      </c>
      <c r="DD237" t="str">
        <v>Ex Jlr | Jlr - Kan (2N) - Amk (1N) - Jlr (1N)</v>
      </c>
      <c r="DE237" t="str">
        <v>Ex Jlr | Jlr - Ban (2N) - Amk (1N) - Jlr (1N)</v>
      </c>
      <c r="DF237" t="str">
        <v>Ex Jlr | Jlr (1N) - Hjr (1N) - Ban (2N) - Jlr</v>
      </c>
      <c r="DG237" t="str">
        <v>Ex Jlr | Jlr (1N) - Kan (1N) - Ban (2N) - Jlr</v>
      </c>
      <c r="DH237" t="str">
        <v>Ex Bho | Bho (1N) + San + Bhoj + Bhim - Tawa - Mad (1N) - Pch (2N) - Bho</v>
      </c>
      <c r="DI237" t="str">
        <v>Ex Idr | Idr - Ujj (1N) - Omk - Mah (1N) - Man (1N) - Idr (1N)</v>
      </c>
      <c r="DJ237" t="str">
        <v>Ex Bho | Bho (1N) - Bhoj - Bhim - Pch (3N) - Bho</v>
      </c>
      <c r="DK237" t="str">
        <v>Gwl (1N) - Dat (Pitambara Peeth) - Orc (1N) - Ckt (2N) - Ixd</v>
      </c>
      <c r="DL237" t="str">
        <v>Ex Jlr | Jlr - Ban (2N) - Kan (2N) - Jlr</v>
      </c>
      <c r="DM237" t="str">
        <v>Jlr - Ban (1N) - Kan (1N) - Pen (2N) - Nag</v>
      </c>
      <c r="DN237" t="str">
        <v>Ex Bho | Bho (1N) - Bhoj - Bhim - Pch (3N) - Bho</v>
      </c>
      <c r="DO237" t="str">
        <v>Ex Bho | Bho (2N) + Sanchi + Bhoj + Bhim - Tawa - Mad (1N) - Bho (1N)</v>
      </c>
      <c r="DP237" t="str">
        <v>Ex Bho | Bho - Bhoj - Bhim - Tawa (1N) - Mad (1N) - Pch (2N) - Bho</v>
      </c>
      <c r="DQ237" t="str">
        <v>Bho - Bhoj - Bhim - Pch (2N) - Kan (1N) - Jlr (1N)</v>
      </c>
      <c r="DR237" t="str">
        <v>Bho - Bhoj - Bhim - Pch (2N) - Kan (1N) - Amk (1N) - Jlr</v>
      </c>
      <c r="DS237" t="str">
        <v xml:space="preserve">Bho (1N) + Bhim + Bhoj + San - Ujj (1N) - Omk - Mah (1N) - Idr (1N) </v>
      </c>
      <c r="DT237" t="str">
        <v>Ex Gwl | Gwl - Hjr (1N) - Orc (1N) - Dat - Son - Gwl (2N)</v>
      </c>
      <c r="DU237" t="str">
        <v>Ex Gwl | Gwl - Orc (1N) - Hjr (1N) - Chn (1N) - Shiv (1N) - Gwl</v>
      </c>
      <c r="DV237" t="str">
        <v>Gwl - Hjr (1N) - Panna (1N) - Chit (1N) - Mahi (1N) - Sat</v>
      </c>
      <c r="DW237" t="str">
        <v>Jlr - (2 N) Kan - (2 N) Pch - Bhim - Bhoj - Bhp</v>
      </c>
      <c r="DX237" t="str">
        <v>Jlr - (2 N) Kan - (2 N) Pen - Rpr</v>
      </c>
      <c r="DY237" t="str">
        <v>Gwl (2N) (Ex Mor) - Dat -Orc (1N) - Hjr (1N) - Jhn</v>
      </c>
      <c r="DZ237" t="str">
        <v>Ex Gwl | Gwl (1N) - Son - Dat - Orc (1N) - Hjr (2N) (Ex Panna) - Gwl</v>
      </c>
      <c r="EA237" t="str">
        <v>Hjr (1N) - Orc (1N) - Dat - son - Gwl (2N)(Ex Mor)</v>
      </c>
      <c r="EB237" t="str">
        <v>(2 N) Gwl - (1 N) Orch - (1 N) Hjr</v>
      </c>
      <c r="EC237" t="str">
        <v>Ex Bhp | Bhp - Bhoj - Bhim - Pch (2N) - Mad (1N) - Tawa (1N) - Bhp</v>
      </c>
      <c r="ED237" t="str">
        <v>Ex Bhp | Bhp - Bhoj - Bhim - Pch (2N) - Mad (2N) - Bhp</v>
      </c>
      <c r="EE237" t="str">
        <v>Ex Idr | Idr - Ujj (1N) - Omk (1N) - Mah (2N) (Ex Man) - Idr (HDCT)</v>
      </c>
      <c r="EF237" t="str">
        <v>Arr Rpr - Amr (2N) - Par (2N) - IXD</v>
      </c>
      <c r="EG237" t="str">
        <v>1N Gwl - Orc - 2N Hjr - Jhn - 1N Gwl</v>
      </c>
      <c r="EH237" t="str">
        <v>1N Orc - 1N Hjr - 2N Gwl Ex Mor</v>
      </c>
      <c r="EI237" t="str">
        <v>1N Idr - Omk - 1N Mah - 1N Ujj - Seh - 1N Bho</v>
      </c>
      <c r="EJ237" t="str">
        <v>Ex Idr I 1N Idr - 1N Ujj - Omk - 2N Mah - Man - Idr</v>
      </c>
    </row>
    <row r="238" spans="2:145" ht="15" customHeight="1">
      <c r="B238" s="35">
        <v>234</v>
      </c>
      <c r="C238" s="36" t="s">
        <v>1779</v>
      </c>
      <c r="D238" s="76">
        <v>46225</v>
      </c>
      <c r="E238" s="37" t="str">
        <f>IF(Table5[[#This Row],[Query Date]]&lt;&gt;"", TEXT(Table5[[#This Row],[Query Date]], "dddd"), "")</f>
        <v>Wednesday</v>
      </c>
      <c r="F238" s="37" t="str">
        <f>IF(Table5[[#This Row],[Query Date]]&lt;&gt;"", TEXT(Table5[[#This Row],[Query Date]], "mmmm"), "")</f>
        <v>July</v>
      </c>
      <c r="G238" s="28" t="s">
        <v>113</v>
      </c>
      <c r="H238" s="28" t="s">
        <v>99</v>
      </c>
      <c r="I238" s="28" t="s">
        <v>67</v>
      </c>
      <c r="J238" s="28" t="s">
        <v>68</v>
      </c>
      <c r="K238" s="28" t="s">
        <v>178</v>
      </c>
      <c r="L238" s="25" t="s">
        <v>160</v>
      </c>
      <c r="M238" s="112" t="s">
        <v>90</v>
      </c>
      <c r="N238" s="25" t="s">
        <v>1780</v>
      </c>
      <c r="O238" s="130" t="s">
        <v>1781</v>
      </c>
      <c r="P238" s="31" t="s">
        <v>1638</v>
      </c>
      <c r="Q238" s="77">
        <v>46305</v>
      </c>
      <c r="R238" s="77" t="str">
        <f>IF(Table5[[#This Row],[Tour Starting Date]]&lt;&gt;"", TEXT(Table5[[#This Row],[Tour Starting Date]], "dddd"), "")</f>
        <v>Saturday</v>
      </c>
      <c r="S238" s="77">
        <v>46308</v>
      </c>
      <c r="T238" s="25" t="str">
        <f>IF(Table5[[#This Row],[Tour Ending Date]]&lt;&gt;"", TEXT(Table5[[#This Row],[Tour Ending Date]], "dddd"), "")</f>
        <v>Tuesday</v>
      </c>
      <c r="U238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238" s="37" t="str">
        <f>IF(Table5[[#This Row],[Tour Starting Date]]&lt;&gt;"", TEXT(Table5[[#This Row],[Tour Starting Date]], "mmmm"), "")</f>
        <v>October</v>
      </c>
      <c r="W238" s="80" t="str" cm="1">
        <f t="array" ref="W238">IF(Q238&lt;&gt;"", INDEX(CI:CI, MATCH(1, (Q238&gt;=CG:CG)*(Q238&lt;=CH:CH), 0)), "")</f>
        <v>Regular Dates - Weekend</v>
      </c>
      <c r="X238" s="39">
        <v>5</v>
      </c>
      <c r="Y238" s="74">
        <v>12900</v>
      </c>
      <c r="Z238" s="74">
        <f>IF(OR(Table5[[#This Row],[Per Person Package Cost]]="", Table5[[#This Row],[No. of Pax]]=""), "", Table5[[#This Row],[Per Person Package Cost]] * Table5[[#This Row],[No. of Pax]])</f>
        <v>64500</v>
      </c>
      <c r="AA238" s="52" t="s">
        <v>75</v>
      </c>
      <c r="AB238" s="52" t="s">
        <v>75</v>
      </c>
      <c r="AC238" s="52" t="s">
        <v>173</v>
      </c>
      <c r="AD238" s="52" t="s">
        <v>106</v>
      </c>
      <c r="AE238" s="51" t="str">
        <f t="shared" si="21"/>
        <v>EXIDR04</v>
      </c>
      <c r="AF238" s="51" t="str">
        <f t="shared" si="22"/>
        <v>Heritage Pilgrimage</v>
      </c>
      <c r="AG238" s="74" t="str">
        <f t="shared" si="23"/>
        <v>Quick Getaways</v>
      </c>
      <c r="AH238" s="73" t="str">
        <f t="shared" si="24"/>
        <v>West MP</v>
      </c>
      <c r="AI238" s="52" t="s">
        <v>107</v>
      </c>
      <c r="AJ238" s="56" t="s">
        <v>115</v>
      </c>
      <c r="AK238" s="59" t="s">
        <v>79</v>
      </c>
      <c r="AL238" s="60" t="s">
        <v>80</v>
      </c>
      <c r="AM238" s="54" t="s">
        <v>80</v>
      </c>
      <c r="AN238" s="14">
        <v>46228</v>
      </c>
      <c r="AO238" s="15"/>
      <c r="AP238" s="91"/>
      <c r="AQ238" s="87"/>
      <c r="AR238" s="26"/>
      <c r="AS238" s="65"/>
      <c r="AT238" s="88" t="s">
        <v>138</v>
      </c>
      <c r="AU238" s="67"/>
      <c r="CN238" t="s">
        <v>1782</v>
      </c>
      <c r="DA238" t="str" cm="1">
        <f t="array" ref="DA238:EO238">IF(U238&lt;&gt;"", TRANSPOSE(_xlfn._xlws.FILTER(CZ:CZ, CY:CY=U238, "")), "")</f>
        <v>Gwl (3N) + Mor + Son + Dat + Orc</v>
      </c>
      <c r="DB238" t="str">
        <v>Ex Gwl | Gwl (1N) - Son - Dat - Orc (1N) - Gwl (1N)</v>
      </c>
      <c r="DC238" t="str">
        <v>Ex Idr | Idr - Ujj (1N) - Omk - Mah (1N) - Man (1N) - Idr</v>
      </c>
      <c r="DD238" t="str">
        <v>Ex Jlr | Jlr - Kan (2N) - Jlr (1N)</v>
      </c>
      <c r="DE238" t="str">
        <v>Ex Jlr | Jlr - Ban (2N) - Jlr (1N)</v>
      </c>
      <c r="DF238" t="str">
        <v>Ex Bho | Bho (1N) + San - Bhoj - Bhim - Pch (2N) - Bho</v>
      </c>
      <c r="DG238" t="str">
        <v>Ex Idr | Idr (1N) - Ujj (1N) - Omk (1N) - Mah - Idr</v>
      </c>
      <c r="DH238" t="str">
        <v>Gwl - Orc (1N) - Ckt (1N) - Myr (1N) - Jlr</v>
      </c>
      <c r="DI238" t="str">
        <v>Gwl - Orc (1N) - Ckt (2N) - Ixd</v>
      </c>
      <c r="DJ238" t="str">
        <v>Ex Idr | Idr - Ujj (1N) - Omk - Mah (1N) - Idr (1N)</v>
      </c>
      <c r="DK238" t="str">
        <v>Ex Jlr | Jlr - Kan (3N) - Jlr</v>
      </c>
      <c r="DL238" t="str">
        <v>Ex Bho | Bho (2N) + Bhim + Bhoj + San + Udaygiri + Vidisha + FDCT Bho</v>
      </c>
      <c r="DM238" t="str">
        <v>Bho (1N) + Bhim + Bhoj - HDCT  Bho + Sanchi - Ujj (2N)</v>
      </c>
      <c r="DN238" t="str">
        <v>Bho (1N) + Bhim + Bhoj - HDCT  Bho + Sanchi - Ujj (2N) - Idr</v>
      </c>
      <c r="DO238" t="str">
        <v>Ex Bho | Bho - Bhoj - Bhim - Mad (1N) - Pch (2N) - Bho</v>
      </c>
      <c r="DP238" t="str">
        <v>Ex Bho | Bho - Bhoj - Bhim - Mad (1N) - Pch (3N) - Bho</v>
      </c>
      <c r="DQ238" t="str">
        <v>Ex Bho | Bho - Bhoj - Bhim - Tawa (1N) - Mad (1N) - Bho (1N)</v>
      </c>
      <c r="DR238" t="str">
        <v>Bho (1N) - Bhim - Bhoj - San - Idr (2N) + Ujj</v>
      </c>
      <c r="DS238" t="str">
        <v>Bho (1N) - Bhoj - Bhim - Pch (2N) - Bho</v>
      </c>
      <c r="DT238" t="str">
        <v>Ujj (1N) - Omk - Mah (1N) - Idr (1N)</v>
      </c>
      <c r="DU238" t="str">
        <v>Ujj (1N) - Omk - Mah (1N) - Man (1N) - Idr</v>
      </c>
      <c r="DV238" t="str">
        <v>Ex Idr | Idr (1N) - Ujj (1N) - Omk - Mah (1N)</v>
      </c>
      <c r="DW238" t="str">
        <v>Ex Idr | Idr - Ujj (1N) - Omk (1N) - Mah (1N) - Idr</v>
      </c>
      <c r="DX238" t="str">
        <v>Khandwa - Omk (1N) - Mah (1N) - Ujj (1N) - Idr</v>
      </c>
      <c r="DY238" t="str">
        <v>Ex Idr | Idr - Ujj (1N) - Omk - Mah (1N) - Man - Idr (1N)</v>
      </c>
      <c r="DZ238" t="str">
        <v xml:space="preserve">Idr - Omk (1N) - Mah - Ujj (1N) San - Bho (1N) </v>
      </c>
      <c r="EA238" t="str">
        <v>Ex Idr | Idr - Man (1N) - Mah - Omk (1N) - Ujj (1N) - Idr</v>
      </c>
      <c r="EB238" t="str">
        <v>Khandwa - Omk (1N) - Mah - Ujj (2N)</v>
      </c>
      <c r="EC238" t="str">
        <v>Ex Jlr | Jlr (1N) - Amr (1N) - Ban (1N) - Jlr</v>
      </c>
      <c r="ED238" t="str">
        <v>Ex Jlr | Jlr - (1 N) Ban - (2 N) Amar</v>
      </c>
      <c r="EE238" t="str">
        <v>Jlr - Kan (1N) - Pch (2N)</v>
      </c>
      <c r="EF238" t="str">
        <v>Pi - Pch (2N)  - Kan (1N)</v>
      </c>
      <c r="EG238" t="str">
        <v>Ex Jlr | Jlr - Amr (1 N) - (1 N) Ban - (1 N) Jlr</v>
      </c>
      <c r="EH238" t="str">
        <v>Ppi - (2 N) Pch - (1 N) Pen</v>
      </c>
      <c r="EI238" t="str">
        <v>Bhp - Pch (2N) - Jlr (1N)</v>
      </c>
      <c r="EJ238" t="str">
        <v xml:space="preserve">Arr Jhn - Hjr (1N) - Orc - Gwl (2N) </v>
      </c>
      <c r="EK238" t="str">
        <v>(1 N) Ujj - (1 N) Mah - (1 N) Idr</v>
      </c>
      <c r="EL238" t="str">
        <v>Ex Bhp | Bhp - Bhoj - Bhim - Pch (3N) - Bhp</v>
      </c>
      <c r="EM238" t="str">
        <v>Ex Bhp | Bhp - Bhoj - Bhim - Pch (2N) - Mad (1N) - Bhp</v>
      </c>
      <c r="EN238" t="str">
        <v xml:space="preserve">Ex Nag - 3N Pch + Sat </v>
      </c>
      <c r="EO238" t="str">
        <v>1N Gwl - Son - Dat - 1N Hjr - 1N Orc - Jhn</v>
      </c>
    </row>
    <row r="239" spans="2:145" ht="15" customHeight="1">
      <c r="B239" s="34">
        <v>235</v>
      </c>
      <c r="C239" s="36" t="s">
        <v>1783</v>
      </c>
      <c r="D239" s="76">
        <v>46225</v>
      </c>
      <c r="E239" s="37" t="str">
        <f>IF(Table5[[#This Row],[Query Date]]&lt;&gt;"", TEXT(Table5[[#This Row],[Query Date]], "dddd"), "")</f>
        <v>Wednesday</v>
      </c>
      <c r="F239" s="37" t="str">
        <f>IF(Table5[[#This Row],[Query Date]]&lt;&gt;"", TEXT(Table5[[#This Row],[Query Date]], "mmmm"), "")</f>
        <v>July</v>
      </c>
      <c r="G239" s="28" t="s">
        <v>113</v>
      </c>
      <c r="H239" s="28" t="s">
        <v>99</v>
      </c>
      <c r="I239" s="28" t="s">
        <v>67</v>
      </c>
      <c r="J239" s="28" t="s">
        <v>68</v>
      </c>
      <c r="K239" s="28" t="s">
        <v>178</v>
      </c>
      <c r="L239" s="25" t="s">
        <v>160</v>
      </c>
      <c r="M239" s="112" t="s">
        <v>90</v>
      </c>
      <c r="N239" s="25" t="s">
        <v>1784</v>
      </c>
      <c r="O239" s="130" t="s">
        <v>1785</v>
      </c>
      <c r="P239" s="46" t="s">
        <v>1638</v>
      </c>
      <c r="Q239" s="77">
        <v>46310</v>
      </c>
      <c r="R239" s="77" t="str">
        <f>IF(Table5[[#This Row],[Tour Starting Date]]&lt;&gt;"", TEXT(Table5[[#This Row],[Tour Starting Date]], "dddd"), "")</f>
        <v>Thursday</v>
      </c>
      <c r="S239" s="77">
        <v>46313</v>
      </c>
      <c r="T239" s="25" t="str">
        <f>IF(Table5[[#This Row],[Tour Ending Date]]&lt;&gt;"", TEXT(Table5[[#This Row],[Tour Ending Date]], "dddd"), "")</f>
        <v>Sunday</v>
      </c>
      <c r="U239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239" s="37" t="str">
        <f>IF(Table5[[#This Row],[Tour Starting Date]]&lt;&gt;"", TEXT(Table5[[#This Row],[Tour Starting Date]], "mmmm"), "")</f>
        <v>October</v>
      </c>
      <c r="W239" s="80" t="str" cm="1">
        <f t="array" ref="W239">IF(Q239&lt;&gt;"", INDEX(CI:CI, MATCH(1, (Q239&gt;=CG:CG)*(Q239&lt;=CH:CH), 0)), "")</f>
        <v>Regular Dates - Weekday</v>
      </c>
      <c r="X239" s="39">
        <v>2</v>
      </c>
      <c r="Y239" s="74">
        <v>14900</v>
      </c>
      <c r="Z239" s="74">
        <f>IF(OR(Table5[[#This Row],[Per Person Package Cost]]="", Table5[[#This Row],[No. of Pax]]=""), "", Table5[[#This Row],[Per Person Package Cost]] * Table5[[#This Row],[No. of Pax]])</f>
        <v>29800</v>
      </c>
      <c r="AA239" s="52" t="s">
        <v>75</v>
      </c>
      <c r="AB239" s="52" t="s">
        <v>75</v>
      </c>
      <c r="AC239" s="52" t="s">
        <v>76</v>
      </c>
      <c r="AD239" s="52" t="s">
        <v>106</v>
      </c>
      <c r="AE239" s="51" t="str">
        <f t="shared" si="21"/>
        <v>EXIDR04</v>
      </c>
      <c r="AF239" s="51" t="str">
        <f t="shared" si="22"/>
        <v>Heritage Pilgrimage</v>
      </c>
      <c r="AG239" s="74" t="str">
        <f t="shared" si="23"/>
        <v>Quick Getaways</v>
      </c>
      <c r="AH239" s="73" t="str">
        <f t="shared" si="24"/>
        <v>West MP</v>
      </c>
      <c r="AI239" s="52" t="s">
        <v>159</v>
      </c>
      <c r="AJ239" s="56" t="s">
        <v>115</v>
      </c>
      <c r="AK239" s="59" t="s">
        <v>79</v>
      </c>
      <c r="AL239" s="60" t="s">
        <v>80</v>
      </c>
      <c r="AM239" s="54" t="s">
        <v>80</v>
      </c>
      <c r="AN239" s="14">
        <v>46228</v>
      </c>
      <c r="AO239" s="15"/>
      <c r="AP239" s="91"/>
      <c r="AQ239" s="87"/>
      <c r="AR239" s="26"/>
      <c r="AS239" s="65"/>
      <c r="AT239" s="88" t="s">
        <v>138</v>
      </c>
      <c r="AU239" s="67"/>
      <c r="CN239" t="s">
        <v>1786</v>
      </c>
      <c r="DA239" t="str" cm="1">
        <f t="array" ref="DA239:EO239">IF(U239&lt;&gt;"", TRANSPOSE(_xlfn._xlws.FILTER(CZ:CZ, CY:CY=U239, "")), "")</f>
        <v>Gwl (3N) + Mor + Son + Dat + Orc</v>
      </c>
      <c r="DB239" t="str">
        <v>Ex Gwl | Gwl (1N) - Son - Dat - Orc (1N) - Gwl (1N)</v>
      </c>
      <c r="DC239" t="str">
        <v>Ex Idr | Idr - Ujj (1N) - Omk - Mah (1N) - Man (1N) - Idr</v>
      </c>
      <c r="DD239" t="str">
        <v>Ex Jlr | Jlr - Kan (2N) - Jlr (1N)</v>
      </c>
      <c r="DE239" t="str">
        <v>Ex Jlr | Jlr - Ban (2N) - Jlr (1N)</v>
      </c>
      <c r="DF239" t="str">
        <v>Ex Bho | Bho (1N) + San - Bhoj - Bhim - Pch (2N) - Bho</v>
      </c>
      <c r="DG239" t="str">
        <v>Ex Idr | Idr (1N) - Ujj (1N) - Omk (1N) - Mah - Idr</v>
      </c>
      <c r="DH239" t="str">
        <v>Gwl - Orc (1N) - Ckt (1N) - Myr (1N) - Jlr</v>
      </c>
      <c r="DI239" t="str">
        <v>Gwl - Orc (1N) - Ckt (2N) - Ixd</v>
      </c>
      <c r="DJ239" t="str">
        <v>Ex Idr | Idr - Ujj (1N) - Omk - Mah (1N) - Idr (1N)</v>
      </c>
      <c r="DK239" t="str">
        <v>Ex Jlr | Jlr - Kan (3N) - Jlr</v>
      </c>
      <c r="DL239" t="str">
        <v>Ex Bho | Bho (2N) + Bhim + Bhoj + San + Udaygiri + Vidisha + FDCT Bho</v>
      </c>
      <c r="DM239" t="str">
        <v>Bho (1N) + Bhim + Bhoj - HDCT  Bho + Sanchi - Ujj (2N)</v>
      </c>
      <c r="DN239" t="str">
        <v>Bho (1N) + Bhim + Bhoj - HDCT  Bho + Sanchi - Ujj (2N) - Idr</v>
      </c>
      <c r="DO239" t="str">
        <v>Ex Bho | Bho - Bhoj - Bhim - Mad (1N) - Pch (2N) - Bho</v>
      </c>
      <c r="DP239" t="str">
        <v>Ex Bho | Bho - Bhoj - Bhim - Mad (1N) - Pch (3N) - Bho</v>
      </c>
      <c r="DQ239" t="str">
        <v>Ex Bho | Bho - Bhoj - Bhim - Tawa (1N) - Mad (1N) - Bho (1N)</v>
      </c>
      <c r="DR239" t="str">
        <v>Bho (1N) - Bhim - Bhoj - San - Idr (2N) + Ujj</v>
      </c>
      <c r="DS239" t="str">
        <v>Bho (1N) - Bhoj - Bhim - Pch (2N) - Bho</v>
      </c>
      <c r="DT239" t="str">
        <v>Ujj (1N) - Omk - Mah (1N) - Idr (1N)</v>
      </c>
      <c r="DU239" t="str">
        <v>Ujj (1N) - Omk - Mah (1N) - Man (1N) - Idr</v>
      </c>
      <c r="DV239" t="str">
        <v>Ex Idr | Idr (1N) - Ujj (1N) - Omk - Mah (1N)</v>
      </c>
      <c r="DW239" t="str">
        <v>Ex Idr | Idr - Ujj (1N) - Omk (1N) - Mah (1N) - Idr</v>
      </c>
      <c r="DX239" t="str">
        <v>Khandwa - Omk (1N) - Mah (1N) - Ujj (1N) - Idr</v>
      </c>
      <c r="DY239" t="str">
        <v>Ex Idr | Idr - Ujj (1N) - Omk - Mah (1N) - Man - Idr (1N)</v>
      </c>
      <c r="DZ239" t="str">
        <v xml:space="preserve">Idr - Omk (1N) - Mah - Ujj (1N) San - Bho (1N) </v>
      </c>
      <c r="EA239" t="str">
        <v>Ex Idr | Idr - Man (1N) - Mah - Omk (1N) - Ujj (1N) - Idr</v>
      </c>
      <c r="EB239" t="str">
        <v>Khandwa - Omk (1N) - Mah - Ujj (2N)</v>
      </c>
      <c r="EC239" t="str">
        <v>Ex Jlr | Jlr (1N) - Amr (1N) - Ban (1N) - Jlr</v>
      </c>
      <c r="ED239" t="str">
        <v>Ex Jlr | Jlr - (1 N) Ban - (2 N) Amar</v>
      </c>
      <c r="EE239" t="str">
        <v>Jlr - Kan (1N) - Pch (2N)</v>
      </c>
      <c r="EF239" t="str">
        <v>Pi - Pch (2N)  - Kan (1N)</v>
      </c>
      <c r="EG239" t="str">
        <v>Ex Jlr | Jlr - Amr (1 N) - (1 N) Ban - (1 N) Jlr</v>
      </c>
      <c r="EH239" t="str">
        <v>Ppi - (2 N) Pch - (1 N) Pen</v>
      </c>
      <c r="EI239" t="str">
        <v>Bhp - Pch (2N) - Jlr (1N)</v>
      </c>
      <c r="EJ239" t="str">
        <v xml:space="preserve">Arr Jhn - Hjr (1N) - Orc - Gwl (2N) </v>
      </c>
      <c r="EK239" t="str">
        <v>(1 N) Ujj - (1 N) Mah - (1 N) Idr</v>
      </c>
      <c r="EL239" t="str">
        <v>Ex Bhp | Bhp - Bhoj - Bhim - Pch (3N) - Bhp</v>
      </c>
      <c r="EM239" t="str">
        <v>Ex Bhp | Bhp - Bhoj - Bhim - Pch (2N) - Mad (1N) - Bhp</v>
      </c>
      <c r="EN239" t="str">
        <v xml:space="preserve">Ex Nag - 3N Pch + Sat </v>
      </c>
      <c r="EO239" t="str">
        <v>1N Gwl - Son - Dat - 1N Hjr - 1N Orc - Jhn</v>
      </c>
    </row>
    <row r="240" spans="2:145" ht="15" customHeight="1">
      <c r="B240" s="35">
        <v>236</v>
      </c>
      <c r="C240" s="36" t="s">
        <v>1787</v>
      </c>
      <c r="D240" s="76">
        <v>46225</v>
      </c>
      <c r="E240" s="37" t="str">
        <f>IF(Table5[[#This Row],[Query Date]]&lt;&gt;"", TEXT(Table5[[#This Row],[Query Date]], "dddd"), "")</f>
        <v>Wednesday</v>
      </c>
      <c r="F240" s="37" t="str">
        <f>IF(Table5[[#This Row],[Query Date]]&lt;&gt;"", TEXT(Table5[[#This Row],[Query Date]], "mmmm"), "")</f>
        <v>July</v>
      </c>
      <c r="G240" s="28" t="s">
        <v>113</v>
      </c>
      <c r="H240" s="28" t="s">
        <v>99</v>
      </c>
      <c r="I240" s="28" t="s">
        <v>67</v>
      </c>
      <c r="J240" s="28" t="s">
        <v>68</v>
      </c>
      <c r="K240" s="28" t="s">
        <v>178</v>
      </c>
      <c r="L240" s="25" t="s">
        <v>160</v>
      </c>
      <c r="M240" s="112" t="s">
        <v>90</v>
      </c>
      <c r="N240" s="25" t="s">
        <v>1788</v>
      </c>
      <c r="O240" s="130" t="s">
        <v>1789</v>
      </c>
      <c r="P240" s="46" t="s">
        <v>1638</v>
      </c>
      <c r="Q240" s="77">
        <v>46280</v>
      </c>
      <c r="R240" s="77" t="str">
        <f>IF(Table5[[#This Row],[Tour Starting Date]]&lt;&gt;"", TEXT(Table5[[#This Row],[Tour Starting Date]], "dddd"), "")</f>
        <v>Tuesday</v>
      </c>
      <c r="S240" s="77">
        <v>46282</v>
      </c>
      <c r="T240" s="25" t="str">
        <f>IF(Table5[[#This Row],[Tour Ending Date]]&lt;&gt;"", TEXT(Table5[[#This Row],[Tour Ending Date]], "dddd"), "")</f>
        <v>Thursday</v>
      </c>
      <c r="U240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240" s="37" t="str">
        <f>IF(Table5[[#This Row],[Tour Starting Date]]&lt;&gt;"", TEXT(Table5[[#This Row],[Tour Starting Date]], "mmmm"), "")</f>
        <v>September</v>
      </c>
      <c r="W240" s="80" t="str" cm="1">
        <f t="array" ref="W240">IF(Q240&lt;&gt;"", INDEX(CI:CI, MATCH(1, (Q240&gt;=CG:CG)*(Q240&lt;=CH:CH), 0)), "")</f>
        <v>Regular Dates - Weekday</v>
      </c>
      <c r="X240" s="39">
        <v>2</v>
      </c>
      <c r="Y240" s="74">
        <v>23500</v>
      </c>
      <c r="Z240" s="74">
        <f>IF(OR(Table5[[#This Row],[Per Person Package Cost]]="", Table5[[#This Row],[No. of Pax]]=""), "", Table5[[#This Row],[Per Person Package Cost]] * Table5[[#This Row],[No. of Pax]])</f>
        <v>47000</v>
      </c>
      <c r="AA240" s="52" t="s">
        <v>75</v>
      </c>
      <c r="AB240" s="52" t="s">
        <v>75</v>
      </c>
      <c r="AC240" s="52" t="s">
        <v>134</v>
      </c>
      <c r="AD240" s="52" t="s">
        <v>352</v>
      </c>
      <c r="AE240" s="51" t="str">
        <f t="shared" si="21"/>
        <v>EXIDR02</v>
      </c>
      <c r="AF240" s="51" t="str">
        <f t="shared" si="22"/>
        <v>Jyotirlinga Trails</v>
      </c>
      <c r="AG240" s="74" t="str">
        <f t="shared" si="23"/>
        <v>Quick Getaways</v>
      </c>
      <c r="AH240" s="73" t="str">
        <f t="shared" si="24"/>
        <v>West MP</v>
      </c>
      <c r="AI240" s="52" t="s">
        <v>107</v>
      </c>
      <c r="AJ240" s="56" t="s">
        <v>115</v>
      </c>
      <c r="AK240" s="59" t="s">
        <v>79</v>
      </c>
      <c r="AL240" s="60" t="s">
        <v>80</v>
      </c>
      <c r="AM240" s="54" t="s">
        <v>80</v>
      </c>
      <c r="AN240" s="14">
        <v>46228</v>
      </c>
      <c r="AO240" s="15"/>
      <c r="AP240" s="91"/>
      <c r="AQ240" s="87"/>
      <c r="AR240" s="26"/>
      <c r="AS240" s="65"/>
      <c r="AT240" s="88" t="s">
        <v>138</v>
      </c>
      <c r="AU240" s="67"/>
      <c r="CN240" t="s">
        <v>1790</v>
      </c>
      <c r="DA240" t="str" cm="1">
        <f t="array" ref="DA240:DY240">IF(U240&lt;&gt;"", TRANSPOSE(_xlfn._xlws.FILTER(CZ:CZ, CY:CY=U240, "")), "")</f>
        <v>Gwl (2N) + Mor</v>
      </c>
      <c r="DB240" t="str">
        <v>Ex Idr | Idr - Ujj (1N) - Omk - Mah (1N) - Man - Idr</v>
      </c>
      <c r="DC240" t="str">
        <v>Ujj (1N) - Omk - Idr (1N)</v>
      </c>
      <c r="DD240" t="str">
        <v>Ex Jlr | Jlr - Kan (2N) - Jlr</v>
      </c>
      <c r="DE240" t="str">
        <v>Ex Jlr | Jlr - Ban (2N) - Jlr</v>
      </c>
      <c r="DF240" t="str">
        <v>Ex Bho | Bho (2N) + Bhim + Bhoj + San</v>
      </c>
      <c r="DG240" t="str">
        <v>Ex Idr | Idr - Man (2N) - Idr</v>
      </c>
      <c r="DH240" t="str">
        <v>Ex Jlr | Jlr - Kan (2N) - Jlr</v>
      </c>
      <c r="DI240" t="str">
        <v>Ex Bho | Bho (2N) + Bhim + Bhoj + San + HDCT Bho</v>
      </c>
      <c r="DJ240" t="str">
        <v>Ex Bho | Bho - Bhim - Tawa (1N) - Mad (1N) - Bho</v>
      </c>
      <c r="DK240" t="str">
        <v>Ujj (1N) - Omk - Mah (1N) - Idr</v>
      </c>
      <c r="DL240" t="str">
        <v>Ujj (1N) -  Idr (1N)</v>
      </c>
      <c r="DM240" t="str">
        <v>Ex Idr | Idr (2N) + Ujj + Omk + Mah</v>
      </c>
      <c r="DN240" t="str">
        <v>Idr - Mah - Omk (1N) - Ujj (1N)</v>
      </c>
      <c r="DO240" t="str">
        <v>Idr - Ujj (1N) - Mah - Omk (1N) - Khandwa</v>
      </c>
      <c r="DP240" t="str">
        <v>Ex Idr | Idr (EX Ujj) (1N) - Mah - Omk (1N) - Idr HDCT</v>
      </c>
      <c r="DQ240" t="str">
        <v>Ujj (1N) - Sehor - Bho (1N) HDCT</v>
      </c>
      <c r="DR240" t="str">
        <v>Ex Jlr | Jlr (1N) - Ban (1N)</v>
      </c>
      <c r="DS240" t="str">
        <v>Ex Jlr | Ban (1N)</v>
      </c>
      <c r="DT240" t="str">
        <v>Ex Jlr | Jlr (2 N) Kan</v>
      </c>
      <c r="DU240" t="str">
        <v>Ex Jlr | Jlr - Amr (1 N) - (1 N) Ban</v>
      </c>
      <c r="DV240" t="str">
        <v>Ex Rpr | Rpr - (2N) Kan</v>
      </c>
      <c r="DW240" t="str">
        <v>Hjr (1N) - Mahi (1N) - Sat</v>
      </c>
      <c r="DX240" t="str">
        <v>Ex Bhp | Bhp - Bhim - Pch (2N) - Bhp</v>
      </c>
      <c r="DY240" t="str">
        <v xml:space="preserve">Ex Ujj I 2N Ujj </v>
      </c>
    </row>
    <row r="241" spans="2:145" ht="15" customHeight="1">
      <c r="B241" s="34">
        <v>237</v>
      </c>
      <c r="C241" s="36" t="s">
        <v>1791</v>
      </c>
      <c r="D241" s="76">
        <v>46225</v>
      </c>
      <c r="E241" s="37" t="str">
        <f>IF(Table5[[#This Row],[Query Date]]&lt;&gt;"", TEXT(Table5[[#This Row],[Query Date]], "dddd"), "")</f>
        <v>Wednesday</v>
      </c>
      <c r="F241" s="37" t="str">
        <f>IF(Table5[[#This Row],[Query Date]]&lt;&gt;"", TEXT(Table5[[#This Row],[Query Date]], "mmmm"), "")</f>
        <v>July</v>
      </c>
      <c r="G241" s="28" t="s">
        <v>113</v>
      </c>
      <c r="H241" s="28" t="s">
        <v>99</v>
      </c>
      <c r="I241" s="28" t="s">
        <v>67</v>
      </c>
      <c r="J241" s="28" t="s">
        <v>68</v>
      </c>
      <c r="K241" s="28" t="s">
        <v>178</v>
      </c>
      <c r="L241" s="25" t="s">
        <v>160</v>
      </c>
      <c r="M241" s="112" t="s">
        <v>90</v>
      </c>
      <c r="N241" s="25" t="s">
        <v>1792</v>
      </c>
      <c r="O241" s="130" t="s">
        <v>1793</v>
      </c>
      <c r="P241" s="46" t="s">
        <v>1638</v>
      </c>
      <c r="Q241" s="77">
        <v>46278</v>
      </c>
      <c r="R241" s="77" t="str">
        <f>IF(Table5[[#This Row],[Tour Starting Date]]&lt;&gt;"", TEXT(Table5[[#This Row],[Tour Starting Date]], "dddd"), "")</f>
        <v>Sunday</v>
      </c>
      <c r="S241" s="77">
        <v>46280</v>
      </c>
      <c r="T241" s="25" t="str">
        <f>IF(Table5[[#This Row],[Tour Ending Date]]&lt;&gt;"", TEXT(Table5[[#This Row],[Tour Ending Date]], "dddd"), "")</f>
        <v>Tuesday</v>
      </c>
      <c r="U241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241" s="37" t="str">
        <f>IF(Table5[[#This Row],[Tour Starting Date]]&lt;&gt;"", TEXT(Table5[[#This Row],[Tour Starting Date]], "mmmm"), "")</f>
        <v>September</v>
      </c>
      <c r="W241" s="80" t="str" cm="1">
        <f t="array" ref="W241">IF(Q241&lt;&gt;"", INDEX(CI:CI, MATCH(1, (Q241&gt;=CG:CG)*(Q241&lt;=CH:CH), 0)), "")</f>
        <v>Regular Dates - Weekend</v>
      </c>
      <c r="X241" s="39">
        <v>3</v>
      </c>
      <c r="Y241" s="74">
        <v>20200</v>
      </c>
      <c r="Z241" s="74">
        <f>IF(OR(Table5[[#This Row],[Per Person Package Cost]]="", Table5[[#This Row],[No. of Pax]]=""), "", Table5[[#This Row],[Per Person Package Cost]] * Table5[[#This Row],[No. of Pax]])</f>
        <v>60600</v>
      </c>
      <c r="AA241" s="52" t="s">
        <v>75</v>
      </c>
      <c r="AB241" s="52" t="s">
        <v>75</v>
      </c>
      <c r="AC241" s="52" t="s">
        <v>134</v>
      </c>
      <c r="AD241" s="52" t="s">
        <v>352</v>
      </c>
      <c r="AE241" s="51" t="str">
        <f t="shared" si="21"/>
        <v>EXIDR02</v>
      </c>
      <c r="AF241" s="51" t="str">
        <f t="shared" si="22"/>
        <v>Jyotirlinga Trails</v>
      </c>
      <c r="AG241" s="74" t="str">
        <f t="shared" si="23"/>
        <v>Quick Getaways</v>
      </c>
      <c r="AH241" s="73" t="str">
        <f t="shared" si="24"/>
        <v>West MP</v>
      </c>
      <c r="AI241" s="52" t="s">
        <v>159</v>
      </c>
      <c r="AJ241" s="56" t="s">
        <v>115</v>
      </c>
      <c r="AK241" s="59" t="s">
        <v>79</v>
      </c>
      <c r="AL241" s="60" t="s">
        <v>80</v>
      </c>
      <c r="AM241" s="54" t="s">
        <v>80</v>
      </c>
      <c r="AN241" s="14">
        <v>46228</v>
      </c>
      <c r="AO241" s="15"/>
      <c r="AP241" s="91"/>
      <c r="AQ241" s="87"/>
      <c r="AR241" s="26"/>
      <c r="AS241" s="65"/>
      <c r="AT241" s="88" t="s">
        <v>138</v>
      </c>
      <c r="AU241" s="67"/>
      <c r="CN241" s="103" t="s">
        <v>1794</v>
      </c>
      <c r="DA241" t="str" cm="1">
        <f t="array" ref="DA241:DY241">IF(U241&lt;&gt;"", TRANSPOSE(_xlfn._xlws.FILTER(CZ:CZ, CY:CY=U241, "")), "")</f>
        <v>Gwl (2N) + Mor</v>
      </c>
      <c r="DB241" t="str">
        <v>Ex Idr | Idr - Ujj (1N) - Omk - Mah (1N) - Man - Idr</v>
      </c>
      <c r="DC241" t="str">
        <v>Ujj (1N) - Omk - Idr (1N)</v>
      </c>
      <c r="DD241" t="str">
        <v>Ex Jlr | Jlr - Kan (2N) - Jlr</v>
      </c>
      <c r="DE241" t="str">
        <v>Ex Jlr | Jlr - Ban (2N) - Jlr</v>
      </c>
      <c r="DF241" t="str">
        <v>Ex Bho | Bho (2N) + Bhim + Bhoj + San</v>
      </c>
      <c r="DG241" t="str">
        <v>Ex Idr | Idr - Man (2N) - Idr</v>
      </c>
      <c r="DH241" t="str">
        <v>Ex Jlr | Jlr - Kan (2N) - Jlr</v>
      </c>
      <c r="DI241" t="str">
        <v>Ex Bho | Bho (2N) + Bhim + Bhoj + San + HDCT Bho</v>
      </c>
      <c r="DJ241" t="str">
        <v>Ex Bho | Bho - Bhim - Tawa (1N) - Mad (1N) - Bho</v>
      </c>
      <c r="DK241" t="str">
        <v>Ujj (1N) - Omk - Mah (1N) - Idr</v>
      </c>
      <c r="DL241" t="str">
        <v>Ujj (1N) -  Idr (1N)</v>
      </c>
      <c r="DM241" t="str">
        <v>Ex Idr | Idr (2N) + Ujj + Omk + Mah</v>
      </c>
      <c r="DN241" t="str">
        <v>Idr - Mah - Omk (1N) - Ujj (1N)</v>
      </c>
      <c r="DO241" t="str">
        <v>Idr - Ujj (1N) - Mah - Omk (1N) - Khandwa</v>
      </c>
      <c r="DP241" t="str">
        <v>Ex Idr | Idr (EX Ujj) (1N) - Mah - Omk (1N) - Idr HDCT</v>
      </c>
      <c r="DQ241" t="str">
        <v>Ujj (1N) - Sehor - Bho (1N) HDCT</v>
      </c>
      <c r="DR241" t="str">
        <v>Ex Jlr | Jlr (1N) - Ban (1N)</v>
      </c>
      <c r="DS241" t="str">
        <v>Ex Jlr | Ban (1N)</v>
      </c>
      <c r="DT241" t="str">
        <v>Ex Jlr | Jlr (2 N) Kan</v>
      </c>
      <c r="DU241" t="str">
        <v>Ex Jlr | Jlr - Amr (1 N) - (1 N) Ban</v>
      </c>
      <c r="DV241" t="str">
        <v>Ex Rpr | Rpr - (2N) Kan</v>
      </c>
      <c r="DW241" t="str">
        <v>Hjr (1N) - Mahi (1N) - Sat</v>
      </c>
      <c r="DX241" t="str">
        <v>Ex Bhp | Bhp - Bhim - Pch (2N) - Bhp</v>
      </c>
      <c r="DY241" t="str">
        <v xml:space="preserve">Ex Ujj I 2N Ujj </v>
      </c>
    </row>
    <row r="242" spans="2:145" ht="15" customHeight="1">
      <c r="B242" s="35">
        <v>238</v>
      </c>
      <c r="C242" s="36" t="s">
        <v>1795</v>
      </c>
      <c r="D242" s="76">
        <v>46225</v>
      </c>
      <c r="E242" s="37" t="str">
        <f>IF(Table5[[#This Row],[Query Date]]&lt;&gt;"", TEXT(Table5[[#This Row],[Query Date]], "dddd"), "")</f>
        <v>Wednesday</v>
      </c>
      <c r="F242" s="37" t="str">
        <f>IF(Table5[[#This Row],[Query Date]]&lt;&gt;"", TEXT(Table5[[#This Row],[Query Date]], "mmmm"), "")</f>
        <v>July</v>
      </c>
      <c r="G242" s="28" t="s">
        <v>65</v>
      </c>
      <c r="H242" s="28" t="s">
        <v>66</v>
      </c>
      <c r="I242" s="28" t="s">
        <v>67</v>
      </c>
      <c r="J242" s="28" t="s">
        <v>68</v>
      </c>
      <c r="K242" s="28" t="s">
        <v>1796</v>
      </c>
      <c r="L242" s="25" t="s">
        <v>70</v>
      </c>
      <c r="M242" s="112" t="s">
        <v>1073</v>
      </c>
      <c r="N242" s="25" t="s">
        <v>1797</v>
      </c>
      <c r="O242" s="130" t="s">
        <v>1798</v>
      </c>
      <c r="P242" s="106" t="s">
        <v>1799</v>
      </c>
      <c r="Q242" s="77">
        <v>46228</v>
      </c>
      <c r="R242" s="77" t="str">
        <f>IF(Table5[[#This Row],[Tour Starting Date]]&lt;&gt;"", TEXT(Table5[[#This Row],[Tour Starting Date]], "dddd"), "")</f>
        <v>Saturday</v>
      </c>
      <c r="S242" s="77">
        <v>46230</v>
      </c>
      <c r="T242" s="25" t="str">
        <f>IF(Table5[[#This Row],[Tour Ending Date]]&lt;&gt;"", TEXT(Table5[[#This Row],[Tour Ending Date]], "dddd"), "")</f>
        <v>Monday</v>
      </c>
      <c r="U242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242" s="37" t="str">
        <f>IF(Table5[[#This Row],[Tour Starting Date]]&lt;&gt;"", TEXT(Table5[[#This Row],[Tour Starting Date]], "mmmm"), "")</f>
        <v>July</v>
      </c>
      <c r="W242" s="80" t="str" cm="1">
        <f t="array" ref="W242">IF(Q242&lt;&gt;"", INDEX(CI:CI, MATCH(1, (Q242&gt;=CG:CG)*(Q242&lt;=CH:CH), 0)), "")</f>
        <v>Regular Dates - Weekend</v>
      </c>
      <c r="X242" s="39">
        <v>3</v>
      </c>
      <c r="Y242" s="74">
        <v>7600</v>
      </c>
      <c r="Z242" s="74">
        <f>IF(OR(Table5[[#This Row],[Per Person Package Cost]]="", Table5[[#This Row],[No. of Pax]]=""), "", Table5[[#This Row],[Per Person Package Cost]] * Table5[[#This Row],[No. of Pax]])</f>
        <v>22800</v>
      </c>
      <c r="AA242" s="52" t="s">
        <v>75</v>
      </c>
      <c r="AB242" s="52" t="s">
        <v>75</v>
      </c>
      <c r="AC242" s="52" t="s">
        <v>76</v>
      </c>
      <c r="AD242" s="52" t="s">
        <v>352</v>
      </c>
      <c r="AE242" s="51" t="str">
        <f t="shared" si="21"/>
        <v>EXIDR02</v>
      </c>
      <c r="AF242" s="51" t="str">
        <f t="shared" si="22"/>
        <v>Jyotirlinga Trails</v>
      </c>
      <c r="AG242" s="74" t="str">
        <f t="shared" si="23"/>
        <v>Quick Getaways</v>
      </c>
      <c r="AH242" s="73" t="str">
        <f t="shared" si="24"/>
        <v>West MP</v>
      </c>
      <c r="AI242" s="52" t="s">
        <v>107</v>
      </c>
      <c r="AJ242" s="56" t="s">
        <v>78</v>
      </c>
      <c r="AK242" s="59" t="s">
        <v>79</v>
      </c>
      <c r="AL242" s="60" t="s">
        <v>80</v>
      </c>
      <c r="AM242" s="54" t="s">
        <v>80</v>
      </c>
      <c r="AN242" s="14">
        <v>46228</v>
      </c>
      <c r="AO242" s="15"/>
      <c r="AP242" s="91"/>
      <c r="AQ242" s="87"/>
      <c r="AR242" s="26"/>
      <c r="AS242" s="65"/>
      <c r="AT242" s="88" t="s">
        <v>81</v>
      </c>
      <c r="AU242" s="67"/>
      <c r="CN242" t="s">
        <v>1800</v>
      </c>
      <c r="DA242" t="str" cm="1">
        <f t="array" ref="DA242:DY242">IF(U242&lt;&gt;"", TRANSPOSE(_xlfn._xlws.FILTER(CZ:CZ, CY:CY=U242, "")), "")</f>
        <v>Gwl (2N) + Mor</v>
      </c>
      <c r="DB242" t="str">
        <v>Ex Idr | Idr - Ujj (1N) - Omk - Mah (1N) - Man - Idr</v>
      </c>
      <c r="DC242" t="str">
        <v>Ujj (1N) - Omk - Idr (1N)</v>
      </c>
      <c r="DD242" t="str">
        <v>Ex Jlr | Jlr - Kan (2N) - Jlr</v>
      </c>
      <c r="DE242" t="str">
        <v>Ex Jlr | Jlr - Ban (2N) - Jlr</v>
      </c>
      <c r="DF242" t="str">
        <v>Ex Bho | Bho (2N) + Bhim + Bhoj + San</v>
      </c>
      <c r="DG242" t="str">
        <v>Ex Idr | Idr - Man (2N) - Idr</v>
      </c>
      <c r="DH242" t="str">
        <v>Ex Jlr | Jlr - Kan (2N) - Jlr</v>
      </c>
      <c r="DI242" t="str">
        <v>Ex Bho | Bho (2N) + Bhim + Bhoj + San + HDCT Bho</v>
      </c>
      <c r="DJ242" t="str">
        <v>Ex Bho | Bho - Bhim - Tawa (1N) - Mad (1N) - Bho</v>
      </c>
      <c r="DK242" t="str">
        <v>Ujj (1N) - Omk - Mah (1N) - Idr</v>
      </c>
      <c r="DL242" t="str">
        <v>Ujj (1N) -  Idr (1N)</v>
      </c>
      <c r="DM242" t="str">
        <v>Ex Idr | Idr (2N) + Ujj + Omk + Mah</v>
      </c>
      <c r="DN242" t="str">
        <v>Idr - Mah - Omk (1N) - Ujj (1N)</v>
      </c>
      <c r="DO242" t="str">
        <v>Idr - Ujj (1N) - Mah - Omk (1N) - Khandwa</v>
      </c>
      <c r="DP242" t="str">
        <v>Ex Idr | Idr (EX Ujj) (1N) - Mah - Omk (1N) - Idr HDCT</v>
      </c>
      <c r="DQ242" t="str">
        <v>Ujj (1N) - Sehor - Bho (1N) HDCT</v>
      </c>
      <c r="DR242" t="str">
        <v>Ex Jlr | Jlr (1N) - Ban (1N)</v>
      </c>
      <c r="DS242" t="str">
        <v>Ex Jlr | Ban (1N)</v>
      </c>
      <c r="DT242" t="str">
        <v>Ex Jlr | Jlr (2 N) Kan</v>
      </c>
      <c r="DU242" t="str">
        <v>Ex Jlr | Jlr - Amr (1 N) - (1 N) Ban</v>
      </c>
      <c r="DV242" t="str">
        <v>Ex Rpr | Rpr - (2N) Kan</v>
      </c>
      <c r="DW242" t="str">
        <v>Hjr (1N) - Mahi (1N) - Sat</v>
      </c>
      <c r="DX242" t="str">
        <v>Ex Bhp | Bhp - Bhim - Pch (2N) - Bhp</v>
      </c>
      <c r="DY242" t="str">
        <v xml:space="preserve">Ex Ujj I 2N Ujj </v>
      </c>
    </row>
    <row r="243" spans="2:145" ht="15" customHeight="1">
      <c r="B243" s="34">
        <v>239</v>
      </c>
      <c r="C243" s="36" t="s">
        <v>1801</v>
      </c>
      <c r="D243" s="76">
        <v>46225</v>
      </c>
      <c r="E243" s="37" t="str">
        <f>IF(Table5[[#This Row],[Query Date]]&lt;&gt;"", TEXT(Table5[[#This Row],[Query Date]], "dddd"), "")</f>
        <v>Wednesday</v>
      </c>
      <c r="F243" s="37" t="str">
        <f>IF(Table5[[#This Row],[Query Date]]&lt;&gt;"", TEXT(Table5[[#This Row],[Query Date]], "mmmm"), "")</f>
        <v>July</v>
      </c>
      <c r="G243" s="28" t="s">
        <v>65</v>
      </c>
      <c r="H243" s="28" t="s">
        <v>66</v>
      </c>
      <c r="I243" s="28" t="s">
        <v>67</v>
      </c>
      <c r="J243" s="28" t="s">
        <v>68</v>
      </c>
      <c r="K243" s="28" t="s">
        <v>128</v>
      </c>
      <c r="L243" s="25" t="s">
        <v>70</v>
      </c>
      <c r="M243" s="112" t="s">
        <v>295</v>
      </c>
      <c r="N243" s="25" t="s">
        <v>1267</v>
      </c>
      <c r="O243" s="130" t="s">
        <v>1802</v>
      </c>
      <c r="P243" s="106" t="s">
        <v>1269</v>
      </c>
      <c r="Q243" s="77">
        <v>46258</v>
      </c>
      <c r="R243" s="77" t="str">
        <f>IF(Table5[[#This Row],[Tour Starting Date]]&lt;&gt;"", TEXT(Table5[[#This Row],[Tour Starting Date]], "dddd"), "")</f>
        <v>Monday</v>
      </c>
      <c r="S243" s="77">
        <v>46260</v>
      </c>
      <c r="T243" s="25" t="str">
        <f>IF(Table5[[#This Row],[Tour Ending Date]]&lt;&gt;"", TEXT(Table5[[#This Row],[Tour Ending Date]], "dddd"), "")</f>
        <v>Wednesday</v>
      </c>
      <c r="U243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243" s="37" t="str">
        <f>IF(Table5[[#This Row],[Tour Starting Date]]&lt;&gt;"", TEXT(Table5[[#This Row],[Tour Starting Date]], "mmmm"), "")</f>
        <v>August</v>
      </c>
      <c r="W243" s="80" t="str" cm="1">
        <f t="array" ref="W243">IF(Q243&lt;&gt;"", INDEX(CI:CI, MATCH(1, (Q243&gt;=CG:CG)*(Q243&lt;=CH:CH), 0)), "")</f>
        <v>Regular Dates - Weekday</v>
      </c>
      <c r="X243" s="39">
        <v>12</v>
      </c>
      <c r="Y243" s="74">
        <v>8000</v>
      </c>
      <c r="Z243" s="74">
        <f>IF(OR(Table5[[#This Row],[Per Person Package Cost]]="", Table5[[#This Row],[No. of Pax]]=""), "", Table5[[#This Row],[Per Person Package Cost]] * Table5[[#This Row],[No. of Pax]])</f>
        <v>96000</v>
      </c>
      <c r="AA243" s="52" t="s">
        <v>75</v>
      </c>
      <c r="AB243" s="52" t="s">
        <v>75</v>
      </c>
      <c r="AC243" s="52" t="s">
        <v>134</v>
      </c>
      <c r="AD243" s="52" t="s">
        <v>352</v>
      </c>
      <c r="AE243" s="51" t="str">
        <f t="shared" si="21"/>
        <v>EXIDR02</v>
      </c>
      <c r="AF243" s="51" t="str">
        <f t="shared" si="22"/>
        <v>Jyotirlinga Trails</v>
      </c>
      <c r="AG243" s="74" t="str">
        <f t="shared" si="23"/>
        <v>Quick Getaways</v>
      </c>
      <c r="AH243" s="73" t="str">
        <f t="shared" si="24"/>
        <v>West MP</v>
      </c>
      <c r="AI243" s="52" t="s">
        <v>107</v>
      </c>
      <c r="AJ243" s="56" t="s">
        <v>78</v>
      </c>
      <c r="AK243" s="59" t="s">
        <v>79</v>
      </c>
      <c r="AL243" s="60" t="s">
        <v>80</v>
      </c>
      <c r="AM243" s="54" t="s">
        <v>80</v>
      </c>
      <c r="AN243" s="14">
        <v>46230</v>
      </c>
      <c r="AO243" s="15">
        <v>46237</v>
      </c>
      <c r="AP243" s="91">
        <v>46244</v>
      </c>
      <c r="AQ243" s="87"/>
      <c r="AR243" s="26"/>
      <c r="AS243" s="65"/>
      <c r="AT243" s="88" t="s">
        <v>81</v>
      </c>
      <c r="AU243" s="67" t="s">
        <v>82</v>
      </c>
      <c r="CN243" t="s">
        <v>1803</v>
      </c>
      <c r="DA243" t="str" cm="1">
        <f t="array" ref="DA243:DY243">IF(U243&lt;&gt;"", TRANSPOSE(_xlfn._xlws.FILTER(CZ:CZ, CY:CY=U243, "")), "")</f>
        <v>Gwl (2N) + Mor</v>
      </c>
      <c r="DB243" t="str">
        <v>Ex Idr | Idr - Ujj (1N) - Omk - Mah (1N) - Man - Idr</v>
      </c>
      <c r="DC243" t="str">
        <v>Ujj (1N) - Omk - Idr (1N)</v>
      </c>
      <c r="DD243" t="str">
        <v>Ex Jlr | Jlr - Kan (2N) - Jlr</v>
      </c>
      <c r="DE243" t="str">
        <v>Ex Jlr | Jlr - Ban (2N) - Jlr</v>
      </c>
      <c r="DF243" t="str">
        <v>Ex Bho | Bho (2N) + Bhim + Bhoj + San</v>
      </c>
      <c r="DG243" t="str">
        <v>Ex Idr | Idr - Man (2N) - Idr</v>
      </c>
      <c r="DH243" t="str">
        <v>Ex Jlr | Jlr - Kan (2N) - Jlr</v>
      </c>
      <c r="DI243" t="str">
        <v>Ex Bho | Bho (2N) + Bhim + Bhoj + San + HDCT Bho</v>
      </c>
      <c r="DJ243" t="str">
        <v>Ex Bho | Bho - Bhim - Tawa (1N) - Mad (1N) - Bho</v>
      </c>
      <c r="DK243" t="str">
        <v>Ujj (1N) - Omk - Mah (1N) - Idr</v>
      </c>
      <c r="DL243" t="str">
        <v>Ujj (1N) -  Idr (1N)</v>
      </c>
      <c r="DM243" t="str">
        <v>Ex Idr | Idr (2N) + Ujj + Omk + Mah</v>
      </c>
      <c r="DN243" t="str">
        <v>Idr - Mah - Omk (1N) - Ujj (1N)</v>
      </c>
      <c r="DO243" t="str">
        <v>Idr - Ujj (1N) - Mah - Omk (1N) - Khandwa</v>
      </c>
      <c r="DP243" t="str">
        <v>Ex Idr | Idr (EX Ujj) (1N) - Mah - Omk (1N) - Idr HDCT</v>
      </c>
      <c r="DQ243" t="str">
        <v>Ujj (1N) - Sehor - Bho (1N) HDCT</v>
      </c>
      <c r="DR243" t="str">
        <v>Ex Jlr | Jlr (1N) - Ban (1N)</v>
      </c>
      <c r="DS243" t="str">
        <v>Ex Jlr | Ban (1N)</v>
      </c>
      <c r="DT243" t="str">
        <v>Ex Jlr | Jlr (2 N) Kan</v>
      </c>
      <c r="DU243" t="str">
        <v>Ex Jlr | Jlr - Amr (1 N) - (1 N) Ban</v>
      </c>
      <c r="DV243" t="str">
        <v>Ex Rpr | Rpr - (2N) Kan</v>
      </c>
      <c r="DW243" t="str">
        <v>Hjr (1N) - Mahi (1N) - Sat</v>
      </c>
      <c r="DX243" t="str">
        <v>Ex Bhp | Bhp - Bhim - Pch (2N) - Bhp</v>
      </c>
      <c r="DY243" t="str">
        <v xml:space="preserve">Ex Ujj I 2N Ujj </v>
      </c>
    </row>
    <row r="244" spans="2:145" ht="15" customHeight="1">
      <c r="B244" s="35">
        <v>240</v>
      </c>
      <c r="C244" s="36" t="s">
        <v>1804</v>
      </c>
      <c r="D244" s="76">
        <v>46226</v>
      </c>
      <c r="E244" s="37" t="str">
        <f>IF(Table5[[#This Row],[Query Date]]&lt;&gt;"", TEXT(Table5[[#This Row],[Query Date]], "dddd"), "")</f>
        <v>Thursday</v>
      </c>
      <c r="F244" s="37" t="str">
        <f>IF(Table5[[#This Row],[Query Date]]&lt;&gt;"", TEXT(Table5[[#This Row],[Query Date]], "mmmm"), "")</f>
        <v>July</v>
      </c>
      <c r="G244" s="28" t="s">
        <v>65</v>
      </c>
      <c r="H244" s="28" t="s">
        <v>66</v>
      </c>
      <c r="I244" s="28" t="s">
        <v>67</v>
      </c>
      <c r="J244" s="28" t="s">
        <v>68</v>
      </c>
      <c r="K244" s="28" t="s">
        <v>535</v>
      </c>
      <c r="L244" s="25" t="s">
        <v>70</v>
      </c>
      <c r="M244" s="112" t="s">
        <v>966</v>
      </c>
      <c r="N244" s="45" t="s">
        <v>1805</v>
      </c>
      <c r="O244" s="130" t="s">
        <v>1806</v>
      </c>
      <c r="P244" s="106" t="s">
        <v>1807</v>
      </c>
      <c r="Q244" s="77">
        <v>46284</v>
      </c>
      <c r="R244" s="77" t="str">
        <f>IF(Table5[[#This Row],[Tour Starting Date]]&lt;&gt;"", TEXT(Table5[[#This Row],[Tour Starting Date]], "dddd"), "")</f>
        <v>Saturday</v>
      </c>
      <c r="S244" s="77">
        <v>46285</v>
      </c>
      <c r="T244" s="25" t="str">
        <f>IF(Table5[[#This Row],[Tour Ending Date]]&lt;&gt;"", TEXT(Table5[[#This Row],[Tour Ending Date]], "dddd"), "")</f>
        <v>Sunday</v>
      </c>
      <c r="U244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1 Night &amp; 2 Days</v>
      </c>
      <c r="V244" s="37" t="str">
        <f>IF(Table5[[#This Row],[Tour Starting Date]]&lt;&gt;"", TEXT(Table5[[#This Row],[Tour Starting Date]], "mmmm"), "")</f>
        <v>September</v>
      </c>
      <c r="W244" s="80" t="str" cm="1">
        <f t="array" ref="W244">IF(Q244&lt;&gt;"", INDEX(CI:CI, MATCH(1, (Q244&gt;=CG:CG)*(Q244&lt;=CH:CH), 0)), "")</f>
        <v>Regular Dates - Weekend</v>
      </c>
      <c r="X244" s="39">
        <v>2</v>
      </c>
      <c r="Y244" s="74">
        <v>26000</v>
      </c>
      <c r="Z244" s="74">
        <f>IF(OR(Table5[[#This Row],[Per Person Package Cost]]="", Table5[[#This Row],[No. of Pax]]=""), "", Table5[[#This Row],[Per Person Package Cost]] * Table5[[#This Row],[No. of Pax]])</f>
        <v>52000</v>
      </c>
      <c r="AA244" s="52" t="s">
        <v>205</v>
      </c>
      <c r="AB244" s="52" t="s">
        <v>75</v>
      </c>
      <c r="AC244" s="52" t="s">
        <v>134</v>
      </c>
      <c r="AD244" s="52" t="s">
        <v>352</v>
      </c>
      <c r="AE244" s="51" t="str">
        <f t="shared" si="21"/>
        <v>EXIDR02</v>
      </c>
      <c r="AF244" s="51" t="str">
        <f t="shared" si="22"/>
        <v>Jyotirlinga Trails</v>
      </c>
      <c r="AG244" s="74" t="str">
        <f t="shared" si="23"/>
        <v>Quick Getaways</v>
      </c>
      <c r="AH244" s="73" t="str">
        <f t="shared" si="24"/>
        <v>West MP</v>
      </c>
      <c r="AI244" s="52" t="s">
        <v>107</v>
      </c>
      <c r="AJ244" s="56" t="s">
        <v>78</v>
      </c>
      <c r="AK244" s="59" t="s">
        <v>79</v>
      </c>
      <c r="AL244" s="60" t="s">
        <v>80</v>
      </c>
      <c r="AM244" s="54" t="s">
        <v>80</v>
      </c>
      <c r="AN244" s="14">
        <v>46230</v>
      </c>
      <c r="AO244" s="15">
        <v>46237</v>
      </c>
      <c r="AP244" s="91">
        <v>46244</v>
      </c>
      <c r="AQ244" s="87">
        <v>46265</v>
      </c>
      <c r="AR244" s="26"/>
      <c r="AS244" s="65"/>
      <c r="AT244" s="88" t="s">
        <v>81</v>
      </c>
      <c r="AU244" s="67" t="s">
        <v>82</v>
      </c>
      <c r="CN244" t="s">
        <v>489</v>
      </c>
      <c r="DA244" t="str" cm="1">
        <f t="array" ref="DA244:DH244">IF(U244&lt;&gt;"", TRANSPOSE(_xlfn._xlws.FILTER(CZ:CZ, CY:CY=U244, "")), "")</f>
        <v>Gwl (1N)</v>
      </c>
      <c r="DB244" t="str">
        <v>Ex Idr | Idr - Ujj (1N) - Idr</v>
      </c>
      <c r="DC244" t="str">
        <v>Ex Idr | Idr - Ujj (1N) - Omk - Idr</v>
      </c>
      <c r="DD244" t="str">
        <v>Ex Idr | Idr - Ujj (1N) - Omk - Mah - Idr</v>
      </c>
      <c r="DE244" t="str">
        <v>Ex Idr | Ujj (1N) - Idr + HDCT</v>
      </c>
      <c r="DF244" t="str">
        <v>Ex Idr | Idr (1N)</v>
      </c>
      <c r="DG244" t="str">
        <v>Khandwa - Omk (1N) - Idr HDCT</v>
      </c>
      <c r="DH244" t="str">
        <v>Ex Ujj | Ujj (1N)</v>
      </c>
    </row>
    <row r="245" spans="2:145" ht="15" customHeight="1">
      <c r="B245" s="34">
        <v>241</v>
      </c>
      <c r="C245" s="36" t="s">
        <v>1808</v>
      </c>
      <c r="D245" s="76">
        <v>46226</v>
      </c>
      <c r="E245" s="37" t="str">
        <f>IF(Table5[[#This Row],[Query Date]]&lt;&gt;"", TEXT(Table5[[#This Row],[Query Date]], "dddd"), "")</f>
        <v>Thursday</v>
      </c>
      <c r="F245" s="37" t="str">
        <f>IF(Table5[[#This Row],[Query Date]]&lt;&gt;"", TEXT(Table5[[#This Row],[Query Date]], "mmmm"), "")</f>
        <v>July</v>
      </c>
      <c r="G245" s="28" t="s">
        <v>65</v>
      </c>
      <c r="H245" s="28" t="s">
        <v>66</v>
      </c>
      <c r="I245" s="28" t="s">
        <v>67</v>
      </c>
      <c r="J245" s="28" t="s">
        <v>68</v>
      </c>
      <c r="K245" s="28" t="s">
        <v>128</v>
      </c>
      <c r="L245" s="25" t="s">
        <v>70</v>
      </c>
      <c r="M245" s="112" t="s">
        <v>129</v>
      </c>
      <c r="N245" s="25" t="s">
        <v>1809</v>
      </c>
      <c r="O245" s="130" t="s">
        <v>1810</v>
      </c>
      <c r="P245" s="46" t="s">
        <v>1009</v>
      </c>
      <c r="Q245" s="77">
        <v>46361</v>
      </c>
      <c r="R245" s="77" t="str">
        <f>IF(Table5[[#This Row],[Tour Starting Date]]&lt;&gt;"", TEXT(Table5[[#This Row],[Tour Starting Date]], "dddd"), "")</f>
        <v>Saturday</v>
      </c>
      <c r="S245" s="77">
        <v>46365</v>
      </c>
      <c r="T245" s="25" t="str">
        <f>IF(Table5[[#This Row],[Tour Ending Date]]&lt;&gt;"", TEXT(Table5[[#This Row],[Tour Ending Date]], "dddd"), "")</f>
        <v>Wednesday</v>
      </c>
      <c r="U245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4 Nights &amp; 5 Days</v>
      </c>
      <c r="V245" s="37" t="str">
        <f>IF(Table5[[#This Row],[Tour Starting Date]]&lt;&gt;"", TEXT(Table5[[#This Row],[Tour Starting Date]], "mmmm"), "")</f>
        <v>December</v>
      </c>
      <c r="W245" s="80" t="str" cm="1">
        <f t="array" ref="W245">IF(Q245&lt;&gt;"", INDEX(CI:CI, MATCH(1, (Q245&gt;=CG:CG)*(Q245&lt;=CH:CH), 0)), "")</f>
        <v>Regular Dates - Weekend</v>
      </c>
      <c r="X245" s="39">
        <v>2</v>
      </c>
      <c r="Y245" s="74">
        <v>30000</v>
      </c>
      <c r="Z245" s="74">
        <f>IF(OR(Table5[[#This Row],[Per Person Package Cost]]="", Table5[[#This Row],[No. of Pax]]=""), "", Table5[[#This Row],[Per Person Package Cost]] * Table5[[#This Row],[No. of Pax]])</f>
        <v>60000</v>
      </c>
      <c r="AA245" s="52" t="s">
        <v>683</v>
      </c>
      <c r="AB245" s="52" t="s">
        <v>133</v>
      </c>
      <c r="AC245" s="52" t="s">
        <v>240</v>
      </c>
      <c r="AD245" s="52"/>
      <c r="AE245" s="51" t="str">
        <f t="shared" si="21"/>
        <v/>
      </c>
      <c r="AF245" s="51" t="str">
        <f t="shared" si="22"/>
        <v/>
      </c>
      <c r="AG245" s="74" t="str">
        <f t="shared" si="23"/>
        <v/>
      </c>
      <c r="AH245" s="73" t="str">
        <f t="shared" si="24"/>
        <v/>
      </c>
      <c r="AI245" s="52" t="s">
        <v>107</v>
      </c>
      <c r="AJ245" s="56" t="s">
        <v>78</v>
      </c>
      <c r="AK245" s="59" t="s">
        <v>79</v>
      </c>
      <c r="AL245" s="60" t="s">
        <v>80</v>
      </c>
      <c r="AM245" s="54" t="s">
        <v>80</v>
      </c>
      <c r="AN245" s="14">
        <v>46229</v>
      </c>
      <c r="AO245" s="15">
        <v>46248</v>
      </c>
      <c r="AP245" s="91">
        <v>46254</v>
      </c>
      <c r="AQ245" s="87">
        <v>46268</v>
      </c>
      <c r="AR245" s="26"/>
      <c r="AS245" s="65"/>
      <c r="AT245" s="88" t="s">
        <v>138</v>
      </c>
      <c r="AU245" s="67"/>
      <c r="CN245" t="s">
        <v>1811</v>
      </c>
      <c r="DA245" t="str" cm="1">
        <f t="array" ref="DA245:EJ245">IF(U245&lt;&gt;"", TRANSPOSE(_xlfn._xlws.FILTER(CZ:CZ, CY:CY=U245, "")), "")</f>
        <v>Ex Gwl | Gwl (2N) + Mor - Son - Dat - Orc (1N) - Hjr (1N) - Gwl</v>
      </c>
      <c r="DB245" t="str">
        <v>Ex Idr | Idr - Ujj (1N) - Omk - Mah (1N) - Man (1N) - Idr (1N)</v>
      </c>
      <c r="DC245" t="str">
        <v>Ex Idr | Idr - Ujj (1N) - Omk (1N) - Mah (1N) - Man (1N) - Idr</v>
      </c>
      <c r="DD245" t="str">
        <v>Ex Jlr | Jlr - Kan (2N) - Amk (1N) - Jlr (1N)</v>
      </c>
      <c r="DE245" t="str">
        <v>Ex Jlr | Jlr - Ban (2N) - Amk (1N) - Jlr (1N)</v>
      </c>
      <c r="DF245" t="str">
        <v>Ex Jlr | Jlr (1N) - Hjr (1N) - Ban (2N) - Jlr</v>
      </c>
      <c r="DG245" t="str">
        <v>Ex Jlr | Jlr (1N) - Kan (1N) - Ban (2N) - Jlr</v>
      </c>
      <c r="DH245" t="str">
        <v>Ex Bho | Bho (1N) + San + Bhoj + Bhim - Tawa - Mad (1N) - Pch (2N) - Bho</v>
      </c>
      <c r="DI245" t="str">
        <v>Ex Idr | Idr - Ujj (1N) - Omk - Mah (1N) - Man (1N) - Idr (1N)</v>
      </c>
      <c r="DJ245" t="str">
        <v>Ex Bho | Bho (1N) - Bhoj - Bhim - Pch (3N) - Bho</v>
      </c>
      <c r="DK245" t="str">
        <v>Gwl (1N) - Dat (Pitambara Peeth) - Orc (1N) - Ckt (2N) - Ixd</v>
      </c>
      <c r="DL245" t="str">
        <v>Ex Jlr | Jlr - Ban (2N) - Kan (2N) - Jlr</v>
      </c>
      <c r="DM245" t="str">
        <v>Jlr - Ban (1N) - Kan (1N) - Pen (2N) - Nag</v>
      </c>
      <c r="DN245" t="str">
        <v>Ex Bho | Bho (1N) - Bhoj - Bhim - Pch (3N) - Bho</v>
      </c>
      <c r="DO245" t="str">
        <v>Ex Bho | Bho (2N) + Sanchi + Bhoj + Bhim - Tawa - Mad (1N) - Bho (1N)</v>
      </c>
      <c r="DP245" t="str">
        <v>Ex Bho | Bho - Bhoj - Bhim - Tawa (1N) - Mad (1N) - Pch (2N) - Bho</v>
      </c>
      <c r="DQ245" t="str">
        <v>Bho - Bhoj - Bhim - Pch (2N) - Kan (1N) - Jlr (1N)</v>
      </c>
      <c r="DR245" t="str">
        <v>Bho - Bhoj - Bhim - Pch (2N) - Kan (1N) - Amk (1N) - Jlr</v>
      </c>
      <c r="DS245" t="str">
        <v xml:space="preserve">Bho (1N) + Bhim + Bhoj + San - Ujj (1N) - Omk - Mah (1N) - Idr (1N) </v>
      </c>
      <c r="DT245" t="str">
        <v>Ex Gwl | Gwl - Hjr (1N) - Orc (1N) - Dat - Son - Gwl (2N)</v>
      </c>
      <c r="DU245" t="str">
        <v>Ex Gwl | Gwl - Orc (1N) - Hjr (1N) - Chn (1N) - Shiv (1N) - Gwl</v>
      </c>
      <c r="DV245" t="str">
        <v>Gwl - Hjr (1N) - Panna (1N) - Chit (1N) - Mahi (1N) - Sat</v>
      </c>
      <c r="DW245" t="str">
        <v>Jlr - (2 N) Kan - (2 N) Pch - Bhim - Bhoj - Bhp</v>
      </c>
      <c r="DX245" t="str">
        <v>Jlr - (2 N) Kan - (2 N) Pen - Rpr</v>
      </c>
      <c r="DY245" t="str">
        <v>Gwl (2N) (Ex Mor) - Dat -Orc (1N) - Hjr (1N) - Jhn</v>
      </c>
      <c r="DZ245" t="str">
        <v>Ex Gwl | Gwl (1N) - Son - Dat - Orc (1N) - Hjr (2N) (Ex Panna) - Gwl</v>
      </c>
      <c r="EA245" t="str">
        <v>Hjr (1N) - Orc (1N) - Dat - son - Gwl (2N)(Ex Mor)</v>
      </c>
      <c r="EB245" t="str">
        <v>(2 N) Gwl - (1 N) Orch - (1 N) Hjr</v>
      </c>
      <c r="EC245" t="str">
        <v>Ex Bhp | Bhp - Bhoj - Bhim - Pch (2N) - Mad (1N) - Tawa (1N) - Bhp</v>
      </c>
      <c r="ED245" t="str">
        <v>Ex Bhp | Bhp - Bhoj - Bhim - Pch (2N) - Mad (2N) - Bhp</v>
      </c>
      <c r="EE245" t="str">
        <v>Ex Idr | Idr - Ujj (1N) - Omk (1N) - Mah (2N) (Ex Man) - Idr (HDCT)</v>
      </c>
      <c r="EF245" t="str">
        <v>Arr Rpr - Amr (2N) - Par (2N) - IXD</v>
      </c>
      <c r="EG245" t="str">
        <v>1N Gwl - Orc - 2N Hjr - Jhn - 1N Gwl</v>
      </c>
      <c r="EH245" t="str">
        <v>1N Orc - 1N Hjr - 2N Gwl Ex Mor</v>
      </c>
      <c r="EI245" t="str">
        <v>1N Idr - Omk - 1N Mah - 1N Ujj - Seh - 1N Bho</v>
      </c>
      <c r="EJ245" t="str">
        <v>Ex Idr I 1N Idr - 1N Ujj - Omk - 2N Mah - Man - Idr</v>
      </c>
    </row>
    <row r="246" spans="2:145" ht="15" customHeight="1">
      <c r="B246" s="35">
        <v>242</v>
      </c>
      <c r="C246" s="36" t="s">
        <v>1812</v>
      </c>
      <c r="D246" s="76">
        <v>46226</v>
      </c>
      <c r="E246" s="37" t="str">
        <f>IF(Table5[[#This Row],[Query Date]]&lt;&gt;"", TEXT(Table5[[#This Row],[Query Date]], "dddd"), "")</f>
        <v>Thursday</v>
      </c>
      <c r="F246" s="37" t="str">
        <f>IF(Table5[[#This Row],[Query Date]]&lt;&gt;"", TEXT(Table5[[#This Row],[Query Date]], "mmmm"), "")</f>
        <v>July</v>
      </c>
      <c r="G246" s="28" t="s">
        <v>113</v>
      </c>
      <c r="H246" s="28" t="s">
        <v>99</v>
      </c>
      <c r="I246" s="28" t="s">
        <v>67</v>
      </c>
      <c r="J246" s="28" t="s">
        <v>68</v>
      </c>
      <c r="K246" s="28" t="s">
        <v>178</v>
      </c>
      <c r="L246" s="25" t="s">
        <v>160</v>
      </c>
      <c r="M246" s="112" t="s">
        <v>90</v>
      </c>
      <c r="N246" s="25" t="s">
        <v>1813</v>
      </c>
      <c r="O246" s="130" t="s">
        <v>1814</v>
      </c>
      <c r="P246" s="46" t="s">
        <v>1638</v>
      </c>
      <c r="Q246" s="77">
        <v>46268</v>
      </c>
      <c r="R246" s="77" t="str">
        <f>IF(Table5[[#This Row],[Tour Starting Date]]&lt;&gt;"", TEXT(Table5[[#This Row],[Tour Starting Date]], "dddd"), "")</f>
        <v>Thursday</v>
      </c>
      <c r="S246" s="77">
        <v>46270</v>
      </c>
      <c r="T246" s="25" t="str">
        <f>IF(Table5[[#This Row],[Tour Ending Date]]&lt;&gt;"", TEXT(Table5[[#This Row],[Tour Ending Date]], "dddd"), "")</f>
        <v>Saturday</v>
      </c>
      <c r="U246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246" s="37" t="str">
        <f>IF(Table5[[#This Row],[Tour Starting Date]]&lt;&gt;"", TEXT(Table5[[#This Row],[Tour Starting Date]], "mmmm"), "")</f>
        <v>September</v>
      </c>
      <c r="W246" s="80" t="str" cm="1">
        <f t="array" ref="W246">IF(Q246&lt;&gt;"", INDEX(CI:CI, MATCH(1, (Q246&gt;=CG:CG)*(Q246&lt;=CH:CH), 0)), "")</f>
        <v>Regular Dates - Weekday</v>
      </c>
      <c r="X246" s="39">
        <v>3</v>
      </c>
      <c r="Y246" s="74">
        <v>7800</v>
      </c>
      <c r="Z246" s="74">
        <f>IF(OR(Table5[[#This Row],[Per Person Package Cost]]="", Table5[[#This Row],[No. of Pax]]=""), "", Table5[[#This Row],[Per Person Package Cost]] * Table5[[#This Row],[No. of Pax]])</f>
        <v>23400</v>
      </c>
      <c r="AA246" s="52" t="s">
        <v>75</v>
      </c>
      <c r="AB246" s="52" t="s">
        <v>75</v>
      </c>
      <c r="AC246" s="52" t="s">
        <v>76</v>
      </c>
      <c r="AD246" s="52" t="s">
        <v>352</v>
      </c>
      <c r="AE246" s="51" t="str">
        <f t="shared" si="21"/>
        <v>EXIDR02</v>
      </c>
      <c r="AF246" s="51" t="str">
        <f t="shared" si="22"/>
        <v>Jyotirlinga Trails</v>
      </c>
      <c r="AG246" s="74" t="str">
        <f t="shared" si="23"/>
        <v>Quick Getaways</v>
      </c>
      <c r="AH246" s="73" t="str">
        <f t="shared" si="24"/>
        <v>West MP</v>
      </c>
      <c r="AI246" s="52" t="s">
        <v>107</v>
      </c>
      <c r="AJ246" s="56" t="s">
        <v>115</v>
      </c>
      <c r="AK246" s="59" t="s">
        <v>79</v>
      </c>
      <c r="AL246" s="60" t="s">
        <v>80</v>
      </c>
      <c r="AM246" s="54" t="s">
        <v>80</v>
      </c>
      <c r="AN246" s="14">
        <v>46229</v>
      </c>
      <c r="AO246" s="15"/>
      <c r="AP246" s="91"/>
      <c r="AQ246" s="87"/>
      <c r="AR246" s="26"/>
      <c r="AS246" s="65"/>
      <c r="AT246" s="88" t="s">
        <v>138</v>
      </c>
      <c r="AU246" s="67"/>
      <c r="CN246" t="s">
        <v>1815</v>
      </c>
      <c r="DA246" t="str" cm="1">
        <f t="array" ref="DA246:DY246">IF(U246&lt;&gt;"", TRANSPOSE(_xlfn._xlws.FILTER(CZ:CZ, CY:CY=U246, "")), "")</f>
        <v>Gwl (2N) + Mor</v>
      </c>
      <c r="DB246" t="str">
        <v>Ex Idr | Idr - Ujj (1N) - Omk - Mah (1N) - Man - Idr</v>
      </c>
      <c r="DC246" t="str">
        <v>Ujj (1N) - Omk - Idr (1N)</v>
      </c>
      <c r="DD246" t="str">
        <v>Ex Jlr | Jlr - Kan (2N) - Jlr</v>
      </c>
      <c r="DE246" t="str">
        <v>Ex Jlr | Jlr - Ban (2N) - Jlr</v>
      </c>
      <c r="DF246" t="str">
        <v>Ex Bho | Bho (2N) + Bhim + Bhoj + San</v>
      </c>
      <c r="DG246" t="str">
        <v>Ex Idr | Idr - Man (2N) - Idr</v>
      </c>
      <c r="DH246" t="str">
        <v>Ex Jlr | Jlr - Kan (2N) - Jlr</v>
      </c>
      <c r="DI246" t="str">
        <v>Ex Bho | Bho (2N) + Bhim + Bhoj + San + HDCT Bho</v>
      </c>
      <c r="DJ246" t="str">
        <v>Ex Bho | Bho - Bhim - Tawa (1N) - Mad (1N) - Bho</v>
      </c>
      <c r="DK246" t="str">
        <v>Ujj (1N) - Omk - Mah (1N) - Idr</v>
      </c>
      <c r="DL246" t="str">
        <v>Ujj (1N) -  Idr (1N)</v>
      </c>
      <c r="DM246" t="str">
        <v>Ex Idr | Idr (2N) + Ujj + Omk + Mah</v>
      </c>
      <c r="DN246" t="str">
        <v>Idr - Mah - Omk (1N) - Ujj (1N)</v>
      </c>
      <c r="DO246" t="str">
        <v>Idr - Ujj (1N) - Mah - Omk (1N) - Khandwa</v>
      </c>
      <c r="DP246" t="str">
        <v>Ex Idr | Idr (EX Ujj) (1N) - Mah - Omk (1N) - Idr HDCT</v>
      </c>
      <c r="DQ246" t="str">
        <v>Ujj (1N) - Sehor - Bho (1N) HDCT</v>
      </c>
      <c r="DR246" t="str">
        <v>Ex Jlr | Jlr (1N) - Ban (1N)</v>
      </c>
      <c r="DS246" t="str">
        <v>Ex Jlr | Ban (1N)</v>
      </c>
      <c r="DT246" t="str">
        <v>Ex Jlr | Jlr (2 N) Kan</v>
      </c>
      <c r="DU246" t="str">
        <v>Ex Jlr | Jlr - Amr (1 N) - (1 N) Ban</v>
      </c>
      <c r="DV246" t="str">
        <v>Ex Rpr | Rpr - (2N) Kan</v>
      </c>
      <c r="DW246" t="str">
        <v>Hjr (1N) - Mahi (1N) - Sat</v>
      </c>
      <c r="DX246" t="str">
        <v>Ex Bhp | Bhp - Bhim - Pch (2N) - Bhp</v>
      </c>
      <c r="DY246" t="str">
        <v xml:space="preserve">Ex Ujj I 2N Ujj </v>
      </c>
    </row>
    <row r="247" spans="2:145" ht="15" customHeight="1">
      <c r="B247" s="34">
        <v>243</v>
      </c>
      <c r="C247" s="36" t="s">
        <v>1816</v>
      </c>
      <c r="D247" s="76">
        <v>46226</v>
      </c>
      <c r="E247" s="37" t="str">
        <f>IF(Table5[[#This Row],[Query Date]]&lt;&gt;"", TEXT(Table5[[#This Row],[Query Date]], "dddd"), "")</f>
        <v>Thursday</v>
      </c>
      <c r="F247" s="37" t="str">
        <f>IF(Table5[[#This Row],[Query Date]]&lt;&gt;"", TEXT(Table5[[#This Row],[Query Date]], "mmmm"), "")</f>
        <v>July</v>
      </c>
      <c r="G247" s="28" t="s">
        <v>113</v>
      </c>
      <c r="H247" s="28" t="s">
        <v>99</v>
      </c>
      <c r="I247" s="28" t="s">
        <v>67</v>
      </c>
      <c r="J247" s="28" t="s">
        <v>68</v>
      </c>
      <c r="K247" s="28" t="s">
        <v>178</v>
      </c>
      <c r="L247" s="25" t="s">
        <v>160</v>
      </c>
      <c r="M247" s="112" t="s">
        <v>90</v>
      </c>
      <c r="N247" s="25" t="s">
        <v>1215</v>
      </c>
      <c r="O247" s="130" t="s">
        <v>1817</v>
      </c>
      <c r="P247" s="46" t="s">
        <v>1638</v>
      </c>
      <c r="Q247" s="77">
        <v>46247</v>
      </c>
      <c r="R247" s="77" t="str">
        <f>IF(Table5[[#This Row],[Tour Starting Date]]&lt;&gt;"", TEXT(Table5[[#This Row],[Tour Starting Date]], "dddd"), "")</f>
        <v>Thursday</v>
      </c>
      <c r="S247" s="77">
        <v>46250</v>
      </c>
      <c r="T247" s="25" t="str">
        <f>IF(Table5[[#This Row],[Tour Ending Date]]&lt;&gt;"", TEXT(Table5[[#This Row],[Tour Ending Date]], "dddd"), "")</f>
        <v>Sunday</v>
      </c>
      <c r="U247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247" s="37" t="str">
        <f>IF(Table5[[#This Row],[Tour Starting Date]]&lt;&gt;"", TEXT(Table5[[#This Row],[Tour Starting Date]], "mmmm"), "")</f>
        <v>August</v>
      </c>
      <c r="W247" s="80" t="str" cm="1">
        <f t="array" ref="W247">IF(Q247&lt;&gt;"", INDEX(CI:CI, MATCH(1, (Q247&gt;=CG:CG)*(Q247&lt;=CH:CH), 0)), "")</f>
        <v>Regular Dates - Weekday</v>
      </c>
      <c r="X247" s="39">
        <v>2</v>
      </c>
      <c r="Y247" s="74">
        <v>16600</v>
      </c>
      <c r="Z247" s="74">
        <f>IF(OR(Table5[[#This Row],[Per Person Package Cost]]="", Table5[[#This Row],[No. of Pax]]=""), "", Table5[[#This Row],[Per Person Package Cost]] * Table5[[#This Row],[No. of Pax]])</f>
        <v>33200</v>
      </c>
      <c r="AA247" s="52" t="s">
        <v>75</v>
      </c>
      <c r="AB247" s="52" t="s">
        <v>75</v>
      </c>
      <c r="AC247" s="52" t="s">
        <v>173</v>
      </c>
      <c r="AD247" s="52" t="s">
        <v>106</v>
      </c>
      <c r="AE247" s="51" t="str">
        <f t="shared" si="21"/>
        <v>EXIDR04</v>
      </c>
      <c r="AF247" s="51" t="str">
        <f t="shared" si="22"/>
        <v>Heritage Pilgrimage</v>
      </c>
      <c r="AG247" s="74" t="str">
        <f t="shared" si="23"/>
        <v>Quick Getaways</v>
      </c>
      <c r="AH247" s="73" t="str">
        <f t="shared" si="24"/>
        <v>West MP</v>
      </c>
      <c r="AI247" s="52" t="s">
        <v>159</v>
      </c>
      <c r="AJ247" s="56" t="s">
        <v>115</v>
      </c>
      <c r="AK247" s="59" t="s">
        <v>79</v>
      </c>
      <c r="AL247" s="60" t="s">
        <v>80</v>
      </c>
      <c r="AM247" s="54" t="s">
        <v>80</v>
      </c>
      <c r="AN247" s="14">
        <v>46229</v>
      </c>
      <c r="AO247" s="15"/>
      <c r="AP247" s="91"/>
      <c r="AQ247" s="87"/>
      <c r="AR247" s="26"/>
      <c r="AS247" s="65"/>
      <c r="AT247" s="88" t="s">
        <v>81</v>
      </c>
      <c r="AU247" s="67" t="s">
        <v>82</v>
      </c>
      <c r="CN247" t="s">
        <v>1818</v>
      </c>
      <c r="DA247" t="str" cm="1">
        <f t="array" ref="DA247:EO247">IF(U247&lt;&gt;"", TRANSPOSE(_xlfn._xlws.FILTER(CZ:CZ, CY:CY=U247, "")), "")</f>
        <v>Gwl (3N) + Mor + Son + Dat + Orc</v>
      </c>
      <c r="DB247" t="str">
        <v>Ex Gwl | Gwl (1N) - Son - Dat - Orc (1N) - Gwl (1N)</v>
      </c>
      <c r="DC247" t="str">
        <v>Ex Idr | Idr - Ujj (1N) - Omk - Mah (1N) - Man (1N) - Idr</v>
      </c>
      <c r="DD247" t="str">
        <v>Ex Jlr | Jlr - Kan (2N) - Jlr (1N)</v>
      </c>
      <c r="DE247" t="str">
        <v>Ex Jlr | Jlr - Ban (2N) - Jlr (1N)</v>
      </c>
      <c r="DF247" t="str">
        <v>Ex Bho | Bho (1N) + San - Bhoj - Bhim - Pch (2N) - Bho</v>
      </c>
      <c r="DG247" t="str">
        <v>Ex Idr | Idr (1N) - Ujj (1N) - Omk (1N) - Mah - Idr</v>
      </c>
      <c r="DH247" t="str">
        <v>Gwl - Orc (1N) - Ckt (1N) - Myr (1N) - Jlr</v>
      </c>
      <c r="DI247" t="str">
        <v>Gwl - Orc (1N) - Ckt (2N) - Ixd</v>
      </c>
      <c r="DJ247" t="str">
        <v>Ex Idr | Idr - Ujj (1N) - Omk - Mah (1N) - Idr (1N)</v>
      </c>
      <c r="DK247" t="str">
        <v>Ex Jlr | Jlr - Kan (3N) - Jlr</v>
      </c>
      <c r="DL247" t="str">
        <v>Ex Bho | Bho (2N) + Bhim + Bhoj + San + Udaygiri + Vidisha + FDCT Bho</v>
      </c>
      <c r="DM247" t="str">
        <v>Bho (1N) + Bhim + Bhoj - HDCT  Bho + Sanchi - Ujj (2N)</v>
      </c>
      <c r="DN247" t="str">
        <v>Bho (1N) + Bhim + Bhoj - HDCT  Bho + Sanchi - Ujj (2N) - Idr</v>
      </c>
      <c r="DO247" t="str">
        <v>Ex Bho | Bho - Bhoj - Bhim - Mad (1N) - Pch (2N) - Bho</v>
      </c>
      <c r="DP247" t="str">
        <v>Ex Bho | Bho - Bhoj - Bhim - Mad (1N) - Pch (3N) - Bho</v>
      </c>
      <c r="DQ247" t="str">
        <v>Ex Bho | Bho - Bhoj - Bhim - Tawa (1N) - Mad (1N) - Bho (1N)</v>
      </c>
      <c r="DR247" t="str">
        <v>Bho (1N) - Bhim - Bhoj - San - Idr (2N) + Ujj</v>
      </c>
      <c r="DS247" t="str">
        <v>Bho (1N) - Bhoj - Bhim - Pch (2N) - Bho</v>
      </c>
      <c r="DT247" t="str">
        <v>Ujj (1N) - Omk - Mah (1N) - Idr (1N)</v>
      </c>
      <c r="DU247" t="str">
        <v>Ujj (1N) - Omk - Mah (1N) - Man (1N) - Idr</v>
      </c>
      <c r="DV247" t="str">
        <v>Ex Idr | Idr (1N) - Ujj (1N) - Omk - Mah (1N)</v>
      </c>
      <c r="DW247" t="str">
        <v>Ex Idr | Idr - Ujj (1N) - Omk (1N) - Mah (1N) - Idr</v>
      </c>
      <c r="DX247" t="str">
        <v>Khandwa - Omk (1N) - Mah (1N) - Ujj (1N) - Idr</v>
      </c>
      <c r="DY247" t="str">
        <v>Ex Idr | Idr - Ujj (1N) - Omk - Mah (1N) - Man - Idr (1N)</v>
      </c>
      <c r="DZ247" t="str">
        <v xml:space="preserve">Idr - Omk (1N) - Mah - Ujj (1N) San - Bho (1N) </v>
      </c>
      <c r="EA247" t="str">
        <v>Ex Idr | Idr - Man (1N) - Mah - Omk (1N) - Ujj (1N) - Idr</v>
      </c>
      <c r="EB247" t="str">
        <v>Khandwa - Omk (1N) - Mah - Ujj (2N)</v>
      </c>
      <c r="EC247" t="str">
        <v>Ex Jlr | Jlr (1N) - Amr (1N) - Ban (1N) - Jlr</v>
      </c>
      <c r="ED247" t="str">
        <v>Ex Jlr | Jlr - (1 N) Ban - (2 N) Amar</v>
      </c>
      <c r="EE247" t="str">
        <v>Jlr - Kan (1N) - Pch (2N)</v>
      </c>
      <c r="EF247" t="str">
        <v>Pi - Pch (2N)  - Kan (1N)</v>
      </c>
      <c r="EG247" t="str">
        <v>Ex Jlr | Jlr - Amr (1 N) - (1 N) Ban - (1 N) Jlr</v>
      </c>
      <c r="EH247" t="str">
        <v>Ppi - (2 N) Pch - (1 N) Pen</v>
      </c>
      <c r="EI247" t="str">
        <v>Bhp - Pch (2N) - Jlr (1N)</v>
      </c>
      <c r="EJ247" t="str">
        <v xml:space="preserve">Arr Jhn - Hjr (1N) - Orc - Gwl (2N) </v>
      </c>
      <c r="EK247" t="str">
        <v>(1 N) Ujj - (1 N) Mah - (1 N) Idr</v>
      </c>
      <c r="EL247" t="str">
        <v>Ex Bhp | Bhp - Bhoj - Bhim - Pch (3N) - Bhp</v>
      </c>
      <c r="EM247" t="str">
        <v>Ex Bhp | Bhp - Bhoj - Bhim - Pch (2N) - Mad (1N) - Bhp</v>
      </c>
      <c r="EN247" t="str">
        <v xml:space="preserve">Ex Nag - 3N Pch + Sat </v>
      </c>
      <c r="EO247" t="str">
        <v>1N Gwl - Son - Dat - 1N Hjr - 1N Orc - Jhn</v>
      </c>
    </row>
    <row r="248" spans="2:145" ht="15" customHeight="1">
      <c r="B248" s="35">
        <v>244</v>
      </c>
      <c r="C248" s="36" t="s">
        <v>1819</v>
      </c>
      <c r="D248" s="76">
        <v>46226</v>
      </c>
      <c r="E248" s="37" t="str">
        <f>IF(Table5[[#This Row],[Query Date]]&lt;&gt;"", TEXT(Table5[[#This Row],[Query Date]], "dddd"), "")</f>
        <v>Thursday</v>
      </c>
      <c r="F248" s="37" t="str">
        <f>IF(Table5[[#This Row],[Query Date]]&lt;&gt;"", TEXT(Table5[[#This Row],[Query Date]], "mmmm"), "")</f>
        <v>July</v>
      </c>
      <c r="G248" s="28" t="s">
        <v>113</v>
      </c>
      <c r="H248" s="28" t="s">
        <v>99</v>
      </c>
      <c r="I248" s="28" t="s">
        <v>67</v>
      </c>
      <c r="J248" s="28" t="s">
        <v>68</v>
      </c>
      <c r="K248" s="28" t="s">
        <v>178</v>
      </c>
      <c r="L248" s="25" t="s">
        <v>160</v>
      </c>
      <c r="M248" s="112" t="s">
        <v>90</v>
      </c>
      <c r="N248" s="25" t="s">
        <v>1820</v>
      </c>
      <c r="O248" s="130" t="s">
        <v>1821</v>
      </c>
      <c r="P248" s="46" t="s">
        <v>1638</v>
      </c>
      <c r="Q248" s="77">
        <v>46305</v>
      </c>
      <c r="R248" s="77" t="str">
        <f>IF(Table5[[#This Row],[Tour Starting Date]]&lt;&gt;"", TEXT(Table5[[#This Row],[Tour Starting Date]], "dddd"), "")</f>
        <v>Saturday</v>
      </c>
      <c r="S248" s="77">
        <v>46307</v>
      </c>
      <c r="T248" s="25" t="str">
        <f>IF(Table5[[#This Row],[Tour Ending Date]]&lt;&gt;"", TEXT(Table5[[#This Row],[Tour Ending Date]], "dddd"), "")</f>
        <v>Monday</v>
      </c>
      <c r="U248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248" s="37" t="str">
        <f>IF(Table5[[#This Row],[Tour Starting Date]]&lt;&gt;"", TEXT(Table5[[#This Row],[Tour Starting Date]], "mmmm"), "")</f>
        <v>October</v>
      </c>
      <c r="W248" s="80" t="str" cm="1">
        <f t="array" ref="W248">IF(Q248&lt;&gt;"", INDEX(CI:CI, MATCH(1, (Q248&gt;=CG:CG)*(Q248&lt;=CH:CH), 0)), "")</f>
        <v>Regular Dates - Weekend</v>
      </c>
      <c r="X248" s="39">
        <v>10</v>
      </c>
      <c r="Y248" s="74">
        <v>6800</v>
      </c>
      <c r="Z248" s="74">
        <f>IF(OR(Table5[[#This Row],[Per Person Package Cost]]="", Table5[[#This Row],[No. of Pax]]=""), "", Table5[[#This Row],[Per Person Package Cost]] * Table5[[#This Row],[No. of Pax]])</f>
        <v>68000</v>
      </c>
      <c r="AA248" s="52" t="s">
        <v>75</v>
      </c>
      <c r="AB248" s="52" t="s">
        <v>75</v>
      </c>
      <c r="AC248" s="52" t="s">
        <v>76</v>
      </c>
      <c r="AD248" s="52" t="s">
        <v>352</v>
      </c>
      <c r="AE248" s="51" t="str">
        <f t="shared" si="21"/>
        <v>EXIDR02</v>
      </c>
      <c r="AF248" s="51" t="str">
        <f t="shared" si="22"/>
        <v>Jyotirlinga Trails</v>
      </c>
      <c r="AG248" s="74" t="str">
        <f t="shared" si="23"/>
        <v>Quick Getaways</v>
      </c>
      <c r="AH248" s="73" t="str">
        <f t="shared" si="24"/>
        <v>West MP</v>
      </c>
      <c r="AI248" s="52" t="s">
        <v>107</v>
      </c>
      <c r="AJ248" s="56" t="s">
        <v>115</v>
      </c>
      <c r="AK248" s="59" t="s">
        <v>79</v>
      </c>
      <c r="AL248" s="60" t="s">
        <v>80</v>
      </c>
      <c r="AM248" s="54" t="s">
        <v>80</v>
      </c>
      <c r="AN248" s="14">
        <v>46229</v>
      </c>
      <c r="AO248" s="15"/>
      <c r="AP248" s="91"/>
      <c r="AQ248" s="87"/>
      <c r="AR248" s="26"/>
      <c r="AS248" s="65"/>
      <c r="AT248" s="88" t="s">
        <v>138</v>
      </c>
      <c r="AU248" s="67"/>
      <c r="CN248" t="s">
        <v>1822</v>
      </c>
      <c r="DA248" t="str" cm="1">
        <f t="array" ref="DA248:DY248">IF(U248&lt;&gt;"", TRANSPOSE(_xlfn._xlws.FILTER(CZ:CZ, CY:CY=U248, "")), "")</f>
        <v>Gwl (2N) + Mor</v>
      </c>
      <c r="DB248" t="str">
        <v>Ex Idr | Idr - Ujj (1N) - Omk - Mah (1N) - Man - Idr</v>
      </c>
      <c r="DC248" t="str">
        <v>Ujj (1N) - Omk - Idr (1N)</v>
      </c>
      <c r="DD248" t="str">
        <v>Ex Jlr | Jlr - Kan (2N) - Jlr</v>
      </c>
      <c r="DE248" t="str">
        <v>Ex Jlr | Jlr - Ban (2N) - Jlr</v>
      </c>
      <c r="DF248" t="str">
        <v>Ex Bho | Bho (2N) + Bhim + Bhoj + San</v>
      </c>
      <c r="DG248" t="str">
        <v>Ex Idr | Idr - Man (2N) - Idr</v>
      </c>
      <c r="DH248" t="str">
        <v>Ex Jlr | Jlr - Kan (2N) - Jlr</v>
      </c>
      <c r="DI248" t="str">
        <v>Ex Bho | Bho (2N) + Bhim + Bhoj + San + HDCT Bho</v>
      </c>
      <c r="DJ248" t="str">
        <v>Ex Bho | Bho - Bhim - Tawa (1N) - Mad (1N) - Bho</v>
      </c>
      <c r="DK248" t="str">
        <v>Ujj (1N) - Omk - Mah (1N) - Idr</v>
      </c>
      <c r="DL248" t="str">
        <v>Ujj (1N) -  Idr (1N)</v>
      </c>
      <c r="DM248" t="str">
        <v>Ex Idr | Idr (2N) + Ujj + Omk + Mah</v>
      </c>
      <c r="DN248" t="str">
        <v>Idr - Mah - Omk (1N) - Ujj (1N)</v>
      </c>
      <c r="DO248" t="str">
        <v>Idr - Ujj (1N) - Mah - Omk (1N) - Khandwa</v>
      </c>
      <c r="DP248" t="str">
        <v>Ex Idr | Idr (EX Ujj) (1N) - Mah - Omk (1N) - Idr HDCT</v>
      </c>
      <c r="DQ248" t="str">
        <v>Ujj (1N) - Sehor - Bho (1N) HDCT</v>
      </c>
      <c r="DR248" t="str">
        <v>Ex Jlr | Jlr (1N) - Ban (1N)</v>
      </c>
      <c r="DS248" t="str">
        <v>Ex Jlr | Ban (1N)</v>
      </c>
      <c r="DT248" t="str">
        <v>Ex Jlr | Jlr (2 N) Kan</v>
      </c>
      <c r="DU248" t="str">
        <v>Ex Jlr | Jlr - Amr (1 N) - (1 N) Ban</v>
      </c>
      <c r="DV248" t="str">
        <v>Ex Rpr | Rpr - (2N) Kan</v>
      </c>
      <c r="DW248" t="str">
        <v>Hjr (1N) - Mahi (1N) - Sat</v>
      </c>
      <c r="DX248" t="str">
        <v>Ex Bhp | Bhp - Bhim - Pch (2N) - Bhp</v>
      </c>
      <c r="DY248" t="str">
        <v xml:space="preserve">Ex Ujj I 2N Ujj </v>
      </c>
    </row>
    <row r="249" spans="2:145" ht="15" customHeight="1">
      <c r="B249" s="34">
        <v>245</v>
      </c>
      <c r="C249" s="36" t="s">
        <v>1823</v>
      </c>
      <c r="D249" s="76">
        <v>46226</v>
      </c>
      <c r="E249" s="37" t="str">
        <f>IF(Table5[[#This Row],[Query Date]]&lt;&gt;"", TEXT(Table5[[#This Row],[Query Date]], "dddd"), "")</f>
        <v>Thursday</v>
      </c>
      <c r="F249" s="37" t="str">
        <f>IF(Table5[[#This Row],[Query Date]]&lt;&gt;"", TEXT(Table5[[#This Row],[Query Date]], "mmmm"), "")</f>
        <v>July</v>
      </c>
      <c r="G249" s="28" t="s">
        <v>113</v>
      </c>
      <c r="H249" s="28" t="s">
        <v>99</v>
      </c>
      <c r="I249" s="28" t="s">
        <v>67</v>
      </c>
      <c r="J249" s="28" t="s">
        <v>68</v>
      </c>
      <c r="K249" s="28" t="s">
        <v>178</v>
      </c>
      <c r="L249" s="25" t="s">
        <v>160</v>
      </c>
      <c r="M249" s="112" t="s">
        <v>90</v>
      </c>
      <c r="N249" s="25" t="s">
        <v>1237</v>
      </c>
      <c r="O249" s="130" t="s">
        <v>1824</v>
      </c>
      <c r="P249" s="46" t="s">
        <v>1638</v>
      </c>
      <c r="Q249" s="77">
        <v>46238</v>
      </c>
      <c r="R249" s="77" t="str">
        <f>IF(Table5[[#This Row],[Tour Starting Date]]&lt;&gt;"", TEXT(Table5[[#This Row],[Tour Starting Date]], "dddd"), "")</f>
        <v>Tuesday</v>
      </c>
      <c r="S249" s="77">
        <v>46242</v>
      </c>
      <c r="T249" s="25" t="str">
        <f>IF(Table5[[#This Row],[Tour Ending Date]]&lt;&gt;"", TEXT(Table5[[#This Row],[Tour Ending Date]], "dddd"), "")</f>
        <v>Saturday</v>
      </c>
      <c r="U249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4 Nights &amp; 5 Days</v>
      </c>
      <c r="V249" s="37" t="str">
        <f>IF(Table5[[#This Row],[Tour Starting Date]]&lt;&gt;"", TEXT(Table5[[#This Row],[Tour Starting Date]], "mmmm"), "")</f>
        <v>August</v>
      </c>
      <c r="W249" s="80" t="str" cm="1">
        <f t="array" ref="W249">IF(Q249&lt;&gt;"", INDEX(CI:CI, MATCH(1, (Q249&gt;=CG:CG)*(Q249&lt;=CH:CH), 0)), "")</f>
        <v>Regular Dates - Weekday</v>
      </c>
      <c r="X249" s="39">
        <v>1</v>
      </c>
      <c r="Y249" s="74">
        <v>42000</v>
      </c>
      <c r="Z249" s="74">
        <f>IF(OR(Table5[[#This Row],[Per Person Package Cost]]="", Table5[[#This Row],[No. of Pax]]=""), "", Table5[[#This Row],[Per Person Package Cost]] * Table5[[#This Row],[No. of Pax]])</f>
        <v>42000</v>
      </c>
      <c r="AA249" s="52" t="s">
        <v>75</v>
      </c>
      <c r="AB249" s="52" t="s">
        <v>75</v>
      </c>
      <c r="AC249" s="52" t="s">
        <v>173</v>
      </c>
      <c r="AD249" s="52" t="s">
        <v>106</v>
      </c>
      <c r="AE249" s="51" t="str">
        <f t="shared" si="21"/>
        <v>EXIDR04</v>
      </c>
      <c r="AF249" s="51" t="str">
        <f t="shared" si="22"/>
        <v>Heritage Pilgrimage</v>
      </c>
      <c r="AG249" s="74" t="str">
        <f t="shared" si="23"/>
        <v>Quick Getaways</v>
      </c>
      <c r="AH249" s="73" t="str">
        <f t="shared" si="24"/>
        <v>West MP</v>
      </c>
      <c r="AI249" s="52" t="s">
        <v>159</v>
      </c>
      <c r="AJ249" s="56" t="s">
        <v>115</v>
      </c>
      <c r="AK249" s="59" t="s">
        <v>79</v>
      </c>
      <c r="AL249" s="60" t="s">
        <v>80</v>
      </c>
      <c r="AM249" s="54" t="s">
        <v>80</v>
      </c>
      <c r="AN249" s="14">
        <v>46229</v>
      </c>
      <c r="AO249" s="15"/>
      <c r="AP249" s="91"/>
      <c r="AQ249" s="87"/>
      <c r="AR249" s="26"/>
      <c r="AS249" s="65"/>
      <c r="AT249" s="88" t="s">
        <v>81</v>
      </c>
      <c r="AU249" s="67" t="s">
        <v>82</v>
      </c>
      <c r="CN249" t="s">
        <v>1825</v>
      </c>
      <c r="DA249" t="str" cm="1">
        <f t="array" ref="DA249:EJ249">IF(U249&lt;&gt;"", TRANSPOSE(_xlfn._xlws.FILTER(CZ:CZ, CY:CY=U249, "")), "")</f>
        <v>Ex Gwl | Gwl (2N) + Mor - Son - Dat - Orc (1N) - Hjr (1N) - Gwl</v>
      </c>
      <c r="DB249" t="str">
        <v>Ex Idr | Idr - Ujj (1N) - Omk - Mah (1N) - Man (1N) - Idr (1N)</v>
      </c>
      <c r="DC249" t="str">
        <v>Ex Idr | Idr - Ujj (1N) - Omk (1N) - Mah (1N) - Man (1N) - Idr</v>
      </c>
      <c r="DD249" t="str">
        <v>Ex Jlr | Jlr - Kan (2N) - Amk (1N) - Jlr (1N)</v>
      </c>
      <c r="DE249" t="str">
        <v>Ex Jlr | Jlr - Ban (2N) - Amk (1N) - Jlr (1N)</v>
      </c>
      <c r="DF249" t="str">
        <v>Ex Jlr | Jlr (1N) - Hjr (1N) - Ban (2N) - Jlr</v>
      </c>
      <c r="DG249" t="str">
        <v>Ex Jlr | Jlr (1N) - Kan (1N) - Ban (2N) - Jlr</v>
      </c>
      <c r="DH249" t="str">
        <v>Ex Bho | Bho (1N) + San + Bhoj + Bhim - Tawa - Mad (1N) - Pch (2N) - Bho</v>
      </c>
      <c r="DI249" t="str">
        <v>Ex Idr | Idr - Ujj (1N) - Omk - Mah (1N) - Man (1N) - Idr (1N)</v>
      </c>
      <c r="DJ249" t="str">
        <v>Ex Bho | Bho (1N) - Bhoj - Bhim - Pch (3N) - Bho</v>
      </c>
      <c r="DK249" t="str">
        <v>Gwl (1N) - Dat (Pitambara Peeth) - Orc (1N) - Ckt (2N) - Ixd</v>
      </c>
      <c r="DL249" t="str">
        <v>Ex Jlr | Jlr - Ban (2N) - Kan (2N) - Jlr</v>
      </c>
      <c r="DM249" t="str">
        <v>Jlr - Ban (1N) - Kan (1N) - Pen (2N) - Nag</v>
      </c>
      <c r="DN249" t="str">
        <v>Ex Bho | Bho (1N) - Bhoj - Bhim - Pch (3N) - Bho</v>
      </c>
      <c r="DO249" t="str">
        <v>Ex Bho | Bho (2N) + Sanchi + Bhoj + Bhim - Tawa - Mad (1N) - Bho (1N)</v>
      </c>
      <c r="DP249" t="str">
        <v>Ex Bho | Bho - Bhoj - Bhim - Tawa (1N) - Mad (1N) - Pch (2N) - Bho</v>
      </c>
      <c r="DQ249" t="str">
        <v>Bho - Bhoj - Bhim - Pch (2N) - Kan (1N) - Jlr (1N)</v>
      </c>
      <c r="DR249" t="str">
        <v>Bho - Bhoj - Bhim - Pch (2N) - Kan (1N) - Amk (1N) - Jlr</v>
      </c>
      <c r="DS249" t="str">
        <v xml:space="preserve">Bho (1N) + Bhim + Bhoj + San - Ujj (1N) - Omk - Mah (1N) - Idr (1N) </v>
      </c>
      <c r="DT249" t="str">
        <v>Ex Gwl | Gwl - Hjr (1N) - Orc (1N) - Dat - Son - Gwl (2N)</v>
      </c>
      <c r="DU249" t="str">
        <v>Ex Gwl | Gwl - Orc (1N) - Hjr (1N) - Chn (1N) - Shiv (1N) - Gwl</v>
      </c>
      <c r="DV249" t="str">
        <v>Gwl - Hjr (1N) - Panna (1N) - Chit (1N) - Mahi (1N) - Sat</v>
      </c>
      <c r="DW249" t="str">
        <v>Jlr - (2 N) Kan - (2 N) Pch - Bhim - Bhoj - Bhp</v>
      </c>
      <c r="DX249" t="str">
        <v>Jlr - (2 N) Kan - (2 N) Pen - Rpr</v>
      </c>
      <c r="DY249" t="str">
        <v>Gwl (2N) (Ex Mor) - Dat -Orc (1N) - Hjr (1N) - Jhn</v>
      </c>
      <c r="DZ249" t="str">
        <v>Ex Gwl | Gwl (1N) - Son - Dat - Orc (1N) - Hjr (2N) (Ex Panna) - Gwl</v>
      </c>
      <c r="EA249" t="str">
        <v>Hjr (1N) - Orc (1N) - Dat - son - Gwl (2N)(Ex Mor)</v>
      </c>
      <c r="EB249" t="str">
        <v>(2 N) Gwl - (1 N) Orch - (1 N) Hjr</v>
      </c>
      <c r="EC249" t="str">
        <v>Ex Bhp | Bhp - Bhoj - Bhim - Pch (2N) - Mad (1N) - Tawa (1N) - Bhp</v>
      </c>
      <c r="ED249" t="str">
        <v>Ex Bhp | Bhp - Bhoj - Bhim - Pch (2N) - Mad (2N) - Bhp</v>
      </c>
      <c r="EE249" t="str">
        <v>Ex Idr | Idr - Ujj (1N) - Omk (1N) - Mah (2N) (Ex Man) - Idr (HDCT)</v>
      </c>
      <c r="EF249" t="str">
        <v>Arr Rpr - Amr (2N) - Par (2N) - IXD</v>
      </c>
      <c r="EG249" t="str">
        <v>1N Gwl - Orc - 2N Hjr - Jhn - 1N Gwl</v>
      </c>
      <c r="EH249" t="str">
        <v>1N Orc - 1N Hjr - 2N Gwl Ex Mor</v>
      </c>
      <c r="EI249" t="str">
        <v>1N Idr - Omk - 1N Mah - 1N Ujj - Seh - 1N Bho</v>
      </c>
      <c r="EJ249" t="str">
        <v>Ex Idr I 1N Idr - 1N Ujj - Omk - 2N Mah - Man - Idr</v>
      </c>
    </row>
    <row r="250" spans="2:145" ht="15" customHeight="1">
      <c r="B250" s="35">
        <v>246</v>
      </c>
      <c r="C250" s="36" t="s">
        <v>1826</v>
      </c>
      <c r="D250" s="76">
        <v>46226</v>
      </c>
      <c r="E250" s="37" t="str">
        <f>IF(Table5[[#This Row],[Query Date]]&lt;&gt;"", TEXT(Table5[[#This Row],[Query Date]], "dddd"), "")</f>
        <v>Thursday</v>
      </c>
      <c r="F250" s="37" t="str">
        <f>IF(Table5[[#This Row],[Query Date]]&lt;&gt;"", TEXT(Table5[[#This Row],[Query Date]], "mmmm"), "")</f>
        <v>July</v>
      </c>
      <c r="G250" s="28" t="s">
        <v>113</v>
      </c>
      <c r="H250" s="28" t="s">
        <v>99</v>
      </c>
      <c r="I250" s="28" t="s">
        <v>67</v>
      </c>
      <c r="J250" s="28" t="s">
        <v>68</v>
      </c>
      <c r="K250" s="28" t="s">
        <v>178</v>
      </c>
      <c r="L250" s="25" t="s">
        <v>160</v>
      </c>
      <c r="M250" s="112" t="s">
        <v>90</v>
      </c>
      <c r="N250" s="25" t="s">
        <v>1175</v>
      </c>
      <c r="O250" s="130" t="s">
        <v>1827</v>
      </c>
      <c r="P250" s="106" t="s">
        <v>1638</v>
      </c>
      <c r="Q250" s="77">
        <v>46252</v>
      </c>
      <c r="R250" s="77" t="str">
        <f>IF(Table5[[#This Row],[Tour Starting Date]]&lt;&gt;"", TEXT(Table5[[#This Row],[Tour Starting Date]], "dddd"), "")</f>
        <v>Tuesday</v>
      </c>
      <c r="S250" s="77">
        <v>46254</v>
      </c>
      <c r="T250" s="25" t="str">
        <f>IF(Table5[[#This Row],[Tour Ending Date]]&lt;&gt;"", TEXT(Table5[[#This Row],[Tour Ending Date]], "dddd"), "")</f>
        <v>Thursday</v>
      </c>
      <c r="U250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250" s="37" t="str">
        <f>IF(Table5[[#This Row],[Tour Starting Date]]&lt;&gt;"", TEXT(Table5[[#This Row],[Tour Starting Date]], "mmmm"), "")</f>
        <v>August</v>
      </c>
      <c r="W250" s="80" t="str" cm="1">
        <f t="array" ref="W250">IF(Q250&lt;&gt;"", INDEX(CI:CI, MATCH(1, (Q250&gt;=CG:CG)*(Q250&lt;=CH:CH), 0)), "")</f>
        <v>Regular Dates - Weekday</v>
      </c>
      <c r="X250" s="39">
        <v>3</v>
      </c>
      <c r="Y250" s="74">
        <v>8300</v>
      </c>
      <c r="Z250" s="74">
        <f>IF(OR(Table5[[#This Row],[Per Person Package Cost]]="", Table5[[#This Row],[No. of Pax]]=""), "", Table5[[#This Row],[Per Person Package Cost]] * Table5[[#This Row],[No. of Pax]])</f>
        <v>24900</v>
      </c>
      <c r="AA250" s="52" t="s">
        <v>75</v>
      </c>
      <c r="AB250" s="52" t="s">
        <v>75</v>
      </c>
      <c r="AC250" s="52" t="s">
        <v>173</v>
      </c>
      <c r="AD250" s="52" t="s">
        <v>352</v>
      </c>
      <c r="AE250" s="51" t="str">
        <f t="shared" si="21"/>
        <v>EXIDR02</v>
      </c>
      <c r="AF250" s="51" t="str">
        <f t="shared" si="22"/>
        <v>Jyotirlinga Trails</v>
      </c>
      <c r="AG250" s="74" t="str">
        <f t="shared" si="23"/>
        <v>Quick Getaways</v>
      </c>
      <c r="AH250" s="73" t="str">
        <f t="shared" si="24"/>
        <v>West MP</v>
      </c>
      <c r="AI250" s="52" t="s">
        <v>159</v>
      </c>
      <c r="AJ250" s="56" t="s">
        <v>115</v>
      </c>
      <c r="AK250" s="59" t="s">
        <v>79</v>
      </c>
      <c r="AL250" s="60" t="s">
        <v>80</v>
      </c>
      <c r="AM250" s="54" t="s">
        <v>80</v>
      </c>
      <c r="AN250" s="14">
        <v>46229</v>
      </c>
      <c r="AO250" s="15"/>
      <c r="AP250" s="91"/>
      <c r="AQ250" s="87"/>
      <c r="AR250" s="26"/>
      <c r="AS250" s="65"/>
      <c r="AT250" s="88" t="s">
        <v>81</v>
      </c>
      <c r="AU250" s="67" t="s">
        <v>82</v>
      </c>
      <c r="CN250" t="s">
        <v>1818</v>
      </c>
      <c r="DA250" t="str" cm="1">
        <f t="array" ref="DA250:DY250">IF(U250&lt;&gt;"", TRANSPOSE(_xlfn._xlws.FILTER(CZ:CZ, CY:CY=U250, "")), "")</f>
        <v>Gwl (2N) + Mor</v>
      </c>
      <c r="DB250" t="str">
        <v>Ex Idr | Idr - Ujj (1N) - Omk - Mah (1N) - Man - Idr</v>
      </c>
      <c r="DC250" t="str">
        <v>Ujj (1N) - Omk - Idr (1N)</v>
      </c>
      <c r="DD250" t="str">
        <v>Ex Jlr | Jlr - Kan (2N) - Jlr</v>
      </c>
      <c r="DE250" t="str">
        <v>Ex Jlr | Jlr - Ban (2N) - Jlr</v>
      </c>
      <c r="DF250" t="str">
        <v>Ex Bho | Bho (2N) + Bhim + Bhoj + San</v>
      </c>
      <c r="DG250" t="str">
        <v>Ex Idr | Idr - Man (2N) - Idr</v>
      </c>
      <c r="DH250" t="str">
        <v>Ex Jlr | Jlr - Kan (2N) - Jlr</v>
      </c>
      <c r="DI250" t="str">
        <v>Ex Bho | Bho (2N) + Bhim + Bhoj + San + HDCT Bho</v>
      </c>
      <c r="DJ250" t="str">
        <v>Ex Bho | Bho - Bhim - Tawa (1N) - Mad (1N) - Bho</v>
      </c>
      <c r="DK250" t="str">
        <v>Ujj (1N) - Omk - Mah (1N) - Idr</v>
      </c>
      <c r="DL250" t="str">
        <v>Ujj (1N) -  Idr (1N)</v>
      </c>
      <c r="DM250" t="str">
        <v>Ex Idr | Idr (2N) + Ujj + Omk + Mah</v>
      </c>
      <c r="DN250" t="str">
        <v>Idr - Mah - Omk (1N) - Ujj (1N)</v>
      </c>
      <c r="DO250" t="str">
        <v>Idr - Ujj (1N) - Mah - Omk (1N) - Khandwa</v>
      </c>
      <c r="DP250" t="str">
        <v>Ex Idr | Idr (EX Ujj) (1N) - Mah - Omk (1N) - Idr HDCT</v>
      </c>
      <c r="DQ250" t="str">
        <v>Ujj (1N) - Sehor - Bho (1N) HDCT</v>
      </c>
      <c r="DR250" t="str">
        <v>Ex Jlr | Jlr (1N) - Ban (1N)</v>
      </c>
      <c r="DS250" t="str">
        <v>Ex Jlr | Ban (1N)</v>
      </c>
      <c r="DT250" t="str">
        <v>Ex Jlr | Jlr (2 N) Kan</v>
      </c>
      <c r="DU250" t="str">
        <v>Ex Jlr | Jlr - Amr (1 N) - (1 N) Ban</v>
      </c>
      <c r="DV250" t="str">
        <v>Ex Rpr | Rpr - (2N) Kan</v>
      </c>
      <c r="DW250" t="str">
        <v>Hjr (1N) - Mahi (1N) - Sat</v>
      </c>
      <c r="DX250" t="str">
        <v>Ex Bhp | Bhp - Bhim - Pch (2N) - Bhp</v>
      </c>
      <c r="DY250" t="str">
        <v xml:space="preserve">Ex Ujj I 2N Ujj </v>
      </c>
    </row>
    <row r="251" spans="2:145" ht="15" customHeight="1">
      <c r="B251" s="34">
        <v>247</v>
      </c>
      <c r="C251" s="36" t="s">
        <v>1828</v>
      </c>
      <c r="D251" s="76">
        <v>46226</v>
      </c>
      <c r="E251" s="37" t="str">
        <f>IF(Table5[[#This Row],[Query Date]]&lt;&gt;"", TEXT(Table5[[#This Row],[Query Date]], "dddd"), "")</f>
        <v>Thursday</v>
      </c>
      <c r="F251" s="37" t="str">
        <f>IF(Table5[[#This Row],[Query Date]]&lt;&gt;"", TEXT(Table5[[#This Row],[Query Date]], "mmmm"), "")</f>
        <v>July</v>
      </c>
      <c r="G251" s="28" t="s">
        <v>113</v>
      </c>
      <c r="H251" s="28" t="s">
        <v>99</v>
      </c>
      <c r="I251" s="28" t="s">
        <v>67</v>
      </c>
      <c r="J251" s="28" t="s">
        <v>68</v>
      </c>
      <c r="K251" s="28" t="s">
        <v>178</v>
      </c>
      <c r="L251" s="25" t="s">
        <v>160</v>
      </c>
      <c r="M251" s="112" t="s">
        <v>90</v>
      </c>
      <c r="N251" s="25" t="s">
        <v>1829</v>
      </c>
      <c r="O251" s="130" t="s">
        <v>1830</v>
      </c>
      <c r="P251" s="106" t="s">
        <v>1638</v>
      </c>
      <c r="Q251" s="77">
        <v>46378</v>
      </c>
      <c r="R251" s="77" t="str">
        <f>IF(Table5[[#This Row],[Tour Starting Date]]&lt;&gt;"", TEXT(Table5[[#This Row],[Tour Starting Date]], "dddd"), "")</f>
        <v>Tuesday</v>
      </c>
      <c r="S251" s="77">
        <v>46386</v>
      </c>
      <c r="T251" s="25" t="str">
        <f>IF(Table5[[#This Row],[Tour Ending Date]]&lt;&gt;"", TEXT(Table5[[#This Row],[Tour Ending Date]], "dddd"), "")</f>
        <v>Wednesday</v>
      </c>
      <c r="U251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8 Nights &amp; 9 Days</v>
      </c>
      <c r="V251" s="37" t="str">
        <f>IF(Table5[[#This Row],[Tour Starting Date]]&lt;&gt;"", TEXT(Table5[[#This Row],[Tour Starting Date]], "mmmm"), "")</f>
        <v>December</v>
      </c>
      <c r="W251" s="80" t="str" cm="1">
        <f t="array" ref="W251">IF(Q251&lt;&gt;"", INDEX(CI:CI, MATCH(1, (Q251&gt;=CG:CG)*(Q251&lt;=CH:CH), 0)), "")</f>
        <v>Regular Dates - Weekday</v>
      </c>
      <c r="X251" s="39">
        <v>2</v>
      </c>
      <c r="Y251" s="74">
        <v>13900</v>
      </c>
      <c r="Z251" s="74">
        <f>IF(OR(Table5[[#This Row],[Per Person Package Cost]]="", Table5[[#This Row],[No. of Pax]]=""), "", Table5[[#This Row],[Per Person Package Cost]] * Table5[[#This Row],[No. of Pax]])</f>
        <v>27800</v>
      </c>
      <c r="AA251" s="52" t="s">
        <v>75</v>
      </c>
      <c r="AB251" s="52" t="s">
        <v>520</v>
      </c>
      <c r="AC251" s="52" t="s">
        <v>173</v>
      </c>
      <c r="AD251" s="52" t="s">
        <v>425</v>
      </c>
      <c r="AE251" s="51" t="str">
        <f t="shared" si="21"/>
        <v>EXIDR09</v>
      </c>
      <c r="AF251" s="51" t="str">
        <f t="shared" si="22"/>
        <v>Cultural Treasures Unveiled</v>
      </c>
      <c r="AG251" s="74" t="str">
        <f t="shared" si="23"/>
        <v>Quick Getaways</v>
      </c>
      <c r="AH251" s="73" t="str">
        <f t="shared" si="24"/>
        <v>South + West MP</v>
      </c>
      <c r="AI251" s="52" t="s">
        <v>159</v>
      </c>
      <c r="AJ251" s="56" t="s">
        <v>115</v>
      </c>
      <c r="AK251" s="59" t="s">
        <v>79</v>
      </c>
      <c r="AL251" s="60" t="s">
        <v>80</v>
      </c>
      <c r="AM251" s="54" t="s">
        <v>80</v>
      </c>
      <c r="AN251" s="14">
        <v>46229</v>
      </c>
      <c r="AO251" s="15"/>
      <c r="AP251" s="91"/>
      <c r="AQ251" s="87"/>
      <c r="AR251" s="26"/>
      <c r="AS251" s="65"/>
      <c r="AT251" s="88" t="s">
        <v>138</v>
      </c>
      <c r="AU251" s="67"/>
      <c r="CN251" t="s">
        <v>1831</v>
      </c>
      <c r="DA251" t="str" cm="1">
        <f t="array" ref="DA251:DC251">IF(U251&lt;&gt;"", TRANSPOSE(_xlfn._xlws.FILTER(CZ:CZ, CY:CY=U251, "")), "")</f>
        <v>Gwl (1N) - Dat - Orc (1N) - Hjr (1N) - San - Bho (2N) + Bhim + Bhoj - Ujj (1N) - Omk - Mah (1N) - Man (1N) - Idr</v>
      </c>
      <c r="DB251" t="str">
        <v>Bho - Bhoj - Bhim - Mad (1N) - Pen (1N) - Kan (2N) - Ban (2N) - Pan (1N) - Gwl (1N)</v>
      </c>
      <c r="DC251" t="str">
        <v>(1 N) Ujj - (2 N) Mah - (1 N) Idr - (1 N) Bho - (2 N) Pach - (1 N) Pench</v>
      </c>
    </row>
    <row r="252" spans="2:145" ht="15" customHeight="1">
      <c r="B252" s="35">
        <v>248</v>
      </c>
      <c r="C252" s="36" t="s">
        <v>1832</v>
      </c>
      <c r="D252" s="76">
        <v>46227</v>
      </c>
      <c r="E252" s="37" t="str">
        <f>IF(Table5[[#This Row],[Query Date]]&lt;&gt;"", TEXT(Table5[[#This Row],[Query Date]], "dddd"), "")</f>
        <v>Friday</v>
      </c>
      <c r="F252" s="37" t="str">
        <f>IF(Table5[[#This Row],[Query Date]]&lt;&gt;"", TEXT(Table5[[#This Row],[Query Date]], "mmmm"), "")</f>
        <v>July</v>
      </c>
      <c r="G252" s="28" t="s">
        <v>113</v>
      </c>
      <c r="H252" s="28" t="s">
        <v>99</v>
      </c>
      <c r="I252" s="28" t="s">
        <v>67</v>
      </c>
      <c r="J252" s="28" t="s">
        <v>68</v>
      </c>
      <c r="K252" s="28" t="s">
        <v>178</v>
      </c>
      <c r="L252" s="25" t="s">
        <v>160</v>
      </c>
      <c r="M252" s="112" t="s">
        <v>90</v>
      </c>
      <c r="N252" s="25" t="s">
        <v>1833</v>
      </c>
      <c r="O252" s="130" t="s">
        <v>1834</v>
      </c>
      <c r="P252" s="106" t="s">
        <v>1638</v>
      </c>
      <c r="Q252" s="77">
        <v>46273</v>
      </c>
      <c r="R252" s="77" t="str">
        <f>IF(Table5[[#This Row],[Tour Starting Date]]&lt;&gt;"", TEXT(Table5[[#This Row],[Tour Starting Date]], "dddd"), "")</f>
        <v>Tuesday</v>
      </c>
      <c r="S252" s="77">
        <v>46276</v>
      </c>
      <c r="T252" s="25" t="str">
        <f>IF(Table5[[#This Row],[Tour Ending Date]]&lt;&gt;"", TEXT(Table5[[#This Row],[Tour Ending Date]], "dddd"), "")</f>
        <v>Friday</v>
      </c>
      <c r="U252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252" s="37" t="str">
        <f>IF(Table5[[#This Row],[Tour Starting Date]]&lt;&gt;"", TEXT(Table5[[#This Row],[Tour Starting Date]], "mmmm"), "")</f>
        <v>September</v>
      </c>
      <c r="W252" s="80" t="str" cm="1">
        <f t="array" ref="W252">IF(Q252&lt;&gt;"", INDEX(CI:CI, MATCH(1, (Q252&gt;=CG:CG)*(Q252&lt;=CH:CH), 0)), "")</f>
        <v>Regular Dates - Weekday</v>
      </c>
      <c r="X252" s="39">
        <v>4</v>
      </c>
      <c r="Y252" s="74">
        <v>16000</v>
      </c>
      <c r="Z252" s="74">
        <f>IF(OR(Table5[[#This Row],[Per Person Package Cost]]="", Table5[[#This Row],[No. of Pax]]=""), "", Table5[[#This Row],[Per Person Package Cost]] * Table5[[#This Row],[No. of Pax]])</f>
        <v>64000</v>
      </c>
      <c r="AA252" s="52" t="s">
        <v>75</v>
      </c>
      <c r="AB252" s="52" t="s">
        <v>75</v>
      </c>
      <c r="AC252" s="52" t="s">
        <v>173</v>
      </c>
      <c r="AD252" s="52" t="s">
        <v>106</v>
      </c>
      <c r="AE252" s="51" t="str">
        <f t="shared" si="21"/>
        <v>EXIDR04</v>
      </c>
      <c r="AF252" s="51" t="str">
        <f t="shared" si="22"/>
        <v>Heritage Pilgrimage</v>
      </c>
      <c r="AG252" s="74" t="str">
        <f>IF(AE252&lt;&gt;"", INDEX(CU:CU, MATCH(AE252, CW:CW, 0)), "")</f>
        <v>Quick Getaways</v>
      </c>
      <c r="AH252" s="73" t="str">
        <f t="shared" si="24"/>
        <v>West MP</v>
      </c>
      <c r="AI252" s="52" t="s">
        <v>159</v>
      </c>
      <c r="AJ252" s="56" t="s">
        <v>115</v>
      </c>
      <c r="AK252" s="59" t="s">
        <v>79</v>
      </c>
      <c r="AL252" s="60" t="s">
        <v>80</v>
      </c>
      <c r="AM252" s="54" t="s">
        <v>80</v>
      </c>
      <c r="AN252" s="14">
        <v>46230</v>
      </c>
      <c r="AO252" s="15"/>
      <c r="AP252" s="91"/>
      <c r="AQ252" s="87"/>
      <c r="AR252" s="26"/>
      <c r="AS252" s="65"/>
      <c r="AT252" s="88" t="s">
        <v>138</v>
      </c>
      <c r="AU252" s="67"/>
      <c r="CN252" t="s">
        <v>1835</v>
      </c>
      <c r="DA252" t="str" cm="1">
        <f t="array" ref="DA252:EO252">IF(U252&lt;&gt;"", TRANSPOSE(_xlfn._xlws.FILTER(CZ:CZ, CY:CY=U252, "")), "")</f>
        <v>Gwl (3N) + Mor + Son + Dat + Orc</v>
      </c>
      <c r="DB252" t="str">
        <v>Ex Gwl | Gwl (1N) - Son - Dat - Orc (1N) - Gwl (1N)</v>
      </c>
      <c r="DC252" t="str">
        <v>Ex Idr | Idr - Ujj (1N) - Omk - Mah (1N) - Man (1N) - Idr</v>
      </c>
      <c r="DD252" t="str">
        <v>Ex Jlr | Jlr - Kan (2N) - Jlr (1N)</v>
      </c>
      <c r="DE252" t="str">
        <v>Ex Jlr | Jlr - Ban (2N) - Jlr (1N)</v>
      </c>
      <c r="DF252" t="str">
        <v>Ex Bho | Bho (1N) + San - Bhoj - Bhim - Pch (2N) - Bho</v>
      </c>
      <c r="DG252" t="str">
        <v>Ex Idr | Idr (1N) - Ujj (1N) - Omk (1N) - Mah - Idr</v>
      </c>
      <c r="DH252" t="str">
        <v>Gwl - Orc (1N) - Ckt (1N) - Myr (1N) - Jlr</v>
      </c>
      <c r="DI252" t="str">
        <v>Gwl - Orc (1N) - Ckt (2N) - Ixd</v>
      </c>
      <c r="DJ252" t="str">
        <v>Ex Idr | Idr - Ujj (1N) - Omk - Mah (1N) - Idr (1N)</v>
      </c>
      <c r="DK252" t="str">
        <v>Ex Jlr | Jlr - Kan (3N) - Jlr</v>
      </c>
      <c r="DL252" t="str">
        <v>Ex Bho | Bho (2N) + Bhim + Bhoj + San + Udaygiri + Vidisha + FDCT Bho</v>
      </c>
      <c r="DM252" t="str">
        <v>Bho (1N) + Bhim + Bhoj - HDCT  Bho + Sanchi - Ujj (2N)</v>
      </c>
      <c r="DN252" t="str">
        <v>Bho (1N) + Bhim + Bhoj - HDCT  Bho + Sanchi - Ujj (2N) - Idr</v>
      </c>
      <c r="DO252" t="str">
        <v>Ex Bho | Bho - Bhoj - Bhim - Mad (1N) - Pch (2N) - Bho</v>
      </c>
      <c r="DP252" t="str">
        <v>Ex Bho | Bho - Bhoj - Bhim - Mad (1N) - Pch (3N) - Bho</v>
      </c>
      <c r="DQ252" t="str">
        <v>Ex Bho | Bho - Bhoj - Bhim - Tawa (1N) - Mad (1N) - Bho (1N)</v>
      </c>
      <c r="DR252" t="str">
        <v>Bho (1N) - Bhim - Bhoj - San - Idr (2N) + Ujj</v>
      </c>
      <c r="DS252" t="str">
        <v>Bho (1N) - Bhoj - Bhim - Pch (2N) - Bho</v>
      </c>
      <c r="DT252" t="str">
        <v>Ujj (1N) - Omk - Mah (1N) - Idr (1N)</v>
      </c>
      <c r="DU252" t="str">
        <v>Ujj (1N) - Omk - Mah (1N) - Man (1N) - Idr</v>
      </c>
      <c r="DV252" t="str">
        <v>Ex Idr | Idr (1N) - Ujj (1N) - Omk - Mah (1N)</v>
      </c>
      <c r="DW252" t="str">
        <v>Ex Idr | Idr - Ujj (1N) - Omk (1N) - Mah (1N) - Idr</v>
      </c>
      <c r="DX252" t="str">
        <v>Khandwa - Omk (1N) - Mah (1N) - Ujj (1N) - Idr</v>
      </c>
      <c r="DY252" t="str">
        <v>Ex Idr | Idr - Ujj (1N) - Omk - Mah (1N) - Man - Idr (1N)</v>
      </c>
      <c r="DZ252" t="str">
        <v xml:space="preserve">Idr - Omk (1N) - Mah - Ujj (1N) San - Bho (1N) </v>
      </c>
      <c r="EA252" t="str">
        <v>Ex Idr | Idr - Man (1N) - Mah - Omk (1N) - Ujj (1N) - Idr</v>
      </c>
      <c r="EB252" t="str">
        <v>Khandwa - Omk (1N) - Mah - Ujj (2N)</v>
      </c>
      <c r="EC252" t="str">
        <v>Ex Jlr | Jlr (1N) - Amr (1N) - Ban (1N) - Jlr</v>
      </c>
      <c r="ED252" t="str">
        <v>Ex Jlr | Jlr - (1 N) Ban - (2 N) Amar</v>
      </c>
      <c r="EE252" t="str">
        <v>Jlr - Kan (1N) - Pch (2N)</v>
      </c>
      <c r="EF252" t="str">
        <v>Pi - Pch (2N)  - Kan (1N)</v>
      </c>
      <c r="EG252" t="str">
        <v>Ex Jlr | Jlr - Amr (1 N) - (1 N) Ban - (1 N) Jlr</v>
      </c>
      <c r="EH252" t="str">
        <v>Ppi - (2 N) Pch - (1 N) Pen</v>
      </c>
      <c r="EI252" t="str">
        <v>Bhp - Pch (2N) - Jlr (1N)</v>
      </c>
      <c r="EJ252" t="str">
        <v xml:space="preserve">Arr Jhn - Hjr (1N) - Orc - Gwl (2N) </v>
      </c>
      <c r="EK252" t="str">
        <v>(1 N) Ujj - (1 N) Mah - (1 N) Idr</v>
      </c>
      <c r="EL252" t="str">
        <v>Ex Bhp | Bhp - Bhoj - Bhim - Pch (3N) - Bhp</v>
      </c>
      <c r="EM252" t="str">
        <v>Ex Bhp | Bhp - Bhoj - Bhim - Pch (2N) - Mad (1N) - Bhp</v>
      </c>
      <c r="EN252" t="str">
        <v xml:space="preserve">Ex Nag - 3N Pch + Sat </v>
      </c>
      <c r="EO252" t="str">
        <v>1N Gwl - Son - Dat - 1N Hjr - 1N Orc - Jhn</v>
      </c>
    </row>
    <row r="253" spans="2:145" ht="15" customHeight="1">
      <c r="B253" s="34">
        <v>249</v>
      </c>
      <c r="C253" s="36" t="s">
        <v>1836</v>
      </c>
      <c r="D253" s="76">
        <v>46227</v>
      </c>
      <c r="E253" s="37" t="str">
        <f>IF(Table5[[#This Row],[Query Date]]&lt;&gt;"", TEXT(Table5[[#This Row],[Query Date]], "dddd"), "")</f>
        <v>Friday</v>
      </c>
      <c r="F253" s="37" t="str">
        <f>IF(Table5[[#This Row],[Query Date]]&lt;&gt;"", TEXT(Table5[[#This Row],[Query Date]], "mmmm"), "")</f>
        <v>July</v>
      </c>
      <c r="G253" s="28" t="s">
        <v>113</v>
      </c>
      <c r="H253" s="28" t="s">
        <v>99</v>
      </c>
      <c r="I253" s="28" t="s">
        <v>67</v>
      </c>
      <c r="J253" s="28" t="s">
        <v>68</v>
      </c>
      <c r="K253" s="28" t="s">
        <v>178</v>
      </c>
      <c r="L253" s="25" t="s">
        <v>160</v>
      </c>
      <c r="M253" s="112" t="s">
        <v>90</v>
      </c>
      <c r="N253" s="25" t="s">
        <v>1837</v>
      </c>
      <c r="O253" s="130" t="s">
        <v>1838</v>
      </c>
      <c r="P253" s="46" t="s">
        <v>1638</v>
      </c>
      <c r="Q253" s="77">
        <v>46277</v>
      </c>
      <c r="R253" s="77" t="str">
        <f>IF(Table5[[#This Row],[Tour Starting Date]]&lt;&gt;"", TEXT(Table5[[#This Row],[Tour Starting Date]], "dddd"), "")</f>
        <v>Saturday</v>
      </c>
      <c r="S253" s="77">
        <v>46279</v>
      </c>
      <c r="T253" s="25" t="str">
        <f>IF(Table5[[#This Row],[Tour Ending Date]]&lt;&gt;"", TEXT(Table5[[#This Row],[Tour Ending Date]], "dddd"), "")</f>
        <v>Monday</v>
      </c>
      <c r="U253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253" s="37" t="str">
        <f>IF(Table5[[#This Row],[Tour Starting Date]]&lt;&gt;"", TEXT(Table5[[#This Row],[Tour Starting Date]], "mmmm"), "")</f>
        <v>September</v>
      </c>
      <c r="W253" s="80" t="str" cm="1">
        <f t="array" ref="W253">IF(Q253&lt;&gt;"", INDEX(CI:CI, MATCH(1, (Q253&gt;=CG:CG)*(Q253&lt;=CH:CH), 0)), "")</f>
        <v>Regular Dates - Weekend</v>
      </c>
      <c r="X253" s="39">
        <v>2</v>
      </c>
      <c r="Y253" s="74">
        <v>14900</v>
      </c>
      <c r="Z253" s="74">
        <f>IF(OR(Table5[[#This Row],[Per Person Package Cost]]="", Table5[[#This Row],[No. of Pax]]=""), "", Table5[[#This Row],[Per Person Package Cost]] * Table5[[#This Row],[No. of Pax]])</f>
        <v>29800</v>
      </c>
      <c r="AA253" s="52" t="s">
        <v>75</v>
      </c>
      <c r="AB253" s="52" t="s">
        <v>75</v>
      </c>
      <c r="AC253" s="52" t="s">
        <v>134</v>
      </c>
      <c r="AD253" s="52" t="s">
        <v>352</v>
      </c>
      <c r="AE253" s="51" t="str">
        <f t="shared" si="21"/>
        <v>EXIDR02</v>
      </c>
      <c r="AF253" s="51" t="str">
        <f t="shared" si="22"/>
        <v>Jyotirlinga Trails</v>
      </c>
      <c r="AG253" s="74" t="str">
        <f t="shared" si="23"/>
        <v>Quick Getaways</v>
      </c>
      <c r="AH253" s="73" t="str">
        <f t="shared" si="24"/>
        <v>West MP</v>
      </c>
      <c r="AI253" s="52" t="s">
        <v>159</v>
      </c>
      <c r="AJ253" s="56" t="s">
        <v>115</v>
      </c>
      <c r="AK253" s="59" t="s">
        <v>79</v>
      </c>
      <c r="AL253" s="60" t="s">
        <v>80</v>
      </c>
      <c r="AM253" s="54" t="s">
        <v>80</v>
      </c>
      <c r="AN253" s="14">
        <v>46230</v>
      </c>
      <c r="AO253" s="15"/>
      <c r="AP253" s="91"/>
      <c r="AQ253" s="87"/>
      <c r="AR253" s="26"/>
      <c r="AS253" s="65"/>
      <c r="AT253" s="88" t="s">
        <v>138</v>
      </c>
      <c r="AU253" s="67"/>
      <c r="CN253" t="s">
        <v>1839</v>
      </c>
      <c r="DA253" t="str" cm="1">
        <f t="array" ref="DA253:DY253">IF(U253&lt;&gt;"", TRANSPOSE(_xlfn._xlws.FILTER(CZ:CZ, CY:CY=U253, "")), "")</f>
        <v>Gwl (2N) + Mor</v>
      </c>
      <c r="DB253" t="str">
        <v>Ex Idr | Idr - Ujj (1N) - Omk - Mah (1N) - Man - Idr</v>
      </c>
      <c r="DC253" t="str">
        <v>Ujj (1N) - Omk - Idr (1N)</v>
      </c>
      <c r="DD253" t="str">
        <v>Ex Jlr | Jlr - Kan (2N) - Jlr</v>
      </c>
      <c r="DE253" t="str">
        <v>Ex Jlr | Jlr - Ban (2N) - Jlr</v>
      </c>
      <c r="DF253" t="str">
        <v>Ex Bho | Bho (2N) + Bhim + Bhoj + San</v>
      </c>
      <c r="DG253" t="str">
        <v>Ex Idr | Idr - Man (2N) - Idr</v>
      </c>
      <c r="DH253" t="str">
        <v>Ex Jlr | Jlr - Kan (2N) - Jlr</v>
      </c>
      <c r="DI253" t="str">
        <v>Ex Bho | Bho (2N) + Bhim + Bhoj + San + HDCT Bho</v>
      </c>
      <c r="DJ253" t="str">
        <v>Ex Bho | Bho - Bhim - Tawa (1N) - Mad (1N) - Bho</v>
      </c>
      <c r="DK253" t="str">
        <v>Ujj (1N) - Omk - Mah (1N) - Idr</v>
      </c>
      <c r="DL253" t="str">
        <v>Ujj (1N) -  Idr (1N)</v>
      </c>
      <c r="DM253" t="str">
        <v>Ex Idr | Idr (2N) + Ujj + Omk + Mah</v>
      </c>
      <c r="DN253" t="str">
        <v>Idr - Mah - Omk (1N) - Ujj (1N)</v>
      </c>
      <c r="DO253" t="str">
        <v>Idr - Ujj (1N) - Mah - Omk (1N) - Khandwa</v>
      </c>
      <c r="DP253" t="str">
        <v>Ex Idr | Idr (EX Ujj) (1N) - Mah - Omk (1N) - Idr HDCT</v>
      </c>
      <c r="DQ253" t="str">
        <v>Ujj (1N) - Sehor - Bho (1N) HDCT</v>
      </c>
      <c r="DR253" t="str">
        <v>Ex Jlr | Jlr (1N) - Ban (1N)</v>
      </c>
      <c r="DS253" t="str">
        <v>Ex Jlr | Ban (1N)</v>
      </c>
      <c r="DT253" t="str">
        <v>Ex Jlr | Jlr (2 N) Kan</v>
      </c>
      <c r="DU253" t="str">
        <v>Ex Jlr | Jlr - Amr (1 N) - (1 N) Ban</v>
      </c>
      <c r="DV253" t="str">
        <v>Ex Rpr | Rpr - (2N) Kan</v>
      </c>
      <c r="DW253" t="str">
        <v>Hjr (1N) - Mahi (1N) - Sat</v>
      </c>
      <c r="DX253" t="str">
        <v>Ex Bhp | Bhp - Bhim - Pch (2N) - Bhp</v>
      </c>
      <c r="DY253" t="str">
        <v xml:space="preserve">Ex Ujj I 2N Ujj </v>
      </c>
    </row>
    <row r="254" spans="2:145" ht="15" customHeight="1">
      <c r="B254" s="35">
        <v>250</v>
      </c>
      <c r="C254" s="36" t="s">
        <v>1840</v>
      </c>
      <c r="D254" s="76">
        <v>46227</v>
      </c>
      <c r="E254" s="37" t="str">
        <f>IF(Table5[[#This Row],[Query Date]]&lt;&gt;"", TEXT(Table5[[#This Row],[Query Date]], "dddd"), "")</f>
        <v>Friday</v>
      </c>
      <c r="F254" s="37" t="str">
        <f>IF(Table5[[#This Row],[Query Date]]&lt;&gt;"", TEXT(Table5[[#This Row],[Query Date]], "mmmm"), "")</f>
        <v>July</v>
      </c>
      <c r="G254" s="28" t="s">
        <v>65</v>
      </c>
      <c r="H254" s="28" t="s">
        <v>99</v>
      </c>
      <c r="I254" s="28" t="s">
        <v>67</v>
      </c>
      <c r="J254" s="28" t="s">
        <v>68</v>
      </c>
      <c r="K254" s="28" t="s">
        <v>178</v>
      </c>
      <c r="L254" s="25" t="s">
        <v>70</v>
      </c>
      <c r="M254" s="112" t="s">
        <v>502</v>
      </c>
      <c r="N254" s="25" t="s">
        <v>507</v>
      </c>
      <c r="O254" s="130">
        <v>9036405090</v>
      </c>
      <c r="P254" s="46" t="s">
        <v>508</v>
      </c>
      <c r="Q254" s="77">
        <v>46246</v>
      </c>
      <c r="R254" s="77" t="str">
        <f>IF(Table5[[#This Row],[Tour Starting Date]]&lt;&gt;"", TEXT(Table5[[#This Row],[Tour Starting Date]], "dddd"), "")</f>
        <v>Wednesday</v>
      </c>
      <c r="S254" s="77">
        <v>46249</v>
      </c>
      <c r="T254" s="25" t="str">
        <f>IF(Table5[[#This Row],[Tour Ending Date]]&lt;&gt;"", TEXT(Table5[[#This Row],[Tour Ending Date]], "dddd"), "")</f>
        <v>Saturday</v>
      </c>
      <c r="U254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254" s="37" t="str">
        <f>IF(Table5[[#This Row],[Tour Starting Date]]&lt;&gt;"", TEXT(Table5[[#This Row],[Tour Starting Date]], "mmmm"), "")</f>
        <v>August</v>
      </c>
      <c r="W254" s="80" t="str" cm="1">
        <f t="array" ref="W254">IF(Q254&lt;&gt;"", INDEX(CI:CI, MATCH(1, (Q254&gt;=CG:CG)*(Q254&lt;=CH:CH), 0)), "")</f>
        <v>Regular Dates - Weekday</v>
      </c>
      <c r="X254" s="39">
        <v>4</v>
      </c>
      <c r="Y254" s="74">
        <v>14400</v>
      </c>
      <c r="Z254" s="74">
        <f>IF(OR(Table5[[#This Row],[Per Person Package Cost]]="", Table5[[#This Row],[No. of Pax]]=""), "", Table5[[#This Row],[Per Person Package Cost]] * Table5[[#This Row],[No. of Pax]])</f>
        <v>57600</v>
      </c>
      <c r="AA254" s="52" t="s">
        <v>1613</v>
      </c>
      <c r="AB254" s="52" t="s">
        <v>1157</v>
      </c>
      <c r="AC254" s="52" t="s">
        <v>173</v>
      </c>
      <c r="AD254" s="52"/>
      <c r="AE254" s="51" t="str">
        <f t="shared" si="21"/>
        <v/>
      </c>
      <c r="AF254" s="51" t="str">
        <f t="shared" si="22"/>
        <v/>
      </c>
      <c r="AG254" s="74" t="str">
        <f t="shared" si="23"/>
        <v/>
      </c>
      <c r="AH254" s="73" t="str">
        <f t="shared" si="24"/>
        <v/>
      </c>
      <c r="AI254" s="52" t="s">
        <v>107</v>
      </c>
      <c r="AJ254" s="56" t="s">
        <v>78</v>
      </c>
      <c r="AK254" s="59" t="s">
        <v>79</v>
      </c>
      <c r="AL254" s="60" t="s">
        <v>80</v>
      </c>
      <c r="AM254" s="54" t="s">
        <v>80</v>
      </c>
      <c r="AN254" s="14">
        <v>46230</v>
      </c>
      <c r="AO254" s="15"/>
      <c r="AP254" s="91"/>
      <c r="AQ254" s="87"/>
      <c r="AR254" s="26"/>
      <c r="AS254" s="65"/>
      <c r="AT254" s="88" t="s">
        <v>81</v>
      </c>
      <c r="AU254" s="67"/>
      <c r="CN254" t="s">
        <v>1841</v>
      </c>
      <c r="DA254" t="str" cm="1">
        <f t="array" ref="DA254:EO254">IF(U254&lt;&gt;"", TRANSPOSE(_xlfn._xlws.FILTER(CZ:CZ, CY:CY=U254, "")), "")</f>
        <v>Gwl (3N) + Mor + Son + Dat + Orc</v>
      </c>
      <c r="DB254" t="str">
        <v>Ex Gwl | Gwl (1N) - Son - Dat - Orc (1N) - Gwl (1N)</v>
      </c>
      <c r="DC254" t="str">
        <v>Ex Idr | Idr - Ujj (1N) - Omk - Mah (1N) - Man (1N) - Idr</v>
      </c>
      <c r="DD254" t="str">
        <v>Ex Jlr | Jlr - Kan (2N) - Jlr (1N)</v>
      </c>
      <c r="DE254" t="str">
        <v>Ex Jlr | Jlr - Ban (2N) - Jlr (1N)</v>
      </c>
      <c r="DF254" t="str">
        <v>Ex Bho | Bho (1N) + San - Bhoj - Bhim - Pch (2N) - Bho</v>
      </c>
      <c r="DG254" t="str">
        <v>Ex Idr | Idr (1N) - Ujj (1N) - Omk (1N) - Mah - Idr</v>
      </c>
      <c r="DH254" t="str">
        <v>Gwl - Orc (1N) - Ckt (1N) - Myr (1N) - Jlr</v>
      </c>
      <c r="DI254" t="str">
        <v>Gwl - Orc (1N) - Ckt (2N) - Ixd</v>
      </c>
      <c r="DJ254" t="str">
        <v>Ex Idr | Idr - Ujj (1N) - Omk - Mah (1N) - Idr (1N)</v>
      </c>
      <c r="DK254" t="str">
        <v>Ex Jlr | Jlr - Kan (3N) - Jlr</v>
      </c>
      <c r="DL254" t="str">
        <v>Ex Bho | Bho (2N) + Bhim + Bhoj + San + Udaygiri + Vidisha + FDCT Bho</v>
      </c>
      <c r="DM254" t="str">
        <v>Bho (1N) + Bhim + Bhoj - HDCT  Bho + Sanchi - Ujj (2N)</v>
      </c>
      <c r="DN254" t="str">
        <v>Bho (1N) + Bhim + Bhoj - HDCT  Bho + Sanchi - Ujj (2N) - Idr</v>
      </c>
      <c r="DO254" t="str">
        <v>Ex Bho | Bho - Bhoj - Bhim - Mad (1N) - Pch (2N) - Bho</v>
      </c>
      <c r="DP254" t="str">
        <v>Ex Bho | Bho - Bhoj - Bhim - Mad (1N) - Pch (3N) - Bho</v>
      </c>
      <c r="DQ254" t="str">
        <v>Ex Bho | Bho - Bhoj - Bhim - Tawa (1N) - Mad (1N) - Bho (1N)</v>
      </c>
      <c r="DR254" t="str">
        <v>Bho (1N) - Bhim - Bhoj - San - Idr (2N) + Ujj</v>
      </c>
      <c r="DS254" t="str">
        <v>Bho (1N) - Bhoj - Bhim - Pch (2N) - Bho</v>
      </c>
      <c r="DT254" t="str">
        <v>Ujj (1N) - Omk - Mah (1N) - Idr (1N)</v>
      </c>
      <c r="DU254" t="str">
        <v>Ujj (1N) - Omk - Mah (1N) - Man (1N) - Idr</v>
      </c>
      <c r="DV254" t="str">
        <v>Ex Idr | Idr (1N) - Ujj (1N) - Omk - Mah (1N)</v>
      </c>
      <c r="DW254" t="str">
        <v>Ex Idr | Idr - Ujj (1N) - Omk (1N) - Mah (1N) - Idr</v>
      </c>
      <c r="DX254" t="str">
        <v>Khandwa - Omk (1N) - Mah (1N) - Ujj (1N) - Idr</v>
      </c>
      <c r="DY254" t="str">
        <v>Ex Idr | Idr - Ujj (1N) - Omk - Mah (1N) - Man - Idr (1N)</v>
      </c>
      <c r="DZ254" t="str">
        <v xml:space="preserve">Idr - Omk (1N) - Mah - Ujj (1N) San - Bho (1N) </v>
      </c>
      <c r="EA254" t="str">
        <v>Ex Idr | Idr - Man (1N) - Mah - Omk (1N) - Ujj (1N) - Idr</v>
      </c>
      <c r="EB254" t="str">
        <v>Khandwa - Omk (1N) - Mah - Ujj (2N)</v>
      </c>
      <c r="EC254" t="str">
        <v>Ex Jlr | Jlr (1N) - Amr (1N) - Ban (1N) - Jlr</v>
      </c>
      <c r="ED254" t="str">
        <v>Ex Jlr | Jlr - (1 N) Ban - (2 N) Amar</v>
      </c>
      <c r="EE254" t="str">
        <v>Jlr - Kan (1N) - Pch (2N)</v>
      </c>
      <c r="EF254" t="str">
        <v>Pi - Pch (2N)  - Kan (1N)</v>
      </c>
      <c r="EG254" t="str">
        <v>Ex Jlr | Jlr - Amr (1 N) - (1 N) Ban - (1 N) Jlr</v>
      </c>
      <c r="EH254" t="str">
        <v>Ppi - (2 N) Pch - (1 N) Pen</v>
      </c>
      <c r="EI254" t="str">
        <v>Bhp - Pch (2N) - Jlr (1N)</v>
      </c>
      <c r="EJ254" t="str">
        <v xml:space="preserve">Arr Jhn - Hjr (1N) - Orc - Gwl (2N) </v>
      </c>
      <c r="EK254" t="str">
        <v>(1 N) Ujj - (1 N) Mah - (1 N) Idr</v>
      </c>
      <c r="EL254" t="str">
        <v>Ex Bhp | Bhp - Bhoj - Bhim - Pch (3N) - Bhp</v>
      </c>
      <c r="EM254" t="str">
        <v>Ex Bhp | Bhp - Bhoj - Bhim - Pch (2N) - Mad (1N) - Bhp</v>
      </c>
      <c r="EN254" t="str">
        <v xml:space="preserve">Ex Nag - 3N Pch + Sat </v>
      </c>
      <c r="EO254" t="str">
        <v>1N Gwl - Son - Dat - 1N Hjr - 1N Orc - Jhn</v>
      </c>
    </row>
    <row r="255" spans="2:145" ht="15" customHeight="1">
      <c r="B255" s="34">
        <v>251</v>
      </c>
      <c r="C255" s="36" t="s">
        <v>1842</v>
      </c>
      <c r="D255" s="76">
        <v>46228</v>
      </c>
      <c r="E255" s="37" t="str">
        <f>IF(Table5[[#This Row],[Query Date]]&lt;&gt;"", TEXT(Table5[[#This Row],[Query Date]], "dddd"), "")</f>
        <v>Saturday</v>
      </c>
      <c r="F255" s="37" t="str">
        <f>IF(Table5[[#This Row],[Query Date]]&lt;&gt;"", TEXT(Table5[[#This Row],[Query Date]], "mmmm"), "")</f>
        <v>July</v>
      </c>
      <c r="G255" s="28" t="s">
        <v>65</v>
      </c>
      <c r="H255" s="28" t="s">
        <v>66</v>
      </c>
      <c r="I255" s="28" t="s">
        <v>100</v>
      </c>
      <c r="J255" s="28" t="s">
        <v>68</v>
      </c>
      <c r="K255" s="28" t="s">
        <v>698</v>
      </c>
      <c r="L255" s="25" t="s">
        <v>70</v>
      </c>
      <c r="M255" s="112" t="s">
        <v>522</v>
      </c>
      <c r="N255" s="25" t="s">
        <v>1843</v>
      </c>
      <c r="O255" s="130">
        <v>9897115379</v>
      </c>
      <c r="P255" s="106" t="s">
        <v>700</v>
      </c>
      <c r="Q255" s="77">
        <v>46244</v>
      </c>
      <c r="R255" s="77" t="str">
        <f>IF(Table5[[#This Row],[Tour Starting Date]]&lt;&gt;"", TEXT(Table5[[#This Row],[Tour Starting Date]], "dddd"), "")</f>
        <v>Monday</v>
      </c>
      <c r="S255" s="77">
        <v>46245</v>
      </c>
      <c r="T255" s="25" t="str">
        <f>IF(Table5[[#This Row],[Tour Ending Date]]&lt;&gt;"", TEXT(Table5[[#This Row],[Tour Ending Date]], "dddd"), "")</f>
        <v>Tuesday</v>
      </c>
      <c r="U255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1 Night &amp; 2 Days</v>
      </c>
      <c r="V255" s="37" t="str">
        <f>IF(Table5[[#This Row],[Tour Starting Date]]&lt;&gt;"", TEXT(Table5[[#This Row],[Tour Starting Date]], "mmmm"), "")</f>
        <v>August</v>
      </c>
      <c r="W255" s="80" t="str" cm="1">
        <f t="array" ref="W255">IF(Q255&lt;&gt;"", INDEX(CI:CI, MATCH(1, (Q255&gt;=CG:CG)*(Q255&lt;=CH:CH), 0)), "")</f>
        <v>Regular Dates - Weekday</v>
      </c>
      <c r="X255" s="39">
        <v>35</v>
      </c>
      <c r="Y255" s="74">
        <v>8500</v>
      </c>
      <c r="Z255" s="74">
        <f>IF(OR(Table5[[#This Row],[Per Person Package Cost]]="", Table5[[#This Row],[No. of Pax]]=""), "", Table5[[#This Row],[Per Person Package Cost]] * Table5[[#This Row],[No. of Pax]])</f>
        <v>297500</v>
      </c>
      <c r="AA255" s="52" t="s">
        <v>1083</v>
      </c>
      <c r="AB255" s="52" t="s">
        <v>1083</v>
      </c>
      <c r="AC255" s="52" t="s">
        <v>134</v>
      </c>
      <c r="AD255" s="52"/>
      <c r="AE255" s="51" t="str">
        <f t="shared" si="21"/>
        <v/>
      </c>
      <c r="AF255" s="51" t="str">
        <f t="shared" si="22"/>
        <v/>
      </c>
      <c r="AG255" s="74" t="str">
        <f t="shared" si="23"/>
        <v/>
      </c>
      <c r="AH255" s="73" t="str">
        <f t="shared" si="24"/>
        <v/>
      </c>
      <c r="AI255" s="52" t="s">
        <v>107</v>
      </c>
      <c r="AJ255" s="56" t="s">
        <v>78</v>
      </c>
      <c r="AK255" s="59" t="s">
        <v>79</v>
      </c>
      <c r="AL255" s="60" t="s">
        <v>80</v>
      </c>
      <c r="AM255" s="54" t="s">
        <v>80</v>
      </c>
      <c r="AN255" s="14">
        <v>46231</v>
      </c>
      <c r="AO255" s="15"/>
      <c r="AP255" s="91"/>
      <c r="AQ255" s="87"/>
      <c r="AR255" s="26"/>
      <c r="AS255" s="65"/>
      <c r="AT255" s="88" t="s">
        <v>81</v>
      </c>
      <c r="AU255" s="67"/>
      <c r="CN255" t="s">
        <v>1844</v>
      </c>
      <c r="DA255" t="str" cm="1">
        <f t="array" ref="DA255:DH255">IF(U255&lt;&gt;"", TRANSPOSE(_xlfn._xlws.FILTER(CZ:CZ, CY:CY=U255, "")), "")</f>
        <v>Gwl (1N)</v>
      </c>
      <c r="DB255" t="str">
        <v>Ex Idr | Idr - Ujj (1N) - Idr</v>
      </c>
      <c r="DC255" t="str">
        <v>Ex Idr | Idr - Ujj (1N) - Omk - Idr</v>
      </c>
      <c r="DD255" t="str">
        <v>Ex Idr | Idr - Ujj (1N) - Omk - Mah - Idr</v>
      </c>
      <c r="DE255" t="str">
        <v>Ex Idr | Ujj (1N) - Idr + HDCT</v>
      </c>
      <c r="DF255" t="str">
        <v>Ex Idr | Idr (1N)</v>
      </c>
      <c r="DG255" t="str">
        <v>Khandwa - Omk (1N) - Idr HDCT</v>
      </c>
      <c r="DH255" t="str">
        <v>Ex Ujj | Ujj (1N)</v>
      </c>
    </row>
    <row r="256" spans="2:145" ht="15" customHeight="1">
      <c r="B256" s="35">
        <v>252</v>
      </c>
      <c r="C256" s="36" t="s">
        <v>1845</v>
      </c>
      <c r="D256" s="76">
        <v>46228</v>
      </c>
      <c r="E256" s="37" t="str">
        <f>IF(Table5[[#This Row],[Query Date]]&lt;&gt;"", TEXT(Table5[[#This Row],[Query Date]], "dddd"), "")</f>
        <v>Saturday</v>
      </c>
      <c r="F256" s="37" t="str">
        <f>IF(Table5[[#This Row],[Query Date]]&lt;&gt;"", TEXT(Table5[[#This Row],[Query Date]], "mmmm"), "")</f>
        <v>July</v>
      </c>
      <c r="G256" s="28" t="s">
        <v>65</v>
      </c>
      <c r="H256" s="28" t="s">
        <v>120</v>
      </c>
      <c r="I256" s="28" t="s">
        <v>100</v>
      </c>
      <c r="J256" s="28" t="s">
        <v>68</v>
      </c>
      <c r="K256" s="28" t="s">
        <v>644</v>
      </c>
      <c r="L256" s="25" t="s">
        <v>70</v>
      </c>
      <c r="M256" s="112"/>
      <c r="N256" s="106"/>
      <c r="O256" s="130"/>
      <c r="P256" s="106" t="s">
        <v>1846</v>
      </c>
      <c r="Q256" s="77">
        <v>46342</v>
      </c>
      <c r="R256" s="77" t="str">
        <f>IF(Table5[[#This Row],[Tour Starting Date]]&lt;&gt;"", TEXT(Table5[[#This Row],[Tour Starting Date]], "dddd"), "")</f>
        <v>Monday</v>
      </c>
      <c r="S256" s="77">
        <v>46345</v>
      </c>
      <c r="T256" s="25" t="str">
        <f>IF(Table5[[#This Row],[Tour Ending Date]]&lt;&gt;"", TEXT(Table5[[#This Row],[Tour Ending Date]], "dddd"), "")</f>
        <v>Thursday</v>
      </c>
      <c r="U256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256" s="37" t="str">
        <f>IF(Table5[[#This Row],[Tour Starting Date]]&lt;&gt;"", TEXT(Table5[[#This Row],[Tour Starting Date]], "mmmm"), "")</f>
        <v>November</v>
      </c>
      <c r="W256" s="80" t="str" cm="1">
        <f t="array" ref="W256">IF(Q256&lt;&gt;"", INDEX(CI:CI, MATCH(1, (Q256&gt;=CG:CG)*(Q256&lt;=CH:CH), 0)), "")</f>
        <v>Regular Dates - Weekday</v>
      </c>
      <c r="X256" s="39">
        <v>48</v>
      </c>
      <c r="Y256" s="74">
        <v>10000</v>
      </c>
      <c r="Z256" s="74">
        <f>IF(OR(Table5[[#This Row],[Per Person Package Cost]]="", Table5[[#This Row],[No. of Pax]]=""), "", Table5[[#This Row],[Per Person Package Cost]] * Table5[[#This Row],[No. of Pax]])</f>
        <v>480000</v>
      </c>
      <c r="AA256" s="52" t="s">
        <v>205</v>
      </c>
      <c r="AB256" s="52" t="s">
        <v>75</v>
      </c>
      <c r="AC256" s="52" t="s">
        <v>76</v>
      </c>
      <c r="AD256" s="148"/>
      <c r="AE256" s="51"/>
      <c r="AF256" s="51"/>
      <c r="AG256" s="74"/>
      <c r="AH256" s="73"/>
      <c r="AI256" s="52" t="s">
        <v>77</v>
      </c>
      <c r="AJ256" s="56" t="s">
        <v>78</v>
      </c>
      <c r="AK256" s="59" t="s">
        <v>79</v>
      </c>
      <c r="AL256" s="60" t="s">
        <v>80</v>
      </c>
      <c r="AM256" s="54" t="s">
        <v>80</v>
      </c>
      <c r="AN256" s="14">
        <v>46232</v>
      </c>
      <c r="AO256" s="15">
        <v>46254</v>
      </c>
      <c r="AP256" s="91">
        <v>46268</v>
      </c>
      <c r="AQ256" s="87">
        <v>46273</v>
      </c>
      <c r="AR256" s="26"/>
      <c r="AS256" s="65"/>
      <c r="AT256" s="88" t="s">
        <v>138</v>
      </c>
      <c r="AU256" s="67"/>
      <c r="CN256" t="s">
        <v>1847</v>
      </c>
      <c r="DA256" t="str" cm="1">
        <f t="array" ref="DA256:EO256">IF(U256&lt;&gt;"", TRANSPOSE(_xlfn._xlws.FILTER(CZ:CZ, CY:CY=U256, "")), "")</f>
        <v>Gwl (3N) + Mor + Son + Dat + Orc</v>
      </c>
      <c r="DB256" t="str">
        <v>Ex Gwl | Gwl (1N) - Son - Dat - Orc (1N) - Gwl (1N)</v>
      </c>
      <c r="DC256" t="str">
        <v>Ex Idr | Idr - Ujj (1N) - Omk - Mah (1N) - Man (1N) - Idr</v>
      </c>
      <c r="DD256" t="str">
        <v>Ex Jlr | Jlr - Kan (2N) - Jlr (1N)</v>
      </c>
      <c r="DE256" t="str">
        <v>Ex Jlr | Jlr - Ban (2N) - Jlr (1N)</v>
      </c>
      <c r="DF256" t="str">
        <v>Ex Bho | Bho (1N) + San - Bhoj - Bhim - Pch (2N) - Bho</v>
      </c>
      <c r="DG256" t="str">
        <v>Ex Idr | Idr (1N) - Ujj (1N) - Omk (1N) - Mah - Idr</v>
      </c>
      <c r="DH256" t="str">
        <v>Gwl - Orc (1N) - Ckt (1N) - Myr (1N) - Jlr</v>
      </c>
      <c r="DI256" t="str">
        <v>Gwl - Orc (1N) - Ckt (2N) - Ixd</v>
      </c>
      <c r="DJ256" t="str">
        <v>Ex Idr | Idr - Ujj (1N) - Omk - Mah (1N) - Idr (1N)</v>
      </c>
      <c r="DK256" t="str">
        <v>Ex Jlr | Jlr - Kan (3N) - Jlr</v>
      </c>
      <c r="DL256" t="str">
        <v>Ex Bho | Bho (2N) + Bhim + Bhoj + San + Udaygiri + Vidisha + FDCT Bho</v>
      </c>
      <c r="DM256" t="str">
        <v>Bho (1N) + Bhim + Bhoj - HDCT  Bho + Sanchi - Ujj (2N)</v>
      </c>
      <c r="DN256" t="str">
        <v>Bho (1N) + Bhim + Bhoj - HDCT  Bho + Sanchi - Ujj (2N) - Idr</v>
      </c>
      <c r="DO256" t="str">
        <v>Ex Bho | Bho - Bhoj - Bhim - Mad (1N) - Pch (2N) - Bho</v>
      </c>
      <c r="DP256" t="str">
        <v>Ex Bho | Bho - Bhoj - Bhim - Mad (1N) - Pch (3N) - Bho</v>
      </c>
      <c r="DQ256" t="str">
        <v>Ex Bho | Bho - Bhoj - Bhim - Tawa (1N) - Mad (1N) - Bho (1N)</v>
      </c>
      <c r="DR256" t="str">
        <v>Bho (1N) - Bhim - Bhoj - San - Idr (2N) + Ujj</v>
      </c>
      <c r="DS256" t="str">
        <v>Bho (1N) - Bhoj - Bhim - Pch (2N) - Bho</v>
      </c>
      <c r="DT256" t="str">
        <v>Ujj (1N) - Omk - Mah (1N) - Idr (1N)</v>
      </c>
      <c r="DU256" t="str">
        <v>Ujj (1N) - Omk - Mah (1N) - Man (1N) - Idr</v>
      </c>
      <c r="DV256" t="str">
        <v>Ex Idr | Idr (1N) - Ujj (1N) - Omk - Mah (1N)</v>
      </c>
      <c r="DW256" t="str">
        <v>Ex Idr | Idr - Ujj (1N) - Omk (1N) - Mah (1N) - Idr</v>
      </c>
      <c r="DX256" t="str">
        <v>Khandwa - Omk (1N) - Mah (1N) - Ujj (1N) - Idr</v>
      </c>
      <c r="DY256" t="str">
        <v>Ex Idr | Idr - Ujj (1N) - Omk - Mah (1N) - Man - Idr (1N)</v>
      </c>
      <c r="DZ256" t="str">
        <v xml:space="preserve">Idr - Omk (1N) - Mah - Ujj (1N) San - Bho (1N) </v>
      </c>
      <c r="EA256" t="str">
        <v>Ex Idr | Idr - Man (1N) - Mah - Omk (1N) - Ujj (1N) - Idr</v>
      </c>
      <c r="EB256" t="str">
        <v>Khandwa - Omk (1N) - Mah - Ujj (2N)</v>
      </c>
      <c r="EC256" t="str">
        <v>Ex Jlr | Jlr (1N) - Amr (1N) - Ban (1N) - Jlr</v>
      </c>
      <c r="ED256" t="str">
        <v>Ex Jlr | Jlr - (1 N) Ban - (2 N) Amar</v>
      </c>
      <c r="EE256" t="str">
        <v>Jlr - Kan (1N) - Pch (2N)</v>
      </c>
      <c r="EF256" t="str">
        <v>Pi - Pch (2N)  - Kan (1N)</v>
      </c>
      <c r="EG256" t="str">
        <v>Ex Jlr | Jlr - Amr (1 N) - (1 N) Ban - (1 N) Jlr</v>
      </c>
      <c r="EH256" t="str">
        <v>Ppi - (2 N) Pch - (1 N) Pen</v>
      </c>
      <c r="EI256" t="str">
        <v>Bhp - Pch (2N) - Jlr (1N)</v>
      </c>
      <c r="EJ256" t="str">
        <v xml:space="preserve">Arr Jhn - Hjr (1N) - Orc - Gwl (2N) </v>
      </c>
      <c r="EK256" t="str">
        <v>(1 N) Ujj - (1 N) Mah - (1 N) Idr</v>
      </c>
      <c r="EL256" t="str">
        <v>Ex Bhp | Bhp - Bhoj - Bhim - Pch (3N) - Bhp</v>
      </c>
      <c r="EM256" t="str">
        <v>Ex Bhp | Bhp - Bhoj - Bhim - Pch (2N) - Mad (1N) - Bhp</v>
      </c>
      <c r="EN256" t="str">
        <v xml:space="preserve">Ex Nag - 3N Pch + Sat </v>
      </c>
      <c r="EO256" t="str">
        <v>1N Gwl - Son - Dat - 1N Hjr - 1N Orc - Jhn</v>
      </c>
    </row>
    <row r="257" spans="2:145" ht="15" customHeight="1">
      <c r="B257" s="34">
        <v>253</v>
      </c>
      <c r="C257" s="36" t="s">
        <v>1848</v>
      </c>
      <c r="D257" s="76">
        <v>46228</v>
      </c>
      <c r="E257" s="37" t="str">
        <f>IF(Table5[[#This Row],[Query Date]]&lt;&gt;"", TEXT(Table5[[#This Row],[Query Date]], "dddd"), "")</f>
        <v>Saturday</v>
      </c>
      <c r="F257" s="37" t="str">
        <f>IF(Table5[[#This Row],[Query Date]]&lt;&gt;"", TEXT(Table5[[#This Row],[Query Date]], "mmmm"), "")</f>
        <v>July</v>
      </c>
      <c r="G257" s="28" t="s">
        <v>65</v>
      </c>
      <c r="H257" s="28" t="s">
        <v>99</v>
      </c>
      <c r="I257" s="28" t="s">
        <v>67</v>
      </c>
      <c r="J257" s="28" t="s">
        <v>68</v>
      </c>
      <c r="K257" s="28" t="s">
        <v>1849</v>
      </c>
      <c r="L257" s="25" t="s">
        <v>70</v>
      </c>
      <c r="M257" s="112" t="s">
        <v>1850</v>
      </c>
      <c r="N257" s="7" t="s">
        <v>1851</v>
      </c>
      <c r="O257" s="130" t="s">
        <v>1852</v>
      </c>
      <c r="P257" s="46" t="s">
        <v>1853</v>
      </c>
      <c r="Q257" s="77">
        <v>46306</v>
      </c>
      <c r="R257" s="77" t="str">
        <f>IF(Table5[[#This Row],[Tour Starting Date]]&lt;&gt;"", TEXT(Table5[[#This Row],[Tour Starting Date]], "dddd"), "")</f>
        <v>Sunday</v>
      </c>
      <c r="S257" s="77">
        <v>46309</v>
      </c>
      <c r="T257" s="25" t="str">
        <f>IF(Table5[[#This Row],[Tour Ending Date]]&lt;&gt;"", TEXT(Table5[[#This Row],[Tour Ending Date]], "dddd"), "")</f>
        <v>Wednesday</v>
      </c>
      <c r="U257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257" s="37" t="str">
        <f>IF(Table5[[#This Row],[Tour Starting Date]]&lt;&gt;"", TEXT(Table5[[#This Row],[Tour Starting Date]], "mmmm"), "")</f>
        <v>October</v>
      </c>
      <c r="W257" s="80" t="str" cm="1">
        <f t="array" ref="W257">IF(Q257&lt;&gt;"", INDEX(CI:CI, MATCH(1, (Q257&gt;=CG:CG)*(Q257&lt;=CH:CH), 0)), "")</f>
        <v>Regular Dates - Weekend</v>
      </c>
      <c r="X257" s="39">
        <v>2</v>
      </c>
      <c r="Y257" s="74">
        <v>13000</v>
      </c>
      <c r="Z257" s="74">
        <f>IF(OR(Table5[[#This Row],[Per Person Package Cost]]="", Table5[[#This Row],[No. of Pax]]=""), "", Table5[[#This Row],[Per Person Package Cost]] * Table5[[#This Row],[No. of Pax]])</f>
        <v>26000</v>
      </c>
      <c r="AA257" s="52" t="s">
        <v>75</v>
      </c>
      <c r="AB257" s="52" t="s">
        <v>75</v>
      </c>
      <c r="AC257" s="52" t="s">
        <v>76</v>
      </c>
      <c r="AD257" s="52" t="s">
        <v>352</v>
      </c>
      <c r="AE257" s="51"/>
      <c r="AF257" s="51"/>
      <c r="AG257" s="74"/>
      <c r="AH257" s="73"/>
      <c r="AI257" s="52" t="s">
        <v>77</v>
      </c>
      <c r="AJ257" s="56" t="s">
        <v>78</v>
      </c>
      <c r="AK257" s="59" t="s">
        <v>79</v>
      </c>
      <c r="AL257" s="60" t="s">
        <v>80</v>
      </c>
      <c r="AM257" s="54" t="s">
        <v>80</v>
      </c>
      <c r="AN257" s="14">
        <v>46232</v>
      </c>
      <c r="AO257" s="15">
        <v>46254</v>
      </c>
      <c r="AP257" s="91">
        <v>46273</v>
      </c>
      <c r="AQ257" s="87"/>
      <c r="AR257" s="26"/>
      <c r="AS257" s="65"/>
      <c r="AT257" s="88" t="s">
        <v>81</v>
      </c>
      <c r="AU257" s="67" t="s">
        <v>82</v>
      </c>
      <c r="CN257" t="s">
        <v>1854</v>
      </c>
      <c r="DA257" t="str" cm="1">
        <f t="array" ref="DA257:EO257">IF(U257&lt;&gt;"", TRANSPOSE(_xlfn._xlws.FILTER(CZ:CZ, CY:CY=U257, "")), "")</f>
        <v>Gwl (3N) + Mor + Son + Dat + Orc</v>
      </c>
      <c r="DB257" t="str">
        <v>Ex Gwl | Gwl (1N) - Son - Dat - Orc (1N) - Gwl (1N)</v>
      </c>
      <c r="DC257" t="str">
        <v>Ex Idr | Idr - Ujj (1N) - Omk - Mah (1N) - Man (1N) - Idr</v>
      </c>
      <c r="DD257" t="str">
        <v>Ex Jlr | Jlr - Kan (2N) - Jlr (1N)</v>
      </c>
      <c r="DE257" t="str">
        <v>Ex Jlr | Jlr - Ban (2N) - Jlr (1N)</v>
      </c>
      <c r="DF257" t="str">
        <v>Ex Bho | Bho (1N) + San - Bhoj - Bhim - Pch (2N) - Bho</v>
      </c>
      <c r="DG257" t="str">
        <v>Ex Idr | Idr (1N) - Ujj (1N) - Omk (1N) - Mah - Idr</v>
      </c>
      <c r="DH257" t="str">
        <v>Gwl - Orc (1N) - Ckt (1N) - Myr (1N) - Jlr</v>
      </c>
      <c r="DI257" t="str">
        <v>Gwl - Orc (1N) - Ckt (2N) - Ixd</v>
      </c>
      <c r="DJ257" t="str">
        <v>Ex Idr | Idr - Ujj (1N) - Omk - Mah (1N) - Idr (1N)</v>
      </c>
      <c r="DK257" t="str">
        <v>Ex Jlr | Jlr - Kan (3N) - Jlr</v>
      </c>
      <c r="DL257" t="str">
        <v>Ex Bho | Bho (2N) + Bhim + Bhoj + San + Udaygiri + Vidisha + FDCT Bho</v>
      </c>
      <c r="DM257" t="str">
        <v>Bho (1N) + Bhim + Bhoj - HDCT  Bho + Sanchi - Ujj (2N)</v>
      </c>
      <c r="DN257" t="str">
        <v>Bho (1N) + Bhim + Bhoj - HDCT  Bho + Sanchi - Ujj (2N) - Idr</v>
      </c>
      <c r="DO257" t="str">
        <v>Ex Bho | Bho - Bhoj - Bhim - Mad (1N) - Pch (2N) - Bho</v>
      </c>
      <c r="DP257" t="str">
        <v>Ex Bho | Bho - Bhoj - Bhim - Mad (1N) - Pch (3N) - Bho</v>
      </c>
      <c r="DQ257" t="str">
        <v>Ex Bho | Bho - Bhoj - Bhim - Tawa (1N) - Mad (1N) - Bho (1N)</v>
      </c>
      <c r="DR257" t="str">
        <v>Bho (1N) - Bhim - Bhoj - San - Idr (2N) + Ujj</v>
      </c>
      <c r="DS257" t="str">
        <v>Bho (1N) - Bhoj - Bhim - Pch (2N) - Bho</v>
      </c>
      <c r="DT257" t="str">
        <v>Ujj (1N) - Omk - Mah (1N) - Idr (1N)</v>
      </c>
      <c r="DU257" t="str">
        <v>Ujj (1N) - Omk - Mah (1N) - Man (1N) - Idr</v>
      </c>
      <c r="DV257" t="str">
        <v>Ex Idr | Idr (1N) - Ujj (1N) - Omk - Mah (1N)</v>
      </c>
      <c r="DW257" t="str">
        <v>Ex Idr | Idr - Ujj (1N) - Omk (1N) - Mah (1N) - Idr</v>
      </c>
      <c r="DX257" t="str">
        <v>Khandwa - Omk (1N) - Mah (1N) - Ujj (1N) - Idr</v>
      </c>
      <c r="DY257" t="str">
        <v>Ex Idr | Idr - Ujj (1N) - Omk - Mah (1N) - Man - Idr (1N)</v>
      </c>
      <c r="DZ257" t="str">
        <v xml:space="preserve">Idr - Omk (1N) - Mah - Ujj (1N) San - Bho (1N) </v>
      </c>
      <c r="EA257" t="str">
        <v>Ex Idr | Idr - Man (1N) - Mah - Omk (1N) - Ujj (1N) - Idr</v>
      </c>
      <c r="EB257" t="str">
        <v>Khandwa - Omk (1N) - Mah - Ujj (2N)</v>
      </c>
      <c r="EC257" t="str">
        <v>Ex Jlr | Jlr (1N) - Amr (1N) - Ban (1N) - Jlr</v>
      </c>
      <c r="ED257" t="str">
        <v>Ex Jlr | Jlr - (1 N) Ban - (2 N) Amar</v>
      </c>
      <c r="EE257" t="str">
        <v>Jlr - Kan (1N) - Pch (2N)</v>
      </c>
      <c r="EF257" t="str">
        <v>Pi - Pch (2N)  - Kan (1N)</v>
      </c>
      <c r="EG257" t="str">
        <v>Ex Jlr | Jlr - Amr (1 N) - (1 N) Ban - (1 N) Jlr</v>
      </c>
      <c r="EH257" t="str">
        <v>Ppi - (2 N) Pch - (1 N) Pen</v>
      </c>
      <c r="EI257" t="str">
        <v>Bhp - Pch (2N) - Jlr (1N)</v>
      </c>
      <c r="EJ257" t="str">
        <v xml:space="preserve">Arr Jhn - Hjr (1N) - Orc - Gwl (2N) </v>
      </c>
      <c r="EK257" t="str">
        <v>(1 N) Ujj - (1 N) Mah - (1 N) Idr</v>
      </c>
      <c r="EL257" t="str">
        <v>Ex Bhp | Bhp - Bhoj - Bhim - Pch (3N) - Bhp</v>
      </c>
      <c r="EM257" t="str">
        <v>Ex Bhp | Bhp - Bhoj - Bhim - Pch (2N) - Mad (1N) - Bhp</v>
      </c>
      <c r="EN257" t="str">
        <v xml:space="preserve">Ex Nag - 3N Pch + Sat </v>
      </c>
      <c r="EO257" t="str">
        <v>1N Gwl - Son - Dat - 1N Hjr - 1N Orc - Jhn</v>
      </c>
    </row>
    <row r="258" spans="2:145" ht="15" customHeight="1">
      <c r="B258" s="35">
        <v>254</v>
      </c>
      <c r="C258" s="36" t="s">
        <v>1855</v>
      </c>
      <c r="D258" s="76">
        <v>46227</v>
      </c>
      <c r="E258" s="37" t="str">
        <f>IF(Table5[[#This Row],[Query Date]]&lt;&gt;"", TEXT(Table5[[#This Row],[Query Date]], "dddd"), "")</f>
        <v>Friday</v>
      </c>
      <c r="F258" s="37" t="str">
        <f>IF(Table5[[#This Row],[Query Date]]&lt;&gt;"", TEXT(Table5[[#This Row],[Query Date]], "mmmm"), "")</f>
        <v>July</v>
      </c>
      <c r="G258" s="28" t="s">
        <v>113</v>
      </c>
      <c r="H258" s="28" t="s">
        <v>99</v>
      </c>
      <c r="I258" s="28" t="s">
        <v>67</v>
      </c>
      <c r="J258" s="28" t="s">
        <v>68</v>
      </c>
      <c r="K258" s="28" t="s">
        <v>178</v>
      </c>
      <c r="L258" s="25" t="s">
        <v>160</v>
      </c>
      <c r="M258" s="112" t="s">
        <v>90</v>
      </c>
      <c r="N258" s="40" t="s">
        <v>993</v>
      </c>
      <c r="O258" s="130" t="s">
        <v>1856</v>
      </c>
      <c r="P258" s="25" t="s">
        <v>1638</v>
      </c>
      <c r="Q258" s="77">
        <v>46246</v>
      </c>
      <c r="R258" s="77" t="str">
        <f>IF(Table5[[#This Row],[Tour Starting Date]]&lt;&gt;"", TEXT(Table5[[#This Row],[Tour Starting Date]], "dddd"), "")</f>
        <v>Wednesday</v>
      </c>
      <c r="S258" s="77">
        <v>46249</v>
      </c>
      <c r="T258" s="25" t="str">
        <f>IF(Table5[[#This Row],[Tour Ending Date]]&lt;&gt;"", TEXT(Table5[[#This Row],[Tour Ending Date]], "dddd"), "")</f>
        <v>Saturday</v>
      </c>
      <c r="U258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258" s="37" t="str">
        <f>IF(Table5[[#This Row],[Tour Starting Date]]&lt;&gt;"", TEXT(Table5[[#This Row],[Tour Starting Date]], "mmmm"), "")</f>
        <v>August</v>
      </c>
      <c r="W258" s="80" t="str" cm="1">
        <f t="array" ref="W258">IF(Q258&lt;&gt;"", INDEX(CI:CI, MATCH(1, (Q258&gt;=CG:CG)*(Q258&lt;=CH:CH), 0)), "")</f>
        <v>Regular Dates - Weekday</v>
      </c>
      <c r="X258" s="39">
        <v>4</v>
      </c>
      <c r="Y258" s="74">
        <v>14400</v>
      </c>
      <c r="Z258" s="74">
        <f>IF(OR(Table5[[#This Row],[Per Person Package Cost]]="", Table5[[#This Row],[No. of Pax]]=""), "", Table5[[#This Row],[Per Person Package Cost]] * Table5[[#This Row],[No. of Pax]])</f>
        <v>57600</v>
      </c>
      <c r="AA258" s="52" t="s">
        <v>1613</v>
      </c>
      <c r="AB258" s="52" t="s">
        <v>1157</v>
      </c>
      <c r="AC258" s="52" t="s">
        <v>173</v>
      </c>
      <c r="AD258" s="52"/>
      <c r="AE258" s="51" t="str">
        <f t="shared" ref="AE258" si="33">IF(AD258&lt;&gt;"", INDEX(CW:CW, MATCH(AD258, CZ:CZ, 0)), "")</f>
        <v/>
      </c>
      <c r="AF258" s="51" t="str">
        <f t="shared" ref="AF258" si="34">IF(AD258&lt;&gt;"", INDEX(CX:CX, MATCH(AD258, CZ:CZ, 0)), "")</f>
        <v/>
      </c>
      <c r="AG258" s="74" t="str">
        <f t="shared" ref="AG258" si="35">IF(AE258&lt;&gt;"", INDEX(CU:CU, MATCH(AE258, CW:CW, 0)), "")</f>
        <v/>
      </c>
      <c r="AH258" s="73" t="str">
        <f t="shared" ref="AH258" si="36">IF(AD258&lt;&gt;"", INDEX(CV:CV, MATCH(AD258, CZ:CZ, 0)), "")</f>
        <v/>
      </c>
      <c r="AI258" s="52" t="s">
        <v>107</v>
      </c>
      <c r="AJ258" s="56" t="s">
        <v>78</v>
      </c>
      <c r="AK258" s="59" t="s">
        <v>79</v>
      </c>
      <c r="AL258" s="60" t="s">
        <v>80</v>
      </c>
      <c r="AM258" s="54" t="s">
        <v>80</v>
      </c>
      <c r="AN258" s="14">
        <v>46230</v>
      </c>
      <c r="AO258" s="15"/>
      <c r="AP258" s="91"/>
      <c r="AQ258" s="87"/>
      <c r="AR258" s="26"/>
      <c r="AS258" s="65"/>
      <c r="AT258" s="88" t="s">
        <v>81</v>
      </c>
      <c r="AU258" s="67" t="s">
        <v>82</v>
      </c>
      <c r="CN258" t="s">
        <v>1857</v>
      </c>
      <c r="DA258" t="str" cm="1">
        <f t="array" ref="DA258:EO258">IF(U258&lt;&gt;"", TRANSPOSE(_xlfn._xlws.FILTER(CZ:CZ, CY:CY=U258, "")), "")</f>
        <v>Gwl (3N) + Mor + Son + Dat + Orc</v>
      </c>
      <c r="DB258" t="str">
        <v>Ex Gwl | Gwl (1N) - Son - Dat - Orc (1N) - Gwl (1N)</v>
      </c>
      <c r="DC258" t="str">
        <v>Ex Idr | Idr - Ujj (1N) - Omk - Mah (1N) - Man (1N) - Idr</v>
      </c>
      <c r="DD258" t="str">
        <v>Ex Jlr | Jlr - Kan (2N) - Jlr (1N)</v>
      </c>
      <c r="DE258" t="str">
        <v>Ex Jlr | Jlr - Ban (2N) - Jlr (1N)</v>
      </c>
      <c r="DF258" t="str">
        <v>Ex Bho | Bho (1N) + San - Bhoj - Bhim - Pch (2N) - Bho</v>
      </c>
      <c r="DG258" t="str">
        <v>Ex Idr | Idr (1N) - Ujj (1N) - Omk (1N) - Mah - Idr</v>
      </c>
      <c r="DH258" t="str">
        <v>Gwl - Orc (1N) - Ckt (1N) - Myr (1N) - Jlr</v>
      </c>
      <c r="DI258" t="str">
        <v>Gwl - Orc (1N) - Ckt (2N) - Ixd</v>
      </c>
      <c r="DJ258" t="str">
        <v>Ex Idr | Idr - Ujj (1N) - Omk - Mah (1N) - Idr (1N)</v>
      </c>
      <c r="DK258" t="str">
        <v>Ex Jlr | Jlr - Kan (3N) - Jlr</v>
      </c>
      <c r="DL258" t="str">
        <v>Ex Bho | Bho (2N) + Bhim + Bhoj + San + Udaygiri + Vidisha + FDCT Bho</v>
      </c>
      <c r="DM258" t="str">
        <v>Bho (1N) + Bhim + Bhoj - HDCT  Bho + Sanchi - Ujj (2N)</v>
      </c>
      <c r="DN258" t="str">
        <v>Bho (1N) + Bhim + Bhoj - HDCT  Bho + Sanchi - Ujj (2N) - Idr</v>
      </c>
      <c r="DO258" t="str">
        <v>Ex Bho | Bho - Bhoj - Bhim - Mad (1N) - Pch (2N) - Bho</v>
      </c>
      <c r="DP258" t="str">
        <v>Ex Bho | Bho - Bhoj - Bhim - Mad (1N) - Pch (3N) - Bho</v>
      </c>
      <c r="DQ258" t="str">
        <v>Ex Bho | Bho - Bhoj - Bhim - Tawa (1N) - Mad (1N) - Bho (1N)</v>
      </c>
      <c r="DR258" t="str">
        <v>Bho (1N) - Bhim - Bhoj - San - Idr (2N) + Ujj</v>
      </c>
      <c r="DS258" t="str">
        <v>Bho (1N) - Bhoj - Bhim - Pch (2N) - Bho</v>
      </c>
      <c r="DT258" t="str">
        <v>Ujj (1N) - Omk - Mah (1N) - Idr (1N)</v>
      </c>
      <c r="DU258" t="str">
        <v>Ujj (1N) - Omk - Mah (1N) - Man (1N) - Idr</v>
      </c>
      <c r="DV258" t="str">
        <v>Ex Idr | Idr (1N) - Ujj (1N) - Omk - Mah (1N)</v>
      </c>
      <c r="DW258" t="str">
        <v>Ex Idr | Idr - Ujj (1N) - Omk (1N) - Mah (1N) - Idr</v>
      </c>
      <c r="DX258" t="str">
        <v>Khandwa - Omk (1N) - Mah (1N) - Ujj (1N) - Idr</v>
      </c>
      <c r="DY258" t="str">
        <v>Ex Idr | Idr - Ujj (1N) - Omk - Mah (1N) - Man - Idr (1N)</v>
      </c>
      <c r="DZ258" t="str">
        <v xml:space="preserve">Idr - Omk (1N) - Mah - Ujj (1N) San - Bho (1N) </v>
      </c>
      <c r="EA258" t="str">
        <v>Ex Idr | Idr - Man (1N) - Mah - Omk (1N) - Ujj (1N) - Idr</v>
      </c>
      <c r="EB258" t="str">
        <v>Khandwa - Omk (1N) - Mah - Ujj (2N)</v>
      </c>
      <c r="EC258" t="str">
        <v>Ex Jlr | Jlr (1N) - Amr (1N) - Ban (1N) - Jlr</v>
      </c>
      <c r="ED258" t="str">
        <v>Ex Jlr | Jlr - (1 N) Ban - (2 N) Amar</v>
      </c>
      <c r="EE258" t="str">
        <v>Jlr - Kan (1N) - Pch (2N)</v>
      </c>
      <c r="EF258" t="str">
        <v>Pi - Pch (2N)  - Kan (1N)</v>
      </c>
      <c r="EG258" t="str">
        <v>Ex Jlr | Jlr - Amr (1 N) - (1 N) Ban - (1 N) Jlr</v>
      </c>
      <c r="EH258" t="str">
        <v>Ppi - (2 N) Pch - (1 N) Pen</v>
      </c>
      <c r="EI258" t="str">
        <v>Bhp - Pch (2N) - Jlr (1N)</v>
      </c>
      <c r="EJ258" t="str">
        <v xml:space="preserve">Arr Jhn - Hjr (1N) - Orc - Gwl (2N) </v>
      </c>
      <c r="EK258" t="str">
        <v>(1 N) Ujj - (1 N) Mah - (1 N) Idr</v>
      </c>
      <c r="EL258" t="str">
        <v>Ex Bhp | Bhp - Bhoj - Bhim - Pch (3N) - Bhp</v>
      </c>
      <c r="EM258" t="str">
        <v>Ex Bhp | Bhp - Bhoj - Bhim - Pch (2N) - Mad (1N) - Bhp</v>
      </c>
      <c r="EN258" t="str">
        <v xml:space="preserve">Ex Nag - 3N Pch + Sat </v>
      </c>
      <c r="EO258" t="str">
        <v>1N Gwl - Son - Dat - 1N Hjr - 1N Orc - Jhn</v>
      </c>
    </row>
    <row r="259" spans="2:145" ht="15" customHeight="1">
      <c r="B259" s="34">
        <v>255</v>
      </c>
      <c r="C259" s="36" t="s">
        <v>1858</v>
      </c>
      <c r="D259" s="76">
        <v>46228</v>
      </c>
      <c r="E259" s="37" t="str">
        <f>IF(Table5[[#This Row],[Query Date]]&lt;&gt;"", TEXT(Table5[[#This Row],[Query Date]], "dddd"), "")</f>
        <v>Saturday</v>
      </c>
      <c r="F259" s="37" t="str">
        <f>IF(Table5[[#This Row],[Query Date]]&lt;&gt;"", TEXT(Table5[[#This Row],[Query Date]], "mmmm"), "")</f>
        <v>July</v>
      </c>
      <c r="G259" s="28" t="s">
        <v>113</v>
      </c>
      <c r="H259" s="28" t="s">
        <v>99</v>
      </c>
      <c r="I259" s="28" t="s">
        <v>67</v>
      </c>
      <c r="J259" s="28" t="s">
        <v>68</v>
      </c>
      <c r="K259" s="28" t="s">
        <v>178</v>
      </c>
      <c r="L259" s="25" t="s">
        <v>160</v>
      </c>
      <c r="M259" s="112" t="s">
        <v>90</v>
      </c>
      <c r="N259" s="25" t="s">
        <v>1859</v>
      </c>
      <c r="O259" s="130" t="s">
        <v>1860</v>
      </c>
      <c r="P259" s="106" t="s">
        <v>1638</v>
      </c>
      <c r="Q259" s="77">
        <v>46323</v>
      </c>
      <c r="R259" s="77" t="str">
        <f>IF(Table5[[#This Row],[Tour Starting Date]]&lt;&gt;"", TEXT(Table5[[#This Row],[Tour Starting Date]], "dddd"), "")</f>
        <v>Wednesday</v>
      </c>
      <c r="S259" s="77">
        <v>46325</v>
      </c>
      <c r="T259" s="25" t="str">
        <f>IF(Table5[[#This Row],[Tour Ending Date]]&lt;&gt;"", TEXT(Table5[[#This Row],[Tour Ending Date]], "dddd"), "")</f>
        <v>Friday</v>
      </c>
      <c r="U259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259" s="37" t="str">
        <f>IF(Table5[[#This Row],[Tour Starting Date]]&lt;&gt;"", TEXT(Table5[[#This Row],[Tour Starting Date]], "mmmm"), "")</f>
        <v>October</v>
      </c>
      <c r="W259" s="80" t="str" cm="1">
        <f t="array" ref="W259">IF(Q259&lt;&gt;"", INDEX(CI:CI, MATCH(1, (Q259&gt;=CG:CG)*(Q259&lt;=CH:CH), 0)), "")</f>
        <v>Regular Dates - Weekday</v>
      </c>
      <c r="X259" s="39">
        <v>2</v>
      </c>
      <c r="Y259" s="74">
        <v>9700</v>
      </c>
      <c r="Z259" s="74">
        <f>IF(OR(Table5[[#This Row],[Per Person Package Cost]]="", Table5[[#This Row],[No. of Pax]]=""), "", Table5[[#This Row],[Per Person Package Cost]] * Table5[[#This Row],[No. of Pax]])</f>
        <v>19400</v>
      </c>
      <c r="AA259" s="52" t="s">
        <v>75</v>
      </c>
      <c r="AB259" s="52" t="s">
        <v>75</v>
      </c>
      <c r="AC259" s="52" t="s">
        <v>76</v>
      </c>
      <c r="AD259" s="52" t="s">
        <v>352</v>
      </c>
      <c r="AE259" s="51" t="str">
        <f t="shared" si="21"/>
        <v>EXIDR02</v>
      </c>
      <c r="AF259" s="51" t="str">
        <f t="shared" si="22"/>
        <v>Jyotirlinga Trails</v>
      </c>
      <c r="AG259" s="74" t="str">
        <f t="shared" si="23"/>
        <v>Quick Getaways</v>
      </c>
      <c r="AH259" s="73" t="str">
        <f t="shared" si="24"/>
        <v>West MP</v>
      </c>
      <c r="AI259" s="52" t="s">
        <v>107</v>
      </c>
      <c r="AJ259" s="56" t="s">
        <v>115</v>
      </c>
      <c r="AK259" s="59" t="s">
        <v>79</v>
      </c>
      <c r="AL259" s="60" t="s">
        <v>80</v>
      </c>
      <c r="AM259" s="54" t="s">
        <v>80</v>
      </c>
      <c r="AN259" s="14">
        <v>46231</v>
      </c>
      <c r="AO259" s="15"/>
      <c r="AP259" s="91"/>
      <c r="AQ259" s="87"/>
      <c r="AR259" s="26"/>
      <c r="AS259" s="65"/>
      <c r="AT259" s="88" t="s">
        <v>138</v>
      </c>
      <c r="AU259" s="67"/>
      <c r="CN259" t="s">
        <v>1135</v>
      </c>
      <c r="DA259" t="str" cm="1">
        <f t="array" ref="DA259:DY259">IF(U259&lt;&gt;"", TRANSPOSE(_xlfn._xlws.FILTER(CZ:CZ, CY:CY=U259, "")), "")</f>
        <v>Gwl (2N) + Mor</v>
      </c>
      <c r="DB259" t="str">
        <v>Ex Idr | Idr - Ujj (1N) - Omk - Mah (1N) - Man - Idr</v>
      </c>
      <c r="DC259" t="str">
        <v>Ujj (1N) - Omk - Idr (1N)</v>
      </c>
      <c r="DD259" t="str">
        <v>Ex Jlr | Jlr - Kan (2N) - Jlr</v>
      </c>
      <c r="DE259" t="str">
        <v>Ex Jlr | Jlr - Ban (2N) - Jlr</v>
      </c>
      <c r="DF259" t="str">
        <v>Ex Bho | Bho (2N) + Bhim + Bhoj + San</v>
      </c>
      <c r="DG259" t="str">
        <v>Ex Idr | Idr - Man (2N) - Idr</v>
      </c>
      <c r="DH259" t="str">
        <v>Ex Jlr | Jlr - Kan (2N) - Jlr</v>
      </c>
      <c r="DI259" t="str">
        <v>Ex Bho | Bho (2N) + Bhim + Bhoj + San + HDCT Bho</v>
      </c>
      <c r="DJ259" t="str">
        <v>Ex Bho | Bho - Bhim - Tawa (1N) - Mad (1N) - Bho</v>
      </c>
      <c r="DK259" t="str">
        <v>Ujj (1N) - Omk - Mah (1N) - Idr</v>
      </c>
      <c r="DL259" t="str">
        <v>Ujj (1N) -  Idr (1N)</v>
      </c>
      <c r="DM259" t="str">
        <v>Ex Idr | Idr (2N) + Ujj + Omk + Mah</v>
      </c>
      <c r="DN259" t="str">
        <v>Idr - Mah - Omk (1N) - Ujj (1N)</v>
      </c>
      <c r="DO259" t="str">
        <v>Idr - Ujj (1N) - Mah - Omk (1N) - Khandwa</v>
      </c>
      <c r="DP259" t="str">
        <v>Ex Idr | Idr (EX Ujj) (1N) - Mah - Omk (1N) - Idr HDCT</v>
      </c>
      <c r="DQ259" t="str">
        <v>Ujj (1N) - Sehor - Bho (1N) HDCT</v>
      </c>
      <c r="DR259" t="str">
        <v>Ex Jlr | Jlr (1N) - Ban (1N)</v>
      </c>
      <c r="DS259" t="str">
        <v>Ex Jlr | Ban (1N)</v>
      </c>
      <c r="DT259" t="str">
        <v>Ex Jlr | Jlr (2 N) Kan</v>
      </c>
      <c r="DU259" t="str">
        <v>Ex Jlr | Jlr - Amr (1 N) - (1 N) Ban</v>
      </c>
      <c r="DV259" t="str">
        <v>Ex Rpr | Rpr - (2N) Kan</v>
      </c>
      <c r="DW259" t="str">
        <v>Hjr (1N) - Mahi (1N) - Sat</v>
      </c>
      <c r="DX259" t="str">
        <v>Ex Bhp | Bhp - Bhim - Pch (2N) - Bhp</v>
      </c>
      <c r="DY259" t="str">
        <v xml:space="preserve">Ex Ujj I 2N Ujj </v>
      </c>
    </row>
    <row r="260" spans="2:145" ht="15" customHeight="1">
      <c r="B260" s="35">
        <v>256</v>
      </c>
      <c r="C260" s="36" t="s">
        <v>1861</v>
      </c>
      <c r="D260" s="76">
        <v>46228</v>
      </c>
      <c r="E260" s="37" t="str">
        <f>IF(Table5[[#This Row],[Query Date]]&lt;&gt;"", TEXT(Table5[[#This Row],[Query Date]], "dddd"), "")</f>
        <v>Saturday</v>
      </c>
      <c r="F260" s="37" t="str">
        <f>IF(Table5[[#This Row],[Query Date]]&lt;&gt;"", TEXT(Table5[[#This Row],[Query Date]], "mmmm"), "")</f>
        <v>July</v>
      </c>
      <c r="G260" s="28" t="s">
        <v>113</v>
      </c>
      <c r="H260" s="28" t="s">
        <v>99</v>
      </c>
      <c r="I260" s="28" t="s">
        <v>67</v>
      </c>
      <c r="J260" s="28" t="s">
        <v>68</v>
      </c>
      <c r="K260" s="28" t="s">
        <v>178</v>
      </c>
      <c r="L260" s="25" t="s">
        <v>160</v>
      </c>
      <c r="M260" s="112" t="s">
        <v>90</v>
      </c>
      <c r="N260" s="25" t="s">
        <v>1862</v>
      </c>
      <c r="O260" s="130" t="s">
        <v>1863</v>
      </c>
      <c r="P260" s="31" t="s">
        <v>1638</v>
      </c>
      <c r="Q260" s="77">
        <v>46268</v>
      </c>
      <c r="R260" s="77" t="str">
        <f>IF(Table5[[#This Row],[Tour Starting Date]]&lt;&gt;"", TEXT(Table5[[#This Row],[Tour Starting Date]], "dddd"), "")</f>
        <v>Thursday</v>
      </c>
      <c r="S260" s="77">
        <v>46270</v>
      </c>
      <c r="T260" s="25" t="str">
        <f>IF(Table5[[#This Row],[Tour Ending Date]]&lt;&gt;"", TEXT(Table5[[#This Row],[Tour Ending Date]], "dddd"), "")</f>
        <v>Saturday</v>
      </c>
      <c r="U260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260" s="37" t="str">
        <f>IF(Table5[[#This Row],[Tour Starting Date]]&lt;&gt;"", TEXT(Table5[[#This Row],[Tour Starting Date]], "mmmm"), "")</f>
        <v>September</v>
      </c>
      <c r="W260" s="80" t="str" cm="1">
        <f t="array" ref="W260">IF(Q260&lt;&gt;"", INDEX(CI:CI, MATCH(1, (Q260&gt;=CG:CG)*(Q260&lt;=CH:CH), 0)), "")</f>
        <v>Regular Dates - Weekday</v>
      </c>
      <c r="X260" s="39">
        <v>4</v>
      </c>
      <c r="Y260" s="74">
        <v>9200</v>
      </c>
      <c r="Z260" s="74">
        <f>IF(OR(Table5[[#This Row],[Per Person Package Cost]]="", Table5[[#This Row],[No. of Pax]]=""), "", Table5[[#This Row],[Per Person Package Cost]] * Table5[[#This Row],[No. of Pax]])</f>
        <v>36800</v>
      </c>
      <c r="AA260" s="52" t="s">
        <v>75</v>
      </c>
      <c r="AB260" s="52" t="s">
        <v>75</v>
      </c>
      <c r="AC260" s="52" t="s">
        <v>173</v>
      </c>
      <c r="AD260" s="52" t="s">
        <v>352</v>
      </c>
      <c r="AE260" s="51" t="str">
        <f t="shared" si="21"/>
        <v>EXIDR02</v>
      </c>
      <c r="AF260" s="51" t="str">
        <f t="shared" si="22"/>
        <v>Jyotirlinga Trails</v>
      </c>
      <c r="AG260" s="74" t="str">
        <f t="shared" si="23"/>
        <v>Quick Getaways</v>
      </c>
      <c r="AH260" s="73" t="str">
        <f t="shared" si="24"/>
        <v>West MP</v>
      </c>
      <c r="AI260" s="52" t="s">
        <v>159</v>
      </c>
      <c r="AJ260" s="56" t="s">
        <v>115</v>
      </c>
      <c r="AK260" s="59" t="s">
        <v>79</v>
      </c>
      <c r="AL260" s="60" t="s">
        <v>80</v>
      </c>
      <c r="AM260" s="54" t="s">
        <v>80</v>
      </c>
      <c r="AN260" s="14">
        <v>46231</v>
      </c>
      <c r="AO260" s="15"/>
      <c r="AP260" s="91"/>
      <c r="AQ260" s="87"/>
      <c r="AR260" s="26"/>
      <c r="AS260" s="65"/>
      <c r="AT260" s="88" t="s">
        <v>138</v>
      </c>
      <c r="AU260" s="67"/>
      <c r="CN260" t="s">
        <v>1864</v>
      </c>
      <c r="DA260" t="str" cm="1">
        <f t="array" ref="DA260:DY260">IF(U260&lt;&gt;"", TRANSPOSE(_xlfn._xlws.FILTER(CZ:CZ, CY:CY=U260, "")), "")</f>
        <v>Gwl (2N) + Mor</v>
      </c>
      <c r="DB260" t="str">
        <v>Ex Idr | Idr - Ujj (1N) - Omk - Mah (1N) - Man - Idr</v>
      </c>
      <c r="DC260" t="str">
        <v>Ujj (1N) - Omk - Idr (1N)</v>
      </c>
      <c r="DD260" t="str">
        <v>Ex Jlr | Jlr - Kan (2N) - Jlr</v>
      </c>
      <c r="DE260" t="str">
        <v>Ex Jlr | Jlr - Ban (2N) - Jlr</v>
      </c>
      <c r="DF260" t="str">
        <v>Ex Bho | Bho (2N) + Bhim + Bhoj + San</v>
      </c>
      <c r="DG260" t="str">
        <v>Ex Idr | Idr - Man (2N) - Idr</v>
      </c>
      <c r="DH260" t="str">
        <v>Ex Jlr | Jlr - Kan (2N) - Jlr</v>
      </c>
      <c r="DI260" t="str">
        <v>Ex Bho | Bho (2N) + Bhim + Bhoj + San + HDCT Bho</v>
      </c>
      <c r="DJ260" t="str">
        <v>Ex Bho | Bho - Bhim - Tawa (1N) - Mad (1N) - Bho</v>
      </c>
      <c r="DK260" t="str">
        <v>Ujj (1N) - Omk - Mah (1N) - Idr</v>
      </c>
      <c r="DL260" t="str">
        <v>Ujj (1N) -  Idr (1N)</v>
      </c>
      <c r="DM260" t="str">
        <v>Ex Idr | Idr (2N) + Ujj + Omk + Mah</v>
      </c>
      <c r="DN260" t="str">
        <v>Idr - Mah - Omk (1N) - Ujj (1N)</v>
      </c>
      <c r="DO260" t="str">
        <v>Idr - Ujj (1N) - Mah - Omk (1N) - Khandwa</v>
      </c>
      <c r="DP260" t="str">
        <v>Ex Idr | Idr (EX Ujj) (1N) - Mah - Omk (1N) - Idr HDCT</v>
      </c>
      <c r="DQ260" t="str">
        <v>Ujj (1N) - Sehor - Bho (1N) HDCT</v>
      </c>
      <c r="DR260" t="str">
        <v>Ex Jlr | Jlr (1N) - Ban (1N)</v>
      </c>
      <c r="DS260" t="str">
        <v>Ex Jlr | Ban (1N)</v>
      </c>
      <c r="DT260" t="str">
        <v>Ex Jlr | Jlr (2 N) Kan</v>
      </c>
      <c r="DU260" t="str">
        <v>Ex Jlr | Jlr - Amr (1 N) - (1 N) Ban</v>
      </c>
      <c r="DV260" t="str">
        <v>Ex Rpr | Rpr - (2N) Kan</v>
      </c>
      <c r="DW260" t="str">
        <v>Hjr (1N) - Mahi (1N) - Sat</v>
      </c>
      <c r="DX260" t="str">
        <v>Ex Bhp | Bhp - Bhim - Pch (2N) - Bhp</v>
      </c>
      <c r="DY260" t="str">
        <v xml:space="preserve">Ex Ujj I 2N Ujj </v>
      </c>
    </row>
    <row r="261" spans="2:145" ht="15" customHeight="1">
      <c r="B261" s="34">
        <v>257</v>
      </c>
      <c r="C261" s="36" t="s">
        <v>1865</v>
      </c>
      <c r="D261" s="76">
        <v>46230</v>
      </c>
      <c r="E261" s="37" t="str">
        <f>IF(Table5[[#This Row],[Query Date]]&lt;&gt;"", TEXT(Table5[[#This Row],[Query Date]], "dddd"), "")</f>
        <v>Monday</v>
      </c>
      <c r="F261" s="37" t="str">
        <f>IF(Table5[[#This Row],[Query Date]]&lt;&gt;"", TEXT(Table5[[#This Row],[Query Date]], "mmmm"), "")</f>
        <v>July</v>
      </c>
      <c r="G261" s="28" t="s">
        <v>65</v>
      </c>
      <c r="H261" s="28" t="s">
        <v>99</v>
      </c>
      <c r="I261" s="28" t="s">
        <v>67</v>
      </c>
      <c r="J261" s="28" t="s">
        <v>68</v>
      </c>
      <c r="K261" s="28" t="s">
        <v>178</v>
      </c>
      <c r="L261" s="25" t="s">
        <v>70</v>
      </c>
      <c r="M261" s="112" t="s">
        <v>417</v>
      </c>
      <c r="N261" s="25" t="s">
        <v>418</v>
      </c>
      <c r="O261" s="130" t="s">
        <v>419</v>
      </c>
      <c r="P261" s="106" t="s">
        <v>420</v>
      </c>
      <c r="Q261" s="77">
        <v>46238</v>
      </c>
      <c r="R261" s="77" t="str">
        <f>IF(Table5[[#This Row],[Tour Starting Date]]&lt;&gt;"", TEXT(Table5[[#This Row],[Tour Starting Date]], "dddd"), "")</f>
        <v>Tuesday</v>
      </c>
      <c r="S261" s="77">
        <v>46241</v>
      </c>
      <c r="T261" s="25" t="str">
        <f>IF(Table5[[#This Row],[Tour Ending Date]]&lt;&gt;"", TEXT(Table5[[#This Row],[Tour Ending Date]], "dddd"), "")</f>
        <v>Friday</v>
      </c>
      <c r="U261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261" s="37" t="str">
        <f>IF(Table5[[#This Row],[Tour Starting Date]]&lt;&gt;"", TEXT(Table5[[#This Row],[Tour Starting Date]], "mmmm"), "")</f>
        <v>August</v>
      </c>
      <c r="W261" s="80" t="str" cm="1">
        <f t="array" ref="W261">IF(Q261&lt;&gt;"", INDEX(CI:CI, MATCH(1, (Q261&gt;=CG:CG)*(Q261&lt;=CH:CH), 0)), "")</f>
        <v>Regular Dates - Weekday</v>
      </c>
      <c r="X261" s="39">
        <v>4</v>
      </c>
      <c r="Y261" s="74">
        <v>23900</v>
      </c>
      <c r="Z261" s="74">
        <f>IF(OR(Table5[[#This Row],[Per Person Package Cost]]="", Table5[[#This Row],[No. of Pax]]=""), "", Table5[[#This Row],[Per Person Package Cost]] * Table5[[#This Row],[No. of Pax]])</f>
        <v>95600</v>
      </c>
      <c r="AA261" s="52" t="s">
        <v>75</v>
      </c>
      <c r="AB261" s="52" t="s">
        <v>75</v>
      </c>
      <c r="AC261" s="52" t="s">
        <v>134</v>
      </c>
      <c r="AD261" s="52" t="s">
        <v>106</v>
      </c>
      <c r="AE261" s="51" t="str">
        <f t="shared" ref="AE261:AE324" si="37">IF(AD261&lt;&gt;"", INDEX(CW:CW, MATCH(AD261, CZ:CZ, 0)), "")</f>
        <v>EXIDR04</v>
      </c>
      <c r="AF261" s="51" t="str">
        <f t="shared" ref="AF261:AF324" si="38">IF(AD261&lt;&gt;"", INDEX(CX:CX, MATCH(AD261, CZ:CZ, 0)), "")</f>
        <v>Heritage Pilgrimage</v>
      </c>
      <c r="AG261" s="74" t="str">
        <f t="shared" ref="AG261:AG324" si="39">IF(AE261&lt;&gt;"", INDEX(CU:CU, MATCH(AE261, CW:CW, 0)), "")</f>
        <v>Quick Getaways</v>
      </c>
      <c r="AH261" s="73" t="str">
        <f t="shared" si="24"/>
        <v>West MP</v>
      </c>
      <c r="AI261" s="52" t="s">
        <v>159</v>
      </c>
      <c r="AJ261" s="56" t="s">
        <v>78</v>
      </c>
      <c r="AK261" s="59" t="s">
        <v>79</v>
      </c>
      <c r="AL261" s="60" t="s">
        <v>80</v>
      </c>
      <c r="AM261" s="54" t="s">
        <v>80</v>
      </c>
      <c r="AN261" s="14">
        <v>46232</v>
      </c>
      <c r="AO261" s="15"/>
      <c r="AP261" s="91"/>
      <c r="AQ261" s="87"/>
      <c r="AR261" s="26"/>
      <c r="AS261" s="65"/>
      <c r="AT261" s="88" t="s">
        <v>81</v>
      </c>
      <c r="AU261" s="67"/>
      <c r="CN261" t="s">
        <v>1866</v>
      </c>
      <c r="DA261" t="str" cm="1">
        <f t="array" ref="DA261:EO261">IF(U261&lt;&gt;"", TRANSPOSE(_xlfn._xlws.FILTER(CZ:CZ, CY:CY=U261, "")), "")</f>
        <v>Gwl (3N) + Mor + Son + Dat + Orc</v>
      </c>
      <c r="DB261" t="str">
        <v>Ex Gwl | Gwl (1N) - Son - Dat - Orc (1N) - Gwl (1N)</v>
      </c>
      <c r="DC261" t="str">
        <v>Ex Idr | Idr - Ujj (1N) - Omk - Mah (1N) - Man (1N) - Idr</v>
      </c>
      <c r="DD261" t="str">
        <v>Ex Jlr | Jlr - Kan (2N) - Jlr (1N)</v>
      </c>
      <c r="DE261" t="str">
        <v>Ex Jlr | Jlr - Ban (2N) - Jlr (1N)</v>
      </c>
      <c r="DF261" t="str">
        <v>Ex Bho | Bho (1N) + San - Bhoj - Bhim - Pch (2N) - Bho</v>
      </c>
      <c r="DG261" t="str">
        <v>Ex Idr | Idr (1N) - Ujj (1N) - Omk (1N) - Mah - Idr</v>
      </c>
      <c r="DH261" t="str">
        <v>Gwl - Orc (1N) - Ckt (1N) - Myr (1N) - Jlr</v>
      </c>
      <c r="DI261" t="str">
        <v>Gwl - Orc (1N) - Ckt (2N) - Ixd</v>
      </c>
      <c r="DJ261" t="str">
        <v>Ex Idr | Idr - Ujj (1N) - Omk - Mah (1N) - Idr (1N)</v>
      </c>
      <c r="DK261" t="str">
        <v>Ex Jlr | Jlr - Kan (3N) - Jlr</v>
      </c>
      <c r="DL261" t="str">
        <v>Ex Bho | Bho (2N) + Bhim + Bhoj + San + Udaygiri + Vidisha + FDCT Bho</v>
      </c>
      <c r="DM261" t="str">
        <v>Bho (1N) + Bhim + Bhoj - HDCT  Bho + Sanchi - Ujj (2N)</v>
      </c>
      <c r="DN261" t="str">
        <v>Bho (1N) + Bhim + Bhoj - HDCT  Bho + Sanchi - Ujj (2N) - Idr</v>
      </c>
      <c r="DO261" t="str">
        <v>Ex Bho | Bho - Bhoj - Bhim - Mad (1N) - Pch (2N) - Bho</v>
      </c>
      <c r="DP261" t="str">
        <v>Ex Bho | Bho - Bhoj - Bhim - Mad (1N) - Pch (3N) - Bho</v>
      </c>
      <c r="DQ261" t="str">
        <v>Ex Bho | Bho - Bhoj - Bhim - Tawa (1N) - Mad (1N) - Bho (1N)</v>
      </c>
      <c r="DR261" t="str">
        <v>Bho (1N) - Bhim - Bhoj - San - Idr (2N) + Ujj</v>
      </c>
      <c r="DS261" t="str">
        <v>Bho (1N) - Bhoj - Bhim - Pch (2N) - Bho</v>
      </c>
      <c r="DT261" t="str">
        <v>Ujj (1N) - Omk - Mah (1N) - Idr (1N)</v>
      </c>
      <c r="DU261" t="str">
        <v>Ujj (1N) - Omk - Mah (1N) - Man (1N) - Idr</v>
      </c>
      <c r="DV261" t="str">
        <v>Ex Idr | Idr (1N) - Ujj (1N) - Omk - Mah (1N)</v>
      </c>
      <c r="DW261" t="str">
        <v>Ex Idr | Idr - Ujj (1N) - Omk (1N) - Mah (1N) - Idr</v>
      </c>
      <c r="DX261" t="str">
        <v>Khandwa - Omk (1N) - Mah (1N) - Ujj (1N) - Idr</v>
      </c>
      <c r="DY261" t="str">
        <v>Ex Idr | Idr - Ujj (1N) - Omk - Mah (1N) - Man - Idr (1N)</v>
      </c>
      <c r="DZ261" t="str">
        <v xml:space="preserve">Idr - Omk (1N) - Mah - Ujj (1N) San - Bho (1N) </v>
      </c>
      <c r="EA261" t="str">
        <v>Ex Idr | Idr - Man (1N) - Mah - Omk (1N) - Ujj (1N) - Idr</v>
      </c>
      <c r="EB261" t="str">
        <v>Khandwa - Omk (1N) - Mah - Ujj (2N)</v>
      </c>
      <c r="EC261" t="str">
        <v>Ex Jlr | Jlr (1N) - Amr (1N) - Ban (1N) - Jlr</v>
      </c>
      <c r="ED261" t="str">
        <v>Ex Jlr | Jlr - (1 N) Ban - (2 N) Amar</v>
      </c>
      <c r="EE261" t="str">
        <v>Jlr - Kan (1N) - Pch (2N)</v>
      </c>
      <c r="EF261" t="str">
        <v>Pi - Pch (2N)  - Kan (1N)</v>
      </c>
      <c r="EG261" t="str">
        <v>Ex Jlr | Jlr - Amr (1 N) - (1 N) Ban - (1 N) Jlr</v>
      </c>
      <c r="EH261" t="str">
        <v>Ppi - (2 N) Pch - (1 N) Pen</v>
      </c>
      <c r="EI261" t="str">
        <v>Bhp - Pch (2N) - Jlr (1N)</v>
      </c>
      <c r="EJ261" t="str">
        <v xml:space="preserve">Arr Jhn - Hjr (1N) - Orc - Gwl (2N) </v>
      </c>
      <c r="EK261" t="str">
        <v>(1 N) Ujj - (1 N) Mah - (1 N) Idr</v>
      </c>
      <c r="EL261" t="str">
        <v>Ex Bhp | Bhp - Bhoj - Bhim - Pch (3N) - Bhp</v>
      </c>
      <c r="EM261" t="str">
        <v>Ex Bhp | Bhp - Bhoj - Bhim - Pch (2N) - Mad (1N) - Bhp</v>
      </c>
      <c r="EN261" t="str">
        <v xml:space="preserve">Ex Nag - 3N Pch + Sat </v>
      </c>
      <c r="EO261" t="str">
        <v>1N Gwl - Son - Dat - 1N Hjr - 1N Orc - Jhn</v>
      </c>
    </row>
    <row r="262" spans="2:145" ht="15" customHeight="1">
      <c r="B262" s="35">
        <v>258</v>
      </c>
      <c r="C262" s="36" t="s">
        <v>1867</v>
      </c>
      <c r="D262" s="76">
        <v>46230</v>
      </c>
      <c r="E262" s="37" t="str">
        <f>IF(Table5[[#This Row],[Query Date]]&lt;&gt;"", TEXT(Table5[[#This Row],[Query Date]], "dddd"), "")</f>
        <v>Monday</v>
      </c>
      <c r="F262" s="37" t="str">
        <f>IF(Table5[[#This Row],[Query Date]]&lt;&gt;"", TEXT(Table5[[#This Row],[Query Date]], "mmmm"), "")</f>
        <v>July</v>
      </c>
      <c r="G262" s="28" t="s">
        <v>65</v>
      </c>
      <c r="H262" s="28" t="s">
        <v>99</v>
      </c>
      <c r="I262" s="28" t="s">
        <v>67</v>
      </c>
      <c r="J262" s="28" t="s">
        <v>68</v>
      </c>
      <c r="K262" s="28" t="s">
        <v>246</v>
      </c>
      <c r="L262" s="25" t="s">
        <v>70</v>
      </c>
      <c r="M262" s="112" t="s">
        <v>493</v>
      </c>
      <c r="N262" s="25" t="s">
        <v>1190</v>
      </c>
      <c r="O262" s="130" t="s">
        <v>1191</v>
      </c>
      <c r="P262" s="46" t="s">
        <v>1192</v>
      </c>
      <c r="Q262" s="77">
        <v>46311</v>
      </c>
      <c r="R262" s="77" t="str">
        <f>IF(Table5[[#This Row],[Tour Starting Date]]&lt;&gt;"", TEXT(Table5[[#This Row],[Tour Starting Date]], "dddd"), "")</f>
        <v>Friday</v>
      </c>
      <c r="S262" s="77">
        <v>46317</v>
      </c>
      <c r="T262" s="25" t="str">
        <f>IF(Table5[[#This Row],[Tour Ending Date]]&lt;&gt;"", TEXT(Table5[[#This Row],[Tour Ending Date]], "dddd"), "")</f>
        <v>Thursday</v>
      </c>
      <c r="U262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6 Nights &amp; 7 Days</v>
      </c>
      <c r="V262" s="37" t="str">
        <f>IF(Table5[[#This Row],[Tour Starting Date]]&lt;&gt;"", TEXT(Table5[[#This Row],[Tour Starting Date]], "mmmm"), "")</f>
        <v>October</v>
      </c>
      <c r="W262" s="80" t="str" cm="1">
        <f t="array" ref="W262">IF(Q262&lt;&gt;"", INDEX(CI:CI, MATCH(1, (Q262&gt;=CG:CG)*(Q262&lt;=CH:CH), 0)), "")</f>
        <v>Regular Dates - Weekend</v>
      </c>
      <c r="X262" s="39">
        <v>8</v>
      </c>
      <c r="Y262" s="74">
        <v>22500</v>
      </c>
      <c r="Z262" s="74">
        <f>IF(OR(Table5[[#This Row],[Per Person Package Cost]]="", Table5[[#This Row],[No. of Pax]]=""), "", Table5[[#This Row],[Per Person Package Cost]] * Table5[[#This Row],[No. of Pax]])</f>
        <v>180000</v>
      </c>
      <c r="AA262" s="52" t="s">
        <v>205</v>
      </c>
      <c r="AB262" s="52" t="s">
        <v>75</v>
      </c>
      <c r="AC262" s="52" t="s">
        <v>76</v>
      </c>
      <c r="AD262" s="52" t="s">
        <v>106</v>
      </c>
      <c r="AE262" s="51" t="str">
        <f t="shared" si="37"/>
        <v>EXIDR04</v>
      </c>
      <c r="AF262" s="51" t="str">
        <f t="shared" si="38"/>
        <v>Heritage Pilgrimage</v>
      </c>
      <c r="AG262" s="74" t="str">
        <f t="shared" si="39"/>
        <v>Quick Getaways</v>
      </c>
      <c r="AH262" s="73" t="str">
        <f t="shared" si="24"/>
        <v>West MP</v>
      </c>
      <c r="AI262" s="52" t="s">
        <v>159</v>
      </c>
      <c r="AJ262" s="56" t="s">
        <v>78</v>
      </c>
      <c r="AK262" s="59" t="s">
        <v>79</v>
      </c>
      <c r="AL262" s="60" t="s">
        <v>80</v>
      </c>
      <c r="AM262" s="54" t="s">
        <v>80</v>
      </c>
      <c r="AN262" s="14">
        <v>46232</v>
      </c>
      <c r="AO262" s="15">
        <v>46254</v>
      </c>
      <c r="AP262" s="91"/>
      <c r="AQ262" s="87"/>
      <c r="AR262" s="26"/>
      <c r="AS262" s="65"/>
      <c r="AT262" s="88" t="s">
        <v>138</v>
      </c>
      <c r="AU262" s="67"/>
      <c r="CN262" t="s">
        <v>1868</v>
      </c>
      <c r="DA262" t="str" cm="1">
        <f t="array" ref="DA262:DZ262">IF(U262&lt;&gt;"", TRANSPOSE(_xlfn._xlws.FILTER(CZ:CZ, CY:CY=U262, "")), "")</f>
        <v>Ex Gwl | Gwl (2N) + Mor - Orc - Pan (2N) - Hjr (1N) - Dat - Son - Gwl (1N)</v>
      </c>
      <c r="DB262" t="str">
        <v>Ex Gwl | GWL (2N) + Mor - Shiv - Chan (2N) - Hjr (1N) - Orc (1N) - Dat - Gwl</v>
      </c>
      <c r="DC262" t="str">
        <v>Gwl (2N) + Mor - Son - Dat - Orc (1N) - Hjr (1N) - Ban (1N) - Jlr (1N)</v>
      </c>
      <c r="DD262" t="str">
        <v>Idr - Ujj (1N) - Omk - Mah (1N) - Man (2N) - Bhp (2N) + Bhim + Bhoj + San</v>
      </c>
      <c r="DE262" t="str">
        <v>Bhp (1N) + Bhim + Bhoj + San - Ujj (1N) - Man (2N) - Mah - Omk (1N) - Idr (1N)</v>
      </c>
      <c r="DF262" t="str">
        <v>Jlr (1N) - Ban (1N) - Hjr (1N) - Orc (1N) - Dat - Son - Gwl (2N) + Mor</v>
      </c>
      <c r="DG262" t="str">
        <v>Bho (1N) + San - Bhoj - Bhim - Tawa (1N) - Mad (1N) - Pch (2N) - Jlr (1N)</v>
      </c>
      <c r="DH262" t="str">
        <v>Bho (1N) + San + Udaygiri - Bhoj - Bhim - Pch (2N) - Kan(2N) - Jlr (1N)</v>
      </c>
      <c r="DI262" t="str">
        <v>Bho (1N) + Bhim + Bhoj - San - Ujj (1N) - Man (2N) - Mah - Omk (1N) - Idr (1N)</v>
      </c>
      <c r="DJ262" t="str">
        <v>Gwl (2N) + Mor - Son - Dat - Orc (1N) - Hjr (1N) - Jab (1N) - Kan (1N) - Nag</v>
      </c>
      <c r="DK262" t="str">
        <v>Bho (2N) + San + Bhoj + Bhim - Ujj (1N) - Omk - Mah (1N) - Man (1N) - Idr (1N)</v>
      </c>
      <c r="DL262" t="str">
        <v>Ex Nag | Nag - Pch (2N) - Bhim - Bhoj - Bho (2N) + San + Udaygiri - Jlr (1N) - Kan (1N) - Nag</v>
      </c>
      <c r="DM262" t="str">
        <v>Bho (1N) - Mad (2N) + Tawa Cruise Safari - Pch (2N) - Jlr (1N) - Nag</v>
      </c>
      <c r="DN262" t="str">
        <v>Idr - Man (2N) - Idr (1N) - Bho (1N) + San - Bhoj - Bhim - Pch (2N) - Bho</v>
      </c>
      <c r="DO262" t="str">
        <v>Rpr - kan (2N) - Ban (1N) - Jlr (1N) - Mad (2N) - Bhim - Bhoj - Bho</v>
      </c>
      <c r="DP262" t="str">
        <v>Jlr - Amar (1 N) - Ban (2 N) - Kan (1N) - Pch (2N) - Ppi</v>
      </c>
      <c r="DQ262" t="str">
        <v>Jlr - (2N) Kan - (1N) Jlr - Bhim - Bhoj - (2N) Bho  (Ex San &amp; Uda)  - (1N) Ujj - Idr</v>
      </c>
      <c r="DR262" t="str">
        <v>Ex Nag | Nag (2 N) Pach - Bhim - Bhij - (2 N) Bho (Ex San &amp; Uad) - (1 N) Jlr - (1 N) Kan - Nag</v>
      </c>
      <c r="DS262" t="str">
        <v>(2 N) Bho (Ex San, Bhoj &amp; Bhim) - (1 N) Ujj - Omk - (1 N) Mah - (1 N) Man - (1 N) Idr</v>
      </c>
      <c r="DT262" t="str">
        <v>(2 N) Gwl (Ex Mor) - Son - Dat - (1 N) Orc - (1 N) Hjr - (1 N) Jlr - (1 N) Kan - Nag</v>
      </c>
      <c r="DU262" t="str">
        <v>(1 N) Jlr - (2 N) Kanha - (2 N Pach) - (1 N) BHo</v>
      </c>
      <c r="DV262" t="str">
        <v>(2 N) Gwl - (1 N) Orc - (1 N) Hjr - (1 N) Ban - (1 N) Jlr</v>
      </c>
      <c r="DW262" t="str">
        <v>(2 N) BHo - (2 N) Madhai - (1 N) Pach - (1 N) Jlr</v>
      </c>
      <c r="DX262" t="str">
        <v>Ex Bhp | Bhp - Bhoj - Bhim - Pach (3N) - Tawa - Mad - Tawa (1N) - Mad (1N) - Bho (1N)</v>
      </c>
      <c r="DY262" t="str">
        <v>Ex Idr I Idr - 2N Ujj - 1N Man - 1N Mah - 1N Omk - 1N Idr</v>
      </c>
      <c r="DZ262" t="str">
        <v>1N Jlr - 1N Kan - 1N Ban - 1N Hjr -2N Gwl</v>
      </c>
    </row>
    <row r="263" spans="2:145" ht="15" customHeight="1">
      <c r="B263" s="34">
        <v>259</v>
      </c>
      <c r="C263" s="36" t="s">
        <v>1869</v>
      </c>
      <c r="D263" s="76">
        <v>46231</v>
      </c>
      <c r="E263" s="37" t="str">
        <f>IF(Table5[[#This Row],[Query Date]]&lt;&gt;"", TEXT(Table5[[#This Row],[Query Date]], "dddd"), "")</f>
        <v>Tuesday</v>
      </c>
      <c r="F263" s="37" t="str">
        <f>IF(Table5[[#This Row],[Query Date]]&lt;&gt;"", TEXT(Table5[[#This Row],[Query Date]], "mmmm"), "")</f>
        <v>July</v>
      </c>
      <c r="G263" s="28" t="s">
        <v>65</v>
      </c>
      <c r="H263" s="28" t="s">
        <v>278</v>
      </c>
      <c r="I263" s="28" t="s">
        <v>67</v>
      </c>
      <c r="J263" s="28" t="s">
        <v>313</v>
      </c>
      <c r="K263" s="28" t="s">
        <v>128</v>
      </c>
      <c r="L263" s="25" t="s">
        <v>70</v>
      </c>
      <c r="M263" s="112" t="s">
        <v>129</v>
      </c>
      <c r="N263" s="25" t="s">
        <v>1870</v>
      </c>
      <c r="O263" s="130" t="s">
        <v>1871</v>
      </c>
      <c r="P263" s="46" t="s">
        <v>377</v>
      </c>
      <c r="Q263" s="77">
        <v>46354</v>
      </c>
      <c r="R263" s="77" t="str">
        <f>IF(Table5[[#This Row],[Tour Starting Date]]&lt;&gt;"", TEXT(Table5[[#This Row],[Tour Starting Date]], "dddd"), "")</f>
        <v>Saturday</v>
      </c>
      <c r="S263" s="77">
        <v>46357</v>
      </c>
      <c r="T263" s="25" t="str">
        <f>IF(Table5[[#This Row],[Tour Ending Date]]&lt;&gt;"", TEXT(Table5[[#This Row],[Tour Ending Date]], "dddd"), "")</f>
        <v>Tuesday</v>
      </c>
      <c r="U263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263" s="37" t="str">
        <f>IF(Table5[[#This Row],[Tour Starting Date]]&lt;&gt;"", TEXT(Table5[[#This Row],[Tour Starting Date]], "mmmm"), "")</f>
        <v>November</v>
      </c>
      <c r="W263" s="80" t="str" cm="1">
        <f t="array" ref="W263">IF(Q263&lt;&gt;"", INDEX(CI:CI, MATCH(1, (Q263&gt;=CG:CG)*(Q263&lt;=CH:CH), 0)), "")</f>
        <v>Regular Dates - Weekend</v>
      </c>
      <c r="X263" s="39">
        <v>1</v>
      </c>
      <c r="Y263" s="74">
        <v>30200</v>
      </c>
      <c r="Z263" s="74">
        <f>IF(OR(Table5[[#This Row],[Per Person Package Cost]]="", Table5[[#This Row],[No. of Pax]]=""), "", Table5[[#This Row],[Per Person Package Cost]] * Table5[[#This Row],[No. of Pax]])</f>
        <v>30200</v>
      </c>
      <c r="AA263" s="52" t="s">
        <v>520</v>
      </c>
      <c r="AB263" s="52" t="s">
        <v>520</v>
      </c>
      <c r="AC263" s="52"/>
      <c r="AD263" s="52"/>
      <c r="AE263" s="51" t="str">
        <f t="shared" si="37"/>
        <v/>
      </c>
      <c r="AF263" s="51" t="str">
        <f t="shared" si="38"/>
        <v/>
      </c>
      <c r="AG263" s="74" t="str">
        <f t="shared" si="39"/>
        <v/>
      </c>
      <c r="AH263" s="73" t="str">
        <f t="shared" si="24"/>
        <v/>
      </c>
      <c r="AI263" s="52" t="s">
        <v>77</v>
      </c>
      <c r="AJ263" s="56" t="s">
        <v>78</v>
      </c>
      <c r="AK263" s="59" t="s">
        <v>79</v>
      </c>
      <c r="AL263" s="60" t="s">
        <v>80</v>
      </c>
      <c r="AM263" s="54" t="s">
        <v>80</v>
      </c>
      <c r="AN263" s="14">
        <v>46254</v>
      </c>
      <c r="AO263" s="15">
        <v>46268</v>
      </c>
      <c r="AP263" s="91"/>
      <c r="AQ263" s="87"/>
      <c r="AR263" s="26"/>
      <c r="AS263" s="65"/>
      <c r="AT263" s="88" t="s">
        <v>138</v>
      </c>
      <c r="AU263" s="67"/>
      <c r="CN263" t="s">
        <v>1872</v>
      </c>
      <c r="DA263" t="str" cm="1">
        <f t="array" ref="DA263:EO263">IF(U263&lt;&gt;"", TRANSPOSE(_xlfn._xlws.FILTER(CZ:CZ, CY:CY=U263, "")), "")</f>
        <v>Gwl (3N) + Mor + Son + Dat + Orc</v>
      </c>
      <c r="DB263" t="str">
        <v>Ex Gwl | Gwl (1N) - Son - Dat - Orc (1N) - Gwl (1N)</v>
      </c>
      <c r="DC263" t="str">
        <v>Ex Idr | Idr - Ujj (1N) - Omk - Mah (1N) - Man (1N) - Idr</v>
      </c>
      <c r="DD263" t="str">
        <v>Ex Jlr | Jlr - Kan (2N) - Jlr (1N)</v>
      </c>
      <c r="DE263" t="str">
        <v>Ex Jlr | Jlr - Ban (2N) - Jlr (1N)</v>
      </c>
      <c r="DF263" t="str">
        <v>Ex Bho | Bho (1N) + San - Bhoj - Bhim - Pch (2N) - Bho</v>
      </c>
      <c r="DG263" t="str">
        <v>Ex Idr | Idr (1N) - Ujj (1N) - Omk (1N) - Mah - Idr</v>
      </c>
      <c r="DH263" t="str">
        <v>Gwl - Orc (1N) - Ckt (1N) - Myr (1N) - Jlr</v>
      </c>
      <c r="DI263" t="str">
        <v>Gwl - Orc (1N) - Ckt (2N) - Ixd</v>
      </c>
      <c r="DJ263" t="str">
        <v>Ex Idr | Idr - Ujj (1N) - Omk - Mah (1N) - Idr (1N)</v>
      </c>
      <c r="DK263" t="str">
        <v>Ex Jlr | Jlr - Kan (3N) - Jlr</v>
      </c>
      <c r="DL263" t="str">
        <v>Ex Bho | Bho (2N) + Bhim + Bhoj + San + Udaygiri + Vidisha + FDCT Bho</v>
      </c>
      <c r="DM263" t="str">
        <v>Bho (1N) + Bhim + Bhoj - HDCT  Bho + Sanchi - Ujj (2N)</v>
      </c>
      <c r="DN263" t="str">
        <v>Bho (1N) + Bhim + Bhoj - HDCT  Bho + Sanchi - Ujj (2N) - Idr</v>
      </c>
      <c r="DO263" t="str">
        <v>Ex Bho | Bho - Bhoj - Bhim - Mad (1N) - Pch (2N) - Bho</v>
      </c>
      <c r="DP263" t="str">
        <v>Ex Bho | Bho - Bhoj - Bhim - Mad (1N) - Pch (3N) - Bho</v>
      </c>
      <c r="DQ263" t="str">
        <v>Ex Bho | Bho - Bhoj - Bhim - Tawa (1N) - Mad (1N) - Bho (1N)</v>
      </c>
      <c r="DR263" t="str">
        <v>Bho (1N) - Bhim - Bhoj - San - Idr (2N) + Ujj</v>
      </c>
      <c r="DS263" t="str">
        <v>Bho (1N) - Bhoj - Bhim - Pch (2N) - Bho</v>
      </c>
      <c r="DT263" t="str">
        <v>Ujj (1N) - Omk - Mah (1N) - Idr (1N)</v>
      </c>
      <c r="DU263" t="str">
        <v>Ujj (1N) - Omk - Mah (1N) - Man (1N) - Idr</v>
      </c>
      <c r="DV263" t="str">
        <v>Ex Idr | Idr (1N) - Ujj (1N) - Omk - Mah (1N)</v>
      </c>
      <c r="DW263" t="str">
        <v>Ex Idr | Idr - Ujj (1N) - Omk (1N) - Mah (1N) - Idr</v>
      </c>
      <c r="DX263" t="str">
        <v>Khandwa - Omk (1N) - Mah (1N) - Ujj (1N) - Idr</v>
      </c>
      <c r="DY263" t="str">
        <v>Ex Idr | Idr - Ujj (1N) - Omk - Mah (1N) - Man - Idr (1N)</v>
      </c>
      <c r="DZ263" t="str">
        <v xml:space="preserve">Idr - Omk (1N) - Mah - Ujj (1N) San - Bho (1N) </v>
      </c>
      <c r="EA263" t="str">
        <v>Ex Idr | Idr - Man (1N) - Mah - Omk (1N) - Ujj (1N) - Idr</v>
      </c>
      <c r="EB263" t="str">
        <v>Khandwa - Omk (1N) - Mah - Ujj (2N)</v>
      </c>
      <c r="EC263" t="str">
        <v>Ex Jlr | Jlr (1N) - Amr (1N) - Ban (1N) - Jlr</v>
      </c>
      <c r="ED263" t="str">
        <v>Ex Jlr | Jlr - (1 N) Ban - (2 N) Amar</v>
      </c>
      <c r="EE263" t="str">
        <v>Jlr - Kan (1N) - Pch (2N)</v>
      </c>
      <c r="EF263" t="str">
        <v>Pi - Pch (2N)  - Kan (1N)</v>
      </c>
      <c r="EG263" t="str">
        <v>Ex Jlr | Jlr - Amr (1 N) - (1 N) Ban - (1 N) Jlr</v>
      </c>
      <c r="EH263" t="str">
        <v>Ppi - (2 N) Pch - (1 N) Pen</v>
      </c>
      <c r="EI263" t="str">
        <v>Bhp - Pch (2N) - Jlr (1N)</v>
      </c>
      <c r="EJ263" t="str">
        <v xml:space="preserve">Arr Jhn - Hjr (1N) - Orc - Gwl (2N) </v>
      </c>
      <c r="EK263" t="str">
        <v>(1 N) Ujj - (1 N) Mah - (1 N) Idr</v>
      </c>
      <c r="EL263" t="str">
        <v>Ex Bhp | Bhp - Bhoj - Bhim - Pch (3N) - Bhp</v>
      </c>
      <c r="EM263" t="str">
        <v>Ex Bhp | Bhp - Bhoj - Bhim - Pch (2N) - Mad (1N) - Bhp</v>
      </c>
      <c r="EN263" t="str">
        <v xml:space="preserve">Ex Nag - 3N Pch + Sat </v>
      </c>
      <c r="EO263" t="str">
        <v>1N Gwl - Son - Dat - 1N Hjr - 1N Orc - Jhn</v>
      </c>
    </row>
    <row r="264" spans="2:145" ht="15" customHeight="1">
      <c r="B264" s="35">
        <v>260</v>
      </c>
      <c r="C264" s="36" t="s">
        <v>1873</v>
      </c>
      <c r="D264" s="76">
        <v>46231</v>
      </c>
      <c r="E264" s="37" t="str">
        <f>IF(Table5[[#This Row],[Query Date]]&lt;&gt;"", TEXT(Table5[[#This Row],[Query Date]], "dddd"), "")</f>
        <v>Tuesday</v>
      </c>
      <c r="F264" s="37" t="str">
        <f>IF(Table5[[#This Row],[Query Date]]&lt;&gt;"", TEXT(Table5[[#This Row],[Query Date]], "mmmm"), "")</f>
        <v>July</v>
      </c>
      <c r="G264" s="28" t="s">
        <v>65</v>
      </c>
      <c r="H264" s="28" t="s">
        <v>99</v>
      </c>
      <c r="I264" s="28" t="s">
        <v>100</v>
      </c>
      <c r="J264" s="28" t="s">
        <v>68</v>
      </c>
      <c r="K264" s="28" t="s">
        <v>246</v>
      </c>
      <c r="L264" s="25" t="s">
        <v>70</v>
      </c>
      <c r="M264" s="115" t="s">
        <v>1874</v>
      </c>
      <c r="N264" s="25" t="s">
        <v>1875</v>
      </c>
      <c r="O264" s="149" t="s">
        <v>1876</v>
      </c>
      <c r="P264" s="46" t="s">
        <v>1877</v>
      </c>
      <c r="Q264" s="77">
        <v>46281</v>
      </c>
      <c r="R264" s="77" t="str">
        <f>IF(Table5[[#This Row],[Tour Starting Date]]&lt;&gt;"", TEXT(Table5[[#This Row],[Tour Starting Date]], "dddd"), "")</f>
        <v>Wednesday</v>
      </c>
      <c r="S264" s="77">
        <v>46286</v>
      </c>
      <c r="T264" s="25" t="str">
        <f>IF(Table5[[#This Row],[Tour Ending Date]]&lt;&gt;"", TEXT(Table5[[#This Row],[Tour Ending Date]], "dddd"), "")</f>
        <v>Monday</v>
      </c>
      <c r="U264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5 Nights &amp; 6 Days</v>
      </c>
      <c r="V264" s="37" t="str">
        <f>IF(Table5[[#This Row],[Tour Starting Date]]&lt;&gt;"", TEXT(Table5[[#This Row],[Tour Starting Date]], "mmmm"), "")</f>
        <v>September</v>
      </c>
      <c r="W264" s="80" t="str" cm="1">
        <f t="array" ref="W264">IF(Q264&lt;&gt;"", INDEX(CI:CI, MATCH(1, (Q264&gt;=CG:CG)*(Q264&lt;=CH:CH), 0)), "")</f>
        <v>Regular Dates - Weekday</v>
      </c>
      <c r="X264" s="39">
        <v>10</v>
      </c>
      <c r="Y264" s="74">
        <v>16000</v>
      </c>
      <c r="Z264" s="74">
        <f>IF(OR(Table5[[#This Row],[Per Person Package Cost]]="", Table5[[#This Row],[No. of Pax]]=""), "", Table5[[#This Row],[Per Person Package Cost]] * Table5[[#This Row],[No. of Pax]])</f>
        <v>160000</v>
      </c>
      <c r="AA264" s="52" t="s">
        <v>75</v>
      </c>
      <c r="AB264" s="52" t="s">
        <v>75</v>
      </c>
      <c r="AC264" s="52" t="s">
        <v>134</v>
      </c>
      <c r="AD264" s="52"/>
      <c r="AE264" s="51" t="str">
        <f t="shared" si="37"/>
        <v/>
      </c>
      <c r="AF264" s="51" t="str">
        <f t="shared" si="38"/>
        <v/>
      </c>
      <c r="AG264" s="74" t="str">
        <f t="shared" si="39"/>
        <v/>
      </c>
      <c r="AH264" s="73" t="str">
        <f t="shared" si="24"/>
        <v/>
      </c>
      <c r="AI264" s="52" t="s">
        <v>107</v>
      </c>
      <c r="AJ264" s="56" t="s">
        <v>78</v>
      </c>
      <c r="AK264" s="59" t="s">
        <v>79</v>
      </c>
      <c r="AL264" s="60" t="s">
        <v>80</v>
      </c>
      <c r="AM264" s="54" t="s">
        <v>80</v>
      </c>
      <c r="AN264" s="14">
        <v>46244</v>
      </c>
      <c r="AO264" s="15">
        <v>46254</v>
      </c>
      <c r="AP264" s="91">
        <v>46265</v>
      </c>
      <c r="AQ264" s="87"/>
      <c r="AR264" s="26"/>
      <c r="AS264" s="65"/>
      <c r="AT264" s="88" t="s">
        <v>81</v>
      </c>
      <c r="AU264" s="67"/>
      <c r="CN264" t="s">
        <v>1878</v>
      </c>
      <c r="DA264" t="str" cm="1">
        <f t="array" ref="DA264:DW264">IF(U264&lt;&gt;"", TRANSPOSE(_xlfn._xlws.FILTER(CZ:CZ, CY:CY=U264, "")), "")</f>
        <v>Gwl (2N) + Mor - Son - Dat - Orc (1N) - Hjr (2N) + Panna</v>
      </c>
      <c r="DB264" t="str">
        <v>Ex Gwl | Gwl (2N) + Mor - Shiv - Chan (2N) - Orc (1N) - Dat - Son - Gwl</v>
      </c>
      <c r="DC264" t="str">
        <v>Gwl (2N) + Mor - Son - Dat - Orc (1N) - Hjr (1N) - Jlr (1N)</v>
      </c>
      <c r="DD264" t="str">
        <v>Ex Idr | Idr - Ujj (1N) - Omk (1N) - Mah (1N) - Man (1N) - Idr (1N)</v>
      </c>
      <c r="DE264" t="str">
        <v>Bhp (1N) + Bhim + Bhoj + San - Ujj (1N) - Man (2N) - Mah - Omk (1N) - Idr</v>
      </c>
      <c r="DF264" t="str">
        <v>Jlr (1N) - Hjr (1N) - Orc (1N) - Dat - Son - Gwl (2N) + Mor</v>
      </c>
      <c r="DG264" t="str">
        <v>Jlr (1N) - Kan (1N) - Pch (2N) - Bhim - Bhoj - Bho (1N) + Sanchi</v>
      </c>
      <c r="DH264" t="str">
        <v>Ex Bho | Bho (1N) + San - Bhoj - Bhim - Tawa (1N) - Mad (1N) - Pch (2N) - Bho</v>
      </c>
      <c r="DI264" t="str">
        <v>Bho (1N) + San + Udaygiri - Bhoj - Bhim - Pch (2N) - Kan(1N) - Jlr (1N)</v>
      </c>
      <c r="DJ264" t="str">
        <v>Bho (1N) + Bhim + Bhoj - San - Ujj (1N) - Man (2N) - Mah - Omk (1N) - Idr</v>
      </c>
      <c r="DK264" t="str">
        <v>Idr - Man (2N) - Idr (1N) - Bho (2N) + Bhim + Bhoj + Sanchi</v>
      </c>
      <c r="DL264" t="str">
        <v>Ex Bho | Bho (2N) + San + Udaygiri - Bhoj - Bhim - Pch (2N) - Tawa (1N) - Bho</v>
      </c>
      <c r="DM264" t="str">
        <v>Rpr - Kan (2N) - Pen (1N) - Pch (2N) - Bho</v>
      </c>
      <c r="DN264" t="str">
        <v>Nag - Pen (2N) - Pch (2N) - Bhim - Bhoj - Bho (1N) + San</v>
      </c>
      <c r="DO264" t="str">
        <v>Gwl (2N) (Ex Mor) - Orc (1N) - Chn (1N) - Shiv (1N) - Jhn</v>
      </c>
      <c r="DP264" t="str">
        <v>Gwl (2N) (Ex Mor) - Dat - Orc (1N) - Chn (1N) - Shiv (1N) - Jhn</v>
      </c>
      <c r="DQ264" t="str">
        <v>Nag - Pen (2N) - Kan (2N) - Jlr (1N)</v>
      </c>
      <c r="DR264" t="str">
        <v>Rpr - (2 N) Amr - (1 N) Ban - (1 N) Hjr - (1 N) Jlr</v>
      </c>
      <c r="DS264" t="str">
        <v>Gwl (2N) (Ex Mor) -Orc  - Hjr (1N) - Chn (1N) - Shiv (1N) - Jhn</v>
      </c>
      <c r="DT264" t="str">
        <v>(2 N) Gwl - (1 N) Orch - (1 N) Hjr - (1 N) Jlr</v>
      </c>
      <c r="DU264" t="str">
        <v xml:space="preserve">Arr Rpr - Amr (2N) - Par (2N) - Jlr (1N) </v>
      </c>
      <c r="DV264" t="str">
        <v>3N Idr (Ex Ujj - Man) - Bhim - Bhoj - San - 2N Bho</v>
      </c>
      <c r="DW264" t="str">
        <v>1N Jlr - 1N Kan - 3N Pch - Ppi</v>
      </c>
    </row>
    <row r="265" spans="2:145" ht="15" customHeight="1">
      <c r="B265" s="34">
        <v>261</v>
      </c>
      <c r="C265" s="36" t="s">
        <v>1879</v>
      </c>
      <c r="D265" s="76">
        <v>46231</v>
      </c>
      <c r="E265" s="37" t="str">
        <f>IF(Table5[[#This Row],[Query Date]]&lt;&gt;"", TEXT(Table5[[#This Row],[Query Date]], "dddd"), "")</f>
        <v>Tuesday</v>
      </c>
      <c r="F265" s="37" t="str">
        <f>IF(Table5[[#This Row],[Query Date]]&lt;&gt;"", TEXT(Table5[[#This Row],[Query Date]], "mmmm"), "")</f>
        <v>July</v>
      </c>
      <c r="G265" s="28" t="s">
        <v>113</v>
      </c>
      <c r="H265" s="28" t="s">
        <v>99</v>
      </c>
      <c r="I265" s="28" t="s">
        <v>67</v>
      </c>
      <c r="J265" s="28" t="s">
        <v>68</v>
      </c>
      <c r="K265" s="28" t="s">
        <v>178</v>
      </c>
      <c r="L265" s="25" t="s">
        <v>160</v>
      </c>
      <c r="M265" s="112" t="s">
        <v>90</v>
      </c>
      <c r="N265" s="25" t="s">
        <v>1880</v>
      </c>
      <c r="O265" s="130" t="s">
        <v>1881</v>
      </c>
      <c r="P265" s="46" t="s">
        <v>1638</v>
      </c>
      <c r="Q265" s="77">
        <v>46285</v>
      </c>
      <c r="R265" s="77" t="str">
        <f>IF(Table5[[#This Row],[Tour Starting Date]]&lt;&gt;"", TEXT(Table5[[#This Row],[Tour Starting Date]], "dddd"), "")</f>
        <v>Sunday</v>
      </c>
      <c r="S265" s="77">
        <v>46287</v>
      </c>
      <c r="T265" s="25" t="str">
        <f>IF(Table5[[#This Row],[Tour Ending Date]]&lt;&gt;"", TEXT(Table5[[#This Row],[Tour Ending Date]], "dddd"), "")</f>
        <v>Tuesday</v>
      </c>
      <c r="U265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265" s="37" t="str">
        <f>IF(Table5[[#This Row],[Tour Starting Date]]&lt;&gt;"", TEXT(Table5[[#This Row],[Tour Starting Date]], "mmmm"), "")</f>
        <v>September</v>
      </c>
      <c r="W265" s="80" t="str" cm="1">
        <f t="array" ref="W265">IF(Q265&lt;&gt;"", INDEX(CI:CI, MATCH(1, (Q265&gt;=CG:CG)*(Q265&lt;=CH:CH), 0)), "")</f>
        <v>Regular Dates - Weekend</v>
      </c>
      <c r="X265" s="39">
        <v>2</v>
      </c>
      <c r="Y265" s="74">
        <v>9900</v>
      </c>
      <c r="Z265" s="74">
        <f>IF(OR(Table5[[#This Row],[Per Person Package Cost]]="", Table5[[#This Row],[No. of Pax]]=""), "", Table5[[#This Row],[Per Person Package Cost]] * Table5[[#This Row],[No. of Pax]])</f>
        <v>19800</v>
      </c>
      <c r="AA265" s="52" t="s">
        <v>75</v>
      </c>
      <c r="AB265" s="52" t="s">
        <v>75</v>
      </c>
      <c r="AC265" s="52" t="s">
        <v>76</v>
      </c>
      <c r="AD265" s="52" t="s">
        <v>352</v>
      </c>
      <c r="AE265" s="51" t="str">
        <f t="shared" si="37"/>
        <v>EXIDR02</v>
      </c>
      <c r="AF265" s="51" t="str">
        <f t="shared" si="38"/>
        <v>Jyotirlinga Trails</v>
      </c>
      <c r="AG265" s="74" t="str">
        <f t="shared" si="39"/>
        <v>Quick Getaways</v>
      </c>
      <c r="AH265" s="73" t="str">
        <f t="shared" si="24"/>
        <v>West MP</v>
      </c>
      <c r="AI265" s="52" t="s">
        <v>159</v>
      </c>
      <c r="AJ265" s="56" t="s">
        <v>115</v>
      </c>
      <c r="AK265" s="59" t="s">
        <v>79</v>
      </c>
      <c r="AL265" s="60" t="s">
        <v>80</v>
      </c>
      <c r="AM265" s="54" t="s">
        <v>80</v>
      </c>
      <c r="AN265" s="14">
        <v>46234</v>
      </c>
      <c r="AO265" s="15"/>
      <c r="AP265" s="91"/>
      <c r="AQ265" s="87"/>
      <c r="AR265" s="26"/>
      <c r="AS265" s="65"/>
      <c r="AT265" s="88" t="s">
        <v>138</v>
      </c>
      <c r="AU265" s="67"/>
      <c r="CN265" t="s">
        <v>1882</v>
      </c>
      <c r="DA265" t="str" cm="1">
        <f t="array" ref="DA265:DY265">IF(U265&lt;&gt;"", TRANSPOSE(_xlfn._xlws.FILTER(CZ:CZ, CY:CY=U265, "")), "")</f>
        <v>Gwl (2N) + Mor</v>
      </c>
      <c r="DB265" t="str">
        <v>Ex Idr | Idr - Ujj (1N) - Omk - Mah (1N) - Man - Idr</v>
      </c>
      <c r="DC265" t="str">
        <v>Ujj (1N) - Omk - Idr (1N)</v>
      </c>
      <c r="DD265" t="str">
        <v>Ex Jlr | Jlr - Kan (2N) - Jlr</v>
      </c>
      <c r="DE265" t="str">
        <v>Ex Jlr | Jlr - Ban (2N) - Jlr</v>
      </c>
      <c r="DF265" t="str">
        <v>Ex Bho | Bho (2N) + Bhim + Bhoj + San</v>
      </c>
      <c r="DG265" t="str">
        <v>Ex Idr | Idr - Man (2N) - Idr</v>
      </c>
      <c r="DH265" t="str">
        <v>Ex Jlr | Jlr - Kan (2N) - Jlr</v>
      </c>
      <c r="DI265" t="str">
        <v>Ex Bho | Bho (2N) + Bhim + Bhoj + San + HDCT Bho</v>
      </c>
      <c r="DJ265" t="str">
        <v>Ex Bho | Bho - Bhim - Tawa (1N) - Mad (1N) - Bho</v>
      </c>
      <c r="DK265" t="str">
        <v>Ujj (1N) - Omk - Mah (1N) - Idr</v>
      </c>
      <c r="DL265" t="str">
        <v>Ujj (1N) -  Idr (1N)</v>
      </c>
      <c r="DM265" t="str">
        <v>Ex Idr | Idr (2N) + Ujj + Omk + Mah</v>
      </c>
      <c r="DN265" t="str">
        <v>Idr - Mah - Omk (1N) - Ujj (1N)</v>
      </c>
      <c r="DO265" t="str">
        <v>Idr - Ujj (1N) - Mah - Omk (1N) - Khandwa</v>
      </c>
      <c r="DP265" t="str">
        <v>Ex Idr | Idr (EX Ujj) (1N) - Mah - Omk (1N) - Idr HDCT</v>
      </c>
      <c r="DQ265" t="str">
        <v>Ujj (1N) - Sehor - Bho (1N) HDCT</v>
      </c>
      <c r="DR265" t="str">
        <v>Ex Jlr | Jlr (1N) - Ban (1N)</v>
      </c>
      <c r="DS265" t="str">
        <v>Ex Jlr | Ban (1N)</v>
      </c>
      <c r="DT265" t="str">
        <v>Ex Jlr | Jlr (2 N) Kan</v>
      </c>
      <c r="DU265" t="str">
        <v>Ex Jlr | Jlr - Amr (1 N) - (1 N) Ban</v>
      </c>
      <c r="DV265" t="str">
        <v>Ex Rpr | Rpr - (2N) Kan</v>
      </c>
      <c r="DW265" t="str">
        <v>Hjr (1N) - Mahi (1N) - Sat</v>
      </c>
      <c r="DX265" t="str">
        <v>Ex Bhp | Bhp - Bhim - Pch (2N) - Bhp</v>
      </c>
      <c r="DY265" t="str">
        <v xml:space="preserve">Ex Ujj I 2N Ujj </v>
      </c>
    </row>
    <row r="266" spans="2:145" ht="15" customHeight="1">
      <c r="B266" s="35">
        <v>262</v>
      </c>
      <c r="C266" s="36" t="s">
        <v>1883</v>
      </c>
      <c r="D266" s="76">
        <v>46231</v>
      </c>
      <c r="E266" s="37" t="str">
        <f>IF(Table5[[#This Row],[Query Date]]&lt;&gt;"", TEXT(Table5[[#This Row],[Query Date]], "dddd"), "")</f>
        <v>Tuesday</v>
      </c>
      <c r="F266" s="37" t="str">
        <f>IF(Table5[[#This Row],[Query Date]]&lt;&gt;"", TEXT(Table5[[#This Row],[Query Date]], "mmmm"), "")</f>
        <v>July</v>
      </c>
      <c r="G266" s="28" t="s">
        <v>113</v>
      </c>
      <c r="H266" s="28" t="s">
        <v>99</v>
      </c>
      <c r="I266" s="28" t="s">
        <v>67</v>
      </c>
      <c r="J266" s="28" t="s">
        <v>68</v>
      </c>
      <c r="K266" s="28" t="s">
        <v>178</v>
      </c>
      <c r="L266" s="25" t="s">
        <v>160</v>
      </c>
      <c r="M266" s="112" t="s">
        <v>90</v>
      </c>
      <c r="N266" s="25" t="s">
        <v>1884</v>
      </c>
      <c r="O266" s="130" t="s">
        <v>1885</v>
      </c>
      <c r="P266" s="46" t="s">
        <v>1638</v>
      </c>
      <c r="Q266" s="77">
        <v>46253</v>
      </c>
      <c r="R266" s="77" t="str">
        <f>IF(Table5[[#This Row],[Tour Starting Date]]&lt;&gt;"", TEXT(Table5[[#This Row],[Tour Starting Date]], "dddd"), "")</f>
        <v>Wednesday</v>
      </c>
      <c r="S266" s="77">
        <v>46259</v>
      </c>
      <c r="T266" s="25" t="str">
        <f>IF(Table5[[#This Row],[Tour Ending Date]]&lt;&gt;"", TEXT(Table5[[#This Row],[Tour Ending Date]], "dddd"), "")</f>
        <v>Tuesday</v>
      </c>
      <c r="U266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6 Nights &amp; 7 Days</v>
      </c>
      <c r="V266" s="37" t="str">
        <f>IF(Table5[[#This Row],[Tour Starting Date]]&lt;&gt;"", TEXT(Table5[[#This Row],[Tour Starting Date]], "mmmm"), "")</f>
        <v>August</v>
      </c>
      <c r="W266" s="80" t="str" cm="1">
        <f t="array" ref="W266">IF(Q266&lt;&gt;"", INDEX(CI:CI, MATCH(1, (Q266&gt;=CG:CG)*(Q266&lt;=CH:CH), 0)), "")</f>
        <v>Regular Dates - Weekday</v>
      </c>
      <c r="X266" s="39">
        <v>2</v>
      </c>
      <c r="Y266" s="74">
        <v>29000</v>
      </c>
      <c r="Z266" s="74">
        <f>IF(OR(Table5[[#This Row],[Per Person Package Cost]]="", Table5[[#This Row],[No. of Pax]]=""), "", Table5[[#This Row],[Per Person Package Cost]] * Table5[[#This Row],[No. of Pax]])</f>
        <v>58000</v>
      </c>
      <c r="AA266" s="52" t="s">
        <v>75</v>
      </c>
      <c r="AB266" s="52" t="s">
        <v>75</v>
      </c>
      <c r="AC266" s="52" t="s">
        <v>76</v>
      </c>
      <c r="AD266" s="52" t="s">
        <v>352</v>
      </c>
      <c r="AE266" s="51" t="str">
        <f t="shared" si="37"/>
        <v>EXIDR02</v>
      </c>
      <c r="AF266" s="51" t="str">
        <f t="shared" si="38"/>
        <v>Jyotirlinga Trails</v>
      </c>
      <c r="AG266" s="74" t="str">
        <f t="shared" si="39"/>
        <v>Quick Getaways</v>
      </c>
      <c r="AH266" s="73" t="str">
        <f t="shared" si="24"/>
        <v>West MP</v>
      </c>
      <c r="AI266" s="52" t="s">
        <v>159</v>
      </c>
      <c r="AJ266" s="56" t="s">
        <v>115</v>
      </c>
      <c r="AK266" s="59" t="s">
        <v>79</v>
      </c>
      <c r="AL266" s="60" t="s">
        <v>80</v>
      </c>
      <c r="AM266" s="54" t="s">
        <v>80</v>
      </c>
      <c r="AN266" s="14">
        <v>46234</v>
      </c>
      <c r="AO266" s="15"/>
      <c r="AP266" s="91"/>
      <c r="AQ266" s="87"/>
      <c r="AR266" s="26"/>
      <c r="AS266" s="65"/>
      <c r="AT266" s="88" t="s">
        <v>81</v>
      </c>
      <c r="AU266" s="67" t="s">
        <v>82</v>
      </c>
      <c r="CN266" t="s">
        <v>1886</v>
      </c>
      <c r="DA266" t="str" cm="1">
        <f t="array" ref="DA266:DZ266">IF(U266&lt;&gt;"", TRANSPOSE(_xlfn._xlws.FILTER(CZ:CZ, CY:CY=U266, "")), "")</f>
        <v>Ex Gwl | Gwl (2N) + Mor - Orc - Pan (2N) - Hjr (1N) - Dat - Son - Gwl (1N)</v>
      </c>
      <c r="DB266" t="str">
        <v>Ex Gwl | GWL (2N) + Mor - Shiv - Chan (2N) - Hjr (1N) - Orc (1N) - Dat - Gwl</v>
      </c>
      <c r="DC266" t="str">
        <v>Gwl (2N) + Mor - Son - Dat - Orc (1N) - Hjr (1N) - Ban (1N) - Jlr (1N)</v>
      </c>
      <c r="DD266" t="str">
        <v>Idr - Ujj (1N) - Omk - Mah (1N) - Man (2N) - Bhp (2N) + Bhim + Bhoj + San</v>
      </c>
      <c r="DE266" t="str">
        <v>Bhp (1N) + Bhim + Bhoj + San - Ujj (1N) - Man (2N) - Mah - Omk (1N) - Idr (1N)</v>
      </c>
      <c r="DF266" t="str">
        <v>Jlr (1N) - Ban (1N) - Hjr (1N) - Orc (1N) - Dat - Son - Gwl (2N) + Mor</v>
      </c>
      <c r="DG266" t="str">
        <v>Bho (1N) + San - Bhoj - Bhim - Tawa (1N) - Mad (1N) - Pch (2N) - Jlr (1N)</v>
      </c>
      <c r="DH266" t="str">
        <v>Bho (1N) + San + Udaygiri - Bhoj - Bhim - Pch (2N) - Kan(2N) - Jlr (1N)</v>
      </c>
      <c r="DI266" t="str">
        <v>Bho (1N) + Bhim + Bhoj - San - Ujj (1N) - Man (2N) - Mah - Omk (1N) - Idr (1N)</v>
      </c>
      <c r="DJ266" t="str">
        <v>Gwl (2N) + Mor - Son - Dat - Orc (1N) - Hjr (1N) - Jab (1N) - Kan (1N) - Nag</v>
      </c>
      <c r="DK266" t="str">
        <v>Bho (2N) + San + Bhoj + Bhim - Ujj (1N) - Omk - Mah (1N) - Man (1N) - Idr (1N)</v>
      </c>
      <c r="DL266" t="str">
        <v>Ex Nag | Nag - Pch (2N) - Bhim - Bhoj - Bho (2N) + San + Udaygiri - Jlr (1N) - Kan (1N) - Nag</v>
      </c>
      <c r="DM266" t="str">
        <v>Bho (1N) - Mad (2N) + Tawa Cruise Safari - Pch (2N) - Jlr (1N) - Nag</v>
      </c>
      <c r="DN266" t="str">
        <v>Idr - Man (2N) - Idr (1N) - Bho (1N) + San - Bhoj - Bhim - Pch (2N) - Bho</v>
      </c>
      <c r="DO266" t="str">
        <v>Rpr - kan (2N) - Ban (1N) - Jlr (1N) - Mad (2N) - Bhim - Bhoj - Bho</v>
      </c>
      <c r="DP266" t="str">
        <v>Jlr - Amar (1 N) - Ban (2 N) - Kan (1N) - Pch (2N) - Ppi</v>
      </c>
      <c r="DQ266" t="str">
        <v>Jlr - (2N) Kan - (1N) Jlr - Bhim - Bhoj - (2N) Bho  (Ex San &amp; Uda)  - (1N) Ujj - Idr</v>
      </c>
      <c r="DR266" t="str">
        <v>Ex Nag | Nag (2 N) Pach - Bhim - Bhij - (2 N) Bho (Ex San &amp; Uad) - (1 N) Jlr - (1 N) Kan - Nag</v>
      </c>
      <c r="DS266" t="str">
        <v>(2 N) Bho (Ex San, Bhoj &amp; Bhim) - (1 N) Ujj - Omk - (1 N) Mah - (1 N) Man - (1 N) Idr</v>
      </c>
      <c r="DT266" t="str">
        <v>(2 N) Gwl (Ex Mor) - Son - Dat - (1 N) Orc - (1 N) Hjr - (1 N) Jlr - (1 N) Kan - Nag</v>
      </c>
      <c r="DU266" t="str">
        <v>(1 N) Jlr - (2 N) Kanha - (2 N Pach) - (1 N) BHo</v>
      </c>
      <c r="DV266" t="str">
        <v>(2 N) Gwl - (1 N) Orc - (1 N) Hjr - (1 N) Ban - (1 N) Jlr</v>
      </c>
      <c r="DW266" t="str">
        <v>(2 N) BHo - (2 N) Madhai - (1 N) Pach - (1 N) Jlr</v>
      </c>
      <c r="DX266" t="str">
        <v>Ex Bhp | Bhp - Bhoj - Bhim - Pach (3N) - Tawa - Mad - Tawa (1N) - Mad (1N) - Bho (1N)</v>
      </c>
      <c r="DY266" t="str">
        <v>Ex Idr I Idr - 2N Ujj - 1N Man - 1N Mah - 1N Omk - 1N Idr</v>
      </c>
      <c r="DZ266" t="str">
        <v>1N Jlr - 1N Kan - 1N Ban - 1N Hjr -2N Gwl</v>
      </c>
    </row>
    <row r="267" spans="2:145" ht="15" customHeight="1">
      <c r="B267" s="34">
        <v>263</v>
      </c>
      <c r="C267" s="36" t="s">
        <v>1887</v>
      </c>
      <c r="D267" s="76">
        <v>46232</v>
      </c>
      <c r="E267" s="37" t="str">
        <f>IF(Table5[[#This Row],[Query Date]]&lt;&gt;"", TEXT(Table5[[#This Row],[Query Date]], "dddd"), "")</f>
        <v>Wednesday</v>
      </c>
      <c r="F267" s="37" t="str">
        <f>IF(Table5[[#This Row],[Query Date]]&lt;&gt;"", TEXT(Table5[[#This Row],[Query Date]], "mmmm"), "")</f>
        <v>July</v>
      </c>
      <c r="G267" s="28" t="s">
        <v>113</v>
      </c>
      <c r="H267" s="28" t="s">
        <v>99</v>
      </c>
      <c r="I267" s="28" t="s">
        <v>67</v>
      </c>
      <c r="J267" s="28" t="s">
        <v>68</v>
      </c>
      <c r="K267" s="28" t="s">
        <v>178</v>
      </c>
      <c r="L267" s="25" t="s">
        <v>160</v>
      </c>
      <c r="M267" s="112" t="s">
        <v>90</v>
      </c>
      <c r="N267" s="25" t="s">
        <v>1888</v>
      </c>
      <c r="O267" s="130" t="s">
        <v>1889</v>
      </c>
      <c r="P267" s="31" t="s">
        <v>1638</v>
      </c>
      <c r="Q267" s="77">
        <v>46268</v>
      </c>
      <c r="R267" s="77"/>
      <c r="S267" s="77">
        <v>46270</v>
      </c>
      <c r="T267" s="25" t="str">
        <f>IF(Table5[[#This Row],[Tour Ending Date]]&lt;&gt;"", TEXT(Table5[[#This Row],[Tour Ending Date]], "dddd"), "")</f>
        <v>Saturday</v>
      </c>
      <c r="U267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267" s="37" t="str">
        <f>IF(Table5[[#This Row],[Tour Starting Date]]&lt;&gt;"", TEXT(Table5[[#This Row],[Tour Starting Date]], "mmmm"), "")</f>
        <v>September</v>
      </c>
      <c r="W267" s="80" t="str" cm="1">
        <f t="array" ref="W267">IF(Q267&lt;&gt;"", INDEX(CI:CI, MATCH(1, (Q267&gt;=CG:CG)*(Q267&lt;=CH:CH), 0)), "")</f>
        <v>Regular Dates - Weekday</v>
      </c>
      <c r="X267" s="39">
        <v>3</v>
      </c>
      <c r="Y267" s="74">
        <v>19700</v>
      </c>
      <c r="Z267" s="74">
        <f>IF(OR(Table5[[#This Row],[Per Person Package Cost]]="", Table5[[#This Row],[No. of Pax]]=""), "", Table5[[#This Row],[Per Person Package Cost]] * Table5[[#This Row],[No. of Pax]])</f>
        <v>59100</v>
      </c>
      <c r="AA267" s="52" t="s">
        <v>75</v>
      </c>
      <c r="AB267" s="52" t="s">
        <v>75</v>
      </c>
      <c r="AC267" s="52" t="s">
        <v>76</v>
      </c>
      <c r="AD267" s="52" t="s">
        <v>352</v>
      </c>
      <c r="AE267" s="52"/>
      <c r="AF267" s="51" t="str">
        <f>IF(AE267&lt;&gt;"", INDEX(CX:CX, MATCH(AE267, CZ:CZ, 0)), "")</f>
        <v/>
      </c>
      <c r="AG267" s="74"/>
      <c r="AH267" s="73" t="str">
        <f>IF(AE267&lt;&gt;"", INDEX(CV:CV, MATCH(AE267, CZ:CZ, 0)), "")</f>
        <v/>
      </c>
      <c r="AI267" s="52" t="s">
        <v>159</v>
      </c>
      <c r="AJ267" s="56" t="s">
        <v>115</v>
      </c>
      <c r="AK267" s="59" t="s">
        <v>79</v>
      </c>
      <c r="AL267" s="60" t="s">
        <v>80</v>
      </c>
      <c r="AM267" s="54" t="s">
        <v>80</v>
      </c>
      <c r="AN267" s="14">
        <v>46235</v>
      </c>
      <c r="AO267" s="15"/>
      <c r="AP267" s="91"/>
      <c r="AQ267" s="87"/>
      <c r="AR267" s="26"/>
      <c r="AS267" s="65"/>
      <c r="AT267" s="88" t="s">
        <v>138</v>
      </c>
      <c r="AU267" s="67"/>
      <c r="CN267" t="s">
        <v>1890</v>
      </c>
      <c r="DA267" t="str" cm="1">
        <f t="array" ref="DA267:DY267">IF(U267&lt;&gt;"", TRANSPOSE(_xlfn._xlws.FILTER(CZ:CZ, CY:CY=U267, "")), "")</f>
        <v>Gwl (2N) + Mor</v>
      </c>
      <c r="DB267" t="str">
        <v>Ex Idr | Idr - Ujj (1N) - Omk - Mah (1N) - Man - Idr</v>
      </c>
      <c r="DC267" t="str">
        <v>Ujj (1N) - Omk - Idr (1N)</v>
      </c>
      <c r="DD267" t="str">
        <v>Ex Jlr | Jlr - Kan (2N) - Jlr</v>
      </c>
      <c r="DE267" t="str">
        <v>Ex Jlr | Jlr - Ban (2N) - Jlr</v>
      </c>
      <c r="DF267" t="str">
        <v>Ex Bho | Bho (2N) + Bhim + Bhoj + San</v>
      </c>
      <c r="DG267" t="str">
        <v>Ex Idr | Idr - Man (2N) - Idr</v>
      </c>
      <c r="DH267" t="str">
        <v>Ex Jlr | Jlr - Kan (2N) - Jlr</v>
      </c>
      <c r="DI267" t="str">
        <v>Ex Bho | Bho (2N) + Bhim + Bhoj + San + HDCT Bho</v>
      </c>
      <c r="DJ267" t="str">
        <v>Ex Bho | Bho - Bhim - Tawa (1N) - Mad (1N) - Bho</v>
      </c>
      <c r="DK267" t="str">
        <v>Ujj (1N) - Omk - Mah (1N) - Idr</v>
      </c>
      <c r="DL267" t="str">
        <v>Ujj (1N) -  Idr (1N)</v>
      </c>
      <c r="DM267" t="str">
        <v>Ex Idr | Idr (2N) + Ujj + Omk + Mah</v>
      </c>
      <c r="DN267" t="str">
        <v>Idr - Mah - Omk (1N) - Ujj (1N)</v>
      </c>
      <c r="DO267" t="str">
        <v>Idr - Ujj (1N) - Mah - Omk (1N) - Khandwa</v>
      </c>
      <c r="DP267" t="str">
        <v>Ex Idr | Idr (EX Ujj) (1N) - Mah - Omk (1N) - Idr HDCT</v>
      </c>
      <c r="DQ267" t="str">
        <v>Ujj (1N) - Sehor - Bho (1N) HDCT</v>
      </c>
      <c r="DR267" t="str">
        <v>Ex Jlr | Jlr (1N) - Ban (1N)</v>
      </c>
      <c r="DS267" t="str">
        <v>Ex Jlr | Ban (1N)</v>
      </c>
      <c r="DT267" t="str">
        <v>Ex Jlr | Jlr (2 N) Kan</v>
      </c>
      <c r="DU267" t="str">
        <v>Ex Jlr | Jlr - Amr (1 N) - (1 N) Ban</v>
      </c>
      <c r="DV267" t="str">
        <v>Ex Rpr | Rpr - (2N) Kan</v>
      </c>
      <c r="DW267" t="str">
        <v>Hjr (1N) - Mahi (1N) - Sat</v>
      </c>
      <c r="DX267" t="str">
        <v>Ex Bhp | Bhp - Bhim - Pch (2N) - Bhp</v>
      </c>
      <c r="DY267" t="str">
        <v xml:space="preserve">Ex Ujj I 2N Ujj </v>
      </c>
    </row>
    <row r="268" spans="2:145" ht="15" customHeight="1">
      <c r="B268" s="35">
        <v>264</v>
      </c>
      <c r="C268" s="36" t="s">
        <v>1891</v>
      </c>
      <c r="D268" s="76">
        <v>46232</v>
      </c>
      <c r="E268" s="37" t="str">
        <f>IF(Table5[[#This Row],[Query Date]]&lt;&gt;"", TEXT(Table5[[#This Row],[Query Date]], "dddd"), "")</f>
        <v>Wednesday</v>
      </c>
      <c r="F268" s="37" t="str">
        <f>IF(Table5[[#This Row],[Query Date]]&lt;&gt;"", TEXT(Table5[[#This Row],[Query Date]], "mmmm"), "")</f>
        <v>July</v>
      </c>
      <c r="G268" s="28" t="s">
        <v>113</v>
      </c>
      <c r="H268" s="28" t="s">
        <v>99</v>
      </c>
      <c r="I268" s="28" t="s">
        <v>67</v>
      </c>
      <c r="J268" s="28" t="s">
        <v>68</v>
      </c>
      <c r="K268" s="28" t="s">
        <v>178</v>
      </c>
      <c r="L268" s="25" t="s">
        <v>160</v>
      </c>
      <c r="M268" s="112" t="s">
        <v>90</v>
      </c>
      <c r="N268" s="25" t="s">
        <v>1892</v>
      </c>
      <c r="O268" s="130" t="s">
        <v>1893</v>
      </c>
      <c r="P268" s="46" t="s">
        <v>1638</v>
      </c>
      <c r="Q268" s="77">
        <v>46249</v>
      </c>
      <c r="R268" s="77" t="str">
        <f>IF(Table5[[#This Row],[Tour Starting Date]]&lt;&gt;"", TEXT(Table5[[#This Row],[Tour Starting Date]], "dddd"), "")</f>
        <v>Saturday</v>
      </c>
      <c r="S268" s="77">
        <v>46251</v>
      </c>
      <c r="T268" s="25" t="str">
        <f>IF(Table5[[#This Row],[Tour Ending Date]]&lt;&gt;"", TEXT(Table5[[#This Row],[Tour Ending Date]], "dddd"), "")</f>
        <v>Monday</v>
      </c>
      <c r="U268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268" s="37" t="str">
        <f>IF(Table5[[#This Row],[Tour Starting Date]]&lt;&gt;"", TEXT(Table5[[#This Row],[Tour Starting Date]], "mmmm"), "")</f>
        <v>August</v>
      </c>
      <c r="W268" s="80" t="str" cm="1">
        <f t="array" ref="W268">IF(Q268&lt;&gt;"", INDEX(CI:CI, MATCH(1, (Q268&gt;=CG:CG)*(Q268&lt;=CH:CH), 0)), "")</f>
        <v>Long Weekend - Independence Day</v>
      </c>
      <c r="X268" s="39">
        <v>2</v>
      </c>
      <c r="Y268" s="74">
        <v>10700</v>
      </c>
      <c r="Z268" s="74">
        <f>IF(OR(Table5[[#This Row],[Per Person Package Cost]]="", Table5[[#This Row],[No. of Pax]]=""), "", Table5[[#This Row],[Per Person Package Cost]] * Table5[[#This Row],[No. of Pax]])</f>
        <v>21400</v>
      </c>
      <c r="AA268" s="52" t="s">
        <v>75</v>
      </c>
      <c r="AB268" s="52" t="s">
        <v>75</v>
      </c>
      <c r="AC268" s="52" t="s">
        <v>76</v>
      </c>
      <c r="AD268" s="52" t="s">
        <v>352</v>
      </c>
      <c r="AE268" s="52"/>
      <c r="AF268" s="51" t="str">
        <f>IF(AE268&lt;&gt;"", INDEX(CX:CX, MATCH(AE268, CZ:CZ, 0)), "")</f>
        <v/>
      </c>
      <c r="AG268" s="74"/>
      <c r="AH268" s="73" t="str">
        <f>IF(AE268&lt;&gt;"", INDEX(CV:CV, MATCH(AE268, CZ:CZ, 0)), "")</f>
        <v/>
      </c>
      <c r="AI268" s="52" t="s">
        <v>159</v>
      </c>
      <c r="AJ268" s="56" t="s">
        <v>115</v>
      </c>
      <c r="AK268" s="59" t="s">
        <v>79</v>
      </c>
      <c r="AL268" s="60" t="s">
        <v>80</v>
      </c>
      <c r="AM268" s="54" t="s">
        <v>80</v>
      </c>
      <c r="AN268" s="14">
        <v>46235</v>
      </c>
      <c r="AO268" s="15"/>
      <c r="AP268" s="91"/>
      <c r="AQ268" s="87"/>
      <c r="AR268" s="26"/>
      <c r="AS268" s="65"/>
      <c r="AT268" s="88" t="s">
        <v>81</v>
      </c>
      <c r="AU268" s="67"/>
      <c r="CN268" t="s">
        <v>1894</v>
      </c>
      <c r="DA268" t="str" cm="1">
        <f t="array" ref="DA268:DY268">IF(U268&lt;&gt;"", TRANSPOSE(_xlfn._xlws.FILTER(CZ:CZ, CY:CY=U268, "")), "")</f>
        <v>Gwl (2N) + Mor</v>
      </c>
      <c r="DB268" t="str">
        <v>Ex Idr | Idr - Ujj (1N) - Omk - Mah (1N) - Man - Idr</v>
      </c>
      <c r="DC268" t="str">
        <v>Ujj (1N) - Omk - Idr (1N)</v>
      </c>
      <c r="DD268" t="str">
        <v>Ex Jlr | Jlr - Kan (2N) - Jlr</v>
      </c>
      <c r="DE268" t="str">
        <v>Ex Jlr | Jlr - Ban (2N) - Jlr</v>
      </c>
      <c r="DF268" t="str">
        <v>Ex Bho | Bho (2N) + Bhim + Bhoj + San</v>
      </c>
      <c r="DG268" t="str">
        <v>Ex Idr | Idr - Man (2N) - Idr</v>
      </c>
      <c r="DH268" t="str">
        <v>Ex Jlr | Jlr - Kan (2N) - Jlr</v>
      </c>
      <c r="DI268" t="str">
        <v>Ex Bho | Bho (2N) + Bhim + Bhoj + San + HDCT Bho</v>
      </c>
      <c r="DJ268" t="str">
        <v>Ex Bho | Bho - Bhim - Tawa (1N) - Mad (1N) - Bho</v>
      </c>
      <c r="DK268" t="str">
        <v>Ujj (1N) - Omk - Mah (1N) - Idr</v>
      </c>
      <c r="DL268" t="str">
        <v>Ujj (1N) -  Idr (1N)</v>
      </c>
      <c r="DM268" t="str">
        <v>Ex Idr | Idr (2N) + Ujj + Omk + Mah</v>
      </c>
      <c r="DN268" t="str">
        <v>Idr - Mah - Omk (1N) - Ujj (1N)</v>
      </c>
      <c r="DO268" t="str">
        <v>Idr - Ujj (1N) - Mah - Omk (1N) - Khandwa</v>
      </c>
      <c r="DP268" t="str">
        <v>Ex Idr | Idr (EX Ujj) (1N) - Mah - Omk (1N) - Idr HDCT</v>
      </c>
      <c r="DQ268" t="str">
        <v>Ujj (1N) - Sehor - Bho (1N) HDCT</v>
      </c>
      <c r="DR268" t="str">
        <v>Ex Jlr | Jlr (1N) - Ban (1N)</v>
      </c>
      <c r="DS268" t="str">
        <v>Ex Jlr | Ban (1N)</v>
      </c>
      <c r="DT268" t="str">
        <v>Ex Jlr | Jlr (2 N) Kan</v>
      </c>
      <c r="DU268" t="str">
        <v>Ex Jlr | Jlr - Amr (1 N) - (1 N) Ban</v>
      </c>
      <c r="DV268" t="str">
        <v>Ex Rpr | Rpr - (2N) Kan</v>
      </c>
      <c r="DW268" t="str">
        <v>Hjr (1N) - Mahi (1N) - Sat</v>
      </c>
      <c r="DX268" t="str">
        <v>Ex Bhp | Bhp - Bhim - Pch (2N) - Bhp</v>
      </c>
      <c r="DY268" t="str">
        <v xml:space="preserve">Ex Ujj I 2N Ujj </v>
      </c>
    </row>
    <row r="269" spans="2:145" ht="15" customHeight="1">
      <c r="B269" s="34">
        <v>265</v>
      </c>
      <c r="C269" s="36" t="s">
        <v>1895</v>
      </c>
      <c r="D269" s="76">
        <v>46232</v>
      </c>
      <c r="E269" s="37" t="str">
        <f>IF(Table5[[#This Row],[Query Date]]&lt;&gt;"", TEXT(Table5[[#This Row],[Query Date]], "dddd"), "")</f>
        <v>Wednesday</v>
      </c>
      <c r="F269" s="37" t="str">
        <f>IF(Table5[[#This Row],[Query Date]]&lt;&gt;"", TEXT(Table5[[#This Row],[Query Date]], "mmmm"), "")</f>
        <v>July</v>
      </c>
      <c r="G269" s="28" t="s">
        <v>113</v>
      </c>
      <c r="H269" s="28" t="s">
        <v>99</v>
      </c>
      <c r="I269" s="28" t="s">
        <v>67</v>
      </c>
      <c r="J269" s="28" t="s">
        <v>68</v>
      </c>
      <c r="K269" s="28" t="s">
        <v>178</v>
      </c>
      <c r="L269" s="25" t="s">
        <v>160</v>
      </c>
      <c r="M269" s="112" t="s">
        <v>90</v>
      </c>
      <c r="N269" s="25" t="s">
        <v>1896</v>
      </c>
      <c r="O269" s="130" t="s">
        <v>1897</v>
      </c>
      <c r="P269" s="46" t="s">
        <v>1638</v>
      </c>
      <c r="Q269" s="77">
        <v>46245</v>
      </c>
      <c r="R269" s="77" t="str">
        <f>IF(Table5[[#This Row],[Tour Starting Date]]&lt;&gt;"", TEXT(Table5[[#This Row],[Tour Starting Date]], "dddd"), "")</f>
        <v>Tuesday</v>
      </c>
      <c r="S269" s="77">
        <v>46247</v>
      </c>
      <c r="T269" s="25" t="str">
        <f>IF(Table5[[#This Row],[Tour Ending Date]]&lt;&gt;"", TEXT(Table5[[#This Row],[Tour Ending Date]], "dddd"), "")</f>
        <v>Thursday</v>
      </c>
      <c r="U269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269" s="37" t="str">
        <f>IF(Table5[[#This Row],[Tour Starting Date]]&lt;&gt;"", TEXT(Table5[[#This Row],[Tour Starting Date]], "mmmm"), "")</f>
        <v>August</v>
      </c>
      <c r="W269" s="80" t="str" cm="1">
        <f t="array" ref="W269">IF(Q269&lt;&gt;"", INDEX(CI:CI, MATCH(1, (Q269&gt;=CG:CG)*(Q269&lt;=CH:CH), 0)), "")</f>
        <v>Regular Dates - Weekday</v>
      </c>
      <c r="X269" s="39">
        <v>1</v>
      </c>
      <c r="Y269" s="74">
        <v>20500</v>
      </c>
      <c r="Z269" s="74">
        <f>IF(OR(Table5[[#This Row],[Per Person Package Cost]]="", Table5[[#This Row],[No. of Pax]]=""), "", Table5[[#This Row],[Per Person Package Cost]] * Table5[[#This Row],[No. of Pax]])</f>
        <v>20500</v>
      </c>
      <c r="AA269" s="52" t="s">
        <v>75</v>
      </c>
      <c r="AB269" s="52" t="s">
        <v>75</v>
      </c>
      <c r="AC269" s="52" t="s">
        <v>76</v>
      </c>
      <c r="AD269" s="52" t="s">
        <v>352</v>
      </c>
      <c r="AE269" s="51" t="str">
        <f t="shared" si="37"/>
        <v>EXIDR02</v>
      </c>
      <c r="AF269" s="51" t="str">
        <f t="shared" si="38"/>
        <v>Jyotirlinga Trails</v>
      </c>
      <c r="AG269" s="74" t="str">
        <f t="shared" si="39"/>
        <v>Quick Getaways</v>
      </c>
      <c r="AH269" s="73" t="str">
        <f t="shared" si="24"/>
        <v>West MP</v>
      </c>
      <c r="AI269" s="52" t="s">
        <v>77</v>
      </c>
      <c r="AJ269" s="56" t="s">
        <v>115</v>
      </c>
      <c r="AK269" s="59" t="s">
        <v>79</v>
      </c>
      <c r="AL269" s="60" t="s">
        <v>80</v>
      </c>
      <c r="AM269" s="54" t="s">
        <v>80</v>
      </c>
      <c r="AN269" s="14">
        <v>46235</v>
      </c>
      <c r="AO269" s="15"/>
      <c r="AP269" s="91"/>
      <c r="AQ269" s="87"/>
      <c r="AR269" s="26"/>
      <c r="AS269" s="65"/>
      <c r="AT269" s="88" t="s">
        <v>81</v>
      </c>
      <c r="AU269" s="67"/>
      <c r="CN269" t="s">
        <v>1898</v>
      </c>
      <c r="DA269" t="str" cm="1">
        <f t="array" ref="DA269:DY269">IF(U269&lt;&gt;"", TRANSPOSE(_xlfn._xlws.FILTER(CZ:CZ, CY:CY=U269, "")), "")</f>
        <v>Gwl (2N) + Mor</v>
      </c>
      <c r="DB269" t="str">
        <v>Ex Idr | Idr - Ujj (1N) - Omk - Mah (1N) - Man - Idr</v>
      </c>
      <c r="DC269" t="str">
        <v>Ujj (1N) - Omk - Idr (1N)</v>
      </c>
      <c r="DD269" t="str">
        <v>Ex Jlr | Jlr - Kan (2N) - Jlr</v>
      </c>
      <c r="DE269" t="str">
        <v>Ex Jlr | Jlr - Ban (2N) - Jlr</v>
      </c>
      <c r="DF269" t="str">
        <v>Ex Bho | Bho (2N) + Bhim + Bhoj + San</v>
      </c>
      <c r="DG269" t="str">
        <v>Ex Idr | Idr - Man (2N) - Idr</v>
      </c>
      <c r="DH269" t="str">
        <v>Ex Jlr | Jlr - Kan (2N) - Jlr</v>
      </c>
      <c r="DI269" t="str">
        <v>Ex Bho | Bho (2N) + Bhim + Bhoj + San + HDCT Bho</v>
      </c>
      <c r="DJ269" t="str">
        <v>Ex Bho | Bho - Bhim - Tawa (1N) - Mad (1N) - Bho</v>
      </c>
      <c r="DK269" t="str">
        <v>Ujj (1N) - Omk - Mah (1N) - Idr</v>
      </c>
      <c r="DL269" t="str">
        <v>Ujj (1N) -  Idr (1N)</v>
      </c>
      <c r="DM269" t="str">
        <v>Ex Idr | Idr (2N) + Ujj + Omk + Mah</v>
      </c>
      <c r="DN269" t="str">
        <v>Idr - Mah - Omk (1N) - Ujj (1N)</v>
      </c>
      <c r="DO269" t="str">
        <v>Idr - Ujj (1N) - Mah - Omk (1N) - Khandwa</v>
      </c>
      <c r="DP269" t="str">
        <v>Ex Idr | Idr (EX Ujj) (1N) - Mah - Omk (1N) - Idr HDCT</v>
      </c>
      <c r="DQ269" t="str">
        <v>Ujj (1N) - Sehor - Bho (1N) HDCT</v>
      </c>
      <c r="DR269" t="str">
        <v>Ex Jlr | Jlr (1N) - Ban (1N)</v>
      </c>
      <c r="DS269" t="str">
        <v>Ex Jlr | Ban (1N)</v>
      </c>
      <c r="DT269" t="str">
        <v>Ex Jlr | Jlr (2 N) Kan</v>
      </c>
      <c r="DU269" t="str">
        <v>Ex Jlr | Jlr - Amr (1 N) - (1 N) Ban</v>
      </c>
      <c r="DV269" t="str">
        <v>Ex Rpr | Rpr - (2N) Kan</v>
      </c>
      <c r="DW269" t="str">
        <v>Hjr (1N) - Mahi (1N) - Sat</v>
      </c>
      <c r="DX269" t="str">
        <v>Ex Bhp | Bhp - Bhim - Pch (2N) - Bhp</v>
      </c>
      <c r="DY269" t="str">
        <v xml:space="preserve">Ex Ujj I 2N Ujj </v>
      </c>
    </row>
    <row r="270" spans="2:145" ht="15" customHeight="1">
      <c r="B270" s="35">
        <v>266</v>
      </c>
      <c r="C270" s="36" t="s">
        <v>1899</v>
      </c>
      <c r="D270" s="76">
        <v>46232</v>
      </c>
      <c r="E270" s="37" t="str">
        <f>IF(Table5[[#This Row],[Query Date]]&lt;&gt;"", TEXT(Table5[[#This Row],[Query Date]], "dddd"), "")</f>
        <v>Wednesday</v>
      </c>
      <c r="F270" s="37" t="str">
        <f>IF(Table5[[#This Row],[Query Date]]&lt;&gt;"", TEXT(Table5[[#This Row],[Query Date]], "mmmm"), "")</f>
        <v>July</v>
      </c>
      <c r="G270" s="28" t="s">
        <v>113</v>
      </c>
      <c r="H270" s="28" t="s">
        <v>99</v>
      </c>
      <c r="I270" s="28" t="s">
        <v>67</v>
      </c>
      <c r="J270" s="28" t="s">
        <v>68</v>
      </c>
      <c r="K270" s="28" t="s">
        <v>178</v>
      </c>
      <c r="L270" s="25" t="s">
        <v>160</v>
      </c>
      <c r="M270" s="112" t="s">
        <v>90</v>
      </c>
      <c r="N270" s="25" t="s">
        <v>1900</v>
      </c>
      <c r="O270" s="130" t="s">
        <v>1901</v>
      </c>
      <c r="P270" s="46" t="s">
        <v>1638</v>
      </c>
      <c r="Q270" s="77">
        <v>46237</v>
      </c>
      <c r="R270" s="77" t="str">
        <f>IF(Table5[[#This Row],[Tour Starting Date]]&lt;&gt;"", TEXT(Table5[[#This Row],[Tour Starting Date]], "dddd"), "")</f>
        <v>Monday</v>
      </c>
      <c r="S270" s="77">
        <v>46239</v>
      </c>
      <c r="T270" s="25" t="str">
        <f>IF(Table5[[#This Row],[Tour Ending Date]]&lt;&gt;"", TEXT(Table5[[#This Row],[Tour Ending Date]], "dddd"), "")</f>
        <v>Wednesday</v>
      </c>
      <c r="U270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270" s="37" t="str">
        <f>IF(Table5[[#This Row],[Tour Starting Date]]&lt;&gt;"", TEXT(Table5[[#This Row],[Tour Starting Date]], "mmmm"), "")</f>
        <v>August</v>
      </c>
      <c r="W270" s="80" t="str" cm="1">
        <f t="array" ref="W270">IF(Q270&lt;&gt;"", INDEX(CI:CI, MATCH(1, (Q270&gt;=CG:CG)*(Q270&lt;=CH:CH), 0)), "")</f>
        <v>Regular Dates - Weekday</v>
      </c>
      <c r="X270" s="39">
        <v>5</v>
      </c>
      <c r="Y270" s="74">
        <v>6100</v>
      </c>
      <c r="Z270" s="74">
        <f>IF(OR(Table5[[#This Row],[Per Person Package Cost]]="", Table5[[#This Row],[No. of Pax]]=""), "", Table5[[#This Row],[Per Person Package Cost]] * Table5[[#This Row],[No. of Pax]])</f>
        <v>30500</v>
      </c>
      <c r="AA270" s="52" t="s">
        <v>75</v>
      </c>
      <c r="AB270" s="52" t="s">
        <v>75</v>
      </c>
      <c r="AC270" s="52" t="s">
        <v>105</v>
      </c>
      <c r="AD270" s="52" t="s">
        <v>352</v>
      </c>
      <c r="AE270" s="51" t="str">
        <f t="shared" si="37"/>
        <v>EXIDR02</v>
      </c>
      <c r="AF270" s="51" t="str">
        <f t="shared" si="38"/>
        <v>Jyotirlinga Trails</v>
      </c>
      <c r="AG270" s="74" t="str">
        <f>IF(AE270&lt;&gt;"", INDEX(CU:CU, MATCH(AE270, CW:CW, 0)), "")</f>
        <v>Quick Getaways</v>
      </c>
      <c r="AH270" s="73" t="str">
        <f t="shared" si="24"/>
        <v>West MP</v>
      </c>
      <c r="AI270" s="52" t="s">
        <v>159</v>
      </c>
      <c r="AJ270" s="56" t="s">
        <v>115</v>
      </c>
      <c r="AK270" s="59" t="s">
        <v>79</v>
      </c>
      <c r="AL270" s="60" t="s">
        <v>80</v>
      </c>
      <c r="AM270" s="54" t="s">
        <v>80</v>
      </c>
      <c r="AN270" s="14">
        <v>46235</v>
      </c>
      <c r="AO270" s="15"/>
      <c r="AP270" s="91"/>
      <c r="AQ270" s="87"/>
      <c r="AR270" s="26"/>
      <c r="AS270" s="65"/>
      <c r="AT270" s="88" t="s">
        <v>81</v>
      </c>
      <c r="AU270" s="67"/>
      <c r="CN270" t="s">
        <v>1818</v>
      </c>
      <c r="DA270" t="str" cm="1">
        <f t="array" ref="DA270:DY270">IF(U270&lt;&gt;"", TRANSPOSE(_xlfn._xlws.FILTER(CZ:CZ, CY:CY=U270, "")), "")</f>
        <v>Gwl (2N) + Mor</v>
      </c>
      <c r="DB270" t="str">
        <v>Ex Idr | Idr - Ujj (1N) - Omk - Mah (1N) - Man - Idr</v>
      </c>
      <c r="DC270" t="str">
        <v>Ujj (1N) - Omk - Idr (1N)</v>
      </c>
      <c r="DD270" t="str">
        <v>Ex Jlr | Jlr - Kan (2N) - Jlr</v>
      </c>
      <c r="DE270" t="str">
        <v>Ex Jlr | Jlr - Ban (2N) - Jlr</v>
      </c>
      <c r="DF270" t="str">
        <v>Ex Bho | Bho (2N) + Bhim + Bhoj + San</v>
      </c>
      <c r="DG270" t="str">
        <v>Ex Idr | Idr - Man (2N) - Idr</v>
      </c>
      <c r="DH270" t="str">
        <v>Ex Jlr | Jlr - Kan (2N) - Jlr</v>
      </c>
      <c r="DI270" t="str">
        <v>Ex Bho | Bho (2N) + Bhim + Bhoj + San + HDCT Bho</v>
      </c>
      <c r="DJ270" t="str">
        <v>Ex Bho | Bho - Bhim - Tawa (1N) - Mad (1N) - Bho</v>
      </c>
      <c r="DK270" t="str">
        <v>Ujj (1N) - Omk - Mah (1N) - Idr</v>
      </c>
      <c r="DL270" t="str">
        <v>Ujj (1N) -  Idr (1N)</v>
      </c>
      <c r="DM270" t="str">
        <v>Ex Idr | Idr (2N) + Ujj + Omk + Mah</v>
      </c>
      <c r="DN270" t="str">
        <v>Idr - Mah - Omk (1N) - Ujj (1N)</v>
      </c>
      <c r="DO270" t="str">
        <v>Idr - Ujj (1N) - Mah - Omk (1N) - Khandwa</v>
      </c>
      <c r="DP270" t="str">
        <v>Ex Idr | Idr (EX Ujj) (1N) - Mah - Omk (1N) - Idr HDCT</v>
      </c>
      <c r="DQ270" t="str">
        <v>Ujj (1N) - Sehor - Bho (1N) HDCT</v>
      </c>
      <c r="DR270" t="str">
        <v>Ex Jlr | Jlr (1N) - Ban (1N)</v>
      </c>
      <c r="DS270" t="str">
        <v>Ex Jlr | Ban (1N)</v>
      </c>
      <c r="DT270" t="str">
        <v>Ex Jlr | Jlr (2 N) Kan</v>
      </c>
      <c r="DU270" t="str">
        <v>Ex Jlr | Jlr - Amr (1 N) - (1 N) Ban</v>
      </c>
      <c r="DV270" t="str">
        <v>Ex Rpr | Rpr - (2N) Kan</v>
      </c>
      <c r="DW270" t="str">
        <v>Hjr (1N) - Mahi (1N) - Sat</v>
      </c>
      <c r="DX270" t="str">
        <v>Ex Bhp | Bhp - Bhim - Pch (2N) - Bhp</v>
      </c>
      <c r="DY270" t="str">
        <v xml:space="preserve">Ex Ujj I 2N Ujj </v>
      </c>
    </row>
    <row r="271" spans="2:145" ht="15" customHeight="1">
      <c r="B271" s="34">
        <v>267</v>
      </c>
      <c r="C271" s="36" t="s">
        <v>1902</v>
      </c>
      <c r="D271" s="76">
        <v>46232</v>
      </c>
      <c r="E271" s="37" t="str">
        <f>IF(Table5[[#This Row],[Query Date]]&lt;&gt;"", TEXT(Table5[[#This Row],[Query Date]], "dddd"), "")</f>
        <v>Wednesday</v>
      </c>
      <c r="F271" s="37" t="str">
        <f>IF(Table5[[#This Row],[Query Date]]&lt;&gt;"", TEXT(Table5[[#This Row],[Query Date]], "mmmm"), "")</f>
        <v>July</v>
      </c>
      <c r="G271" s="28" t="s">
        <v>65</v>
      </c>
      <c r="H271" s="28" t="s">
        <v>99</v>
      </c>
      <c r="I271" s="28" t="s">
        <v>67</v>
      </c>
      <c r="J271" s="28" t="s">
        <v>68</v>
      </c>
      <c r="K271" s="28" t="s">
        <v>178</v>
      </c>
      <c r="L271" s="25" t="s">
        <v>70</v>
      </c>
      <c r="M271" s="112" t="s">
        <v>502</v>
      </c>
      <c r="N271" s="25" t="s">
        <v>507</v>
      </c>
      <c r="O271" s="130">
        <v>9036405090</v>
      </c>
      <c r="P271" s="46" t="s">
        <v>508</v>
      </c>
      <c r="Q271" s="77">
        <v>46237</v>
      </c>
      <c r="R271" s="77" t="str">
        <f>IF(Table5[[#This Row],[Tour Starting Date]]&lt;&gt;"", TEXT(Table5[[#This Row],[Tour Starting Date]], "dddd"), "")</f>
        <v>Monday</v>
      </c>
      <c r="S271" s="77">
        <v>46239</v>
      </c>
      <c r="T271" s="25" t="str">
        <f>IF(Table5[[#This Row],[Tour Ending Date]]&lt;&gt;"", TEXT(Table5[[#This Row],[Tour Ending Date]], "dddd"), "")</f>
        <v>Wednesday</v>
      </c>
      <c r="U271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271" s="37" t="str">
        <f>IF(Table5[[#This Row],[Tour Starting Date]]&lt;&gt;"", TEXT(Table5[[#This Row],[Tour Starting Date]], "mmmm"), "")</f>
        <v>August</v>
      </c>
      <c r="W271" s="80" t="str" cm="1">
        <f t="array" ref="W271">IF(Q271&lt;&gt;"", INDEX(CI:CI, MATCH(1, (Q271&gt;=CG:CG)*(Q271&lt;=CH:CH), 0)), "")</f>
        <v>Regular Dates - Weekday</v>
      </c>
      <c r="X271" s="39">
        <v>5</v>
      </c>
      <c r="Y271" s="74">
        <v>6100</v>
      </c>
      <c r="Z271" s="74">
        <f>IF(OR(Table5[[#This Row],[Per Person Package Cost]]="", Table5[[#This Row],[No. of Pax]]=""), "", Table5[[#This Row],[Per Person Package Cost]] * Table5[[#This Row],[No. of Pax]])</f>
        <v>30500</v>
      </c>
      <c r="AA271" s="52" t="s">
        <v>75</v>
      </c>
      <c r="AB271" s="52" t="s">
        <v>75</v>
      </c>
      <c r="AC271" s="52" t="s">
        <v>105</v>
      </c>
      <c r="AD271" s="52" t="s">
        <v>352</v>
      </c>
      <c r="AE271" s="51" t="str">
        <f t="shared" ref="AE271" si="40">IF(AD271&lt;&gt;"", INDEX(CW:CW, MATCH(AD271, CZ:CZ, 0)), "")</f>
        <v>EXIDR02</v>
      </c>
      <c r="AF271" s="51" t="str">
        <f t="shared" ref="AF271" si="41">IF(AD271&lt;&gt;"", INDEX(CX:CX, MATCH(AD271, CZ:CZ, 0)), "")</f>
        <v>Jyotirlinga Trails</v>
      </c>
      <c r="AG271" s="74" t="str">
        <f>IF(AE271&lt;&gt;"", INDEX(CU:CU, MATCH(AE271, CW:CW, 0)), "")</f>
        <v>Quick Getaways</v>
      </c>
      <c r="AH271" s="73" t="str">
        <f t="shared" ref="AH271" si="42">IF(AD271&lt;&gt;"", INDEX(CV:CV, MATCH(AD271, CZ:CZ, 0)), "")</f>
        <v>West MP</v>
      </c>
      <c r="AI271" s="52" t="s">
        <v>159</v>
      </c>
      <c r="AJ271" s="56" t="s">
        <v>78</v>
      </c>
      <c r="AK271" s="59" t="s">
        <v>79</v>
      </c>
      <c r="AL271" s="60" t="s">
        <v>80</v>
      </c>
      <c r="AM271" s="54" t="s">
        <v>80</v>
      </c>
      <c r="AN271" s="14">
        <v>46235</v>
      </c>
      <c r="AO271" s="15"/>
      <c r="AP271" s="91"/>
      <c r="AQ271" s="87"/>
      <c r="AR271" s="26"/>
      <c r="AS271" s="65"/>
      <c r="AT271" s="88" t="s">
        <v>81</v>
      </c>
      <c r="AU271" s="67"/>
      <c r="CN271" t="s">
        <v>1903</v>
      </c>
      <c r="DA271" t="str" cm="1">
        <f t="array" ref="DA271:DY271">IF(U271&lt;&gt;"", TRANSPOSE(_xlfn._xlws.FILTER(CZ:CZ, CY:CY=U271, "")), "")</f>
        <v>Gwl (2N) + Mor</v>
      </c>
      <c r="DB271" t="str">
        <v>Ex Idr | Idr - Ujj (1N) - Omk - Mah (1N) - Man - Idr</v>
      </c>
      <c r="DC271" t="str">
        <v>Ujj (1N) - Omk - Idr (1N)</v>
      </c>
      <c r="DD271" t="str">
        <v>Ex Jlr | Jlr - Kan (2N) - Jlr</v>
      </c>
      <c r="DE271" t="str">
        <v>Ex Jlr | Jlr - Ban (2N) - Jlr</v>
      </c>
      <c r="DF271" t="str">
        <v>Ex Bho | Bho (2N) + Bhim + Bhoj + San</v>
      </c>
      <c r="DG271" t="str">
        <v>Ex Idr | Idr - Man (2N) - Idr</v>
      </c>
      <c r="DH271" t="str">
        <v>Ex Jlr | Jlr - Kan (2N) - Jlr</v>
      </c>
      <c r="DI271" t="str">
        <v>Ex Bho | Bho (2N) + Bhim + Bhoj + San + HDCT Bho</v>
      </c>
      <c r="DJ271" t="str">
        <v>Ex Bho | Bho - Bhim - Tawa (1N) - Mad (1N) - Bho</v>
      </c>
      <c r="DK271" t="str">
        <v>Ujj (1N) - Omk - Mah (1N) - Idr</v>
      </c>
      <c r="DL271" t="str">
        <v>Ujj (1N) -  Idr (1N)</v>
      </c>
      <c r="DM271" t="str">
        <v>Ex Idr | Idr (2N) + Ujj + Omk + Mah</v>
      </c>
      <c r="DN271" t="str">
        <v>Idr - Mah - Omk (1N) - Ujj (1N)</v>
      </c>
      <c r="DO271" t="str">
        <v>Idr - Ujj (1N) - Mah - Omk (1N) - Khandwa</v>
      </c>
      <c r="DP271" t="str">
        <v>Ex Idr | Idr (EX Ujj) (1N) - Mah - Omk (1N) - Idr HDCT</v>
      </c>
      <c r="DQ271" t="str">
        <v>Ujj (1N) - Sehor - Bho (1N) HDCT</v>
      </c>
      <c r="DR271" t="str">
        <v>Ex Jlr | Jlr (1N) - Ban (1N)</v>
      </c>
      <c r="DS271" t="str">
        <v>Ex Jlr | Ban (1N)</v>
      </c>
      <c r="DT271" t="str">
        <v>Ex Jlr | Jlr (2 N) Kan</v>
      </c>
      <c r="DU271" t="str">
        <v>Ex Jlr | Jlr - Amr (1 N) - (1 N) Ban</v>
      </c>
      <c r="DV271" t="str">
        <v>Ex Rpr | Rpr - (2N) Kan</v>
      </c>
      <c r="DW271" t="str">
        <v>Hjr (1N) - Mahi (1N) - Sat</v>
      </c>
      <c r="DX271" t="str">
        <v>Ex Bhp | Bhp - Bhim - Pch (2N) - Bhp</v>
      </c>
      <c r="DY271" t="str">
        <v xml:space="preserve">Ex Ujj I 2N Ujj </v>
      </c>
    </row>
    <row r="272" spans="2:145" ht="15" customHeight="1">
      <c r="B272" s="35">
        <v>268</v>
      </c>
      <c r="C272" s="36" t="s">
        <v>1904</v>
      </c>
      <c r="D272" s="76">
        <v>46232</v>
      </c>
      <c r="E272" s="37" t="str">
        <f>IF(Table5[[#This Row],[Query Date]]&lt;&gt;"", TEXT(Table5[[#This Row],[Query Date]], "dddd"), "")</f>
        <v>Wednesday</v>
      </c>
      <c r="F272" s="37" t="str">
        <f>IF(Table5[[#This Row],[Query Date]]&lt;&gt;"", TEXT(Table5[[#This Row],[Query Date]], "mmmm"), "")</f>
        <v>July</v>
      </c>
      <c r="G272" s="28" t="s">
        <v>65</v>
      </c>
      <c r="H272" s="28" t="s">
        <v>99</v>
      </c>
      <c r="I272" s="28" t="s">
        <v>100</v>
      </c>
      <c r="J272" s="28" t="s">
        <v>68</v>
      </c>
      <c r="K272" s="28" t="s">
        <v>69</v>
      </c>
      <c r="L272" s="25" t="s">
        <v>70</v>
      </c>
      <c r="M272" s="112" t="s">
        <v>1039</v>
      </c>
      <c r="N272" s="25" t="s">
        <v>1905</v>
      </c>
      <c r="O272" s="130" t="s">
        <v>1906</v>
      </c>
      <c r="P272" s="46" t="s">
        <v>1907</v>
      </c>
      <c r="Q272" s="77">
        <v>46310</v>
      </c>
      <c r="R272" s="77" t="str">
        <f>IF(Table5[[#This Row],[Tour Starting Date]]&lt;&gt;"", TEXT(Table5[[#This Row],[Tour Starting Date]], "dddd"), "")</f>
        <v>Thursday</v>
      </c>
      <c r="S272" s="77">
        <v>46314</v>
      </c>
      <c r="T272" s="25" t="str">
        <f>IF(Table5[[#This Row],[Tour Ending Date]]&lt;&gt;"", TEXT(Table5[[#This Row],[Tour Ending Date]], "dddd"), "")</f>
        <v>Monday</v>
      </c>
      <c r="U272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4 Nights &amp; 5 Days</v>
      </c>
      <c r="V272" s="37" t="str">
        <f>IF(Table5[[#This Row],[Tour Starting Date]]&lt;&gt;"", TEXT(Table5[[#This Row],[Tour Starting Date]], "mmmm"), "")</f>
        <v>October</v>
      </c>
      <c r="W272" s="80" t="str" cm="1">
        <f t="array" ref="W272">IF(Q272&lt;&gt;"", INDEX(CI:CI, MATCH(1, (Q272&gt;=CG:CG)*(Q272&lt;=CH:CH), 0)), "")</f>
        <v>Regular Dates - Weekday</v>
      </c>
      <c r="X272" s="39">
        <v>16</v>
      </c>
      <c r="Y272" s="74">
        <v>10200</v>
      </c>
      <c r="Z272" s="74">
        <f>IF(OR(Table5[[#This Row],[Per Person Package Cost]]="", Table5[[#This Row],[No. of Pax]]=""), "", Table5[[#This Row],[Per Person Package Cost]] * Table5[[#This Row],[No. of Pax]])</f>
        <v>163200</v>
      </c>
      <c r="AA272" s="52" t="s">
        <v>75</v>
      </c>
      <c r="AB272" s="52" t="s">
        <v>75</v>
      </c>
      <c r="AC272" s="52" t="s">
        <v>76</v>
      </c>
      <c r="AD272" s="52" t="s">
        <v>106</v>
      </c>
      <c r="AE272" s="51" t="str">
        <f t="shared" si="37"/>
        <v>EXIDR04</v>
      </c>
      <c r="AF272" s="51" t="str">
        <f t="shared" si="38"/>
        <v>Heritage Pilgrimage</v>
      </c>
      <c r="AG272" s="74" t="str">
        <f t="shared" si="39"/>
        <v>Quick Getaways</v>
      </c>
      <c r="AH272" s="73" t="str">
        <f t="shared" si="24"/>
        <v>West MP</v>
      </c>
      <c r="AI272" s="52" t="s">
        <v>77</v>
      </c>
      <c r="AJ272" s="56" t="s">
        <v>78</v>
      </c>
      <c r="AK272" s="59" t="s">
        <v>79</v>
      </c>
      <c r="AL272" s="60" t="s">
        <v>80</v>
      </c>
      <c r="AM272" s="54" t="s">
        <v>80</v>
      </c>
      <c r="AN272" s="14">
        <v>46254</v>
      </c>
      <c r="AO272" s="15">
        <v>46266</v>
      </c>
      <c r="AP272" s="91">
        <v>46273</v>
      </c>
      <c r="AQ272" s="87"/>
      <c r="AR272" s="26"/>
      <c r="AS272" s="65"/>
      <c r="AT272" s="88" t="s">
        <v>138</v>
      </c>
      <c r="AU272" s="67"/>
      <c r="CN272" t="s">
        <v>1908</v>
      </c>
      <c r="DA272" t="str" cm="1">
        <f t="array" ref="DA272:EJ272">IF(U272&lt;&gt;"", TRANSPOSE(_xlfn._xlws.FILTER(CZ:CZ, CY:CY=U272, "")), "")</f>
        <v>Ex Gwl | Gwl (2N) + Mor - Son - Dat - Orc (1N) - Hjr (1N) - Gwl</v>
      </c>
      <c r="DB272" t="str">
        <v>Ex Idr | Idr - Ujj (1N) - Omk - Mah (1N) - Man (1N) - Idr (1N)</v>
      </c>
      <c r="DC272" t="str">
        <v>Ex Idr | Idr - Ujj (1N) - Omk (1N) - Mah (1N) - Man (1N) - Idr</v>
      </c>
      <c r="DD272" t="str">
        <v>Ex Jlr | Jlr - Kan (2N) - Amk (1N) - Jlr (1N)</v>
      </c>
      <c r="DE272" t="str">
        <v>Ex Jlr | Jlr - Ban (2N) - Amk (1N) - Jlr (1N)</v>
      </c>
      <c r="DF272" t="str">
        <v>Ex Jlr | Jlr (1N) - Hjr (1N) - Ban (2N) - Jlr</v>
      </c>
      <c r="DG272" t="str">
        <v>Ex Jlr | Jlr (1N) - Kan (1N) - Ban (2N) - Jlr</v>
      </c>
      <c r="DH272" t="str">
        <v>Ex Bho | Bho (1N) + San + Bhoj + Bhim - Tawa - Mad (1N) - Pch (2N) - Bho</v>
      </c>
      <c r="DI272" t="str">
        <v>Ex Idr | Idr - Ujj (1N) - Omk - Mah (1N) - Man (1N) - Idr (1N)</v>
      </c>
      <c r="DJ272" t="str">
        <v>Ex Bho | Bho (1N) - Bhoj - Bhim - Pch (3N) - Bho</v>
      </c>
      <c r="DK272" t="str">
        <v>Gwl (1N) - Dat (Pitambara Peeth) - Orc (1N) - Ckt (2N) - Ixd</v>
      </c>
      <c r="DL272" t="str">
        <v>Ex Jlr | Jlr - Ban (2N) - Kan (2N) - Jlr</v>
      </c>
      <c r="DM272" t="str">
        <v>Jlr - Ban (1N) - Kan (1N) - Pen (2N) - Nag</v>
      </c>
      <c r="DN272" t="str">
        <v>Ex Bho | Bho (1N) - Bhoj - Bhim - Pch (3N) - Bho</v>
      </c>
      <c r="DO272" t="str">
        <v>Ex Bho | Bho (2N) + Sanchi + Bhoj + Bhim - Tawa - Mad (1N) - Bho (1N)</v>
      </c>
      <c r="DP272" t="str">
        <v>Ex Bho | Bho - Bhoj - Bhim - Tawa (1N) - Mad (1N) - Pch (2N) - Bho</v>
      </c>
      <c r="DQ272" t="str">
        <v>Bho - Bhoj - Bhim - Pch (2N) - Kan (1N) - Jlr (1N)</v>
      </c>
      <c r="DR272" t="str">
        <v>Bho - Bhoj - Bhim - Pch (2N) - Kan (1N) - Amk (1N) - Jlr</v>
      </c>
      <c r="DS272" t="str">
        <v xml:space="preserve">Bho (1N) + Bhim + Bhoj + San - Ujj (1N) - Omk - Mah (1N) - Idr (1N) </v>
      </c>
      <c r="DT272" t="str">
        <v>Ex Gwl | Gwl - Hjr (1N) - Orc (1N) - Dat - Son - Gwl (2N)</v>
      </c>
      <c r="DU272" t="str">
        <v>Ex Gwl | Gwl - Orc (1N) - Hjr (1N) - Chn (1N) - Shiv (1N) - Gwl</v>
      </c>
      <c r="DV272" t="str">
        <v>Gwl - Hjr (1N) - Panna (1N) - Chit (1N) - Mahi (1N) - Sat</v>
      </c>
      <c r="DW272" t="str">
        <v>Jlr - (2 N) Kan - (2 N) Pch - Bhim - Bhoj - Bhp</v>
      </c>
      <c r="DX272" t="str">
        <v>Jlr - (2 N) Kan - (2 N) Pen - Rpr</v>
      </c>
      <c r="DY272" t="str">
        <v>Gwl (2N) (Ex Mor) - Dat -Orc (1N) - Hjr (1N) - Jhn</v>
      </c>
      <c r="DZ272" t="str">
        <v>Ex Gwl | Gwl (1N) - Son - Dat - Orc (1N) - Hjr (2N) (Ex Panna) - Gwl</v>
      </c>
      <c r="EA272" t="str">
        <v>Hjr (1N) - Orc (1N) - Dat - son - Gwl (2N)(Ex Mor)</v>
      </c>
      <c r="EB272" t="str">
        <v>(2 N) Gwl - (1 N) Orch - (1 N) Hjr</v>
      </c>
      <c r="EC272" t="str">
        <v>Ex Bhp | Bhp - Bhoj - Bhim - Pch (2N) - Mad (1N) - Tawa (1N) - Bhp</v>
      </c>
      <c r="ED272" t="str">
        <v>Ex Bhp | Bhp - Bhoj - Bhim - Pch (2N) - Mad (2N) - Bhp</v>
      </c>
      <c r="EE272" t="str">
        <v>Ex Idr | Idr - Ujj (1N) - Omk (1N) - Mah (2N) (Ex Man) - Idr (HDCT)</v>
      </c>
      <c r="EF272" t="str">
        <v>Arr Rpr - Amr (2N) - Par (2N) - IXD</v>
      </c>
      <c r="EG272" t="str">
        <v>1N Gwl - Orc - 2N Hjr - Jhn - 1N Gwl</v>
      </c>
      <c r="EH272" t="str">
        <v>1N Orc - 1N Hjr - 2N Gwl Ex Mor</v>
      </c>
      <c r="EI272" t="str">
        <v>1N Idr - Omk - 1N Mah - 1N Ujj - Seh - 1N Bho</v>
      </c>
      <c r="EJ272" t="str">
        <v>Ex Idr I 1N Idr - 1N Ujj - Omk - 2N Mah - Man - Idr</v>
      </c>
    </row>
    <row r="273" spans="2:145" ht="15" customHeight="1">
      <c r="B273" s="34">
        <v>269</v>
      </c>
      <c r="C273" s="36" t="s">
        <v>1909</v>
      </c>
      <c r="D273" s="76">
        <v>46232</v>
      </c>
      <c r="E273" s="37" t="str">
        <f>IF(Table5[[#This Row],[Query Date]]&lt;&gt;"", TEXT(Table5[[#This Row],[Query Date]], "dddd"), "")</f>
        <v>Wednesday</v>
      </c>
      <c r="F273" s="37" t="str">
        <f>IF(Table5[[#This Row],[Query Date]]&lt;&gt;"", TEXT(Table5[[#This Row],[Query Date]], "mmmm"), "")</f>
        <v>July</v>
      </c>
      <c r="G273" s="28" t="s">
        <v>65</v>
      </c>
      <c r="H273" s="28" t="s">
        <v>99</v>
      </c>
      <c r="I273" s="28" t="s">
        <v>67</v>
      </c>
      <c r="J273" s="28" t="s">
        <v>68</v>
      </c>
      <c r="K273" s="28" t="s">
        <v>1015</v>
      </c>
      <c r="L273" s="25" t="s">
        <v>70</v>
      </c>
      <c r="M273" s="112" t="s">
        <v>1910</v>
      </c>
      <c r="N273" s="25" t="s">
        <v>1911</v>
      </c>
      <c r="O273" s="130" t="s">
        <v>1912</v>
      </c>
      <c r="P273" s="46" t="s">
        <v>1913</v>
      </c>
      <c r="Q273" s="77">
        <v>46310</v>
      </c>
      <c r="R273" s="77" t="str">
        <f>IF(Table5[[#This Row],[Tour Starting Date]]&lt;&gt;"", TEXT(Table5[[#This Row],[Tour Starting Date]], "dddd"), "")</f>
        <v>Thursday</v>
      </c>
      <c r="S273" s="77">
        <v>46318</v>
      </c>
      <c r="T273" s="25" t="str">
        <f>IF(Table5[[#This Row],[Tour Ending Date]]&lt;&gt;"", TEXT(Table5[[#This Row],[Tour Ending Date]], "dddd"), "")</f>
        <v>Friday</v>
      </c>
      <c r="U273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8 Nights &amp; 9 Days</v>
      </c>
      <c r="V273" s="37" t="str">
        <f>IF(Table5[[#This Row],[Tour Starting Date]]&lt;&gt;"", TEXT(Table5[[#This Row],[Tour Starting Date]], "mmmm"), "")</f>
        <v>October</v>
      </c>
      <c r="W273" s="80" t="str" cm="1">
        <f t="array" ref="W273">IF(Q273&lt;&gt;"", INDEX(CI:CI, MATCH(1, (Q273&gt;=CG:CG)*(Q273&lt;=CH:CH), 0)), "")</f>
        <v>Regular Dates - Weekday</v>
      </c>
      <c r="X273" s="39">
        <v>3</v>
      </c>
      <c r="Y273" s="74">
        <v>78000</v>
      </c>
      <c r="Z273" s="74">
        <f>IF(OR(Table5[[#This Row],[Per Person Package Cost]]="", Table5[[#This Row],[No. of Pax]]=""), "", Table5[[#This Row],[Per Person Package Cost]] * Table5[[#This Row],[No. of Pax]])</f>
        <v>234000</v>
      </c>
      <c r="AA273" s="52" t="s">
        <v>1914</v>
      </c>
      <c r="AB273" s="52" t="s">
        <v>520</v>
      </c>
      <c r="AC273" s="52" t="s">
        <v>134</v>
      </c>
      <c r="AD273" s="52" t="s">
        <v>839</v>
      </c>
      <c r="AE273" s="51" t="str">
        <f t="shared" si="37"/>
        <v>WILDMP06</v>
      </c>
      <c r="AF273" s="51" t="str">
        <f t="shared" si="38"/>
        <v>Central India Wildlife and Culture Expedition</v>
      </c>
      <c r="AG273" s="74" t="str">
        <f t="shared" si="39"/>
        <v>Special Interest - Wildlife Tours</v>
      </c>
      <c r="AH273" s="73" t="str">
        <f t="shared" si="24"/>
        <v>East MP</v>
      </c>
      <c r="AI273" s="52" t="s">
        <v>107</v>
      </c>
      <c r="AJ273" s="56" t="s">
        <v>78</v>
      </c>
      <c r="AK273" s="59" t="s">
        <v>79</v>
      </c>
      <c r="AL273" s="60" t="s">
        <v>80</v>
      </c>
      <c r="AM273" s="54" t="s">
        <v>80</v>
      </c>
      <c r="AN273" s="14">
        <v>46254</v>
      </c>
      <c r="AO273" s="15">
        <v>46266</v>
      </c>
      <c r="AP273" s="91"/>
      <c r="AQ273" s="87"/>
      <c r="AR273" s="26"/>
      <c r="AS273" s="65"/>
      <c r="AT273" s="88" t="s">
        <v>138</v>
      </c>
      <c r="AU273" s="67"/>
      <c r="CN273" t="s">
        <v>1915</v>
      </c>
      <c r="DA273" t="str" cm="1">
        <f t="array" ref="DA273:DC273">IF(U273&lt;&gt;"", TRANSPOSE(_xlfn._xlws.FILTER(CZ:CZ, CY:CY=U273, "")), "")</f>
        <v>Gwl (1N) - Dat - Orc (1N) - Hjr (1N) - San - Bho (2N) + Bhim + Bhoj - Ujj (1N) - Omk - Mah (1N) - Man (1N) - Idr</v>
      </c>
      <c r="DB273" t="str">
        <v>Bho - Bhoj - Bhim - Mad (1N) - Pen (1N) - Kan (2N) - Ban (2N) - Pan (1N) - Gwl (1N)</v>
      </c>
      <c r="DC273" t="str">
        <v>(1 N) Ujj - (2 N) Mah - (1 N) Idr - (1 N) Bho - (2 N) Pach - (1 N) Pench</v>
      </c>
    </row>
    <row r="274" spans="2:145" ht="15" customHeight="1">
      <c r="B274" s="35">
        <v>270</v>
      </c>
      <c r="C274" s="36" t="s">
        <v>1916</v>
      </c>
      <c r="D274" s="76">
        <v>46233</v>
      </c>
      <c r="E274" s="37" t="str">
        <f>IF(Table5[[#This Row],[Query Date]]&lt;&gt;"", TEXT(Table5[[#This Row],[Query Date]], "dddd"), "")</f>
        <v>Thursday</v>
      </c>
      <c r="F274" s="37" t="str">
        <f>IF(Table5[[#This Row],[Query Date]]&lt;&gt;"", TEXT(Table5[[#This Row],[Query Date]], "mmmm"), "")</f>
        <v>July</v>
      </c>
      <c r="G274" s="28" t="s">
        <v>65</v>
      </c>
      <c r="H274" s="28" t="s">
        <v>99</v>
      </c>
      <c r="I274" s="28" t="s">
        <v>67</v>
      </c>
      <c r="J274" s="28" t="s">
        <v>68</v>
      </c>
      <c r="K274" s="28" t="s">
        <v>178</v>
      </c>
      <c r="L274" s="25" t="s">
        <v>70</v>
      </c>
      <c r="M274" s="112" t="s">
        <v>1917</v>
      </c>
      <c r="N274" s="25" t="s">
        <v>1918</v>
      </c>
      <c r="O274" s="130" t="s">
        <v>1919</v>
      </c>
      <c r="P274" s="106" t="s">
        <v>1920</v>
      </c>
      <c r="Q274" s="77">
        <v>46288</v>
      </c>
      <c r="R274" s="77" t="str">
        <f>IF(Table5[[#This Row],[Tour Starting Date]]&lt;&gt;"", TEXT(Table5[[#This Row],[Tour Starting Date]], "dddd"), "")</f>
        <v>Wednesday</v>
      </c>
      <c r="S274" s="77">
        <v>46290</v>
      </c>
      <c r="T274" s="25" t="str">
        <f>IF(Table5[[#This Row],[Tour Ending Date]]&lt;&gt;"", TEXT(Table5[[#This Row],[Tour Ending Date]], "dddd"), "")</f>
        <v>Friday</v>
      </c>
      <c r="U274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274" s="37" t="str">
        <f>IF(Table5[[#This Row],[Tour Starting Date]]&lt;&gt;"", TEXT(Table5[[#This Row],[Tour Starting Date]], "mmmm"), "")</f>
        <v>September</v>
      </c>
      <c r="W274" s="80" t="str" cm="1">
        <f t="array" ref="W274">IF(Q274&lt;&gt;"", INDEX(CI:CI, MATCH(1, (Q274&gt;=CG:CG)*(Q274&lt;=CH:CH), 0)), "")</f>
        <v>Regular Dates - Weekday</v>
      </c>
      <c r="X274" s="39">
        <v>5</v>
      </c>
      <c r="Y274" s="74">
        <v>7100</v>
      </c>
      <c r="Z274" s="74">
        <f>IF(OR(Table5[[#This Row],[Per Person Package Cost]]="", Table5[[#This Row],[No. of Pax]]=""), "", Table5[[#This Row],[Per Person Package Cost]] * Table5[[#This Row],[No. of Pax]])</f>
        <v>35500</v>
      </c>
      <c r="AA274" s="52" t="s">
        <v>75</v>
      </c>
      <c r="AB274" s="52" t="s">
        <v>75</v>
      </c>
      <c r="AC274" s="52" t="s">
        <v>76</v>
      </c>
      <c r="AD274" s="52" t="s">
        <v>364</v>
      </c>
      <c r="AE274" s="51" t="str">
        <f t="shared" si="37"/>
        <v>EXIDR03</v>
      </c>
      <c r="AF274" s="51" t="str">
        <f t="shared" si="38"/>
        <v>Temple Fort Odyssey</v>
      </c>
      <c r="AG274" s="74" t="str">
        <f t="shared" si="39"/>
        <v>Quick Getaways</v>
      </c>
      <c r="AH274" s="73" t="str">
        <f t="shared" si="24"/>
        <v>West MP</v>
      </c>
      <c r="AI274" s="52" t="s">
        <v>77</v>
      </c>
      <c r="AJ274" s="56" t="s">
        <v>78</v>
      </c>
      <c r="AK274" s="59" t="s">
        <v>79</v>
      </c>
      <c r="AL274" s="60" t="s">
        <v>80</v>
      </c>
      <c r="AM274" s="54" t="s">
        <v>80</v>
      </c>
      <c r="AN274" s="14">
        <v>46235</v>
      </c>
      <c r="AO274" s="15">
        <v>46244</v>
      </c>
      <c r="AP274" s="91">
        <v>46254</v>
      </c>
      <c r="AQ274" s="87">
        <v>46273</v>
      </c>
      <c r="AR274" s="26"/>
      <c r="AS274" s="65"/>
      <c r="AT274" s="88" t="s">
        <v>138</v>
      </c>
      <c r="AU274" s="67"/>
      <c r="CN274" t="s">
        <v>1835</v>
      </c>
      <c r="DA274" t="str" cm="1">
        <f t="array" ref="DA274:DY274">IF(U274&lt;&gt;"", TRANSPOSE(_xlfn._xlws.FILTER(CZ:CZ, CY:CY=U274, "")), "")</f>
        <v>Gwl (2N) + Mor</v>
      </c>
      <c r="DB274" t="str">
        <v>Ex Idr | Idr - Ujj (1N) - Omk - Mah (1N) - Man - Idr</v>
      </c>
      <c r="DC274" t="str">
        <v>Ujj (1N) - Omk - Idr (1N)</v>
      </c>
      <c r="DD274" t="str">
        <v>Ex Jlr | Jlr - Kan (2N) - Jlr</v>
      </c>
      <c r="DE274" t="str">
        <v>Ex Jlr | Jlr - Ban (2N) - Jlr</v>
      </c>
      <c r="DF274" t="str">
        <v>Ex Bho | Bho (2N) + Bhim + Bhoj + San</v>
      </c>
      <c r="DG274" t="str">
        <v>Ex Idr | Idr - Man (2N) - Idr</v>
      </c>
      <c r="DH274" t="str">
        <v>Ex Jlr | Jlr - Kan (2N) - Jlr</v>
      </c>
      <c r="DI274" t="str">
        <v>Ex Bho | Bho (2N) + Bhim + Bhoj + San + HDCT Bho</v>
      </c>
      <c r="DJ274" t="str">
        <v>Ex Bho | Bho - Bhim - Tawa (1N) - Mad (1N) - Bho</v>
      </c>
      <c r="DK274" t="str">
        <v>Ujj (1N) - Omk - Mah (1N) - Idr</v>
      </c>
      <c r="DL274" t="str">
        <v>Ujj (1N) -  Idr (1N)</v>
      </c>
      <c r="DM274" t="str">
        <v>Ex Idr | Idr (2N) + Ujj + Omk + Mah</v>
      </c>
      <c r="DN274" t="str">
        <v>Idr - Mah - Omk (1N) - Ujj (1N)</v>
      </c>
      <c r="DO274" t="str">
        <v>Idr - Ujj (1N) - Mah - Omk (1N) - Khandwa</v>
      </c>
      <c r="DP274" t="str">
        <v>Ex Idr | Idr (EX Ujj) (1N) - Mah - Omk (1N) - Idr HDCT</v>
      </c>
      <c r="DQ274" t="str">
        <v>Ujj (1N) - Sehor - Bho (1N) HDCT</v>
      </c>
      <c r="DR274" t="str">
        <v>Ex Jlr | Jlr (1N) - Ban (1N)</v>
      </c>
      <c r="DS274" t="str">
        <v>Ex Jlr | Ban (1N)</v>
      </c>
      <c r="DT274" t="str">
        <v>Ex Jlr | Jlr (2 N) Kan</v>
      </c>
      <c r="DU274" t="str">
        <v>Ex Jlr | Jlr - Amr (1 N) - (1 N) Ban</v>
      </c>
      <c r="DV274" t="str">
        <v>Ex Rpr | Rpr - (2N) Kan</v>
      </c>
      <c r="DW274" t="str">
        <v>Hjr (1N) - Mahi (1N) - Sat</v>
      </c>
      <c r="DX274" t="str">
        <v>Ex Bhp | Bhp - Bhim - Pch (2N) - Bhp</v>
      </c>
      <c r="DY274" t="str">
        <v xml:space="preserve">Ex Ujj I 2N Ujj </v>
      </c>
    </row>
    <row r="275" spans="2:145" ht="15" customHeight="1">
      <c r="B275" s="34">
        <v>271</v>
      </c>
      <c r="C275" s="36" t="s">
        <v>1921</v>
      </c>
      <c r="D275" s="76">
        <v>46233</v>
      </c>
      <c r="E275" s="37" t="str">
        <f>IF(Table5[[#This Row],[Query Date]]&lt;&gt;"", TEXT(Table5[[#This Row],[Query Date]], "dddd"), "")</f>
        <v>Thursday</v>
      </c>
      <c r="F275" s="37" t="str">
        <f>IF(Table5[[#This Row],[Query Date]]&lt;&gt;"", TEXT(Table5[[#This Row],[Query Date]], "mmmm"), "")</f>
        <v>July</v>
      </c>
      <c r="G275" s="28" t="s">
        <v>113</v>
      </c>
      <c r="H275" s="28" t="s">
        <v>99</v>
      </c>
      <c r="I275" s="28" t="s">
        <v>67</v>
      </c>
      <c r="J275" s="28" t="s">
        <v>68</v>
      </c>
      <c r="K275" s="28" t="s">
        <v>178</v>
      </c>
      <c r="L275" s="25" t="s">
        <v>160</v>
      </c>
      <c r="M275" s="112" t="s">
        <v>90</v>
      </c>
      <c r="N275" s="25" t="s">
        <v>1922</v>
      </c>
      <c r="O275" s="130" t="s">
        <v>1923</v>
      </c>
      <c r="P275" s="46" t="s">
        <v>1638</v>
      </c>
      <c r="Q275" s="77">
        <v>46381</v>
      </c>
      <c r="R275" s="77" t="str">
        <f>IF(Table5[[#This Row],[Tour Starting Date]]&lt;&gt;"", TEXT(Table5[[#This Row],[Tour Starting Date]], "dddd"), "")</f>
        <v>Friday</v>
      </c>
      <c r="S275" s="77">
        <v>46384</v>
      </c>
      <c r="T275" s="25" t="str">
        <f>IF(Table5[[#This Row],[Tour Ending Date]]&lt;&gt;"", TEXT(Table5[[#This Row],[Tour Ending Date]], "dddd"), "")</f>
        <v>Monday</v>
      </c>
      <c r="U275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275" s="37" t="str">
        <f>IF(Table5[[#This Row],[Tour Starting Date]]&lt;&gt;"", TEXT(Table5[[#This Row],[Tour Starting Date]], "mmmm"), "")</f>
        <v>December</v>
      </c>
      <c r="W275" s="80" t="str" cm="1">
        <f t="array" ref="W275">IF(Q275&lt;&gt;"", INDEX(CI:CI, MATCH(1, (Q275&gt;=CG:CG)*(Q275&lt;=CH:CH), 0)), "")</f>
        <v>Long Weekend - Christmas</v>
      </c>
      <c r="X275" s="39">
        <v>2</v>
      </c>
      <c r="Y275" s="74">
        <v>15600</v>
      </c>
      <c r="Z275" s="74">
        <f>IF(OR(Table5[[#This Row],[Per Person Package Cost]]="", Table5[[#This Row],[No. of Pax]]=""), "", Table5[[#This Row],[Per Person Package Cost]] * Table5[[#This Row],[No. of Pax]])</f>
        <v>31200</v>
      </c>
      <c r="AA275" s="52" t="s">
        <v>75</v>
      </c>
      <c r="AB275" s="52" t="s">
        <v>75</v>
      </c>
      <c r="AC275" s="52" t="s">
        <v>76</v>
      </c>
      <c r="AD275" s="52" t="s">
        <v>106</v>
      </c>
      <c r="AE275" s="51" t="str">
        <f t="shared" si="37"/>
        <v>EXIDR04</v>
      </c>
      <c r="AF275" s="51" t="str">
        <f t="shared" si="38"/>
        <v>Heritage Pilgrimage</v>
      </c>
      <c r="AG275" s="74" t="str">
        <f t="shared" si="39"/>
        <v>Quick Getaways</v>
      </c>
      <c r="AH275" s="73" t="str">
        <f t="shared" si="24"/>
        <v>West MP</v>
      </c>
      <c r="AI275" s="52" t="s">
        <v>77</v>
      </c>
      <c r="AJ275" s="56" t="s">
        <v>115</v>
      </c>
      <c r="AK275" s="59" t="s">
        <v>79</v>
      </c>
      <c r="AL275" s="60" t="s">
        <v>80</v>
      </c>
      <c r="AM275" s="54" t="s">
        <v>80</v>
      </c>
      <c r="AN275" s="14">
        <v>46235</v>
      </c>
      <c r="AO275" s="15"/>
      <c r="AP275" s="91"/>
      <c r="AQ275" s="87"/>
      <c r="AR275" s="26"/>
      <c r="AS275" s="65"/>
      <c r="AT275" s="88" t="s">
        <v>138</v>
      </c>
      <c r="AU275" s="67"/>
      <c r="CN275" t="s">
        <v>1924</v>
      </c>
      <c r="DA275" t="str" cm="1">
        <f t="array" ref="DA275:EO275">IF(U275&lt;&gt;"", TRANSPOSE(_xlfn._xlws.FILTER(CZ:CZ, CY:CY=U275, "")), "")</f>
        <v>Gwl (3N) + Mor + Son + Dat + Orc</v>
      </c>
      <c r="DB275" t="str">
        <v>Ex Gwl | Gwl (1N) - Son - Dat - Orc (1N) - Gwl (1N)</v>
      </c>
      <c r="DC275" t="str">
        <v>Ex Idr | Idr - Ujj (1N) - Omk - Mah (1N) - Man (1N) - Idr</v>
      </c>
      <c r="DD275" t="str">
        <v>Ex Jlr | Jlr - Kan (2N) - Jlr (1N)</v>
      </c>
      <c r="DE275" t="str">
        <v>Ex Jlr | Jlr - Ban (2N) - Jlr (1N)</v>
      </c>
      <c r="DF275" t="str">
        <v>Ex Bho | Bho (1N) + San - Bhoj - Bhim - Pch (2N) - Bho</v>
      </c>
      <c r="DG275" t="str">
        <v>Ex Idr | Idr (1N) - Ujj (1N) - Omk (1N) - Mah - Idr</v>
      </c>
      <c r="DH275" t="str">
        <v>Gwl - Orc (1N) - Ckt (1N) - Myr (1N) - Jlr</v>
      </c>
      <c r="DI275" t="str">
        <v>Gwl - Orc (1N) - Ckt (2N) - Ixd</v>
      </c>
      <c r="DJ275" t="str">
        <v>Ex Idr | Idr - Ujj (1N) - Omk - Mah (1N) - Idr (1N)</v>
      </c>
      <c r="DK275" t="str">
        <v>Ex Jlr | Jlr - Kan (3N) - Jlr</v>
      </c>
      <c r="DL275" t="str">
        <v>Ex Bho | Bho (2N) + Bhim + Bhoj + San + Udaygiri + Vidisha + FDCT Bho</v>
      </c>
      <c r="DM275" t="str">
        <v>Bho (1N) + Bhim + Bhoj - HDCT  Bho + Sanchi - Ujj (2N)</v>
      </c>
      <c r="DN275" t="str">
        <v>Bho (1N) + Bhim + Bhoj - HDCT  Bho + Sanchi - Ujj (2N) - Idr</v>
      </c>
      <c r="DO275" t="str">
        <v>Ex Bho | Bho - Bhoj - Bhim - Mad (1N) - Pch (2N) - Bho</v>
      </c>
      <c r="DP275" t="str">
        <v>Ex Bho | Bho - Bhoj - Bhim - Mad (1N) - Pch (3N) - Bho</v>
      </c>
      <c r="DQ275" t="str">
        <v>Ex Bho | Bho - Bhoj - Bhim - Tawa (1N) - Mad (1N) - Bho (1N)</v>
      </c>
      <c r="DR275" t="str">
        <v>Bho (1N) - Bhim - Bhoj - San - Idr (2N) + Ujj</v>
      </c>
      <c r="DS275" t="str">
        <v>Bho (1N) - Bhoj - Bhim - Pch (2N) - Bho</v>
      </c>
      <c r="DT275" t="str">
        <v>Ujj (1N) - Omk - Mah (1N) - Idr (1N)</v>
      </c>
      <c r="DU275" t="str">
        <v>Ujj (1N) - Omk - Mah (1N) - Man (1N) - Idr</v>
      </c>
      <c r="DV275" t="str">
        <v>Ex Idr | Idr (1N) - Ujj (1N) - Omk - Mah (1N)</v>
      </c>
      <c r="DW275" t="str">
        <v>Ex Idr | Idr - Ujj (1N) - Omk (1N) - Mah (1N) - Idr</v>
      </c>
      <c r="DX275" t="str">
        <v>Khandwa - Omk (1N) - Mah (1N) - Ujj (1N) - Idr</v>
      </c>
      <c r="DY275" t="str">
        <v>Ex Idr | Idr - Ujj (1N) - Omk - Mah (1N) - Man - Idr (1N)</v>
      </c>
      <c r="DZ275" t="str">
        <v xml:space="preserve">Idr - Omk (1N) - Mah - Ujj (1N) San - Bho (1N) </v>
      </c>
      <c r="EA275" t="str">
        <v>Ex Idr | Idr - Man (1N) - Mah - Omk (1N) - Ujj (1N) - Idr</v>
      </c>
      <c r="EB275" t="str">
        <v>Khandwa - Omk (1N) - Mah - Ujj (2N)</v>
      </c>
      <c r="EC275" t="str">
        <v>Ex Jlr | Jlr (1N) - Amr (1N) - Ban (1N) - Jlr</v>
      </c>
      <c r="ED275" t="str">
        <v>Ex Jlr | Jlr - (1 N) Ban - (2 N) Amar</v>
      </c>
      <c r="EE275" t="str">
        <v>Jlr - Kan (1N) - Pch (2N)</v>
      </c>
      <c r="EF275" t="str">
        <v>Pi - Pch (2N)  - Kan (1N)</v>
      </c>
      <c r="EG275" t="str">
        <v>Ex Jlr | Jlr - Amr (1 N) - (1 N) Ban - (1 N) Jlr</v>
      </c>
      <c r="EH275" t="str">
        <v>Ppi - (2 N) Pch - (1 N) Pen</v>
      </c>
      <c r="EI275" t="str">
        <v>Bhp - Pch (2N) - Jlr (1N)</v>
      </c>
      <c r="EJ275" t="str">
        <v xml:space="preserve">Arr Jhn - Hjr (1N) - Orc - Gwl (2N) </v>
      </c>
      <c r="EK275" t="str">
        <v>(1 N) Ujj - (1 N) Mah - (1 N) Idr</v>
      </c>
      <c r="EL275" t="str">
        <v>Ex Bhp | Bhp - Bhoj - Bhim - Pch (3N) - Bhp</v>
      </c>
      <c r="EM275" t="str">
        <v>Ex Bhp | Bhp - Bhoj - Bhim - Pch (2N) - Mad (1N) - Bhp</v>
      </c>
      <c r="EN275" t="str">
        <v xml:space="preserve">Ex Nag - 3N Pch + Sat </v>
      </c>
      <c r="EO275" t="str">
        <v>1N Gwl - Son - Dat - 1N Hjr - 1N Orc - Jhn</v>
      </c>
    </row>
    <row r="276" spans="2:145" ht="15" customHeight="1">
      <c r="B276" s="35">
        <v>272</v>
      </c>
      <c r="C276" s="36" t="s">
        <v>1925</v>
      </c>
      <c r="D276" s="76">
        <v>46234</v>
      </c>
      <c r="E276" s="37" t="str">
        <f>IF(Table5[[#This Row],[Query Date]]&lt;&gt;"", TEXT(Table5[[#This Row],[Query Date]], "dddd"), "")</f>
        <v>Friday</v>
      </c>
      <c r="F276" s="37" t="str">
        <f>IF(Table5[[#This Row],[Query Date]]&lt;&gt;"", TEXT(Table5[[#This Row],[Query Date]], "mmmm"), "")</f>
        <v>July</v>
      </c>
      <c r="G276" s="28" t="s">
        <v>113</v>
      </c>
      <c r="H276" s="28" t="s">
        <v>99</v>
      </c>
      <c r="I276" s="28" t="s">
        <v>67</v>
      </c>
      <c r="J276" s="28" t="s">
        <v>68</v>
      </c>
      <c r="K276" s="28" t="s">
        <v>178</v>
      </c>
      <c r="L276" s="25" t="s">
        <v>160</v>
      </c>
      <c r="M276" s="112" t="s">
        <v>90</v>
      </c>
      <c r="N276" s="25" t="s">
        <v>418</v>
      </c>
      <c r="O276" s="130" t="s">
        <v>1926</v>
      </c>
      <c r="P276" s="46" t="s">
        <v>1638</v>
      </c>
      <c r="Q276" s="77">
        <v>46254</v>
      </c>
      <c r="R276" s="77" t="str">
        <f>IF(Table5[[#This Row],[Tour Starting Date]]&lt;&gt;"", TEXT(Table5[[#This Row],[Tour Starting Date]], "dddd"), "")</f>
        <v>Thursday</v>
      </c>
      <c r="S276" s="77">
        <v>46256</v>
      </c>
      <c r="T276" s="25" t="str">
        <f>IF(Table5[[#This Row],[Tour Ending Date]]&lt;&gt;"", TEXT(Table5[[#This Row],[Tour Ending Date]], "dddd"), "")</f>
        <v>Saturday</v>
      </c>
      <c r="U276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2 Nights &amp; 3 Days</v>
      </c>
      <c r="V276" s="37" t="str">
        <f>IF(Table5[[#This Row],[Tour Starting Date]]&lt;&gt;"", TEXT(Table5[[#This Row],[Tour Starting Date]], "mmmm"), "")</f>
        <v>August</v>
      </c>
      <c r="W276" s="80" t="str" cm="1">
        <f t="array" ref="W276">IF(Q276&lt;&gt;"", INDEX(CI:CI, MATCH(1, (Q276&gt;=CG:CG)*(Q276&lt;=CH:CH), 0)), "")</f>
        <v>Regular Dates - Weekday</v>
      </c>
      <c r="X276" s="39">
        <v>2</v>
      </c>
      <c r="Y276" s="74">
        <v>10300</v>
      </c>
      <c r="Z276" s="74">
        <f>IF(OR(Table5[[#This Row],[Per Person Package Cost]]="", Table5[[#This Row],[No. of Pax]]=""), "", Table5[[#This Row],[Per Person Package Cost]] * Table5[[#This Row],[No. of Pax]])</f>
        <v>20600</v>
      </c>
      <c r="AA276" s="52" t="s">
        <v>75</v>
      </c>
      <c r="AB276" s="52" t="s">
        <v>75</v>
      </c>
      <c r="AC276" s="52" t="s">
        <v>76</v>
      </c>
      <c r="AD276" s="52" t="s">
        <v>335</v>
      </c>
      <c r="AE276" s="51" t="str">
        <f t="shared" si="37"/>
        <v>EXIDR01</v>
      </c>
      <c r="AF276" s="51" t="str">
        <f t="shared" si="38"/>
        <v>Mahakaal Darshan</v>
      </c>
      <c r="AG276" s="74" t="str">
        <f t="shared" si="39"/>
        <v>Quick Getaways</v>
      </c>
      <c r="AH276" s="73" t="str">
        <f t="shared" ref="AH276:AH339" si="43">IF(AD276&lt;&gt;"", INDEX(CV:CV, MATCH(AD276, CZ:CZ, 0)), "")</f>
        <v>West MP</v>
      </c>
      <c r="AI276" s="52" t="s">
        <v>159</v>
      </c>
      <c r="AJ276" s="56" t="s">
        <v>115</v>
      </c>
      <c r="AK276" s="59" t="s">
        <v>79</v>
      </c>
      <c r="AL276" s="60" t="s">
        <v>80</v>
      </c>
      <c r="AM276" s="54" t="s">
        <v>80</v>
      </c>
      <c r="AN276" s="14"/>
      <c r="AO276" s="15"/>
      <c r="AP276" s="91"/>
      <c r="AQ276" s="87"/>
      <c r="AR276" s="26"/>
      <c r="AS276" s="65"/>
      <c r="AT276" s="88" t="s">
        <v>85</v>
      </c>
      <c r="AU276" s="67"/>
      <c r="CN276" t="s">
        <v>1927</v>
      </c>
      <c r="DA276" t="str" cm="1">
        <f t="array" ref="DA276:DY276">IF(U276&lt;&gt;"", TRANSPOSE(_xlfn._xlws.FILTER(CZ:CZ, CY:CY=U276, "")), "")</f>
        <v>Gwl (2N) + Mor</v>
      </c>
      <c r="DB276" t="str">
        <v>Ex Idr | Idr - Ujj (1N) - Omk - Mah (1N) - Man - Idr</v>
      </c>
      <c r="DC276" t="str">
        <v>Ujj (1N) - Omk - Idr (1N)</v>
      </c>
      <c r="DD276" t="str">
        <v>Ex Jlr | Jlr - Kan (2N) - Jlr</v>
      </c>
      <c r="DE276" t="str">
        <v>Ex Jlr | Jlr - Ban (2N) - Jlr</v>
      </c>
      <c r="DF276" t="str">
        <v>Ex Bho | Bho (2N) + Bhim + Bhoj + San</v>
      </c>
      <c r="DG276" t="str">
        <v>Ex Idr | Idr - Man (2N) - Idr</v>
      </c>
      <c r="DH276" t="str">
        <v>Ex Jlr | Jlr - Kan (2N) - Jlr</v>
      </c>
      <c r="DI276" t="str">
        <v>Ex Bho | Bho (2N) + Bhim + Bhoj + San + HDCT Bho</v>
      </c>
      <c r="DJ276" t="str">
        <v>Ex Bho | Bho - Bhim - Tawa (1N) - Mad (1N) - Bho</v>
      </c>
      <c r="DK276" t="str">
        <v>Ujj (1N) - Omk - Mah (1N) - Idr</v>
      </c>
      <c r="DL276" t="str">
        <v>Ujj (1N) -  Idr (1N)</v>
      </c>
      <c r="DM276" t="str">
        <v>Ex Idr | Idr (2N) + Ujj + Omk + Mah</v>
      </c>
      <c r="DN276" t="str">
        <v>Idr - Mah - Omk (1N) - Ujj (1N)</v>
      </c>
      <c r="DO276" t="str">
        <v>Idr - Ujj (1N) - Mah - Omk (1N) - Khandwa</v>
      </c>
      <c r="DP276" t="str">
        <v>Ex Idr | Idr (EX Ujj) (1N) - Mah - Omk (1N) - Idr HDCT</v>
      </c>
      <c r="DQ276" t="str">
        <v>Ujj (1N) - Sehor - Bho (1N) HDCT</v>
      </c>
      <c r="DR276" t="str">
        <v>Ex Jlr | Jlr (1N) - Ban (1N)</v>
      </c>
      <c r="DS276" t="str">
        <v>Ex Jlr | Ban (1N)</v>
      </c>
      <c r="DT276" t="str">
        <v>Ex Jlr | Jlr (2 N) Kan</v>
      </c>
      <c r="DU276" t="str">
        <v>Ex Jlr | Jlr - Amr (1 N) - (1 N) Ban</v>
      </c>
      <c r="DV276" t="str">
        <v>Ex Rpr | Rpr - (2N) Kan</v>
      </c>
      <c r="DW276" t="str">
        <v>Hjr (1N) - Mahi (1N) - Sat</v>
      </c>
      <c r="DX276" t="str">
        <v>Ex Bhp | Bhp - Bhim - Pch (2N) - Bhp</v>
      </c>
      <c r="DY276" t="str">
        <v xml:space="preserve">Ex Ujj I 2N Ujj </v>
      </c>
    </row>
    <row r="277" spans="2:145" ht="15" customHeight="1">
      <c r="B277" s="34">
        <v>273</v>
      </c>
      <c r="C277" s="36" t="s">
        <v>1928</v>
      </c>
      <c r="D277" s="76">
        <v>46233</v>
      </c>
      <c r="E277" s="37" t="str">
        <f>IF(Table5[[#This Row],[Query Date]]&lt;&gt;"", TEXT(Table5[[#This Row],[Query Date]], "dddd"), "")</f>
        <v>Thursday</v>
      </c>
      <c r="F277" s="37" t="str">
        <f>IF(Table5[[#This Row],[Query Date]]&lt;&gt;"", TEXT(Table5[[#This Row],[Query Date]], "mmmm"), "")</f>
        <v>July</v>
      </c>
      <c r="G277" s="28" t="s">
        <v>65</v>
      </c>
      <c r="H277" s="28" t="s">
        <v>120</v>
      </c>
      <c r="I277" s="28" t="s">
        <v>67</v>
      </c>
      <c r="J277" s="28" t="s">
        <v>68</v>
      </c>
      <c r="K277" s="28" t="s">
        <v>488</v>
      </c>
      <c r="L277" s="25" t="s">
        <v>70</v>
      </c>
      <c r="M277" s="112" t="s">
        <v>664</v>
      </c>
      <c r="N277" s="25" t="s">
        <v>1929</v>
      </c>
      <c r="O277" s="130" t="s">
        <v>1930</v>
      </c>
      <c r="P277" s="106" t="s">
        <v>1931</v>
      </c>
      <c r="Q277" s="77">
        <v>46317</v>
      </c>
      <c r="R277" s="77" t="str">
        <f>IF(Table5[[#This Row],[Tour Starting Date]]&lt;&gt;"", TEXT(Table5[[#This Row],[Tour Starting Date]], "dddd"), "")</f>
        <v>Thursday</v>
      </c>
      <c r="S277" s="77">
        <v>46324</v>
      </c>
      <c r="T277" s="25" t="str">
        <f>IF(Table5[[#This Row],[Tour Ending Date]]&lt;&gt;"", TEXT(Table5[[#This Row],[Tour Ending Date]], "dddd"), "")</f>
        <v>Thursday</v>
      </c>
      <c r="U277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7 Nights &amp; 8 Days</v>
      </c>
      <c r="V277" s="37" t="str">
        <f>IF(Table5[[#This Row],[Tour Starting Date]]&lt;&gt;"", TEXT(Table5[[#This Row],[Tour Starting Date]], "mmmm"), "")</f>
        <v>October</v>
      </c>
      <c r="W277" s="80" t="str" cm="1">
        <f t="array" ref="W277">IF(Q277&lt;&gt;"", INDEX(CI:CI, MATCH(1, (Q277&gt;=CG:CG)*(Q277&lt;=CH:CH), 0)), "")</f>
        <v>Regular Dates - Weekday</v>
      </c>
      <c r="X277" s="39">
        <v>3</v>
      </c>
      <c r="Y277" s="74">
        <v>23200</v>
      </c>
      <c r="Z277" s="74">
        <f>IF(OR(Table5[[#This Row],[Per Person Package Cost]]="", Table5[[#This Row],[No. of Pax]]=""), "", Table5[[#This Row],[Per Person Package Cost]] * Table5[[#This Row],[No. of Pax]])</f>
        <v>69600</v>
      </c>
      <c r="AA277" s="52" t="s">
        <v>133</v>
      </c>
      <c r="AB277" s="52" t="s">
        <v>133</v>
      </c>
      <c r="AC277" s="52" t="s">
        <v>76</v>
      </c>
      <c r="AD277" s="52" t="s">
        <v>486</v>
      </c>
      <c r="AE277" s="51" t="str">
        <f t="shared" si="37"/>
        <v>EXJBP03</v>
      </c>
      <c r="AF277" s="51" t="str">
        <f t="shared" si="38"/>
        <v>Nature's Tapestry: Wildlife, Nature and Waterfalls</v>
      </c>
      <c r="AG277" s="74" t="str">
        <f t="shared" si="39"/>
        <v>Quick Getaways</v>
      </c>
      <c r="AH277" s="73" t="str">
        <f t="shared" si="43"/>
        <v>East MP</v>
      </c>
      <c r="AI277" s="52" t="s">
        <v>107</v>
      </c>
      <c r="AJ277" s="56" t="s">
        <v>78</v>
      </c>
      <c r="AK277" s="59" t="s">
        <v>79</v>
      </c>
      <c r="AL277" s="60" t="s">
        <v>80</v>
      </c>
      <c r="AM277" s="54" t="s">
        <v>80</v>
      </c>
      <c r="AN277" s="14">
        <v>46254</v>
      </c>
      <c r="AO277" s="15">
        <v>46265</v>
      </c>
      <c r="AP277" s="91"/>
      <c r="AQ277" s="87"/>
      <c r="AR277" s="26"/>
      <c r="AS277" s="65"/>
      <c r="AT277" s="88" t="s">
        <v>85</v>
      </c>
      <c r="AU277" s="67"/>
      <c r="CN277" t="s">
        <v>1932</v>
      </c>
      <c r="DA277" t="str" cm="1">
        <f t="array" ref="DA277:DJ277">IF(U277&lt;&gt;"", TRANSPOSE(_xlfn._xlws.FILTER(CZ:CZ, CY:CY=U277, "")), "")</f>
        <v>Ex Idr | Idr (1N) - Ujj (1N) - Omk - Mah (1N) - Man (2N) - Bhp (2N) + Bhim + Bhoj + Sanchi - Idr</v>
      </c>
      <c r="DB277" t="str">
        <v>Bho (1N) + San + Udaygiri - Bhoj - Bhim - Tawa (1N) - Mad (1N) - Pch (2N) - Kan(1N) - Jlr (1N)</v>
      </c>
      <c r="DC277" t="str">
        <v>Bho (1N) + San + Udaygiri - Bhoj - Bhim - Pch (2N) - Kan(1N) - Amk (2N) - Jlr (1N)</v>
      </c>
      <c r="DD277" t="str">
        <v>Bho (2N) + San + Bhoj + Bhim - Ujj (1N) - Omk (1N) - Mah (1N) - Man (1N) - Idr (1N)</v>
      </c>
      <c r="DE277" t="str">
        <v>Gwl (2N) + Mor - Son - Dat - Orc (1N) - Hjr (2N) - San - Bho (2N) + Bhoj + Bhim</v>
      </c>
      <c r="DF277" t="str">
        <v>Idr - Man (2N) - Bho (2N) + San - Bhoj - Bhim - Pch (2N) - Tawa (1N) - Bho</v>
      </c>
      <c r="DG277" t="str">
        <v>Jlr (1N) - Amk (1N) - Myr (1N) - Ckt (1N) - Orc (1N) - Dat - Son - Gwl (2N) + Mor + Shanichara</v>
      </c>
      <c r="DH277" t="str">
        <v>Gwl (2N) + Mor + Sanchichara - Dat (Pitambara Peeth) - Orc (1N) - Ckt (2N) - Amk (1N) - Jlr (1N)</v>
      </c>
      <c r="DI277" t="str">
        <v>Jlr - (1 N) Kan - (2 N) Pch - Bhim - Bhoj - (1 N) Bho - (1 N) Ujj - (1 N) Mah - Man -  (1 N) Idr</v>
      </c>
      <c r="DJ277" t="str">
        <v>Ex Nag - 2N Tado - 2N Pen - 3N Nag</v>
      </c>
    </row>
    <row r="278" spans="2:145" ht="15" customHeight="1">
      <c r="B278" s="35">
        <v>274</v>
      </c>
      <c r="C278" s="36" t="s">
        <v>1933</v>
      </c>
      <c r="D278" s="76">
        <v>46233</v>
      </c>
      <c r="E278" s="37" t="str">
        <f>IF(Table5[[#This Row],[Query Date]]&lt;&gt;"", TEXT(Table5[[#This Row],[Query Date]], "dddd"), "")</f>
        <v>Thursday</v>
      </c>
      <c r="F278" s="37" t="str">
        <f>IF(Table5[[#This Row],[Query Date]]&lt;&gt;"", TEXT(Table5[[#This Row],[Query Date]], "mmmm"), "")</f>
        <v>July</v>
      </c>
      <c r="G278" s="28" t="s">
        <v>65</v>
      </c>
      <c r="H278" s="28" t="s">
        <v>99</v>
      </c>
      <c r="I278" s="28" t="s">
        <v>67</v>
      </c>
      <c r="J278" s="28" t="s">
        <v>68</v>
      </c>
      <c r="K278" s="28" t="s">
        <v>178</v>
      </c>
      <c r="L278" s="25" t="s">
        <v>70</v>
      </c>
      <c r="M278" s="112" t="s">
        <v>417</v>
      </c>
      <c r="N278" s="25" t="s">
        <v>886</v>
      </c>
      <c r="O278" s="130" t="s">
        <v>887</v>
      </c>
      <c r="P278" s="46" t="s">
        <v>888</v>
      </c>
      <c r="Q278" s="77">
        <v>46244</v>
      </c>
      <c r="R278" s="77" t="str">
        <f>IF(Table5[[#This Row],[Tour Starting Date]]&lt;&gt;"", TEXT(Table5[[#This Row],[Tour Starting Date]], "dddd"), "")</f>
        <v>Monday</v>
      </c>
      <c r="S278" s="77">
        <v>46247</v>
      </c>
      <c r="T278" s="25" t="str">
        <f>IF(Table5[[#This Row],[Tour Ending Date]]&lt;&gt;"", TEXT(Table5[[#This Row],[Tour Ending Date]], "dddd"), "")</f>
        <v>Thursday</v>
      </c>
      <c r="U278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278" s="37" t="str">
        <f>IF(Table5[[#This Row],[Tour Starting Date]]&lt;&gt;"", TEXT(Table5[[#This Row],[Tour Starting Date]], "mmmm"), "")</f>
        <v>August</v>
      </c>
      <c r="W278" s="80" t="str" cm="1">
        <f t="array" ref="W278">IF(Q278&lt;&gt;"", INDEX(CI:CI, MATCH(1, (Q278&gt;=CG:CG)*(Q278&lt;=CH:CH), 0)), "")</f>
        <v>Regular Dates - Weekday</v>
      </c>
      <c r="X278" s="39">
        <v>4</v>
      </c>
      <c r="Y278" s="74">
        <v>15700</v>
      </c>
      <c r="Z278" s="74">
        <f>IF(OR(Table5[[#This Row],[Per Person Package Cost]]="", Table5[[#This Row],[No. of Pax]]=""), "", Table5[[#This Row],[Per Person Package Cost]] * Table5[[#This Row],[No. of Pax]])</f>
        <v>62800</v>
      </c>
      <c r="AA278" s="52" t="s">
        <v>75</v>
      </c>
      <c r="AB278" s="52" t="s">
        <v>75</v>
      </c>
      <c r="AC278" s="52" t="s">
        <v>76</v>
      </c>
      <c r="AD278" s="52" t="s">
        <v>106</v>
      </c>
      <c r="AE278" s="51" t="str">
        <f t="shared" si="37"/>
        <v>EXIDR04</v>
      </c>
      <c r="AF278" s="51" t="str">
        <f t="shared" si="38"/>
        <v>Heritage Pilgrimage</v>
      </c>
      <c r="AG278" s="74" t="str">
        <f t="shared" si="39"/>
        <v>Quick Getaways</v>
      </c>
      <c r="AH278" s="73" t="str">
        <f t="shared" si="43"/>
        <v>West MP</v>
      </c>
      <c r="AI278" s="52" t="s">
        <v>107</v>
      </c>
      <c r="AJ278" s="56" t="s">
        <v>78</v>
      </c>
      <c r="AK278" s="59" t="s">
        <v>79</v>
      </c>
      <c r="AL278" s="60" t="s">
        <v>80</v>
      </c>
      <c r="AM278" s="54" t="s">
        <v>80</v>
      </c>
      <c r="AN278" s="14">
        <v>46236</v>
      </c>
      <c r="AO278" s="15"/>
      <c r="AP278" s="91"/>
      <c r="AQ278" s="87"/>
      <c r="AR278" s="26"/>
      <c r="AS278" s="65"/>
      <c r="AT278" s="88" t="s">
        <v>81</v>
      </c>
      <c r="AU278" s="67" t="s">
        <v>82</v>
      </c>
      <c r="CN278" t="s">
        <v>1934</v>
      </c>
      <c r="DA278" t="str" cm="1">
        <f t="array" ref="DA278:EO278">IF(U278&lt;&gt;"", TRANSPOSE(_xlfn._xlws.FILTER(CZ:CZ, CY:CY=U278, "")), "")</f>
        <v>Gwl (3N) + Mor + Son + Dat + Orc</v>
      </c>
      <c r="DB278" t="str">
        <v>Ex Gwl | Gwl (1N) - Son - Dat - Orc (1N) - Gwl (1N)</v>
      </c>
      <c r="DC278" t="str">
        <v>Ex Idr | Idr - Ujj (1N) - Omk - Mah (1N) - Man (1N) - Idr</v>
      </c>
      <c r="DD278" t="str">
        <v>Ex Jlr | Jlr - Kan (2N) - Jlr (1N)</v>
      </c>
      <c r="DE278" t="str">
        <v>Ex Jlr | Jlr - Ban (2N) - Jlr (1N)</v>
      </c>
      <c r="DF278" t="str">
        <v>Ex Bho | Bho (1N) + San - Bhoj - Bhim - Pch (2N) - Bho</v>
      </c>
      <c r="DG278" t="str">
        <v>Ex Idr | Idr (1N) - Ujj (1N) - Omk (1N) - Mah - Idr</v>
      </c>
      <c r="DH278" t="str">
        <v>Gwl - Orc (1N) - Ckt (1N) - Myr (1N) - Jlr</v>
      </c>
      <c r="DI278" t="str">
        <v>Gwl - Orc (1N) - Ckt (2N) - Ixd</v>
      </c>
      <c r="DJ278" t="str">
        <v>Ex Idr | Idr - Ujj (1N) - Omk - Mah (1N) - Idr (1N)</v>
      </c>
      <c r="DK278" t="str">
        <v>Ex Jlr | Jlr - Kan (3N) - Jlr</v>
      </c>
      <c r="DL278" t="str">
        <v>Ex Bho | Bho (2N) + Bhim + Bhoj + San + Udaygiri + Vidisha + FDCT Bho</v>
      </c>
      <c r="DM278" t="str">
        <v>Bho (1N) + Bhim + Bhoj - HDCT  Bho + Sanchi - Ujj (2N)</v>
      </c>
      <c r="DN278" t="str">
        <v>Bho (1N) + Bhim + Bhoj - HDCT  Bho + Sanchi - Ujj (2N) - Idr</v>
      </c>
      <c r="DO278" t="str">
        <v>Ex Bho | Bho - Bhoj - Bhim - Mad (1N) - Pch (2N) - Bho</v>
      </c>
      <c r="DP278" t="str">
        <v>Ex Bho | Bho - Bhoj - Bhim - Mad (1N) - Pch (3N) - Bho</v>
      </c>
      <c r="DQ278" t="str">
        <v>Ex Bho | Bho - Bhoj - Bhim - Tawa (1N) - Mad (1N) - Bho (1N)</v>
      </c>
      <c r="DR278" t="str">
        <v>Bho (1N) - Bhim - Bhoj - San - Idr (2N) + Ujj</v>
      </c>
      <c r="DS278" t="str">
        <v>Bho (1N) - Bhoj - Bhim - Pch (2N) - Bho</v>
      </c>
      <c r="DT278" t="str">
        <v>Ujj (1N) - Omk - Mah (1N) - Idr (1N)</v>
      </c>
      <c r="DU278" t="str">
        <v>Ujj (1N) - Omk - Mah (1N) - Man (1N) - Idr</v>
      </c>
      <c r="DV278" t="str">
        <v>Ex Idr | Idr (1N) - Ujj (1N) - Omk - Mah (1N)</v>
      </c>
      <c r="DW278" t="str">
        <v>Ex Idr | Idr - Ujj (1N) - Omk (1N) - Mah (1N) - Idr</v>
      </c>
      <c r="DX278" t="str">
        <v>Khandwa - Omk (1N) - Mah (1N) - Ujj (1N) - Idr</v>
      </c>
      <c r="DY278" t="str">
        <v>Ex Idr | Idr - Ujj (1N) - Omk - Mah (1N) - Man - Idr (1N)</v>
      </c>
      <c r="DZ278" t="str">
        <v xml:space="preserve">Idr - Omk (1N) - Mah - Ujj (1N) San - Bho (1N) </v>
      </c>
      <c r="EA278" t="str">
        <v>Ex Idr | Idr - Man (1N) - Mah - Omk (1N) - Ujj (1N) - Idr</v>
      </c>
      <c r="EB278" t="str">
        <v>Khandwa - Omk (1N) - Mah - Ujj (2N)</v>
      </c>
      <c r="EC278" t="str">
        <v>Ex Jlr | Jlr (1N) - Amr (1N) - Ban (1N) - Jlr</v>
      </c>
      <c r="ED278" t="str">
        <v>Ex Jlr | Jlr - (1 N) Ban - (2 N) Amar</v>
      </c>
      <c r="EE278" t="str">
        <v>Jlr - Kan (1N) - Pch (2N)</v>
      </c>
      <c r="EF278" t="str">
        <v>Pi - Pch (2N)  - Kan (1N)</v>
      </c>
      <c r="EG278" t="str">
        <v>Ex Jlr | Jlr - Amr (1 N) - (1 N) Ban - (1 N) Jlr</v>
      </c>
      <c r="EH278" t="str">
        <v>Ppi - (2 N) Pch - (1 N) Pen</v>
      </c>
      <c r="EI278" t="str">
        <v>Bhp - Pch (2N) - Jlr (1N)</v>
      </c>
      <c r="EJ278" t="str">
        <v xml:space="preserve">Arr Jhn - Hjr (1N) - Orc - Gwl (2N) </v>
      </c>
      <c r="EK278" t="str">
        <v>(1 N) Ujj - (1 N) Mah - (1 N) Idr</v>
      </c>
      <c r="EL278" t="str">
        <v>Ex Bhp | Bhp - Bhoj - Bhim - Pch (3N) - Bhp</v>
      </c>
      <c r="EM278" t="str">
        <v>Ex Bhp | Bhp - Bhoj - Bhim - Pch (2N) - Mad (1N) - Bhp</v>
      </c>
      <c r="EN278" t="str">
        <v xml:space="preserve">Ex Nag - 3N Pch + Sat </v>
      </c>
      <c r="EO278" t="str">
        <v>1N Gwl - Son - Dat - 1N Hjr - 1N Orc - Jhn</v>
      </c>
    </row>
    <row r="279" spans="2:145" ht="15" customHeight="1">
      <c r="B279" s="34">
        <v>275</v>
      </c>
      <c r="C279" s="36" t="s">
        <v>1935</v>
      </c>
      <c r="D279" s="76">
        <v>46233</v>
      </c>
      <c r="E279" s="37" t="str">
        <f>IF(Table5[[#This Row],[Query Date]]&lt;&gt;"", TEXT(Table5[[#This Row],[Query Date]], "dddd"), "")</f>
        <v>Thursday</v>
      </c>
      <c r="F279" s="37" t="str">
        <f>IF(Table5[[#This Row],[Query Date]]&lt;&gt;"", TEXT(Table5[[#This Row],[Query Date]], "mmmm"), "")</f>
        <v>July</v>
      </c>
      <c r="G279" s="28" t="s">
        <v>65</v>
      </c>
      <c r="H279" s="28" t="s">
        <v>99</v>
      </c>
      <c r="I279" s="28" t="s">
        <v>67</v>
      </c>
      <c r="J279" s="28" t="s">
        <v>68</v>
      </c>
      <c r="K279" s="28" t="s">
        <v>178</v>
      </c>
      <c r="L279" s="25" t="s">
        <v>70</v>
      </c>
      <c r="M279" s="112" t="s">
        <v>417</v>
      </c>
      <c r="N279" s="25" t="s">
        <v>886</v>
      </c>
      <c r="O279" s="130" t="s">
        <v>887</v>
      </c>
      <c r="P279" s="46" t="s">
        <v>888</v>
      </c>
      <c r="Q279" s="77">
        <v>46240</v>
      </c>
      <c r="R279" s="77" t="str">
        <f>IF(Table5[[#This Row],[Tour Starting Date]]&lt;&gt;"", TEXT(Table5[[#This Row],[Tour Starting Date]], "dddd"), "")</f>
        <v>Thursday</v>
      </c>
      <c r="S279" s="77">
        <v>46244</v>
      </c>
      <c r="T279" s="25" t="str">
        <f>IF(Table5[[#This Row],[Tour Ending Date]]&lt;&gt;"", TEXT(Table5[[#This Row],[Tour Ending Date]], "dddd"), "")</f>
        <v>Monday</v>
      </c>
      <c r="U279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4 Nights &amp; 5 Days</v>
      </c>
      <c r="V279" s="37" t="str">
        <f>IF(Table5[[#This Row],[Tour Starting Date]]&lt;&gt;"", TEXT(Table5[[#This Row],[Tour Starting Date]], "mmmm"), "")</f>
        <v>August</v>
      </c>
      <c r="W279" s="80" t="str" cm="1">
        <f t="array" ref="W279">IF(Q279&lt;&gt;"", INDEX(CI:CI, MATCH(1, (Q279&gt;=CG:CG)*(Q279&lt;=CH:CH), 0)), "")</f>
        <v>Regular Dates - Weekday</v>
      </c>
      <c r="X279" s="39">
        <v>5</v>
      </c>
      <c r="Y279" s="74">
        <v>16000</v>
      </c>
      <c r="Z279" s="74">
        <f>IF(OR(Table5[[#This Row],[Per Person Package Cost]]="", Table5[[#This Row],[No. of Pax]]=""), "", Table5[[#This Row],[Per Person Package Cost]] * Table5[[#This Row],[No. of Pax]])</f>
        <v>80000</v>
      </c>
      <c r="AA279" s="52" t="s">
        <v>1538</v>
      </c>
      <c r="AB279" s="52" t="s">
        <v>1613</v>
      </c>
      <c r="AC279" s="52" t="s">
        <v>76</v>
      </c>
      <c r="AD279" s="52"/>
      <c r="AE279" s="51" t="str">
        <f t="shared" si="37"/>
        <v/>
      </c>
      <c r="AF279" s="51" t="str">
        <f t="shared" si="38"/>
        <v/>
      </c>
      <c r="AG279" s="74" t="str">
        <f t="shared" si="39"/>
        <v/>
      </c>
      <c r="AH279" s="73" t="str">
        <f t="shared" si="43"/>
        <v/>
      </c>
      <c r="AI279" s="52" t="s">
        <v>107</v>
      </c>
      <c r="AJ279" s="56" t="s">
        <v>78</v>
      </c>
      <c r="AK279" s="59" t="s">
        <v>79</v>
      </c>
      <c r="AL279" s="60" t="s">
        <v>80</v>
      </c>
      <c r="AM279" s="54" t="s">
        <v>80</v>
      </c>
      <c r="AN279" s="14">
        <v>46236</v>
      </c>
      <c r="AO279" s="15"/>
      <c r="AP279" s="91"/>
      <c r="AQ279" s="87"/>
      <c r="AR279" s="26"/>
      <c r="AS279" s="65"/>
      <c r="AT279" s="88" t="s">
        <v>81</v>
      </c>
      <c r="AU279" s="67"/>
      <c r="CN279" t="s">
        <v>1390</v>
      </c>
      <c r="DA279" t="str" cm="1">
        <f t="array" ref="DA279:EJ279">IF(U279&lt;&gt;"", TRANSPOSE(_xlfn._xlws.FILTER(CZ:CZ, CY:CY=U279, "")), "")</f>
        <v>Ex Gwl | Gwl (2N) + Mor - Son - Dat - Orc (1N) - Hjr (1N) - Gwl</v>
      </c>
      <c r="DB279" t="str">
        <v>Ex Idr | Idr - Ujj (1N) - Omk - Mah (1N) - Man (1N) - Idr (1N)</v>
      </c>
      <c r="DC279" t="str">
        <v>Ex Idr | Idr - Ujj (1N) - Omk (1N) - Mah (1N) - Man (1N) - Idr</v>
      </c>
      <c r="DD279" t="str">
        <v>Ex Jlr | Jlr - Kan (2N) - Amk (1N) - Jlr (1N)</v>
      </c>
      <c r="DE279" t="str">
        <v>Ex Jlr | Jlr - Ban (2N) - Amk (1N) - Jlr (1N)</v>
      </c>
      <c r="DF279" t="str">
        <v>Ex Jlr | Jlr (1N) - Hjr (1N) - Ban (2N) - Jlr</v>
      </c>
      <c r="DG279" t="str">
        <v>Ex Jlr | Jlr (1N) - Kan (1N) - Ban (2N) - Jlr</v>
      </c>
      <c r="DH279" t="str">
        <v>Ex Bho | Bho (1N) + San + Bhoj + Bhim - Tawa - Mad (1N) - Pch (2N) - Bho</v>
      </c>
      <c r="DI279" t="str">
        <v>Ex Idr | Idr - Ujj (1N) - Omk - Mah (1N) - Man (1N) - Idr (1N)</v>
      </c>
      <c r="DJ279" t="str">
        <v>Ex Bho | Bho (1N) - Bhoj - Bhim - Pch (3N) - Bho</v>
      </c>
      <c r="DK279" t="str">
        <v>Gwl (1N) - Dat (Pitambara Peeth) - Orc (1N) - Ckt (2N) - Ixd</v>
      </c>
      <c r="DL279" t="str">
        <v>Ex Jlr | Jlr - Ban (2N) - Kan (2N) - Jlr</v>
      </c>
      <c r="DM279" t="str">
        <v>Jlr - Ban (1N) - Kan (1N) - Pen (2N) - Nag</v>
      </c>
      <c r="DN279" t="str">
        <v>Ex Bho | Bho (1N) - Bhoj - Bhim - Pch (3N) - Bho</v>
      </c>
      <c r="DO279" t="str">
        <v>Ex Bho | Bho (2N) + Sanchi + Bhoj + Bhim - Tawa - Mad (1N) - Bho (1N)</v>
      </c>
      <c r="DP279" t="str">
        <v>Ex Bho | Bho - Bhoj - Bhim - Tawa (1N) - Mad (1N) - Pch (2N) - Bho</v>
      </c>
      <c r="DQ279" t="str">
        <v>Bho - Bhoj - Bhim - Pch (2N) - Kan (1N) - Jlr (1N)</v>
      </c>
      <c r="DR279" t="str">
        <v>Bho - Bhoj - Bhim - Pch (2N) - Kan (1N) - Amk (1N) - Jlr</v>
      </c>
      <c r="DS279" t="str">
        <v xml:space="preserve">Bho (1N) + Bhim + Bhoj + San - Ujj (1N) - Omk - Mah (1N) - Idr (1N) </v>
      </c>
      <c r="DT279" t="str">
        <v>Ex Gwl | Gwl - Hjr (1N) - Orc (1N) - Dat - Son - Gwl (2N)</v>
      </c>
      <c r="DU279" t="str">
        <v>Ex Gwl | Gwl - Orc (1N) - Hjr (1N) - Chn (1N) - Shiv (1N) - Gwl</v>
      </c>
      <c r="DV279" t="str">
        <v>Gwl - Hjr (1N) - Panna (1N) - Chit (1N) - Mahi (1N) - Sat</v>
      </c>
      <c r="DW279" t="str">
        <v>Jlr - (2 N) Kan - (2 N) Pch - Bhim - Bhoj - Bhp</v>
      </c>
      <c r="DX279" t="str">
        <v>Jlr - (2 N) Kan - (2 N) Pen - Rpr</v>
      </c>
      <c r="DY279" t="str">
        <v>Gwl (2N) (Ex Mor) - Dat -Orc (1N) - Hjr (1N) - Jhn</v>
      </c>
      <c r="DZ279" t="str">
        <v>Ex Gwl | Gwl (1N) - Son - Dat - Orc (1N) - Hjr (2N) (Ex Panna) - Gwl</v>
      </c>
      <c r="EA279" t="str">
        <v>Hjr (1N) - Orc (1N) - Dat - son - Gwl (2N)(Ex Mor)</v>
      </c>
      <c r="EB279" t="str">
        <v>(2 N) Gwl - (1 N) Orch - (1 N) Hjr</v>
      </c>
      <c r="EC279" t="str">
        <v>Ex Bhp | Bhp - Bhoj - Bhim - Pch (2N) - Mad (1N) - Tawa (1N) - Bhp</v>
      </c>
      <c r="ED279" t="str">
        <v>Ex Bhp | Bhp - Bhoj - Bhim - Pch (2N) - Mad (2N) - Bhp</v>
      </c>
      <c r="EE279" t="str">
        <v>Ex Idr | Idr - Ujj (1N) - Omk (1N) - Mah (2N) (Ex Man) - Idr (HDCT)</v>
      </c>
      <c r="EF279" t="str">
        <v>Arr Rpr - Amr (2N) - Par (2N) - IXD</v>
      </c>
      <c r="EG279" t="str">
        <v>1N Gwl - Orc - 2N Hjr - Jhn - 1N Gwl</v>
      </c>
      <c r="EH279" t="str">
        <v>1N Orc - 1N Hjr - 2N Gwl Ex Mor</v>
      </c>
      <c r="EI279" t="str">
        <v>1N Idr - Omk - 1N Mah - 1N Ujj - Seh - 1N Bho</v>
      </c>
      <c r="EJ279" t="str">
        <v>Ex Idr I 1N Idr - 1N Ujj - Omk - 2N Mah - Man - Idr</v>
      </c>
    </row>
    <row r="280" spans="2:145" ht="15" customHeight="1">
      <c r="B280" s="35">
        <v>276</v>
      </c>
      <c r="C280" s="36" t="s">
        <v>1936</v>
      </c>
      <c r="D280" s="76">
        <v>46234</v>
      </c>
      <c r="E280" s="37" t="str">
        <f>IF(Table5[[#This Row],[Query Date]]&lt;&gt;"", TEXT(Table5[[#This Row],[Query Date]], "dddd"), "")</f>
        <v>Friday</v>
      </c>
      <c r="F280" s="37" t="str">
        <f>IF(Table5[[#This Row],[Query Date]]&lt;&gt;"", TEXT(Table5[[#This Row],[Query Date]], "mmmm"), "")</f>
        <v>July</v>
      </c>
      <c r="G280" s="28" t="s">
        <v>65</v>
      </c>
      <c r="H280" s="28" t="s">
        <v>66</v>
      </c>
      <c r="I280" s="28" t="s">
        <v>67</v>
      </c>
      <c r="J280" s="28" t="s">
        <v>68</v>
      </c>
      <c r="K280" s="28" t="s">
        <v>570</v>
      </c>
      <c r="L280" s="25" t="s">
        <v>70</v>
      </c>
      <c r="M280" s="112" t="s">
        <v>571</v>
      </c>
      <c r="N280" s="25" t="s">
        <v>572</v>
      </c>
      <c r="O280" s="130" t="s">
        <v>573</v>
      </c>
      <c r="P280" s="46" t="s">
        <v>574</v>
      </c>
      <c r="Q280" s="77">
        <v>46252</v>
      </c>
      <c r="R280" s="77" t="str">
        <f>IF(Table5[[#This Row],[Tour Starting Date]]&lt;&gt;"", TEXT(Table5[[#This Row],[Tour Starting Date]], "dddd"), "")</f>
        <v>Tuesday</v>
      </c>
      <c r="S280" s="77">
        <v>46259</v>
      </c>
      <c r="T280" s="25" t="str">
        <f>IF(Table5[[#This Row],[Tour Ending Date]]&lt;&gt;"", TEXT(Table5[[#This Row],[Tour Ending Date]], "dddd"), "")</f>
        <v>Tuesday</v>
      </c>
      <c r="U280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7 Nights &amp; 8 Days</v>
      </c>
      <c r="V280" s="37" t="str">
        <f>IF(Table5[[#This Row],[Tour Starting Date]]&lt;&gt;"", TEXT(Table5[[#This Row],[Tour Starting Date]], "mmmm"), "")</f>
        <v>August</v>
      </c>
      <c r="W280" s="80" t="str" cm="1">
        <f t="array" ref="W280">IF(Q280&lt;&gt;"", INDEX(CI:CI, MATCH(1, (Q280&gt;=CG:CG)*(Q280&lt;=CH:CH), 0)), "")</f>
        <v>Regular Dates - Weekday</v>
      </c>
      <c r="X280" s="39">
        <v>6</v>
      </c>
      <c r="Y280" s="74">
        <v>8200</v>
      </c>
      <c r="Z280" s="74">
        <f>IF(OR(Table5[[#This Row],[Per Person Package Cost]]="", Table5[[#This Row],[No. of Pax]]=""), "", Table5[[#This Row],[Per Person Package Cost]] * Table5[[#This Row],[No. of Pax]])</f>
        <v>49200</v>
      </c>
      <c r="AA280" s="52" t="s">
        <v>75</v>
      </c>
      <c r="AB280" s="52" t="s">
        <v>75</v>
      </c>
      <c r="AC280" s="52" t="s">
        <v>76</v>
      </c>
      <c r="AD280" s="52" t="s">
        <v>352</v>
      </c>
      <c r="AE280" s="51" t="str">
        <f t="shared" si="37"/>
        <v>EXIDR02</v>
      </c>
      <c r="AF280" s="51" t="str">
        <f t="shared" si="38"/>
        <v>Jyotirlinga Trails</v>
      </c>
      <c r="AG280" s="74" t="str">
        <f t="shared" si="39"/>
        <v>Quick Getaways</v>
      </c>
      <c r="AH280" s="73" t="str">
        <f t="shared" si="43"/>
        <v>West MP</v>
      </c>
      <c r="AI280" s="52" t="s">
        <v>77</v>
      </c>
      <c r="AJ280" s="56" t="s">
        <v>78</v>
      </c>
      <c r="AK280" s="59" t="s">
        <v>79</v>
      </c>
      <c r="AL280" s="60" t="s">
        <v>80</v>
      </c>
      <c r="AM280" s="54" t="s">
        <v>80</v>
      </c>
      <c r="AN280" s="14">
        <v>46236</v>
      </c>
      <c r="AO280" s="15"/>
      <c r="AP280" s="91"/>
      <c r="AQ280" s="87"/>
      <c r="AR280" s="26"/>
      <c r="AS280" s="65"/>
      <c r="AT280" s="88" t="s">
        <v>81</v>
      </c>
      <c r="AU280" s="67" t="s">
        <v>82</v>
      </c>
      <c r="CN280" t="s">
        <v>1822</v>
      </c>
      <c r="DA280" t="str" cm="1">
        <f t="array" ref="DA280:DJ280">IF(U280&lt;&gt;"", TRANSPOSE(_xlfn._xlws.FILTER(CZ:CZ, CY:CY=U280, "")), "")</f>
        <v>Ex Idr | Idr (1N) - Ujj (1N) - Omk - Mah (1N) - Man (2N) - Bhp (2N) + Bhim + Bhoj + Sanchi - Idr</v>
      </c>
      <c r="DB280" t="str">
        <v>Bho (1N) + San + Udaygiri - Bhoj - Bhim - Tawa (1N) - Mad (1N) - Pch (2N) - Kan(1N) - Jlr (1N)</v>
      </c>
      <c r="DC280" t="str">
        <v>Bho (1N) + San + Udaygiri - Bhoj - Bhim - Pch (2N) - Kan(1N) - Amk (2N) - Jlr (1N)</v>
      </c>
      <c r="DD280" t="str">
        <v>Bho (2N) + San + Bhoj + Bhim - Ujj (1N) - Omk (1N) - Mah (1N) - Man (1N) - Idr (1N)</v>
      </c>
      <c r="DE280" t="str">
        <v>Gwl (2N) + Mor - Son - Dat - Orc (1N) - Hjr (2N) - San - Bho (2N) + Bhoj + Bhim</v>
      </c>
      <c r="DF280" t="str">
        <v>Idr - Man (2N) - Bho (2N) + San - Bhoj - Bhim - Pch (2N) - Tawa (1N) - Bho</v>
      </c>
      <c r="DG280" t="str">
        <v>Jlr (1N) - Amk (1N) - Myr (1N) - Ckt (1N) - Orc (1N) - Dat - Son - Gwl (2N) + Mor + Shanichara</v>
      </c>
      <c r="DH280" t="str">
        <v>Gwl (2N) + Mor + Sanchichara - Dat (Pitambara Peeth) - Orc (1N) - Ckt (2N) - Amk (1N) - Jlr (1N)</v>
      </c>
      <c r="DI280" t="str">
        <v>Jlr - (1 N) Kan - (2 N) Pch - Bhim - Bhoj - (1 N) Bho - (1 N) Ujj - (1 N) Mah - Man -  (1 N) Idr</v>
      </c>
      <c r="DJ280" t="str">
        <v>Ex Nag - 2N Tado - 2N Pen - 3N Nag</v>
      </c>
    </row>
    <row r="281" spans="2:145" ht="15" customHeight="1">
      <c r="B281" s="34">
        <v>277</v>
      </c>
      <c r="C281" s="36" t="s">
        <v>1937</v>
      </c>
      <c r="D281" s="76">
        <v>46235</v>
      </c>
      <c r="E281" s="37" t="str">
        <f>IF(Table5[[#This Row],[Query Date]]&lt;&gt;"", TEXT(Table5[[#This Row],[Query Date]], "dddd"), "")</f>
        <v>Saturday</v>
      </c>
      <c r="F281" s="37" t="str">
        <f>IF(Table5[[#This Row],[Query Date]]&lt;&gt;"", TEXT(Table5[[#This Row],[Query Date]], "mmmm"), "")</f>
        <v>August</v>
      </c>
      <c r="G281" s="28" t="s">
        <v>65</v>
      </c>
      <c r="H281" s="28" t="s">
        <v>66</v>
      </c>
      <c r="I281" s="28" t="s">
        <v>100</v>
      </c>
      <c r="J281" s="28" t="s">
        <v>68</v>
      </c>
      <c r="K281" s="28" t="s">
        <v>683</v>
      </c>
      <c r="L281" s="25" t="s">
        <v>70</v>
      </c>
      <c r="M281" s="112" t="s">
        <v>1938</v>
      </c>
      <c r="N281" s="25" t="s">
        <v>1939</v>
      </c>
      <c r="O281" s="130" t="s">
        <v>1940</v>
      </c>
      <c r="P281" s="46" t="s">
        <v>1941</v>
      </c>
      <c r="Q281" s="77">
        <v>46274</v>
      </c>
      <c r="R281" s="77" t="str">
        <f>IF(Table5[[#This Row],[Tour Starting Date]]&lt;&gt;"", TEXT(Table5[[#This Row],[Tour Starting Date]], "dddd"), "")</f>
        <v>Wednesday</v>
      </c>
      <c r="S281" s="77">
        <v>46277</v>
      </c>
      <c r="T281" s="25" t="str">
        <f>IF(Table5[[#This Row],[Tour Ending Date]]&lt;&gt;"", TEXT(Table5[[#This Row],[Tour Ending Date]], "dddd"), "")</f>
        <v>Saturday</v>
      </c>
      <c r="U281" s="37" t="str">
        <f>IF(OR(Table5[[#This Row],[Tour Starting Date]]="", Table5[[#This Row],[Tour Ending Date]]=""), "",
   IF(DATEDIF(Table5[[#This Row],[Tour Starting Date]],Table5[[#This Row],[Tour Ending Date]],"d")=1,
      "1 Night &amp; 2 Days",
   DATEDIF(Table5[[#This Row],[Tour Starting Date]],Table5[[#This Row],[Tour Ending Date]],"d") &amp; " Nights &amp; " &amp; (DATEDIF(Table5[[#This Row],[Tour Starting Date]],Table5[[#This Row],[Tour Ending Date]],"d")+1) &amp; " Days"))</f>
        <v>3 Nights &amp; 4 Days</v>
      </c>
      <c r="V281" s="37" t="str">
        <f>IF(Table5[[#This Row],[Tour Starting Date]]&lt;&gt;"", TEXT(Table5[[#This Row],[Tour Starting Date]], "mmmm"), "")</f>
        <v>September</v>
      </c>
      <c r="W281" s="80" t="str" cm="1">
        <f t="array" ref="W281">IF(Q281&lt;&gt;"", INDEX(CI:CI, MATCH(1, (Q281&gt;=CG:CG)*(Q281&lt;=CH:CH), 0)), "")</f>
        <v>Regular Dates - Weekday</v>
      </c>
      <c r="X281" s="39">
        <v>26</v>
      </c>
      <c r="Y281" s="74">
        <v>11800</v>
      </c>
      <c r="Z281" s="74">
        <f>IF(OR(Table5[[#This Row],[Per Person Package Cost]]="", Table5[[#This Row],[No. of Pax]]=""), "", Table5[[#This Row],[Per Person Package Cost]] * Table5[[#This Row],[No. of Pax]])</f>
        <v>306800</v>
      </c>
      <c r="AA281" s="52" t="s">
        <v>624</v>
      </c>
      <c r="AB281" s="52" t="s">
        <v>624</v>
      </c>
      <c r="AC281" s="52" t="s">
        <v>134</v>
      </c>
      <c r="AD281" s="52"/>
      <c r="AE281" s="51" t="str">
        <f t="shared" si="37"/>
        <v/>
      </c>
      <c r="AF281" s="51" t="str">
        <f t="shared" si="38"/>
        <v/>
      </c>
      <c r="AG281" s="74" t="str">
        <f t="shared" si="39"/>
        <v/>
      </c>
      <c r="AH281" s="73" t="str">
        <f t="shared" si="43"/>
        <v/>
      </c>
      <c r="AI281" s="52" t="s">
        <v>77</v>
      </c>
      <c r="AJ281" s="56" t="s">
        <v>78</v>
      </c>
      <c r="AK281" s="59" t="s">
        <v>79</v>
      </c>
      <c r="AL281" s="60" t="s">
        <v>80</v>
      </c>
      <c r="AM281" s="54" t="s">
        <v>80</v>
      </c>
      <c r="AN281" s="14">
        <v>46237</v>
      </c>
      <c r="AO281" s="15">
        <v>46254</v>
      </c>
      <c r="AP281" s="91"/>
      <c r="AQ281" s="87"/>
      <c r="AR281" s="26"/>
      <c r="AS281" s="65"/>
      <c r="AT281" s="88" t="s">
        <v>81</v>
      </c>
      <c r="AU281" s="67" t="s">
        <v>82</v>
      </c>
      <c r="CN281" t="s">
        <v>1942</v>
      </c>
      <c r="DA281" t="str" cm="1">
        <f t="array" ref="DA281:EO281">IF(U281&lt;&gt;"", TRANSPOSE(_xlfn._xlws.FILTER(CZ:CZ, CY:CY=U281, "")), "")</f>
        <v>Gwl (3N) + Mor + Son + Dat + Orc</v>
      </c>
      <c r="DB281" t="str">
        <v>Ex Gwl | Gwl (1N) - Son - Dat - Orc (1N) - Gwl (1N)</v>
      </c>
      <c r="DC281" t="str">
        <v>Ex Idr | Idr - Ujj (1N) - Omk - Mah (1N) - Man (1N) - Idr</v>
      </c>
      <c r="DD281" t="str">
        <v>Ex Jlr | Jlr - Kan (2N) - Jlr (1N)</v>
      </c>
      <c r="DE281" t="str">
        <v>Ex Jlr | Jlr - Ban (2N) - Jlr (1N)</v>
      </c>
      <c r="DF281" t="str">
        <v>Ex Bho | Bho (1N) + San - Bhoj - Bhim - Pch (2N) - Bho</v>
      </c>
      <c r="DG281" t="str">
        <v>Ex Idr | Idr (1N) - Ujj (1N) - Omk (1N) - Mah - Idr</v>
      </c>
      <c r="DH281" t="str">
        <v>Gwl - Orc (1N) - Ckt (1N) - Myr (1N) - Jlr</v>
      </c>
      <c r="DI281" t="str">
        <v>Gwl - Orc (1N) - Ckt (2N) - Ixd</v>
      </c>
      <c r="DJ281" t="str">
        <v>Ex Idr | Idr - Ujj (1N) - Omk - Mah (1N) - Idr (1N)</v>
      </c>
      <c r="DK281" t="str">
        <v>Ex Jlr | Jlr - Kan (3N) - Jlr</v>
      </c>
      <c r="DL281" t="str">
        <v>Ex Bho | Bho (2N) + Bhim + Bhoj + San + Udaygiri + Vidisha + FDCT Bho</v>
      </c>
      <c r="DM281" t="str">
        <v>Bho (1N) + Bhim + Bhoj - HDCT  Bho + Sanchi - Ujj (2N)</v>
      </c>
      <c r="DN281" t="str">
        <v>Bho (1N) + Bhim + Bhoj - HDCT  Bho + Sanchi - Ujj (2N) - Idr</v>
      </c>
      <c r="DO281" t="str">
        <v>Ex Bho | Bho - Bhoj - Bhim - Mad (1N) - Pch (2N) - Bho</v>
      </c>
      <c r="DP281" t="str">
        <v>Ex Bho | Bho - Bhoj - Bhim - Mad (1N) - Pch (3N) - Bho</v>
      </c>
      <c r="DQ281" t="str">
        <v>Ex Bho | Bho - Bhoj - Bhim - Tawa (1N) - Mad (1N) - Bho (1N)</v>
      </c>
      <c r="DR281" t="str">
        <v>Bho (1N) - Bhim - Bhoj - San - Idr (2N) + Ujj</v>
      </c>
      <c r="DS281" t="str">
        <v>Bho (1N) - Bhoj - Bhim - Pch (2N) - Bho</v>
      </c>
      <c r="DT281" t="str">
        <v>Ujj (1N) - Omk - Mah (1N) - Idr (1N)</v>
      </c>
      <c r="DU281" t="str">
        <v>Ujj (1N) - Omk - Mah (1N) - Man (1N) - Idr</v>
      </c>
      <c r="DV281" t="str">
        <v>Ex Idr | Idr (1N) - Ujj (1N) - Omk - Mah (1N)</v>
      </c>
      <c r="DW281" t="str">
        <v>Ex Idr | Idr - Ujj (1N) - Omk (1N) - Mah (1N) - Idr</v>
      </c>
      <c r="DX281" t="str">
        <v>Khandwa - Omk (1N) - Mah (1N) - Ujj (1N) - Idr</v>
      </c>
      <c r="DY281" t="str">
        <v>Ex Idr | Idr - Ujj (1N) - Omk - Mah (1N) - Man - Idr (1N)</v>
      </c>
      <c r="DZ281" t="str">
        <v xml:space="preserve">Idr - Omk (1N) - Mah - Ujj (1N) San - Bho (1N) </v>
      </c>
      <c r="EA281" t="str">
        <v>Ex Idr | Idr - Man (1N) - Mah - Omk (1N) - Ujj (1N) - Idr</v>
      </c>
      <c r="EB281" t="str">
        <v>Khandwa - Omk (1N) - Mah - Ujj (2N)</v>
      </c>
      <c r="EC281" t="str">
        <v>Ex Jlr | Jlr (1N) - Amr (1N) - Ban (1N) - Jlr</v>
      </c>
      <c r="ED281" t="str">
        <v>Ex Jlr | Jlr - (1 N) Ban - (2 N) Amar</v>
      </c>
      <c r="EE281" t="str">
        <v>Jlr - Kan (1N) - Pch (2N)</v>
      </c>
      <c r="EF281" t="str">
        <v>Pi - Pch (2N)  - Kan (1N)</v>
      </c>
      <c r="EG281" t="str">
        <v>Ex Jlr | Jlr - Amr (1 N) - (1 N) Ban - (1 N) Jlr</v>
      </c>
      <c r="EH281" t="str">
        <v>Ppi - (2 N) Pch - (1 N) Pen</v>
      </c>
      <c r="EI281" t="str">
        <v>Bhp - Pch (2N) - Jlr (1N)</v>
      </c>
      <c r="EJ281" t="str">
        <v xml:space="preserve">Arr Jhn - Hjr (1N) - Orc - Gwl (2N) </v>
      </c>
      <c r="EK281" t="str">
        <v>(1 N) Ujj - (1 N) Mah - (1 N) Idr</v>
      </c>
      <c r="EL281" t="str">
        <v>Ex Bhp | Bhp - Bhoj - Bhim - Pch (3N) - Bhp</v>
      </c>
      <c r="EM281" t="str">
        <v>Ex Bhp | Bhp - Bhoj - Bhim - Pch (2N) - Mad (1N) - Bhp</v>
      </c>
      <c r="EN281" t="str">
        <v xml:space="preserve">Ex Nag - 3N Pch + Sat </v>
      </c>
      <c r="EO281" t="str">
        <v>1N Gwl - Son - Dat - 1N Hjr - 1N Orc - Jhn</v>
      </c>
    </row>
    <row r="282" spans="2:145" ht="15" customHeight="1">
      <c r="B282" s="35">
        <v>278</v>
      </c>
      <c r="C282" s="36" t="s">
        <v>1943</v>
      </c>
      <c r="D282" s="76">
        <v>46235</v>
      </c>
      <c r="E282" s="37" t="str">
        <f>IF(Table5[[#This Row],[Query Date]]&lt;&gt;"", TEXT(Table5[[#This Row],[Query Date]], "dddd"), "")</f>
        <v>Saturday</v>
      </c>
      <c r="F282" s="37" t="str">
        <f>IF(Table5[[#This Row],[Query Date]]&lt;&gt;"", TEXT(Table5[[#This Row],[Query Date]], "mmmm"), "")</f>
        <v>August</v>
      </c>
      <c r="G282" s="28" t="s">
        <v>65</v>
      </c>
      <c r="H282" s="28" t="s">
        <v>99</v>
      </c>
      <c r="I282" s="28" t="s">
        <v>67</v>
      </c>
      <c r="J282" s="28" t="s">
        <v>68</v>
      </c>
      <c r="K282" s="28" t="s">
        <v>246</v>
      </c>
      <c r="L282" s="25" t="s">
        <v>70</v>
      </c>
      <c r="M282" s="128" t="s">
        <v>1944</v>
      </c>
      <c r="N282" s="43"/>
      <c r="O282" s="130" t="s">
        <v>1945</v>
      </c>
      <c r="P282" s="46" t="s">
        <v>1946</v>
      </c>
      <c r="Q282" s="77">
        <v>46313</v>
      </c>
      <c r="R282" s="77" t="str">
        <f>IF(Table5[[#This Row],[Tour Starting Date]]&lt;&gt;"", TEXT(Table5[[#This Row],[Tour Starting Date]], "dddd"), "")</f>
        <v>Sunday</v>
      </c>
      <c r="S282" s="77">
        <v>46319</v>
      </c>
      <c r="T282" s="25" t="str">
        <f>IF(Table5[[#This Row],[Tour Ending Date]]&lt;&gt;"", TEXT(Table5[[#This Row],[Tour Ending Date]], "dddd"), "")</f>
        <v>Saturday</v>
      </c>
      <c r="U28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6 Nights &amp; 7 Days</v>
      </c>
      <c r="V282" s="37" t="str">
        <f>IF(Table5[[#This Row],[Tour Starting Date]]&lt;&gt;"", TEXT(Table5[[#This Row],[Tour Starting Date]], "mmmm"), "")</f>
        <v>October</v>
      </c>
      <c r="W282" s="80" t="str" cm="1">
        <f t="array" ref="W282">IF(Q282&lt;&gt;"", INDEX(CI:CI, MATCH(1, (Q282&gt;=CG:CG)*(Q282&lt;=CH:CH), 0)), "")</f>
        <v>Regular Dates - Weekend</v>
      </c>
      <c r="X282" s="39">
        <v>6</v>
      </c>
      <c r="Y282" s="74">
        <v>28000</v>
      </c>
      <c r="Z282" s="74">
        <f>IF(OR(Table5[[#This Row],[Per Person Package Cost]]="", Table5[[#This Row],[No. of Pax]]=""), "", Table5[[#This Row],[Per Person Package Cost]] * Table5[[#This Row],[No. of Pax]])</f>
        <v>168000</v>
      </c>
      <c r="AA282" s="52" t="s">
        <v>854</v>
      </c>
      <c r="AB282" s="52" t="s">
        <v>1082</v>
      </c>
      <c r="AC282" s="52" t="s">
        <v>105</v>
      </c>
      <c r="AD282" s="52" t="s">
        <v>135</v>
      </c>
      <c r="AE282" s="51" t="str">
        <f t="shared" si="37"/>
        <v>EXJBP10</v>
      </c>
      <c r="AF282" s="51" t="str">
        <f t="shared" si="38"/>
        <v>Nature &amp; Wilderness Retreat</v>
      </c>
      <c r="AG282" s="74" t="str">
        <f t="shared" si="39"/>
        <v>Quick Getaways</v>
      </c>
      <c r="AH282" s="73" t="str">
        <f t="shared" si="43"/>
        <v>North + East MP</v>
      </c>
      <c r="AI282" s="52" t="s">
        <v>159</v>
      </c>
      <c r="AJ282" s="56" t="s">
        <v>78</v>
      </c>
      <c r="AK282" s="59" t="s">
        <v>79</v>
      </c>
      <c r="AL282" s="60" t="s">
        <v>80</v>
      </c>
      <c r="AM282" s="54" t="s">
        <v>80</v>
      </c>
      <c r="AN282" s="14">
        <v>46237</v>
      </c>
      <c r="AO282" s="15"/>
      <c r="AP282" s="91"/>
      <c r="AQ282" s="87"/>
      <c r="AR282" s="26"/>
      <c r="AS282" s="65"/>
      <c r="AT282" s="88" t="s">
        <v>81</v>
      </c>
      <c r="AU282" s="67"/>
      <c r="CN282" t="s">
        <v>1947</v>
      </c>
      <c r="DA282" t="str" cm="1">
        <f t="array" ref="DA282:DZ282">IF(U282&lt;&gt;"", TRANSPOSE(_xlfn._xlws.FILTER(CZ:CZ, CY:CY=U282, "")), "")</f>
        <v>Ex Gwl | Gwl (2N) + Mor - Orc - Pan (2N) - Hjr (1N) - Dat - Son - Gwl (1N)</v>
      </c>
      <c r="DB282" t="str">
        <v>Ex Gwl | GWL (2N) + Mor - Shiv - Chan (2N) - Hjr (1N) - Orc (1N) - Dat - Gwl</v>
      </c>
      <c r="DC282" t="str">
        <v>Gwl (2N) + Mor - Son - Dat - Orc (1N) - Hjr (1N) - Ban (1N) - Jlr (1N)</v>
      </c>
      <c r="DD282" t="str">
        <v>Idr - Ujj (1N) - Omk - Mah (1N) - Man (2N) - Bhp (2N) + Bhim + Bhoj + San</v>
      </c>
      <c r="DE282" t="str">
        <v>Bhp (1N) + Bhim + Bhoj + San - Ujj (1N) - Man (2N) - Mah - Omk (1N) - Idr (1N)</v>
      </c>
      <c r="DF282" t="str">
        <v>Jlr (1N) - Ban (1N) - Hjr (1N) - Orc (1N) - Dat - Son - Gwl (2N) + Mor</v>
      </c>
      <c r="DG282" t="str">
        <v>Bho (1N) + San - Bhoj - Bhim - Tawa (1N) - Mad (1N) - Pch (2N) - Jlr (1N)</v>
      </c>
      <c r="DH282" t="str">
        <v>Bho (1N) + San + Udaygiri - Bhoj - Bhim - Pch (2N) - Kan(2N) - Jlr (1N)</v>
      </c>
      <c r="DI282" t="str">
        <v>Bho (1N) + Bhim + Bhoj - San - Ujj (1N) - Man (2N) - Mah - Omk (1N) - Idr (1N)</v>
      </c>
      <c r="DJ282" t="str">
        <v>Gwl (2N) + Mor - Son - Dat - Orc (1N) - Hjr (1N) - Jab (1N) - Kan (1N) - Nag</v>
      </c>
      <c r="DK282" t="str">
        <v>Bho (2N) + San + Bhoj + Bhim - Ujj (1N) - Omk - Mah (1N) - Man (1N) - Idr (1N)</v>
      </c>
      <c r="DL282" t="str">
        <v>Ex Nag | Nag - Pch (2N) - Bhim - Bhoj - Bho (2N) + San + Udaygiri - Jlr (1N) - Kan (1N) - Nag</v>
      </c>
      <c r="DM282" t="str">
        <v>Bho (1N) - Mad (2N) + Tawa Cruise Safari - Pch (2N) - Jlr (1N) - Nag</v>
      </c>
      <c r="DN282" t="str">
        <v>Idr - Man (2N) - Idr (1N) - Bho (1N) + San - Bhoj - Bhim - Pch (2N) - Bho</v>
      </c>
      <c r="DO282" t="str">
        <v>Rpr - kan (2N) - Ban (1N) - Jlr (1N) - Mad (2N) - Bhim - Bhoj - Bho</v>
      </c>
      <c r="DP282" t="str">
        <v>Jlr - Amar (1 N) - Ban (2 N) - Kan (1N) - Pch (2N) - Ppi</v>
      </c>
      <c r="DQ282" t="str">
        <v>Jlr - (2N) Kan - (1N) Jlr - Bhim - Bhoj - (2N) Bho  (Ex San &amp; Uda)  - (1N) Ujj - Idr</v>
      </c>
      <c r="DR282" t="str">
        <v>Ex Nag | Nag (2 N) Pach - Bhim - Bhij - (2 N) Bho (Ex San &amp; Uad) - (1 N) Jlr - (1 N) Kan - Nag</v>
      </c>
      <c r="DS282" t="str">
        <v>(2 N) Bho (Ex San, Bhoj &amp; Bhim) - (1 N) Ujj - Omk - (1 N) Mah - (1 N) Man - (1 N) Idr</v>
      </c>
      <c r="DT282" t="str">
        <v>(2 N) Gwl (Ex Mor) - Son - Dat - (1 N) Orc - (1 N) Hjr - (1 N) Jlr - (1 N) Kan - Nag</v>
      </c>
      <c r="DU282" t="str">
        <v>(1 N) Jlr - (2 N) Kanha - (2 N Pach) - (1 N) BHo</v>
      </c>
      <c r="DV282" t="str">
        <v>(2 N) Gwl - (1 N) Orc - (1 N) Hjr - (1 N) Ban - (1 N) Jlr</v>
      </c>
      <c r="DW282" t="str">
        <v>(2 N) BHo - (2 N) Madhai - (1 N) Pach - (1 N) Jlr</v>
      </c>
      <c r="DX282" t="str">
        <v>Ex Bhp | Bhp - Bhoj - Bhim - Pach (3N) - Tawa - Mad - Tawa (1N) - Mad (1N) - Bho (1N)</v>
      </c>
      <c r="DY282" t="str">
        <v>Ex Idr I Idr - 2N Ujj - 1N Man - 1N Mah - 1N Omk - 1N Idr</v>
      </c>
      <c r="DZ282" t="str">
        <v>1N Jlr - 1N Kan - 1N Ban - 1N Hjr -2N Gwl</v>
      </c>
    </row>
    <row r="283" spans="2:145" ht="15" customHeight="1">
      <c r="B283" s="34">
        <v>279</v>
      </c>
      <c r="C283" s="36" t="s">
        <v>1948</v>
      </c>
      <c r="D283" s="76">
        <v>46235</v>
      </c>
      <c r="E283" s="37" t="str">
        <f>IF(Table5[[#This Row],[Query Date]]&lt;&gt;"", TEXT(Table5[[#This Row],[Query Date]], "dddd"), "")</f>
        <v>Saturday</v>
      </c>
      <c r="F283" s="37" t="str">
        <f>IF(Table5[[#This Row],[Query Date]]&lt;&gt;"", TEXT(Table5[[#This Row],[Query Date]], "mmmm"), "")</f>
        <v>August</v>
      </c>
      <c r="G283" s="28" t="s">
        <v>113</v>
      </c>
      <c r="H283" s="28" t="s">
        <v>99</v>
      </c>
      <c r="I283" s="28" t="s">
        <v>67</v>
      </c>
      <c r="J283" s="28" t="s">
        <v>68</v>
      </c>
      <c r="K283" s="28" t="s">
        <v>178</v>
      </c>
      <c r="L283" s="25" t="s">
        <v>160</v>
      </c>
      <c r="M283" s="112" t="s">
        <v>90</v>
      </c>
      <c r="N283" s="25" t="s">
        <v>1949</v>
      </c>
      <c r="O283" s="130" t="s">
        <v>1950</v>
      </c>
      <c r="P283" s="46" t="s">
        <v>1638</v>
      </c>
      <c r="Q283" s="77">
        <v>46248</v>
      </c>
      <c r="R283" s="77" t="str">
        <f>IF(Table5[[#This Row],[Tour Starting Date]]&lt;&gt;"", TEXT(Table5[[#This Row],[Tour Starting Date]], "dddd"), "")</f>
        <v>Friday</v>
      </c>
      <c r="S283" s="77">
        <v>46250</v>
      </c>
      <c r="T283" s="25" t="str">
        <f>IF(Table5[[#This Row],[Tour Ending Date]]&lt;&gt;"", TEXT(Table5[[#This Row],[Tour Ending Date]], "dddd"), "")</f>
        <v>Sunday</v>
      </c>
      <c r="U28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2 Nights &amp; 3 Days</v>
      </c>
      <c r="V283" s="37" t="str">
        <f>IF(Table5[[#This Row],[Tour Starting Date]]&lt;&gt;"", TEXT(Table5[[#This Row],[Tour Starting Date]], "mmmm"), "")</f>
        <v>August</v>
      </c>
      <c r="W283" s="80" t="str" cm="1">
        <f t="array" ref="W283">IF(Q283&lt;&gt;"", INDEX(CI:CI, MATCH(1, (Q283&gt;=CG:CG)*(Q283&lt;=CH:CH), 0)), "")</f>
        <v>Long Weekend - Independence Day</v>
      </c>
      <c r="X283" s="39">
        <v>1</v>
      </c>
      <c r="Y283" s="74">
        <v>20300</v>
      </c>
      <c r="Z283" s="74">
        <f>IF(OR(Table5[[#This Row],[Per Person Package Cost]]="", Table5[[#This Row],[No. of Pax]]=""), "", Table5[[#This Row],[Per Person Package Cost]] * Table5[[#This Row],[No. of Pax]])</f>
        <v>20300</v>
      </c>
      <c r="AA283" s="52" t="s">
        <v>75</v>
      </c>
      <c r="AB283" s="52" t="s">
        <v>75</v>
      </c>
      <c r="AC283" s="52" t="s">
        <v>76</v>
      </c>
      <c r="AD283" s="52" t="s">
        <v>352</v>
      </c>
      <c r="AE283" s="51" t="str">
        <f t="shared" si="37"/>
        <v>EXIDR02</v>
      </c>
      <c r="AF283" s="51" t="str">
        <f t="shared" si="38"/>
        <v>Jyotirlinga Trails</v>
      </c>
      <c r="AG283" s="74" t="str">
        <f t="shared" si="39"/>
        <v>Quick Getaways</v>
      </c>
      <c r="AH283" s="73" t="str">
        <f t="shared" si="43"/>
        <v>West MP</v>
      </c>
      <c r="AI283" s="52" t="s">
        <v>159</v>
      </c>
      <c r="AJ283" s="56" t="s">
        <v>115</v>
      </c>
      <c r="AK283" s="59" t="s">
        <v>79</v>
      </c>
      <c r="AL283" s="60" t="s">
        <v>80</v>
      </c>
      <c r="AM283" s="54" t="s">
        <v>80</v>
      </c>
      <c r="AN283" s="14">
        <v>46237</v>
      </c>
      <c r="AO283" s="15"/>
      <c r="AP283" s="91"/>
      <c r="AQ283" s="87"/>
      <c r="AR283" s="26"/>
      <c r="AS283" s="65"/>
      <c r="AT283" s="88" t="s">
        <v>81</v>
      </c>
      <c r="AU283" s="67" t="s">
        <v>82</v>
      </c>
      <c r="CN283" t="s">
        <v>247</v>
      </c>
      <c r="DA283" t="str" cm="1">
        <f t="array" ref="DA283:DY283">IF(U283&lt;&gt;"", TRANSPOSE(_xlfn._xlws.FILTER(CZ:CZ, CY:CY=U283, "")), "")</f>
        <v>Gwl (2N) + Mor</v>
      </c>
      <c r="DB283" t="str">
        <v>Ex Idr | Idr - Ujj (1N) - Omk - Mah (1N) - Man - Idr</v>
      </c>
      <c r="DC283" t="str">
        <v>Ujj (1N) - Omk - Idr (1N)</v>
      </c>
      <c r="DD283" t="str">
        <v>Ex Jlr | Jlr - Kan (2N) - Jlr</v>
      </c>
      <c r="DE283" t="str">
        <v>Ex Jlr | Jlr - Ban (2N) - Jlr</v>
      </c>
      <c r="DF283" t="str">
        <v>Ex Bho | Bho (2N) + Bhim + Bhoj + San</v>
      </c>
      <c r="DG283" t="str">
        <v>Ex Idr | Idr - Man (2N) - Idr</v>
      </c>
      <c r="DH283" t="str">
        <v>Ex Jlr | Jlr - Kan (2N) - Jlr</v>
      </c>
      <c r="DI283" t="str">
        <v>Ex Bho | Bho (2N) + Bhim + Bhoj + San + HDCT Bho</v>
      </c>
      <c r="DJ283" t="str">
        <v>Ex Bho | Bho - Bhim - Tawa (1N) - Mad (1N) - Bho</v>
      </c>
      <c r="DK283" t="str">
        <v>Ujj (1N) - Omk - Mah (1N) - Idr</v>
      </c>
      <c r="DL283" t="str">
        <v>Ujj (1N) -  Idr (1N)</v>
      </c>
      <c r="DM283" t="str">
        <v>Ex Idr | Idr (2N) + Ujj + Omk + Mah</v>
      </c>
      <c r="DN283" t="str">
        <v>Idr - Mah - Omk (1N) - Ujj (1N)</v>
      </c>
      <c r="DO283" t="str">
        <v>Idr - Ujj (1N) - Mah - Omk (1N) - Khandwa</v>
      </c>
      <c r="DP283" t="str">
        <v>Ex Idr | Idr (EX Ujj) (1N) - Mah - Omk (1N) - Idr HDCT</v>
      </c>
      <c r="DQ283" t="str">
        <v>Ujj (1N) - Sehor - Bho (1N) HDCT</v>
      </c>
      <c r="DR283" t="str">
        <v>Ex Jlr | Jlr (1N) - Ban (1N)</v>
      </c>
      <c r="DS283" t="str">
        <v>Ex Jlr | Ban (1N)</v>
      </c>
      <c r="DT283" t="str">
        <v>Ex Jlr | Jlr (2 N) Kan</v>
      </c>
      <c r="DU283" t="str">
        <v>Ex Jlr | Jlr - Amr (1 N) - (1 N) Ban</v>
      </c>
      <c r="DV283" t="str">
        <v>Ex Rpr | Rpr - (2N) Kan</v>
      </c>
      <c r="DW283" t="str">
        <v>Hjr (1N) - Mahi (1N) - Sat</v>
      </c>
      <c r="DX283" t="str">
        <v>Ex Bhp | Bhp - Bhim - Pch (2N) - Bhp</v>
      </c>
      <c r="DY283" t="str">
        <v xml:space="preserve">Ex Ujj I 2N Ujj </v>
      </c>
    </row>
    <row r="284" spans="2:145" ht="15" customHeight="1">
      <c r="B284" s="35">
        <v>280</v>
      </c>
      <c r="C284" s="36" t="s">
        <v>1951</v>
      </c>
      <c r="D284" s="76">
        <v>46235</v>
      </c>
      <c r="E284" s="37" t="str">
        <f>IF(Table5[[#This Row],[Query Date]]&lt;&gt;"", TEXT(Table5[[#This Row],[Query Date]], "dddd"), "")</f>
        <v>Saturday</v>
      </c>
      <c r="F284" s="37" t="str">
        <f>IF(Table5[[#This Row],[Query Date]]&lt;&gt;"", TEXT(Table5[[#This Row],[Query Date]], "mmmm"), "")</f>
        <v>August</v>
      </c>
      <c r="G284" s="28" t="s">
        <v>65</v>
      </c>
      <c r="H284" s="28" t="s">
        <v>120</v>
      </c>
      <c r="I284" s="28" t="s">
        <v>67</v>
      </c>
      <c r="J284" s="28" t="s">
        <v>145</v>
      </c>
      <c r="K284" s="28" t="s">
        <v>488</v>
      </c>
      <c r="L284" s="25" t="s">
        <v>70</v>
      </c>
      <c r="M284" s="112" t="s">
        <v>1952</v>
      </c>
      <c r="N284" s="25" t="s">
        <v>1953</v>
      </c>
      <c r="O284" s="130" t="s">
        <v>1954</v>
      </c>
      <c r="P284" s="106" t="s">
        <v>1955</v>
      </c>
      <c r="Q284" s="77">
        <v>46239</v>
      </c>
      <c r="R284" s="77" t="str">
        <f>IF(Table5[[#This Row],[Tour Starting Date]]&lt;&gt;"", TEXT(Table5[[#This Row],[Tour Starting Date]], "dddd"), "")</f>
        <v>Wednesday</v>
      </c>
      <c r="S284" s="77">
        <v>46241</v>
      </c>
      <c r="T284" s="25" t="str">
        <f>IF(Table5[[#This Row],[Tour Ending Date]]&lt;&gt;"", TEXT(Table5[[#This Row],[Tour Ending Date]], "dddd"), "")</f>
        <v>Friday</v>
      </c>
      <c r="U28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2 Nights &amp; 3 Days</v>
      </c>
      <c r="V284" s="37" t="str">
        <f>IF(Table5[[#This Row],[Tour Starting Date]]&lt;&gt;"", TEXT(Table5[[#This Row],[Tour Starting Date]], "mmmm"), "")</f>
        <v>August</v>
      </c>
      <c r="W284" s="80" t="str" cm="1">
        <f t="array" ref="W284">IF(Q284&lt;&gt;"", INDEX(CI:CI, MATCH(1, (Q284&gt;=CG:CG)*(Q284&lt;=CH:CH), 0)), "")</f>
        <v>Regular Dates - Weekday</v>
      </c>
      <c r="X284" s="39">
        <v>3</v>
      </c>
      <c r="Y284" s="74">
        <v>12500</v>
      </c>
      <c r="Z284" s="74"/>
      <c r="AA284" s="52" t="s">
        <v>205</v>
      </c>
      <c r="AB284" s="52" t="s">
        <v>75</v>
      </c>
      <c r="AC284" s="52" t="s">
        <v>76</v>
      </c>
      <c r="AD284" s="52" t="s">
        <v>352</v>
      </c>
      <c r="AE284" s="51" t="str">
        <f t="shared" si="37"/>
        <v>EXIDR02</v>
      </c>
      <c r="AF284" s="51" t="str">
        <f t="shared" si="38"/>
        <v>Jyotirlinga Trails</v>
      </c>
      <c r="AG284" s="74" t="str">
        <f t="shared" si="39"/>
        <v>Quick Getaways</v>
      </c>
      <c r="AH284" s="73" t="str">
        <f t="shared" si="43"/>
        <v>West MP</v>
      </c>
      <c r="AI284" s="52" t="s">
        <v>77</v>
      </c>
      <c r="AJ284" s="56" t="s">
        <v>115</v>
      </c>
      <c r="AK284" s="59" t="s">
        <v>79</v>
      </c>
      <c r="AL284" s="60" t="s">
        <v>80</v>
      </c>
      <c r="AM284" s="54" t="s">
        <v>80</v>
      </c>
      <c r="AN284" s="14">
        <v>46237</v>
      </c>
      <c r="AO284" s="15"/>
      <c r="AP284" s="91"/>
      <c r="AQ284" s="87"/>
      <c r="AR284" s="26"/>
      <c r="AS284" s="65"/>
      <c r="AT284" s="88" t="s">
        <v>85</v>
      </c>
      <c r="AU284" s="67"/>
      <c r="CN284" t="s">
        <v>1932</v>
      </c>
      <c r="DA284" t="str" cm="1">
        <f t="array" ref="DA284:DY284">IF(U284&lt;&gt;"", TRANSPOSE(_xlfn._xlws.FILTER(CZ:CZ, CY:CY=U284, "")), "")</f>
        <v>Gwl (2N) + Mor</v>
      </c>
      <c r="DB284" t="str">
        <v>Ex Idr | Idr - Ujj (1N) - Omk - Mah (1N) - Man - Idr</v>
      </c>
      <c r="DC284" t="str">
        <v>Ujj (1N) - Omk - Idr (1N)</v>
      </c>
      <c r="DD284" t="str">
        <v>Ex Jlr | Jlr - Kan (2N) - Jlr</v>
      </c>
      <c r="DE284" t="str">
        <v>Ex Jlr | Jlr - Ban (2N) - Jlr</v>
      </c>
      <c r="DF284" t="str">
        <v>Ex Bho | Bho (2N) + Bhim + Bhoj + San</v>
      </c>
      <c r="DG284" t="str">
        <v>Ex Idr | Idr - Man (2N) - Idr</v>
      </c>
      <c r="DH284" t="str">
        <v>Ex Jlr | Jlr - Kan (2N) - Jlr</v>
      </c>
      <c r="DI284" t="str">
        <v>Ex Bho | Bho (2N) + Bhim + Bhoj + San + HDCT Bho</v>
      </c>
      <c r="DJ284" t="str">
        <v>Ex Bho | Bho - Bhim - Tawa (1N) - Mad (1N) - Bho</v>
      </c>
      <c r="DK284" t="str">
        <v>Ujj (1N) - Omk - Mah (1N) - Idr</v>
      </c>
      <c r="DL284" t="str">
        <v>Ujj (1N) -  Idr (1N)</v>
      </c>
      <c r="DM284" t="str">
        <v>Ex Idr | Idr (2N) + Ujj + Omk + Mah</v>
      </c>
      <c r="DN284" t="str">
        <v>Idr - Mah - Omk (1N) - Ujj (1N)</v>
      </c>
      <c r="DO284" t="str">
        <v>Idr - Ujj (1N) - Mah - Omk (1N) - Khandwa</v>
      </c>
      <c r="DP284" t="str">
        <v>Ex Idr | Idr (EX Ujj) (1N) - Mah - Omk (1N) - Idr HDCT</v>
      </c>
      <c r="DQ284" t="str">
        <v>Ujj (1N) - Sehor - Bho (1N) HDCT</v>
      </c>
      <c r="DR284" t="str">
        <v>Ex Jlr | Jlr (1N) - Ban (1N)</v>
      </c>
      <c r="DS284" t="str">
        <v>Ex Jlr | Ban (1N)</v>
      </c>
      <c r="DT284" t="str">
        <v>Ex Jlr | Jlr (2 N) Kan</v>
      </c>
      <c r="DU284" t="str">
        <v>Ex Jlr | Jlr - Amr (1 N) - (1 N) Ban</v>
      </c>
      <c r="DV284" t="str">
        <v>Ex Rpr | Rpr - (2N) Kan</v>
      </c>
      <c r="DW284" t="str">
        <v>Hjr (1N) - Mahi (1N) - Sat</v>
      </c>
      <c r="DX284" t="str">
        <v>Ex Bhp | Bhp - Bhim - Pch (2N) - Bhp</v>
      </c>
      <c r="DY284" t="str">
        <v xml:space="preserve">Ex Ujj I 2N Ujj </v>
      </c>
    </row>
    <row r="285" spans="2:145" ht="15" customHeight="1">
      <c r="B285" s="34">
        <v>281</v>
      </c>
      <c r="C285" s="36" t="s">
        <v>1956</v>
      </c>
      <c r="D285" s="76">
        <v>46238</v>
      </c>
      <c r="E285" s="37" t="str">
        <f>IF(Table5[[#This Row],[Query Date]]&lt;&gt;"", TEXT(Table5[[#This Row],[Query Date]], "dddd"), "")</f>
        <v>Tuesday</v>
      </c>
      <c r="F285" s="37" t="str">
        <f>IF(Table5[[#This Row],[Query Date]]&lt;&gt;"", TEXT(Table5[[#This Row],[Query Date]], "mmmm"), "")</f>
        <v>August</v>
      </c>
      <c r="G285" s="28" t="s">
        <v>65</v>
      </c>
      <c r="H285" s="28" t="s">
        <v>99</v>
      </c>
      <c r="I285" s="28" t="s">
        <v>67</v>
      </c>
      <c r="J285" s="28" t="s">
        <v>68</v>
      </c>
      <c r="K285" s="28" t="s">
        <v>69</v>
      </c>
      <c r="L285" s="25" t="s">
        <v>70</v>
      </c>
      <c r="M285" s="112" t="s">
        <v>1957</v>
      </c>
      <c r="N285" s="25" t="s">
        <v>1958</v>
      </c>
      <c r="O285" s="130" t="s">
        <v>1959</v>
      </c>
      <c r="P285" s="46" t="s">
        <v>1960</v>
      </c>
      <c r="Q285" s="77">
        <v>46317</v>
      </c>
      <c r="R285" s="77" t="str">
        <f>IF(Table5[[#This Row],[Tour Starting Date]]&lt;&gt;"", TEXT(Table5[[#This Row],[Tour Starting Date]], "dddd"), "")</f>
        <v>Thursday</v>
      </c>
      <c r="S285" s="77">
        <v>46325</v>
      </c>
      <c r="T285" s="25" t="str">
        <f>IF(Table5[[#This Row],[Tour Ending Date]]&lt;&gt;"", TEXT(Table5[[#This Row],[Tour Ending Date]], "dddd"), "")</f>
        <v>Friday</v>
      </c>
      <c r="U28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8 Nights &amp; 9 Days</v>
      </c>
      <c r="V285" s="37" t="str">
        <f>IF(Table5[[#This Row],[Tour Starting Date]]&lt;&gt;"", TEXT(Table5[[#This Row],[Tour Starting Date]], "mmmm"), "")</f>
        <v>October</v>
      </c>
      <c r="W285" s="80" t="str" cm="1">
        <f t="array" ref="W285">IF(Q285&lt;&gt;"", INDEX(CI:CI, MATCH(1, (Q285&gt;=CG:CG)*(Q285&lt;=CH:CH), 0)), "")</f>
        <v>Regular Dates - Weekday</v>
      </c>
      <c r="X285" s="39">
        <v>3</v>
      </c>
      <c r="Y285" s="74">
        <v>49500</v>
      </c>
      <c r="Z285" s="74">
        <f>IF(OR(Table5[[#This Row],[Per Person Package Cost]]="", Table5[[#This Row],[No. of Pax]]=""), "", Table5[[#This Row],[Per Person Package Cost]] * Table5[[#This Row],[No. of Pax]])</f>
        <v>148500</v>
      </c>
      <c r="AA285" s="52"/>
      <c r="AB285" s="52"/>
      <c r="AC285" s="52" t="s">
        <v>134</v>
      </c>
      <c r="AD285" s="52" t="s">
        <v>451</v>
      </c>
      <c r="AE285" s="51" t="str">
        <f t="shared" si="37"/>
        <v>EXIDR12</v>
      </c>
      <c r="AF285" s="51" t="str">
        <f t="shared" si="38"/>
        <v>Cultural &amp; Heritage Extravaganza</v>
      </c>
      <c r="AG285" s="74" t="str">
        <f t="shared" si="39"/>
        <v>Quick Getaways</v>
      </c>
      <c r="AH285" s="73" t="str">
        <f t="shared" si="43"/>
        <v>South + West MP</v>
      </c>
      <c r="AI285" s="52" t="s">
        <v>107</v>
      </c>
      <c r="AJ285" s="56" t="s">
        <v>78</v>
      </c>
      <c r="AK285" s="59" t="s">
        <v>79</v>
      </c>
      <c r="AL285" s="60" t="s">
        <v>80</v>
      </c>
      <c r="AM285" s="54" t="s">
        <v>80</v>
      </c>
      <c r="AN285" s="14">
        <v>46240</v>
      </c>
      <c r="AO285" s="15"/>
      <c r="AP285" s="91"/>
      <c r="AQ285" s="87"/>
      <c r="AR285" s="26"/>
      <c r="AS285" s="65"/>
      <c r="AT285" s="88" t="s">
        <v>85</v>
      </c>
      <c r="AU285" s="67"/>
      <c r="CN285" t="s">
        <v>1961</v>
      </c>
      <c r="DA285" t="str" cm="1">
        <f t="array" ref="DA285:DC285">IF(U285&lt;&gt;"", TRANSPOSE(_xlfn._xlws.FILTER(CZ:CZ, CY:CY=U285, "")), "")</f>
        <v>Gwl (1N) - Dat - Orc (1N) - Hjr (1N) - San - Bho (2N) + Bhim + Bhoj - Ujj (1N) - Omk - Mah (1N) - Man (1N) - Idr</v>
      </c>
      <c r="DB285" t="str">
        <v>Bho - Bhoj - Bhim - Mad (1N) - Pen (1N) - Kan (2N) - Ban (2N) - Pan (1N) - Gwl (1N)</v>
      </c>
      <c r="DC285" t="str">
        <v>(1 N) Ujj - (2 N) Mah - (1 N) Idr - (1 N) Bho - (2 N) Pach - (1 N) Pench</v>
      </c>
    </row>
    <row r="286" spans="2:145" ht="15" customHeight="1">
      <c r="B286" s="35">
        <v>282</v>
      </c>
      <c r="C286" s="36" t="s">
        <v>1962</v>
      </c>
      <c r="D286" s="76">
        <v>46238</v>
      </c>
      <c r="E286" s="37" t="str">
        <f>IF(Table5[[#This Row],[Query Date]]&lt;&gt;"", TEXT(Table5[[#This Row],[Query Date]], "dddd"), "")</f>
        <v>Tuesday</v>
      </c>
      <c r="F286" s="37" t="str">
        <f>IF(Table5[[#This Row],[Query Date]]&lt;&gt;"", TEXT(Table5[[#This Row],[Query Date]], "mmmm"), "")</f>
        <v>August</v>
      </c>
      <c r="G286" s="28" t="s">
        <v>65</v>
      </c>
      <c r="H286" s="28" t="s">
        <v>99</v>
      </c>
      <c r="I286" s="28" t="s">
        <v>67</v>
      </c>
      <c r="J286" s="28" t="s">
        <v>68</v>
      </c>
      <c r="K286" s="28" t="s">
        <v>178</v>
      </c>
      <c r="L286" s="25" t="s">
        <v>70</v>
      </c>
      <c r="M286" s="112" t="s">
        <v>1248</v>
      </c>
      <c r="N286" s="25" t="s">
        <v>1963</v>
      </c>
      <c r="O286" s="130" t="s">
        <v>1964</v>
      </c>
      <c r="P286" s="46" t="s">
        <v>1965</v>
      </c>
      <c r="Q286" s="77">
        <v>46256</v>
      </c>
      <c r="R286" s="77" t="str">
        <f>IF(Table5[[#This Row],[Tour Starting Date]]&lt;&gt;"", TEXT(Table5[[#This Row],[Tour Starting Date]], "dddd"), "")</f>
        <v>Saturday</v>
      </c>
      <c r="S286" s="77">
        <v>46259</v>
      </c>
      <c r="T286" s="25" t="str">
        <f>IF(Table5[[#This Row],[Tour Ending Date]]&lt;&gt;"", TEXT(Table5[[#This Row],[Tour Ending Date]], "dddd"), "")</f>
        <v>Tuesday</v>
      </c>
      <c r="U28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3 Nights &amp; 4 Days</v>
      </c>
      <c r="V286" s="37" t="str">
        <f>IF(Table5[[#This Row],[Tour Starting Date]]&lt;&gt;"", TEXT(Table5[[#This Row],[Tour Starting Date]], "mmmm"), "")</f>
        <v>August</v>
      </c>
      <c r="W286" s="80" t="str" cm="1">
        <f t="array" ref="W286">IF(Q286&lt;&gt;"", INDEX(CI:CI, MATCH(1, (Q286&gt;=CG:CG)*(Q286&lt;=CH:CH), 0)), "")</f>
        <v>Regular Dates - Weekend</v>
      </c>
      <c r="X286" s="39">
        <v>4</v>
      </c>
      <c r="Y286" s="74">
        <v>30800</v>
      </c>
      <c r="Z286" s="74">
        <f>IF(OR(Table5[[#This Row],[Per Person Package Cost]]="", Table5[[#This Row],[No. of Pax]]=""), "", Table5[[#This Row],[Per Person Package Cost]] * Table5[[#This Row],[No. of Pax]])</f>
        <v>123200</v>
      </c>
      <c r="AA286" s="52" t="s">
        <v>75</v>
      </c>
      <c r="AB286" s="52" t="s">
        <v>75</v>
      </c>
      <c r="AC286" s="52" t="s">
        <v>134</v>
      </c>
      <c r="AD286" s="52" t="s">
        <v>106</v>
      </c>
      <c r="AE286" s="51" t="str">
        <f t="shared" si="37"/>
        <v>EXIDR04</v>
      </c>
      <c r="AF286" s="51" t="str">
        <f t="shared" si="38"/>
        <v>Heritage Pilgrimage</v>
      </c>
      <c r="AG286" s="74" t="str">
        <f t="shared" si="39"/>
        <v>Quick Getaways</v>
      </c>
      <c r="AH286" s="73" t="str">
        <f t="shared" si="43"/>
        <v>West MP</v>
      </c>
      <c r="AI286" s="52" t="s">
        <v>107</v>
      </c>
      <c r="AJ286" s="56" t="s">
        <v>78</v>
      </c>
      <c r="AK286" s="59" t="s">
        <v>79</v>
      </c>
      <c r="AL286" s="60" t="s">
        <v>80</v>
      </c>
      <c r="AM286" s="54" t="s">
        <v>80</v>
      </c>
      <c r="AN286" s="14">
        <v>46240</v>
      </c>
      <c r="AO286" s="15">
        <v>46245</v>
      </c>
      <c r="AP286" s="91">
        <v>46254</v>
      </c>
      <c r="AQ286" s="87"/>
      <c r="AR286" s="26"/>
      <c r="AS286" s="65"/>
      <c r="AT286" s="88" t="s">
        <v>81</v>
      </c>
      <c r="AU286" s="67"/>
      <c r="CN286" t="s">
        <v>1407</v>
      </c>
      <c r="DA286" t="str" cm="1">
        <f t="array" ref="DA286:EO286">IF(U286&lt;&gt;"", TRANSPOSE(_xlfn._xlws.FILTER(CZ:CZ, CY:CY=U286, "")), "")</f>
        <v>Gwl (3N) + Mor + Son + Dat + Orc</v>
      </c>
      <c r="DB286" t="str">
        <v>Ex Gwl | Gwl (1N) - Son - Dat - Orc (1N) - Gwl (1N)</v>
      </c>
      <c r="DC286" t="str">
        <v>Ex Idr | Idr - Ujj (1N) - Omk - Mah (1N) - Man (1N) - Idr</v>
      </c>
      <c r="DD286" t="str">
        <v>Ex Jlr | Jlr - Kan (2N) - Jlr (1N)</v>
      </c>
      <c r="DE286" t="str">
        <v>Ex Jlr | Jlr - Ban (2N) - Jlr (1N)</v>
      </c>
      <c r="DF286" t="str">
        <v>Ex Bho | Bho (1N) + San - Bhoj - Bhim - Pch (2N) - Bho</v>
      </c>
      <c r="DG286" t="str">
        <v>Ex Idr | Idr (1N) - Ujj (1N) - Omk (1N) - Mah - Idr</v>
      </c>
      <c r="DH286" t="str">
        <v>Gwl - Orc (1N) - Ckt (1N) - Myr (1N) - Jlr</v>
      </c>
      <c r="DI286" t="str">
        <v>Gwl - Orc (1N) - Ckt (2N) - Ixd</v>
      </c>
      <c r="DJ286" t="str">
        <v>Ex Idr | Idr - Ujj (1N) - Omk - Mah (1N) - Idr (1N)</v>
      </c>
      <c r="DK286" t="str">
        <v>Ex Jlr | Jlr - Kan (3N) - Jlr</v>
      </c>
      <c r="DL286" t="str">
        <v>Ex Bho | Bho (2N) + Bhim + Bhoj + San + Udaygiri + Vidisha + FDCT Bho</v>
      </c>
      <c r="DM286" t="str">
        <v>Bho (1N) + Bhim + Bhoj - HDCT  Bho + Sanchi - Ujj (2N)</v>
      </c>
      <c r="DN286" t="str">
        <v>Bho (1N) + Bhim + Bhoj - HDCT  Bho + Sanchi - Ujj (2N) - Idr</v>
      </c>
      <c r="DO286" t="str">
        <v>Ex Bho | Bho - Bhoj - Bhim - Mad (1N) - Pch (2N) - Bho</v>
      </c>
      <c r="DP286" t="str">
        <v>Ex Bho | Bho - Bhoj - Bhim - Mad (1N) - Pch (3N) - Bho</v>
      </c>
      <c r="DQ286" t="str">
        <v>Ex Bho | Bho - Bhoj - Bhim - Tawa (1N) - Mad (1N) - Bho (1N)</v>
      </c>
      <c r="DR286" t="str">
        <v>Bho (1N) - Bhim - Bhoj - San - Idr (2N) + Ujj</v>
      </c>
      <c r="DS286" t="str">
        <v>Bho (1N) - Bhoj - Bhim - Pch (2N) - Bho</v>
      </c>
      <c r="DT286" t="str">
        <v>Ujj (1N) - Omk - Mah (1N) - Idr (1N)</v>
      </c>
      <c r="DU286" t="str">
        <v>Ujj (1N) - Omk - Mah (1N) - Man (1N) - Idr</v>
      </c>
      <c r="DV286" t="str">
        <v>Ex Idr | Idr (1N) - Ujj (1N) - Omk - Mah (1N)</v>
      </c>
      <c r="DW286" t="str">
        <v>Ex Idr | Idr - Ujj (1N) - Omk (1N) - Mah (1N) - Idr</v>
      </c>
      <c r="DX286" t="str">
        <v>Khandwa - Omk (1N) - Mah (1N) - Ujj (1N) - Idr</v>
      </c>
      <c r="DY286" t="str">
        <v>Ex Idr | Idr - Ujj (1N) - Omk - Mah (1N) - Man - Idr (1N)</v>
      </c>
      <c r="DZ286" t="str">
        <v xml:space="preserve">Idr - Omk (1N) - Mah - Ujj (1N) San - Bho (1N) </v>
      </c>
      <c r="EA286" t="str">
        <v>Ex Idr | Idr - Man (1N) - Mah - Omk (1N) - Ujj (1N) - Idr</v>
      </c>
      <c r="EB286" t="str">
        <v>Khandwa - Omk (1N) - Mah - Ujj (2N)</v>
      </c>
      <c r="EC286" t="str">
        <v>Ex Jlr | Jlr (1N) - Amr (1N) - Ban (1N) - Jlr</v>
      </c>
      <c r="ED286" t="str">
        <v>Ex Jlr | Jlr - (1 N) Ban - (2 N) Amar</v>
      </c>
      <c r="EE286" t="str">
        <v>Jlr - Kan (1N) - Pch (2N)</v>
      </c>
      <c r="EF286" t="str">
        <v>Pi - Pch (2N)  - Kan (1N)</v>
      </c>
      <c r="EG286" t="str">
        <v>Ex Jlr | Jlr - Amr (1 N) - (1 N) Ban - (1 N) Jlr</v>
      </c>
      <c r="EH286" t="str">
        <v>Ppi - (2 N) Pch - (1 N) Pen</v>
      </c>
      <c r="EI286" t="str">
        <v>Bhp - Pch (2N) - Jlr (1N)</v>
      </c>
      <c r="EJ286" t="str">
        <v xml:space="preserve">Arr Jhn - Hjr (1N) - Orc - Gwl (2N) </v>
      </c>
      <c r="EK286" t="str">
        <v>(1 N) Ujj - (1 N) Mah - (1 N) Idr</v>
      </c>
      <c r="EL286" t="str">
        <v>Ex Bhp | Bhp - Bhoj - Bhim - Pch (3N) - Bhp</v>
      </c>
      <c r="EM286" t="str">
        <v>Ex Bhp | Bhp - Bhoj - Bhim - Pch (2N) - Mad (1N) - Bhp</v>
      </c>
      <c r="EN286" t="str">
        <v xml:space="preserve">Ex Nag - 3N Pch + Sat </v>
      </c>
      <c r="EO286" t="str">
        <v>1N Gwl - Son - Dat - 1N Hjr - 1N Orc - Jhn</v>
      </c>
    </row>
    <row r="287" spans="2:145" ht="15" customHeight="1">
      <c r="B287" s="34">
        <v>283</v>
      </c>
      <c r="C287" s="36" t="s">
        <v>1966</v>
      </c>
      <c r="D287" s="76">
        <v>46238</v>
      </c>
      <c r="E287" s="37" t="str">
        <f>IF(Table5[[#This Row],[Query Date]]&lt;&gt;"", TEXT(Table5[[#This Row],[Query Date]], "dddd"), "")</f>
        <v>Tuesday</v>
      </c>
      <c r="F287" s="37" t="str">
        <f>IF(Table5[[#This Row],[Query Date]]&lt;&gt;"", TEXT(Table5[[#This Row],[Query Date]], "mmmm"), "")</f>
        <v>August</v>
      </c>
      <c r="G287" s="28" t="s">
        <v>65</v>
      </c>
      <c r="H287" s="28" t="s">
        <v>99</v>
      </c>
      <c r="I287" s="28" t="s">
        <v>67</v>
      </c>
      <c r="J287" s="28" t="s">
        <v>68</v>
      </c>
      <c r="K287" s="28" t="s">
        <v>178</v>
      </c>
      <c r="L287" s="25" t="s">
        <v>70</v>
      </c>
      <c r="M287" s="112" t="s">
        <v>417</v>
      </c>
      <c r="N287" s="25" t="s">
        <v>418</v>
      </c>
      <c r="O287" s="130" t="s">
        <v>419</v>
      </c>
      <c r="P287" s="46" t="s">
        <v>420</v>
      </c>
      <c r="Q287" s="77">
        <v>46254</v>
      </c>
      <c r="R287" s="77" t="str">
        <f>IF(Table5[[#This Row],[Tour Starting Date]]&lt;&gt;"", TEXT(Table5[[#This Row],[Tour Starting Date]], "dddd"), "")</f>
        <v>Thursday</v>
      </c>
      <c r="S287" s="77">
        <v>46256</v>
      </c>
      <c r="T287" s="25" t="str">
        <f>IF(Table5[[#This Row],[Tour Ending Date]]&lt;&gt;"", TEXT(Table5[[#This Row],[Tour Ending Date]], "dddd"), "")</f>
        <v>Saturday</v>
      </c>
      <c r="U28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2 Nights &amp; 3 Days</v>
      </c>
      <c r="V287" s="37" t="str">
        <f>IF(Table5[[#This Row],[Tour Starting Date]]&lt;&gt;"", TEXT(Table5[[#This Row],[Tour Starting Date]], "mmmm"), "")</f>
        <v>August</v>
      </c>
      <c r="W287" s="80" t="str" cm="1">
        <f t="array" ref="W287">IF(Q287&lt;&gt;"", INDEX(CI:CI, MATCH(1, (Q287&gt;=CG:CG)*(Q287&lt;=CH:CH), 0)), "")</f>
        <v>Regular Dates - Weekday</v>
      </c>
      <c r="X287" s="39">
        <v>1</v>
      </c>
      <c r="Y287" s="74">
        <v>18500</v>
      </c>
      <c r="Z287" s="74">
        <f>IF(OR(Table5[[#This Row],[Per Person Package Cost]]="", Table5[[#This Row],[No. of Pax]]=""), "", Table5[[#This Row],[Per Person Package Cost]] * Table5[[#This Row],[No. of Pax]])</f>
        <v>18500</v>
      </c>
      <c r="AA287" s="52" t="s">
        <v>75</v>
      </c>
      <c r="AB287" s="52" t="s">
        <v>75</v>
      </c>
      <c r="AC287" s="52" t="s">
        <v>105</v>
      </c>
      <c r="AD287" s="52" t="s">
        <v>352</v>
      </c>
      <c r="AE287" s="51" t="str">
        <f t="shared" si="37"/>
        <v>EXIDR02</v>
      </c>
      <c r="AF287" s="51" t="str">
        <f t="shared" si="38"/>
        <v>Jyotirlinga Trails</v>
      </c>
      <c r="AG287" s="74" t="str">
        <f t="shared" si="39"/>
        <v>Quick Getaways</v>
      </c>
      <c r="AH287" s="73" t="str">
        <f t="shared" si="43"/>
        <v>West MP</v>
      </c>
      <c r="AI287" s="52" t="s">
        <v>159</v>
      </c>
      <c r="AJ287" s="56" t="s">
        <v>78</v>
      </c>
      <c r="AK287" s="59" t="s">
        <v>79</v>
      </c>
      <c r="AL287" s="60" t="s">
        <v>80</v>
      </c>
      <c r="AM287" s="54" t="s">
        <v>80</v>
      </c>
      <c r="AN287" s="14">
        <v>46240</v>
      </c>
      <c r="AO287" s="15"/>
      <c r="AP287" s="91"/>
      <c r="AQ287" s="87"/>
      <c r="AR287" s="26"/>
      <c r="AS287" s="65"/>
      <c r="AT287" s="88" t="s">
        <v>81</v>
      </c>
      <c r="AU287" s="67" t="s">
        <v>82</v>
      </c>
      <c r="CN287" t="s">
        <v>1967</v>
      </c>
      <c r="DA287" t="str" cm="1">
        <f t="array" ref="DA287:DY287">IF(U287&lt;&gt;"", TRANSPOSE(_xlfn._xlws.FILTER(CZ:CZ, CY:CY=U287, "")), "")</f>
        <v>Gwl (2N) + Mor</v>
      </c>
      <c r="DB287" t="str">
        <v>Ex Idr | Idr - Ujj (1N) - Omk - Mah (1N) - Man - Idr</v>
      </c>
      <c r="DC287" t="str">
        <v>Ujj (1N) - Omk - Idr (1N)</v>
      </c>
      <c r="DD287" t="str">
        <v>Ex Jlr | Jlr - Kan (2N) - Jlr</v>
      </c>
      <c r="DE287" t="str">
        <v>Ex Jlr | Jlr - Ban (2N) - Jlr</v>
      </c>
      <c r="DF287" t="str">
        <v>Ex Bho | Bho (2N) + Bhim + Bhoj + San</v>
      </c>
      <c r="DG287" t="str">
        <v>Ex Idr | Idr - Man (2N) - Idr</v>
      </c>
      <c r="DH287" t="str">
        <v>Ex Jlr | Jlr - Kan (2N) - Jlr</v>
      </c>
      <c r="DI287" t="str">
        <v>Ex Bho | Bho (2N) + Bhim + Bhoj + San + HDCT Bho</v>
      </c>
      <c r="DJ287" t="str">
        <v>Ex Bho | Bho - Bhim - Tawa (1N) - Mad (1N) - Bho</v>
      </c>
      <c r="DK287" t="str">
        <v>Ujj (1N) - Omk - Mah (1N) - Idr</v>
      </c>
      <c r="DL287" t="str">
        <v>Ujj (1N) -  Idr (1N)</v>
      </c>
      <c r="DM287" t="str">
        <v>Ex Idr | Idr (2N) + Ujj + Omk + Mah</v>
      </c>
      <c r="DN287" t="str">
        <v>Idr - Mah - Omk (1N) - Ujj (1N)</v>
      </c>
      <c r="DO287" t="str">
        <v>Idr - Ujj (1N) - Mah - Omk (1N) - Khandwa</v>
      </c>
      <c r="DP287" t="str">
        <v>Ex Idr | Idr (EX Ujj) (1N) - Mah - Omk (1N) - Idr HDCT</v>
      </c>
      <c r="DQ287" t="str">
        <v>Ujj (1N) - Sehor - Bho (1N) HDCT</v>
      </c>
      <c r="DR287" t="str">
        <v>Ex Jlr | Jlr (1N) - Ban (1N)</v>
      </c>
      <c r="DS287" t="str">
        <v>Ex Jlr | Ban (1N)</v>
      </c>
      <c r="DT287" t="str">
        <v>Ex Jlr | Jlr (2 N) Kan</v>
      </c>
      <c r="DU287" t="str">
        <v>Ex Jlr | Jlr - Amr (1 N) - (1 N) Ban</v>
      </c>
      <c r="DV287" t="str">
        <v>Ex Rpr | Rpr - (2N) Kan</v>
      </c>
      <c r="DW287" t="str">
        <v>Hjr (1N) - Mahi (1N) - Sat</v>
      </c>
      <c r="DX287" t="str">
        <v>Ex Bhp | Bhp - Bhim - Pch (2N) - Bhp</v>
      </c>
      <c r="DY287" t="str">
        <v xml:space="preserve">Ex Ujj I 2N Ujj </v>
      </c>
    </row>
    <row r="288" spans="2:145" ht="15" customHeight="1">
      <c r="B288" s="35">
        <v>284</v>
      </c>
      <c r="C288" s="36" t="s">
        <v>1968</v>
      </c>
      <c r="D288" s="76">
        <v>46238</v>
      </c>
      <c r="E288" s="37" t="str">
        <f>IF(Table5[[#This Row],[Query Date]]&lt;&gt;"", TEXT(Table5[[#This Row],[Query Date]], "dddd"), "")</f>
        <v>Tuesday</v>
      </c>
      <c r="F288" s="37" t="str">
        <f>IF(Table5[[#This Row],[Query Date]]&lt;&gt;"", TEXT(Table5[[#This Row],[Query Date]], "mmmm"), "")</f>
        <v>August</v>
      </c>
      <c r="G288" s="28" t="s">
        <v>65</v>
      </c>
      <c r="H288" s="28" t="s">
        <v>99</v>
      </c>
      <c r="I288" s="28" t="s">
        <v>67</v>
      </c>
      <c r="J288" s="28" t="s">
        <v>68</v>
      </c>
      <c r="K288" s="28" t="s">
        <v>178</v>
      </c>
      <c r="L288" s="25" t="s">
        <v>70</v>
      </c>
      <c r="M288" s="112" t="s">
        <v>417</v>
      </c>
      <c r="N288" s="25" t="s">
        <v>418</v>
      </c>
      <c r="O288" s="130" t="s">
        <v>419</v>
      </c>
      <c r="P288" s="46" t="s">
        <v>420</v>
      </c>
      <c r="Q288" s="77">
        <v>46275</v>
      </c>
      <c r="R288" s="77" t="str">
        <f>IF(Table5[[#This Row],[Tour Starting Date]]&lt;&gt;"", TEXT(Table5[[#This Row],[Tour Starting Date]], "dddd"), "")</f>
        <v>Thursday</v>
      </c>
      <c r="S288" s="77">
        <v>46276</v>
      </c>
      <c r="T288" s="25" t="str">
        <f>IF(Table5[[#This Row],[Tour Ending Date]]&lt;&gt;"", TEXT(Table5[[#This Row],[Tour Ending Date]], "dddd"), "")</f>
        <v>Friday</v>
      </c>
      <c r="U28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1 Nights &amp; 2 Days</v>
      </c>
      <c r="V288" s="37" t="str">
        <f>IF(Table5[[#This Row],[Tour Starting Date]]&lt;&gt;"", TEXT(Table5[[#This Row],[Tour Starting Date]], "mmmm"), "")</f>
        <v>September</v>
      </c>
      <c r="W288" s="80" t="str" cm="1">
        <f t="array" ref="W288">IF(Q288&lt;&gt;"", INDEX(CI:CI, MATCH(1, (Q288&gt;=CG:CG)*(Q288&lt;=CH:CH), 0)), "")</f>
        <v>Regular Dates - Weekday</v>
      </c>
      <c r="X288" s="39">
        <v>4</v>
      </c>
      <c r="Y288" s="74">
        <v>5000</v>
      </c>
      <c r="Z288" s="74">
        <f>IF(OR(Table5[[#This Row],[Per Person Package Cost]]="", Table5[[#This Row],[No. of Pax]]=""), "", Table5[[#This Row],[Per Person Package Cost]] * Table5[[#This Row],[No. of Pax]])</f>
        <v>20000</v>
      </c>
      <c r="AA288" s="52" t="s">
        <v>75</v>
      </c>
      <c r="AB288" s="52" t="s">
        <v>75</v>
      </c>
      <c r="AC288" s="52" t="s">
        <v>76</v>
      </c>
      <c r="AD288" s="52" t="s">
        <v>335</v>
      </c>
      <c r="AE288" s="51" t="str">
        <f t="shared" si="37"/>
        <v>EXIDR01</v>
      </c>
      <c r="AF288" s="51" t="str">
        <f t="shared" si="38"/>
        <v>Mahakaal Darshan</v>
      </c>
      <c r="AG288" s="74" t="str">
        <f t="shared" si="39"/>
        <v>Quick Getaways</v>
      </c>
      <c r="AH288" s="73" t="str">
        <f t="shared" si="43"/>
        <v>West MP</v>
      </c>
      <c r="AI288" s="52" t="s">
        <v>159</v>
      </c>
      <c r="AJ288" s="56" t="s">
        <v>78</v>
      </c>
      <c r="AK288" s="59" t="s">
        <v>79</v>
      </c>
      <c r="AL288" s="60" t="s">
        <v>80</v>
      </c>
      <c r="AM288" s="54" t="s">
        <v>80</v>
      </c>
      <c r="AN288" s="14">
        <v>46240</v>
      </c>
      <c r="AO288" s="15">
        <v>46254</v>
      </c>
      <c r="AP288" s="91">
        <v>46265</v>
      </c>
      <c r="AQ288" s="87"/>
      <c r="AR288" s="26"/>
      <c r="AS288" s="65"/>
      <c r="AT288" s="88" t="s">
        <v>81</v>
      </c>
      <c r="AU288" s="67" t="s">
        <v>82</v>
      </c>
      <c r="CN288" t="s">
        <v>1969</v>
      </c>
      <c r="DA288" t="str" cm="1">
        <f t="array" ref="DA288">IF(U288&lt;&gt;"", TRANSPOSE(_xlfn._xlws.FILTER(CZ:CZ, CY:CY=U288, "")), "")</f>
        <v/>
      </c>
    </row>
    <row r="289" spans="2:145" ht="15" customHeight="1">
      <c r="B289" s="34">
        <v>285</v>
      </c>
      <c r="C289" s="36" t="s">
        <v>1970</v>
      </c>
      <c r="D289" s="76">
        <v>46238</v>
      </c>
      <c r="E289" s="37" t="str">
        <f>IF(Table5[[#This Row],[Query Date]]&lt;&gt;"", TEXT(Table5[[#This Row],[Query Date]], "dddd"), "")</f>
        <v>Tuesday</v>
      </c>
      <c r="F289" s="37" t="str">
        <f>IF(Table5[[#This Row],[Query Date]]&lt;&gt;"", TEXT(Table5[[#This Row],[Query Date]], "mmmm"), "")</f>
        <v>August</v>
      </c>
      <c r="G289" s="28" t="s">
        <v>65</v>
      </c>
      <c r="H289" s="28" t="s">
        <v>120</v>
      </c>
      <c r="I289" s="28" t="s">
        <v>67</v>
      </c>
      <c r="J289" s="28" t="s">
        <v>145</v>
      </c>
      <c r="K289" s="28" t="s">
        <v>488</v>
      </c>
      <c r="L289" s="25" t="s">
        <v>70</v>
      </c>
      <c r="M289" s="112" t="s">
        <v>664</v>
      </c>
      <c r="N289" s="25" t="s">
        <v>1971</v>
      </c>
      <c r="O289" s="130" t="s">
        <v>1972</v>
      </c>
      <c r="P289" s="46" t="s">
        <v>1931</v>
      </c>
      <c r="Q289" s="77">
        <v>46281</v>
      </c>
      <c r="R289" s="77" t="str">
        <f>IF(Table5[[#This Row],[Tour Starting Date]]&lt;&gt;"", TEXT(Table5[[#This Row],[Tour Starting Date]], "dddd"), "")</f>
        <v>Wednesday</v>
      </c>
      <c r="S289" s="77">
        <v>46285</v>
      </c>
      <c r="T289" s="25" t="str">
        <f>IF(Table5[[#This Row],[Tour Ending Date]]&lt;&gt;"", TEXT(Table5[[#This Row],[Tour Ending Date]], "dddd"), "")</f>
        <v>Sunday</v>
      </c>
      <c r="U28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4 Nights &amp; 5 Days</v>
      </c>
      <c r="V289" s="37" t="str">
        <f>IF(Table5[[#This Row],[Tour Starting Date]]&lt;&gt;"", TEXT(Table5[[#This Row],[Tour Starting Date]], "mmmm"), "")</f>
        <v>September</v>
      </c>
      <c r="W289" s="80" t="str" cm="1">
        <f t="array" ref="W289">IF(Q289&lt;&gt;"", INDEX(CI:CI, MATCH(1, (Q289&gt;=CG:CG)*(Q289&lt;=CH:CH), 0)), "")</f>
        <v>Regular Dates - Weekday</v>
      </c>
      <c r="X289" s="39">
        <v>14</v>
      </c>
      <c r="Y289" s="74">
        <v>49500</v>
      </c>
      <c r="Z289" s="74">
        <f>IF(OR(Table5[[#This Row],[Per Person Package Cost]]="", Table5[[#This Row],[No. of Pax]]=""), "", Table5[[#This Row],[Per Person Package Cost]] * Table5[[#This Row],[No. of Pax]])</f>
        <v>693000</v>
      </c>
      <c r="AA289" s="52" t="s">
        <v>133</v>
      </c>
      <c r="AB289" s="52" t="s">
        <v>133</v>
      </c>
      <c r="AC289" s="52"/>
      <c r="AD289" s="52" t="s">
        <v>1212</v>
      </c>
      <c r="AE289" s="51" t="str">
        <f t="shared" si="37"/>
        <v>EXJBP19</v>
      </c>
      <c r="AF289" s="51" t="str">
        <f t="shared" si="38"/>
        <v>Kanha Safari &amp; Pachmarhi Retreat</v>
      </c>
      <c r="AG289" s="74" t="str">
        <f t="shared" si="39"/>
        <v>Quick Getaways</v>
      </c>
      <c r="AH289" s="73" t="str">
        <f t="shared" si="43"/>
        <v>East MP</v>
      </c>
      <c r="AI289" s="52" t="s">
        <v>107</v>
      </c>
      <c r="AJ289" s="56" t="s">
        <v>78</v>
      </c>
      <c r="AK289" s="59" t="s">
        <v>79</v>
      </c>
      <c r="AL289" s="60" t="s">
        <v>80</v>
      </c>
      <c r="AM289" s="54" t="s">
        <v>80</v>
      </c>
      <c r="AN289" s="14">
        <v>46240</v>
      </c>
      <c r="AO289" s="15">
        <v>46265</v>
      </c>
      <c r="AP289" s="91">
        <v>46274</v>
      </c>
      <c r="AQ289" s="87"/>
      <c r="AR289" s="26"/>
      <c r="AS289" s="65"/>
      <c r="AT289" s="88" t="s">
        <v>1973</v>
      </c>
      <c r="AU289" s="67"/>
      <c r="CN289" t="s">
        <v>1974</v>
      </c>
      <c r="DA289" t="str" cm="1">
        <f t="array" ref="DA289:EJ289">IF(U289&lt;&gt;"", TRANSPOSE(_xlfn._xlws.FILTER(CZ:CZ, CY:CY=U289, "")), "")</f>
        <v>Ex Gwl | Gwl (2N) + Mor - Son - Dat - Orc (1N) - Hjr (1N) - Gwl</v>
      </c>
      <c r="DB289" t="str">
        <v>Ex Idr | Idr - Ujj (1N) - Omk - Mah (1N) - Man (1N) - Idr (1N)</v>
      </c>
      <c r="DC289" t="str">
        <v>Ex Idr | Idr - Ujj (1N) - Omk (1N) - Mah (1N) - Man (1N) - Idr</v>
      </c>
      <c r="DD289" t="str">
        <v>Ex Jlr | Jlr - Kan (2N) - Amk (1N) - Jlr (1N)</v>
      </c>
      <c r="DE289" t="str">
        <v>Ex Jlr | Jlr - Ban (2N) - Amk (1N) - Jlr (1N)</v>
      </c>
      <c r="DF289" t="str">
        <v>Ex Jlr | Jlr (1N) - Hjr (1N) - Ban (2N) - Jlr</v>
      </c>
      <c r="DG289" t="str">
        <v>Ex Jlr | Jlr (1N) - Kan (1N) - Ban (2N) - Jlr</v>
      </c>
      <c r="DH289" t="str">
        <v>Ex Bho | Bho (1N) + San + Bhoj + Bhim - Tawa - Mad (1N) - Pch (2N) - Bho</v>
      </c>
      <c r="DI289" t="str">
        <v>Ex Idr | Idr - Ujj (1N) - Omk - Mah (1N) - Man (1N) - Idr (1N)</v>
      </c>
      <c r="DJ289" t="str">
        <v>Ex Bho | Bho (1N) - Bhoj - Bhim - Pch (3N) - Bho</v>
      </c>
      <c r="DK289" t="str">
        <v>Gwl (1N) - Dat (Pitambara Peeth) - Orc (1N) - Ckt (2N) - Ixd</v>
      </c>
      <c r="DL289" t="str">
        <v>Ex Jlr | Jlr - Ban (2N) - Kan (2N) - Jlr</v>
      </c>
      <c r="DM289" t="str">
        <v>Jlr - Ban (1N) - Kan (1N) - Pen (2N) - Nag</v>
      </c>
      <c r="DN289" t="str">
        <v>Ex Bho | Bho (1N) - Bhoj - Bhim - Pch (3N) - Bho</v>
      </c>
      <c r="DO289" t="str">
        <v>Ex Bho | Bho (2N) + Sanchi + Bhoj + Bhim - Tawa - Mad (1N) - Bho (1N)</v>
      </c>
      <c r="DP289" t="str">
        <v>Ex Bho | Bho - Bhoj - Bhim - Tawa (1N) - Mad (1N) - Pch (2N) - Bho</v>
      </c>
      <c r="DQ289" t="str">
        <v>Bho - Bhoj - Bhim - Pch (2N) - Kan (1N) - Jlr (1N)</v>
      </c>
      <c r="DR289" t="str">
        <v>Bho - Bhoj - Bhim - Pch (2N) - Kan (1N) - Amk (1N) - Jlr</v>
      </c>
      <c r="DS289" t="str">
        <v xml:space="preserve">Bho (1N) + Bhim + Bhoj + San - Ujj (1N) - Omk - Mah (1N) - Idr (1N) </v>
      </c>
      <c r="DT289" t="str">
        <v>Ex Gwl | Gwl - Hjr (1N) - Orc (1N) - Dat - Son - Gwl (2N)</v>
      </c>
      <c r="DU289" t="str">
        <v>Ex Gwl | Gwl - Orc (1N) - Hjr (1N) - Chn (1N) - Shiv (1N) - Gwl</v>
      </c>
      <c r="DV289" t="str">
        <v>Gwl - Hjr (1N) - Panna (1N) - Chit (1N) - Mahi (1N) - Sat</v>
      </c>
      <c r="DW289" t="str">
        <v>Jlr - (2 N) Kan - (2 N) Pch - Bhim - Bhoj - Bhp</v>
      </c>
      <c r="DX289" t="str">
        <v>Jlr - (2 N) Kan - (2 N) Pen - Rpr</v>
      </c>
      <c r="DY289" t="str">
        <v>Gwl (2N) (Ex Mor) - Dat -Orc (1N) - Hjr (1N) - Jhn</v>
      </c>
      <c r="DZ289" t="str">
        <v>Ex Gwl | Gwl (1N) - Son - Dat - Orc (1N) - Hjr (2N) (Ex Panna) - Gwl</v>
      </c>
      <c r="EA289" t="str">
        <v>Hjr (1N) - Orc (1N) - Dat - son - Gwl (2N)(Ex Mor)</v>
      </c>
      <c r="EB289" t="str">
        <v>(2 N) Gwl - (1 N) Orch - (1 N) Hjr</v>
      </c>
      <c r="EC289" t="str">
        <v>Ex Bhp | Bhp - Bhoj - Bhim - Pch (2N) - Mad (1N) - Tawa (1N) - Bhp</v>
      </c>
      <c r="ED289" t="str">
        <v>Ex Bhp | Bhp - Bhoj - Bhim - Pch (2N) - Mad (2N) - Bhp</v>
      </c>
      <c r="EE289" t="str">
        <v>Ex Idr | Idr - Ujj (1N) - Omk (1N) - Mah (2N) (Ex Man) - Idr (HDCT)</v>
      </c>
      <c r="EF289" t="str">
        <v>Arr Rpr - Amr (2N) - Par (2N) - IXD</v>
      </c>
      <c r="EG289" t="str">
        <v>1N Gwl - Orc - 2N Hjr - Jhn - 1N Gwl</v>
      </c>
      <c r="EH289" t="str">
        <v>1N Orc - 1N Hjr - 2N Gwl Ex Mor</v>
      </c>
      <c r="EI289" t="str">
        <v>1N Idr - Omk - 1N Mah - 1N Ujj - Seh - 1N Bho</v>
      </c>
      <c r="EJ289" t="str">
        <v>Ex Idr I 1N Idr - 1N Ujj - Omk - 2N Mah - Man - Idr</v>
      </c>
    </row>
    <row r="290" spans="2:145" ht="15" customHeight="1">
      <c r="B290" s="35">
        <v>286</v>
      </c>
      <c r="C290" s="36" t="s">
        <v>1975</v>
      </c>
      <c r="D290" s="76">
        <v>46238</v>
      </c>
      <c r="E290" s="37" t="str">
        <f>IF(Table5[[#This Row],[Query Date]]&lt;&gt;"", TEXT(Table5[[#This Row],[Query Date]], "dddd"), "")</f>
        <v>Tuesday</v>
      </c>
      <c r="F290" s="37" t="str">
        <f>IF(Table5[[#This Row],[Query Date]]&lt;&gt;"", TEXT(Table5[[#This Row],[Query Date]], "mmmm"), "")</f>
        <v>August</v>
      </c>
      <c r="G290" s="28" t="s">
        <v>113</v>
      </c>
      <c r="H290" s="28" t="s">
        <v>99</v>
      </c>
      <c r="I290" s="28" t="s">
        <v>67</v>
      </c>
      <c r="J290" s="28" t="s">
        <v>68</v>
      </c>
      <c r="K290" s="28" t="s">
        <v>178</v>
      </c>
      <c r="L290" s="25" t="s">
        <v>160</v>
      </c>
      <c r="M290" s="112" t="s">
        <v>90</v>
      </c>
      <c r="N290" s="25" t="s">
        <v>1976</v>
      </c>
      <c r="O290" s="130" t="s">
        <v>1977</v>
      </c>
      <c r="P290" s="46" t="s">
        <v>1978</v>
      </c>
      <c r="Q290" s="77">
        <v>46241</v>
      </c>
      <c r="R290" s="77" t="str">
        <f>IF(Table5[[#This Row],[Tour Starting Date]]&lt;&gt;"", TEXT(Table5[[#This Row],[Tour Starting Date]], "dddd"), "")</f>
        <v>Friday</v>
      </c>
      <c r="S290" s="77">
        <v>46244</v>
      </c>
      <c r="T290" s="25" t="str">
        <f>IF(Table5[[#This Row],[Tour Ending Date]]&lt;&gt;"", TEXT(Table5[[#This Row],[Tour Ending Date]], "dddd"), "")</f>
        <v>Monday</v>
      </c>
      <c r="U29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3 Nights &amp; 4 Days</v>
      </c>
      <c r="V290" s="37" t="str">
        <f>IF(Table5[[#This Row],[Tour Starting Date]]&lt;&gt;"", TEXT(Table5[[#This Row],[Tour Starting Date]], "mmmm"), "")</f>
        <v>August</v>
      </c>
      <c r="W290" s="80" t="str" cm="1">
        <f t="array" ref="W290">IF(Q290&lt;&gt;"", INDEX(CI:CI, MATCH(1, (Q290&gt;=CG:CG)*(Q290&lt;=CH:CH), 0)), "")</f>
        <v>Regular Dates - Weekend</v>
      </c>
      <c r="X290" s="39">
        <v>1</v>
      </c>
      <c r="Y290" s="74">
        <v>28000</v>
      </c>
      <c r="Z290" s="74">
        <f>IF(OR(Table5[[#This Row],[Per Person Package Cost]]="", Table5[[#This Row],[No. of Pax]]=""), "", Table5[[#This Row],[Per Person Package Cost]] * Table5[[#This Row],[No. of Pax]])</f>
        <v>28000</v>
      </c>
      <c r="AA290" s="52" t="s">
        <v>400</v>
      </c>
      <c r="AB290" s="52" t="s">
        <v>75</v>
      </c>
      <c r="AC290" s="52" t="s">
        <v>76</v>
      </c>
      <c r="AD290" s="52" t="s">
        <v>364</v>
      </c>
      <c r="AE290" s="51" t="str">
        <f t="shared" si="37"/>
        <v>EXIDR03</v>
      </c>
      <c r="AF290" s="51" t="str">
        <f t="shared" si="38"/>
        <v>Temple Fort Odyssey</v>
      </c>
      <c r="AG290" s="74" t="str">
        <f t="shared" si="39"/>
        <v>Quick Getaways</v>
      </c>
      <c r="AH290" s="73" t="str">
        <f t="shared" si="43"/>
        <v>West MP</v>
      </c>
      <c r="AI290" s="52" t="s">
        <v>159</v>
      </c>
      <c r="AJ290" s="56" t="s">
        <v>115</v>
      </c>
      <c r="AK290" s="59" t="s">
        <v>79</v>
      </c>
      <c r="AL290" s="60" t="s">
        <v>80</v>
      </c>
      <c r="AM290" s="54" t="s">
        <v>80</v>
      </c>
      <c r="AN290" s="14">
        <v>46240</v>
      </c>
      <c r="AO290" s="15"/>
      <c r="AP290" s="91"/>
      <c r="AQ290" s="87"/>
      <c r="AR290" s="26"/>
      <c r="AS290" s="65"/>
      <c r="AT290" s="88" t="s">
        <v>81</v>
      </c>
      <c r="AU290" s="67" t="s">
        <v>82</v>
      </c>
      <c r="CN290" t="s">
        <v>1979</v>
      </c>
      <c r="DA290" t="str" cm="1">
        <f t="array" ref="DA290:EO290">IF(U290&lt;&gt;"", TRANSPOSE(_xlfn._xlws.FILTER(CZ:CZ, CY:CY=U290, "")), "")</f>
        <v>Gwl (3N) + Mor + Son + Dat + Orc</v>
      </c>
      <c r="DB290" t="str">
        <v>Ex Gwl | Gwl (1N) - Son - Dat - Orc (1N) - Gwl (1N)</v>
      </c>
      <c r="DC290" t="str">
        <v>Ex Idr | Idr - Ujj (1N) - Omk - Mah (1N) - Man (1N) - Idr</v>
      </c>
      <c r="DD290" t="str">
        <v>Ex Jlr | Jlr - Kan (2N) - Jlr (1N)</v>
      </c>
      <c r="DE290" t="str">
        <v>Ex Jlr | Jlr - Ban (2N) - Jlr (1N)</v>
      </c>
      <c r="DF290" t="str">
        <v>Ex Bho | Bho (1N) + San - Bhoj - Bhim - Pch (2N) - Bho</v>
      </c>
      <c r="DG290" t="str">
        <v>Ex Idr | Idr (1N) - Ujj (1N) - Omk (1N) - Mah - Idr</v>
      </c>
      <c r="DH290" t="str">
        <v>Gwl - Orc (1N) - Ckt (1N) - Myr (1N) - Jlr</v>
      </c>
      <c r="DI290" t="str">
        <v>Gwl - Orc (1N) - Ckt (2N) - Ixd</v>
      </c>
      <c r="DJ290" t="str">
        <v>Ex Idr | Idr - Ujj (1N) - Omk - Mah (1N) - Idr (1N)</v>
      </c>
      <c r="DK290" t="str">
        <v>Ex Jlr | Jlr - Kan (3N) - Jlr</v>
      </c>
      <c r="DL290" t="str">
        <v>Ex Bho | Bho (2N) + Bhim + Bhoj + San + Udaygiri + Vidisha + FDCT Bho</v>
      </c>
      <c r="DM290" t="str">
        <v>Bho (1N) + Bhim + Bhoj - HDCT  Bho + Sanchi - Ujj (2N)</v>
      </c>
      <c r="DN290" t="str">
        <v>Bho (1N) + Bhim + Bhoj - HDCT  Bho + Sanchi - Ujj (2N) - Idr</v>
      </c>
      <c r="DO290" t="str">
        <v>Ex Bho | Bho - Bhoj - Bhim - Mad (1N) - Pch (2N) - Bho</v>
      </c>
      <c r="DP290" t="str">
        <v>Ex Bho | Bho - Bhoj - Bhim - Mad (1N) - Pch (3N) - Bho</v>
      </c>
      <c r="DQ290" t="str">
        <v>Ex Bho | Bho - Bhoj - Bhim - Tawa (1N) - Mad (1N) - Bho (1N)</v>
      </c>
      <c r="DR290" t="str">
        <v>Bho (1N) - Bhim - Bhoj - San - Idr (2N) + Ujj</v>
      </c>
      <c r="DS290" t="str">
        <v>Bho (1N) - Bhoj - Bhim - Pch (2N) - Bho</v>
      </c>
      <c r="DT290" t="str">
        <v>Ujj (1N) - Omk - Mah (1N) - Idr (1N)</v>
      </c>
      <c r="DU290" t="str">
        <v>Ujj (1N) - Omk - Mah (1N) - Man (1N) - Idr</v>
      </c>
      <c r="DV290" t="str">
        <v>Ex Idr | Idr (1N) - Ujj (1N) - Omk - Mah (1N)</v>
      </c>
      <c r="DW290" t="str">
        <v>Ex Idr | Idr - Ujj (1N) - Omk (1N) - Mah (1N) - Idr</v>
      </c>
      <c r="DX290" t="str">
        <v>Khandwa - Omk (1N) - Mah (1N) - Ujj (1N) - Idr</v>
      </c>
      <c r="DY290" t="str">
        <v>Ex Idr | Idr - Ujj (1N) - Omk - Mah (1N) - Man - Idr (1N)</v>
      </c>
      <c r="DZ290" t="str">
        <v xml:space="preserve">Idr - Omk (1N) - Mah - Ujj (1N) San - Bho (1N) </v>
      </c>
      <c r="EA290" t="str">
        <v>Ex Idr | Idr - Man (1N) - Mah - Omk (1N) - Ujj (1N) - Idr</v>
      </c>
      <c r="EB290" t="str">
        <v>Khandwa - Omk (1N) - Mah - Ujj (2N)</v>
      </c>
      <c r="EC290" t="str">
        <v>Ex Jlr | Jlr (1N) - Amr (1N) - Ban (1N) - Jlr</v>
      </c>
      <c r="ED290" t="str">
        <v>Ex Jlr | Jlr - (1 N) Ban - (2 N) Amar</v>
      </c>
      <c r="EE290" t="str">
        <v>Jlr - Kan (1N) - Pch (2N)</v>
      </c>
      <c r="EF290" t="str">
        <v>Pi - Pch (2N)  - Kan (1N)</v>
      </c>
      <c r="EG290" t="str">
        <v>Ex Jlr | Jlr - Amr (1 N) - (1 N) Ban - (1 N) Jlr</v>
      </c>
      <c r="EH290" t="str">
        <v>Ppi - (2 N) Pch - (1 N) Pen</v>
      </c>
      <c r="EI290" t="str">
        <v>Bhp - Pch (2N) - Jlr (1N)</v>
      </c>
      <c r="EJ290" t="str">
        <v xml:space="preserve">Arr Jhn - Hjr (1N) - Orc - Gwl (2N) </v>
      </c>
      <c r="EK290" t="str">
        <v>(1 N) Ujj - (1 N) Mah - (1 N) Idr</v>
      </c>
      <c r="EL290" t="str">
        <v>Ex Bhp | Bhp - Bhoj - Bhim - Pch (3N) - Bhp</v>
      </c>
      <c r="EM290" t="str">
        <v>Ex Bhp | Bhp - Bhoj - Bhim - Pch (2N) - Mad (1N) - Bhp</v>
      </c>
      <c r="EN290" t="str">
        <v xml:space="preserve">Ex Nag - 3N Pch + Sat </v>
      </c>
      <c r="EO290" t="str">
        <v>1N Gwl - Son - Dat - 1N Hjr - 1N Orc - Jhn</v>
      </c>
    </row>
    <row r="291" spans="2:145" ht="15" customHeight="1">
      <c r="B291" s="34">
        <v>287</v>
      </c>
      <c r="C291" s="36" t="s">
        <v>1980</v>
      </c>
      <c r="D291" s="76">
        <v>46238</v>
      </c>
      <c r="E291" s="37" t="str">
        <f>IF(Table5[[#This Row],[Query Date]]&lt;&gt;"", TEXT(Table5[[#This Row],[Query Date]], "dddd"), "")</f>
        <v>Tuesday</v>
      </c>
      <c r="F291" s="37" t="str">
        <f>IF(Table5[[#This Row],[Query Date]]&lt;&gt;"", TEXT(Table5[[#This Row],[Query Date]], "mmmm"), "")</f>
        <v>August</v>
      </c>
      <c r="G291" s="28" t="s">
        <v>113</v>
      </c>
      <c r="H291" s="28" t="s">
        <v>99</v>
      </c>
      <c r="I291" s="28" t="s">
        <v>67</v>
      </c>
      <c r="J291" s="28" t="s">
        <v>68</v>
      </c>
      <c r="K291" s="28" t="s">
        <v>178</v>
      </c>
      <c r="L291" s="25" t="s">
        <v>160</v>
      </c>
      <c r="M291" s="112" t="s">
        <v>90</v>
      </c>
      <c r="N291" s="25" t="s">
        <v>1981</v>
      </c>
      <c r="O291" s="130" t="s">
        <v>1982</v>
      </c>
      <c r="P291" s="46" t="s">
        <v>1638</v>
      </c>
      <c r="Q291" s="77">
        <v>46275</v>
      </c>
      <c r="R291" s="77" t="str">
        <f>IF(Table5[[#This Row],[Tour Starting Date]]&lt;&gt;"", TEXT(Table5[[#This Row],[Tour Starting Date]], "dddd"), "")</f>
        <v>Thursday</v>
      </c>
      <c r="S291" s="77">
        <v>46277</v>
      </c>
      <c r="T291" s="25" t="str">
        <f>IF(Table5[[#This Row],[Tour Ending Date]]&lt;&gt;"", TEXT(Table5[[#This Row],[Tour Ending Date]], "dddd"), "")</f>
        <v>Saturday</v>
      </c>
      <c r="U29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2 Nights &amp; 3 Days</v>
      </c>
      <c r="V291" s="37" t="str">
        <f>IF(Table5[[#This Row],[Tour Starting Date]]&lt;&gt;"", TEXT(Table5[[#This Row],[Tour Starting Date]], "mmmm"), "")</f>
        <v>September</v>
      </c>
      <c r="W291" s="80" t="str" cm="1">
        <f t="array" ref="W291">IF(Q291&lt;&gt;"", INDEX(CI:CI, MATCH(1, (Q291&gt;=CG:CG)*(Q291&lt;=CH:CH), 0)), "")</f>
        <v>Regular Dates - Weekday</v>
      </c>
      <c r="X291" s="39">
        <v>2</v>
      </c>
      <c r="Y291" s="74">
        <v>9500</v>
      </c>
      <c r="Z291" s="74">
        <f>IF(OR(Table5[[#This Row],[Per Person Package Cost]]="", Table5[[#This Row],[No. of Pax]]=""), "", Table5[[#This Row],[Per Person Package Cost]] * Table5[[#This Row],[No. of Pax]])</f>
        <v>19000</v>
      </c>
      <c r="AA291" s="52" t="s">
        <v>75</v>
      </c>
      <c r="AB291" s="52" t="s">
        <v>75</v>
      </c>
      <c r="AC291" s="52" t="s">
        <v>105</v>
      </c>
      <c r="AD291" s="52" t="s">
        <v>352</v>
      </c>
      <c r="AE291" s="51" t="str">
        <f t="shared" si="37"/>
        <v>EXIDR02</v>
      </c>
      <c r="AF291" s="51" t="str">
        <f t="shared" si="38"/>
        <v>Jyotirlinga Trails</v>
      </c>
      <c r="AG291" s="74" t="str">
        <f t="shared" si="39"/>
        <v>Quick Getaways</v>
      </c>
      <c r="AH291" s="73" t="str">
        <f t="shared" si="43"/>
        <v>West MP</v>
      </c>
      <c r="AI291" s="52" t="s">
        <v>159</v>
      </c>
      <c r="AJ291" s="56" t="s">
        <v>115</v>
      </c>
      <c r="AK291" s="59" t="s">
        <v>79</v>
      </c>
      <c r="AL291" s="60" t="s">
        <v>80</v>
      </c>
      <c r="AM291" s="54" t="s">
        <v>80</v>
      </c>
      <c r="AN291" s="14">
        <v>46240</v>
      </c>
      <c r="AO291" s="15"/>
      <c r="AP291" s="91"/>
      <c r="AQ291" s="87"/>
      <c r="AR291" s="26"/>
      <c r="AS291" s="65"/>
      <c r="AT291" s="88" t="s">
        <v>138</v>
      </c>
      <c r="AU291" s="67"/>
      <c r="CN291" t="s">
        <v>1983</v>
      </c>
      <c r="DA291" t="str" cm="1">
        <f t="array" ref="DA291:DY291">IF(U291&lt;&gt;"", TRANSPOSE(_xlfn._xlws.FILTER(CZ:CZ, CY:CY=U291, "")), "")</f>
        <v>Gwl (2N) + Mor</v>
      </c>
      <c r="DB291" t="str">
        <v>Ex Idr | Idr - Ujj (1N) - Omk - Mah (1N) - Man - Idr</v>
      </c>
      <c r="DC291" t="str">
        <v>Ujj (1N) - Omk - Idr (1N)</v>
      </c>
      <c r="DD291" t="str">
        <v>Ex Jlr | Jlr - Kan (2N) - Jlr</v>
      </c>
      <c r="DE291" t="str">
        <v>Ex Jlr | Jlr - Ban (2N) - Jlr</v>
      </c>
      <c r="DF291" t="str">
        <v>Ex Bho | Bho (2N) + Bhim + Bhoj + San</v>
      </c>
      <c r="DG291" t="str">
        <v>Ex Idr | Idr - Man (2N) - Idr</v>
      </c>
      <c r="DH291" t="str">
        <v>Ex Jlr | Jlr - Kan (2N) - Jlr</v>
      </c>
      <c r="DI291" t="str">
        <v>Ex Bho | Bho (2N) + Bhim + Bhoj + San + HDCT Bho</v>
      </c>
      <c r="DJ291" t="str">
        <v>Ex Bho | Bho - Bhim - Tawa (1N) - Mad (1N) - Bho</v>
      </c>
      <c r="DK291" t="str">
        <v>Ujj (1N) - Omk - Mah (1N) - Idr</v>
      </c>
      <c r="DL291" t="str">
        <v>Ujj (1N) -  Idr (1N)</v>
      </c>
      <c r="DM291" t="str">
        <v>Ex Idr | Idr (2N) + Ujj + Omk + Mah</v>
      </c>
      <c r="DN291" t="str">
        <v>Idr - Mah - Omk (1N) - Ujj (1N)</v>
      </c>
      <c r="DO291" t="str">
        <v>Idr - Ujj (1N) - Mah - Omk (1N) - Khandwa</v>
      </c>
      <c r="DP291" t="str">
        <v>Ex Idr | Idr (EX Ujj) (1N) - Mah - Omk (1N) - Idr HDCT</v>
      </c>
      <c r="DQ291" t="str">
        <v>Ujj (1N) - Sehor - Bho (1N) HDCT</v>
      </c>
      <c r="DR291" t="str">
        <v>Ex Jlr | Jlr (1N) - Ban (1N)</v>
      </c>
      <c r="DS291" t="str">
        <v>Ex Jlr | Ban (1N)</v>
      </c>
      <c r="DT291" t="str">
        <v>Ex Jlr | Jlr (2 N) Kan</v>
      </c>
      <c r="DU291" t="str">
        <v>Ex Jlr | Jlr - Amr (1 N) - (1 N) Ban</v>
      </c>
      <c r="DV291" t="str">
        <v>Ex Rpr | Rpr - (2N) Kan</v>
      </c>
      <c r="DW291" t="str">
        <v>Hjr (1N) - Mahi (1N) - Sat</v>
      </c>
      <c r="DX291" t="str">
        <v>Ex Bhp | Bhp - Bhim - Pch (2N) - Bhp</v>
      </c>
      <c r="DY291" t="str">
        <v xml:space="preserve">Ex Ujj I 2N Ujj </v>
      </c>
    </row>
    <row r="292" spans="2:145" ht="15" customHeight="1">
      <c r="B292" s="35">
        <v>288</v>
      </c>
      <c r="C292" s="36" t="s">
        <v>1984</v>
      </c>
      <c r="D292" s="76">
        <v>46240</v>
      </c>
      <c r="E292" s="37" t="str">
        <f>IF(Table5[[#This Row],[Query Date]]&lt;&gt;"", TEXT(Table5[[#This Row],[Query Date]], "dddd"), "")</f>
        <v>Thursday</v>
      </c>
      <c r="F292" s="37" t="str">
        <f>IF(Table5[[#This Row],[Query Date]]&lt;&gt;"", TEXT(Table5[[#This Row],[Query Date]], "mmmm"), "")</f>
        <v>August</v>
      </c>
      <c r="G292" s="28" t="s">
        <v>65</v>
      </c>
      <c r="H292" s="28" t="s">
        <v>99</v>
      </c>
      <c r="I292" s="28" t="s">
        <v>67</v>
      </c>
      <c r="J292" s="28" t="s">
        <v>68</v>
      </c>
      <c r="K292" s="28" t="s">
        <v>69</v>
      </c>
      <c r="L292" s="25" t="s">
        <v>70</v>
      </c>
      <c r="M292" s="112" t="s">
        <v>1985</v>
      </c>
      <c r="N292" s="25" t="s">
        <v>1986</v>
      </c>
      <c r="O292" s="130" t="s">
        <v>1987</v>
      </c>
      <c r="P292" s="46" t="s">
        <v>1988</v>
      </c>
      <c r="Q292" s="77">
        <v>46327</v>
      </c>
      <c r="R292" s="77" t="str">
        <f>IF(Table5[[#This Row],[Tour Starting Date]]&lt;&gt;"", TEXT(Table5[[#This Row],[Tour Starting Date]], "dddd"), "")</f>
        <v>Sunday</v>
      </c>
      <c r="S292" s="77">
        <v>46330</v>
      </c>
      <c r="T292" s="25" t="str">
        <f>IF(Table5[[#This Row],[Tour Ending Date]]&lt;&gt;"", TEXT(Table5[[#This Row],[Tour Ending Date]], "dddd"), "")</f>
        <v>Wednesday</v>
      </c>
      <c r="U29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3 Nights &amp; 4 Days</v>
      </c>
      <c r="V292" s="37" t="str">
        <f>IF(Table5[[#This Row],[Tour Starting Date]]&lt;&gt;"", TEXT(Table5[[#This Row],[Tour Starting Date]], "mmmm"), "")</f>
        <v>November</v>
      </c>
      <c r="W292" s="80" t="str" cm="1">
        <f t="array" ref="W292">IF(Q292&lt;&gt;"", INDEX(CI:CI, MATCH(1, (Q292&gt;=CG:CG)*(Q292&lt;=CH:CH), 0)), "")</f>
        <v>Regular Dates - Weekend</v>
      </c>
      <c r="X292" s="39">
        <v>7</v>
      </c>
      <c r="Y292" s="74">
        <v>14500</v>
      </c>
      <c r="Z292" s="74">
        <f>IF(OR(Table5[[#This Row],[Per Person Package Cost]]="", Table5[[#This Row],[No. of Pax]]=""), "", Table5[[#This Row],[Per Person Package Cost]] * Table5[[#This Row],[No. of Pax]])</f>
        <v>101500</v>
      </c>
      <c r="AA292" s="52" t="s">
        <v>75</v>
      </c>
      <c r="AB292" s="52" t="s">
        <v>75</v>
      </c>
      <c r="AC292" s="52" t="s">
        <v>173</v>
      </c>
      <c r="AD292" s="52" t="s">
        <v>106</v>
      </c>
      <c r="AE292" s="51" t="str">
        <f t="shared" si="37"/>
        <v>EXIDR04</v>
      </c>
      <c r="AF292" s="51" t="str">
        <f t="shared" si="38"/>
        <v>Heritage Pilgrimage</v>
      </c>
      <c r="AG292" s="74" t="str">
        <f t="shared" si="39"/>
        <v>Quick Getaways</v>
      </c>
      <c r="AH292" s="73" t="str">
        <f t="shared" si="43"/>
        <v>West MP</v>
      </c>
      <c r="AI292" s="52" t="s">
        <v>159</v>
      </c>
      <c r="AJ292" s="56" t="s">
        <v>78</v>
      </c>
      <c r="AK292" s="59" t="s">
        <v>79</v>
      </c>
      <c r="AL292" s="60" t="s">
        <v>80</v>
      </c>
      <c r="AM292" s="54" t="s">
        <v>80</v>
      </c>
      <c r="AN292" s="14">
        <v>46254</v>
      </c>
      <c r="AO292" s="15">
        <v>46268</v>
      </c>
      <c r="AP292" s="91"/>
      <c r="AQ292" s="87"/>
      <c r="AR292" s="26"/>
      <c r="AS292" s="65"/>
      <c r="AT292" s="88" t="s">
        <v>81</v>
      </c>
      <c r="AU292" s="67" t="s">
        <v>82</v>
      </c>
      <c r="CN292" t="s">
        <v>1989</v>
      </c>
      <c r="DA292" t="str" cm="1">
        <f t="array" ref="DA292:EO292">IF(U292&lt;&gt;"", TRANSPOSE(_xlfn._xlws.FILTER(CZ:CZ, CY:CY=U292, "")), "")</f>
        <v>Gwl (3N) + Mor + Son + Dat + Orc</v>
      </c>
      <c r="DB292" t="str">
        <v>Ex Gwl | Gwl (1N) - Son - Dat - Orc (1N) - Gwl (1N)</v>
      </c>
      <c r="DC292" t="str">
        <v>Ex Idr | Idr - Ujj (1N) - Omk - Mah (1N) - Man (1N) - Idr</v>
      </c>
      <c r="DD292" t="str">
        <v>Ex Jlr | Jlr - Kan (2N) - Jlr (1N)</v>
      </c>
      <c r="DE292" t="str">
        <v>Ex Jlr | Jlr - Ban (2N) - Jlr (1N)</v>
      </c>
      <c r="DF292" t="str">
        <v>Ex Bho | Bho (1N) + San - Bhoj - Bhim - Pch (2N) - Bho</v>
      </c>
      <c r="DG292" t="str">
        <v>Ex Idr | Idr (1N) - Ujj (1N) - Omk (1N) - Mah - Idr</v>
      </c>
      <c r="DH292" t="str">
        <v>Gwl - Orc (1N) - Ckt (1N) - Myr (1N) - Jlr</v>
      </c>
      <c r="DI292" t="str">
        <v>Gwl - Orc (1N) - Ckt (2N) - Ixd</v>
      </c>
      <c r="DJ292" t="str">
        <v>Ex Idr | Idr - Ujj (1N) - Omk - Mah (1N) - Idr (1N)</v>
      </c>
      <c r="DK292" t="str">
        <v>Ex Jlr | Jlr - Kan (3N) - Jlr</v>
      </c>
      <c r="DL292" t="str">
        <v>Ex Bho | Bho (2N) + Bhim + Bhoj + San + Udaygiri + Vidisha + FDCT Bho</v>
      </c>
      <c r="DM292" t="str">
        <v>Bho (1N) + Bhim + Bhoj - HDCT  Bho + Sanchi - Ujj (2N)</v>
      </c>
      <c r="DN292" t="str">
        <v>Bho (1N) + Bhim + Bhoj - HDCT  Bho + Sanchi - Ujj (2N) - Idr</v>
      </c>
      <c r="DO292" t="str">
        <v>Ex Bho | Bho - Bhoj - Bhim - Mad (1N) - Pch (2N) - Bho</v>
      </c>
      <c r="DP292" t="str">
        <v>Ex Bho | Bho - Bhoj - Bhim - Mad (1N) - Pch (3N) - Bho</v>
      </c>
      <c r="DQ292" t="str">
        <v>Ex Bho | Bho - Bhoj - Bhim - Tawa (1N) - Mad (1N) - Bho (1N)</v>
      </c>
      <c r="DR292" t="str">
        <v>Bho (1N) - Bhim - Bhoj - San - Idr (2N) + Ujj</v>
      </c>
      <c r="DS292" t="str">
        <v>Bho (1N) - Bhoj - Bhim - Pch (2N) - Bho</v>
      </c>
      <c r="DT292" t="str">
        <v>Ujj (1N) - Omk - Mah (1N) - Idr (1N)</v>
      </c>
      <c r="DU292" t="str">
        <v>Ujj (1N) - Omk - Mah (1N) - Man (1N) - Idr</v>
      </c>
      <c r="DV292" t="str">
        <v>Ex Idr | Idr (1N) - Ujj (1N) - Omk - Mah (1N)</v>
      </c>
      <c r="DW292" t="str">
        <v>Ex Idr | Idr - Ujj (1N) - Omk (1N) - Mah (1N) - Idr</v>
      </c>
      <c r="DX292" t="str">
        <v>Khandwa - Omk (1N) - Mah (1N) - Ujj (1N) - Idr</v>
      </c>
      <c r="DY292" t="str">
        <v>Ex Idr | Idr - Ujj (1N) - Omk - Mah (1N) - Man - Idr (1N)</v>
      </c>
      <c r="DZ292" t="str">
        <v xml:space="preserve">Idr - Omk (1N) - Mah - Ujj (1N) San - Bho (1N) </v>
      </c>
      <c r="EA292" t="str">
        <v>Ex Idr | Idr - Man (1N) - Mah - Omk (1N) - Ujj (1N) - Idr</v>
      </c>
      <c r="EB292" t="str">
        <v>Khandwa - Omk (1N) - Mah - Ujj (2N)</v>
      </c>
      <c r="EC292" t="str">
        <v>Ex Jlr | Jlr (1N) - Amr (1N) - Ban (1N) - Jlr</v>
      </c>
      <c r="ED292" t="str">
        <v>Ex Jlr | Jlr - (1 N) Ban - (2 N) Amar</v>
      </c>
      <c r="EE292" t="str">
        <v>Jlr - Kan (1N) - Pch (2N)</v>
      </c>
      <c r="EF292" t="str">
        <v>Pi - Pch (2N)  - Kan (1N)</v>
      </c>
      <c r="EG292" t="str">
        <v>Ex Jlr | Jlr - Amr (1 N) - (1 N) Ban - (1 N) Jlr</v>
      </c>
      <c r="EH292" t="str">
        <v>Ppi - (2 N) Pch - (1 N) Pen</v>
      </c>
      <c r="EI292" t="str">
        <v>Bhp - Pch (2N) - Jlr (1N)</v>
      </c>
      <c r="EJ292" t="str">
        <v xml:space="preserve">Arr Jhn - Hjr (1N) - Orc - Gwl (2N) </v>
      </c>
      <c r="EK292" t="str">
        <v>(1 N) Ujj - (1 N) Mah - (1 N) Idr</v>
      </c>
      <c r="EL292" t="str">
        <v>Ex Bhp | Bhp - Bhoj - Bhim - Pch (3N) - Bhp</v>
      </c>
      <c r="EM292" t="str">
        <v>Ex Bhp | Bhp - Bhoj - Bhim - Pch (2N) - Mad (1N) - Bhp</v>
      </c>
      <c r="EN292" t="str">
        <v xml:space="preserve">Ex Nag - 3N Pch + Sat </v>
      </c>
      <c r="EO292" t="str">
        <v>1N Gwl - Son - Dat - 1N Hjr - 1N Orc - Jhn</v>
      </c>
    </row>
    <row r="293" spans="2:145" ht="15" customHeight="1">
      <c r="B293" s="34">
        <v>289</v>
      </c>
      <c r="C293" s="36" t="s">
        <v>1990</v>
      </c>
      <c r="D293" s="76">
        <v>46240</v>
      </c>
      <c r="E293" s="37" t="str">
        <f>IF(Table5[[#This Row],[Query Date]]&lt;&gt;"", TEXT(Table5[[#This Row],[Query Date]], "dddd"), "")</f>
        <v>Thursday</v>
      </c>
      <c r="F293" s="37" t="str">
        <f>IF(Table5[[#This Row],[Query Date]]&lt;&gt;"", TEXT(Table5[[#This Row],[Query Date]], "mmmm"), "")</f>
        <v>August</v>
      </c>
      <c r="G293" s="28" t="s">
        <v>65</v>
      </c>
      <c r="H293" s="28" t="s">
        <v>66</v>
      </c>
      <c r="I293" s="28" t="s">
        <v>67</v>
      </c>
      <c r="J293" s="28" t="s">
        <v>68</v>
      </c>
      <c r="K293" s="28" t="s">
        <v>535</v>
      </c>
      <c r="L293" s="25" t="s">
        <v>70</v>
      </c>
      <c r="M293" s="112" t="s">
        <v>464</v>
      </c>
      <c r="N293" s="25" t="s">
        <v>465</v>
      </c>
      <c r="O293" s="130" t="s">
        <v>466</v>
      </c>
      <c r="P293" s="106" t="s">
        <v>1551</v>
      </c>
      <c r="Q293" s="77">
        <v>46309</v>
      </c>
      <c r="R293" s="77" t="str">
        <f>IF(Table5[[#This Row],[Tour Starting Date]]&lt;&gt;"", TEXT(Table5[[#This Row],[Tour Starting Date]], "dddd"), "")</f>
        <v>Wednesday</v>
      </c>
      <c r="S293" s="77">
        <v>46312</v>
      </c>
      <c r="T293" s="25" t="str">
        <f>IF(Table5[[#This Row],[Tour Ending Date]]&lt;&gt;"", TEXT(Table5[[#This Row],[Tour Ending Date]], "dddd"), "")</f>
        <v>Saturday</v>
      </c>
      <c r="U29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3 Nights &amp; 4 Days</v>
      </c>
      <c r="V293" s="37" t="str">
        <f>IF(Table5[[#This Row],[Tour Starting Date]]&lt;&gt;"", TEXT(Table5[[#This Row],[Tour Starting Date]], "mmmm"), "")</f>
        <v>October</v>
      </c>
      <c r="W293" s="80" t="str" cm="1">
        <f t="array" ref="W293">IF(Q293&lt;&gt;"", INDEX(CI:CI, MATCH(1, (Q293&gt;=CG:CG)*(Q293&lt;=CH:CH), 0)), "")</f>
        <v>Regular Dates - Weekday</v>
      </c>
      <c r="X293" s="39">
        <v>4</v>
      </c>
      <c r="Y293" s="74">
        <v>15600</v>
      </c>
      <c r="Z293" s="74">
        <f>IF(OR(Table5[[#This Row],[Per Person Package Cost]]="", Table5[[#This Row],[No. of Pax]]=""), "", Table5[[#This Row],[Per Person Package Cost]] * Table5[[#This Row],[No. of Pax]])</f>
        <v>62400</v>
      </c>
      <c r="AA293" s="52" t="s">
        <v>75</v>
      </c>
      <c r="AB293" s="52" t="s">
        <v>75</v>
      </c>
      <c r="AC293" s="52" t="s">
        <v>173</v>
      </c>
      <c r="AD293" s="52" t="s">
        <v>364</v>
      </c>
      <c r="AE293" s="51" t="str">
        <f t="shared" si="37"/>
        <v>EXIDR03</v>
      </c>
      <c r="AF293" s="51" t="str">
        <f t="shared" si="38"/>
        <v>Temple Fort Odyssey</v>
      </c>
      <c r="AG293" s="74" t="str">
        <f t="shared" si="39"/>
        <v>Quick Getaways</v>
      </c>
      <c r="AH293" s="73" t="str">
        <f t="shared" si="43"/>
        <v>West MP</v>
      </c>
      <c r="AI293" s="52" t="s">
        <v>159</v>
      </c>
      <c r="AJ293" s="56" t="s">
        <v>78</v>
      </c>
      <c r="AK293" s="59" t="s">
        <v>79</v>
      </c>
      <c r="AL293" s="60" t="s">
        <v>80</v>
      </c>
      <c r="AM293" s="54" t="s">
        <v>80</v>
      </c>
      <c r="AN293" s="14">
        <v>46254</v>
      </c>
      <c r="AO293" s="15">
        <v>46266</v>
      </c>
      <c r="AP293" s="91"/>
      <c r="AQ293" s="87"/>
      <c r="AR293" s="26"/>
      <c r="AS293" s="65"/>
      <c r="AT293" s="88" t="s">
        <v>138</v>
      </c>
      <c r="AU293" s="67"/>
      <c r="CN293" t="s">
        <v>1991</v>
      </c>
      <c r="DA293" t="str" cm="1">
        <f t="array" ref="DA293:EO293">IF(U293&lt;&gt;"", TRANSPOSE(_xlfn._xlws.FILTER(CZ:CZ, CY:CY=U293, "")), "")</f>
        <v>Gwl (3N) + Mor + Son + Dat + Orc</v>
      </c>
      <c r="DB293" t="str">
        <v>Ex Gwl | Gwl (1N) - Son - Dat - Orc (1N) - Gwl (1N)</v>
      </c>
      <c r="DC293" t="str">
        <v>Ex Idr | Idr - Ujj (1N) - Omk - Mah (1N) - Man (1N) - Idr</v>
      </c>
      <c r="DD293" t="str">
        <v>Ex Jlr | Jlr - Kan (2N) - Jlr (1N)</v>
      </c>
      <c r="DE293" t="str">
        <v>Ex Jlr | Jlr - Ban (2N) - Jlr (1N)</v>
      </c>
      <c r="DF293" t="str">
        <v>Ex Bho | Bho (1N) + San - Bhoj - Bhim - Pch (2N) - Bho</v>
      </c>
      <c r="DG293" t="str">
        <v>Ex Idr | Idr (1N) - Ujj (1N) - Omk (1N) - Mah - Idr</v>
      </c>
      <c r="DH293" t="str">
        <v>Gwl - Orc (1N) - Ckt (1N) - Myr (1N) - Jlr</v>
      </c>
      <c r="DI293" t="str">
        <v>Gwl - Orc (1N) - Ckt (2N) - Ixd</v>
      </c>
      <c r="DJ293" t="str">
        <v>Ex Idr | Idr - Ujj (1N) - Omk - Mah (1N) - Idr (1N)</v>
      </c>
      <c r="DK293" t="str">
        <v>Ex Jlr | Jlr - Kan (3N) - Jlr</v>
      </c>
      <c r="DL293" t="str">
        <v>Ex Bho | Bho (2N) + Bhim + Bhoj + San + Udaygiri + Vidisha + FDCT Bho</v>
      </c>
      <c r="DM293" t="str">
        <v>Bho (1N) + Bhim + Bhoj - HDCT  Bho + Sanchi - Ujj (2N)</v>
      </c>
      <c r="DN293" t="str">
        <v>Bho (1N) + Bhim + Bhoj - HDCT  Bho + Sanchi - Ujj (2N) - Idr</v>
      </c>
      <c r="DO293" t="str">
        <v>Ex Bho | Bho - Bhoj - Bhim - Mad (1N) - Pch (2N) - Bho</v>
      </c>
      <c r="DP293" t="str">
        <v>Ex Bho | Bho - Bhoj - Bhim - Mad (1N) - Pch (3N) - Bho</v>
      </c>
      <c r="DQ293" t="str">
        <v>Ex Bho | Bho - Bhoj - Bhim - Tawa (1N) - Mad (1N) - Bho (1N)</v>
      </c>
      <c r="DR293" t="str">
        <v>Bho (1N) - Bhim - Bhoj - San - Idr (2N) + Ujj</v>
      </c>
      <c r="DS293" t="str">
        <v>Bho (1N) - Bhoj - Bhim - Pch (2N) - Bho</v>
      </c>
      <c r="DT293" t="str">
        <v>Ujj (1N) - Omk - Mah (1N) - Idr (1N)</v>
      </c>
      <c r="DU293" t="str">
        <v>Ujj (1N) - Omk - Mah (1N) - Man (1N) - Idr</v>
      </c>
      <c r="DV293" t="str">
        <v>Ex Idr | Idr (1N) - Ujj (1N) - Omk - Mah (1N)</v>
      </c>
      <c r="DW293" t="str">
        <v>Ex Idr | Idr - Ujj (1N) - Omk (1N) - Mah (1N) - Idr</v>
      </c>
      <c r="DX293" t="str">
        <v>Khandwa - Omk (1N) - Mah (1N) - Ujj (1N) - Idr</v>
      </c>
      <c r="DY293" t="str">
        <v>Ex Idr | Idr - Ujj (1N) - Omk - Mah (1N) - Man - Idr (1N)</v>
      </c>
      <c r="DZ293" t="str">
        <v xml:space="preserve">Idr - Omk (1N) - Mah - Ujj (1N) San - Bho (1N) </v>
      </c>
      <c r="EA293" t="str">
        <v>Ex Idr | Idr - Man (1N) - Mah - Omk (1N) - Ujj (1N) - Idr</v>
      </c>
      <c r="EB293" t="str">
        <v>Khandwa - Omk (1N) - Mah - Ujj (2N)</v>
      </c>
      <c r="EC293" t="str">
        <v>Ex Jlr | Jlr (1N) - Amr (1N) - Ban (1N) - Jlr</v>
      </c>
      <c r="ED293" t="str">
        <v>Ex Jlr | Jlr - (1 N) Ban - (2 N) Amar</v>
      </c>
      <c r="EE293" t="str">
        <v>Jlr - Kan (1N) - Pch (2N)</v>
      </c>
      <c r="EF293" t="str">
        <v>Pi - Pch (2N)  - Kan (1N)</v>
      </c>
      <c r="EG293" t="str">
        <v>Ex Jlr | Jlr - Amr (1 N) - (1 N) Ban - (1 N) Jlr</v>
      </c>
      <c r="EH293" t="str">
        <v>Ppi - (2 N) Pch - (1 N) Pen</v>
      </c>
      <c r="EI293" t="str">
        <v>Bhp - Pch (2N) - Jlr (1N)</v>
      </c>
      <c r="EJ293" t="str">
        <v xml:space="preserve">Arr Jhn - Hjr (1N) - Orc - Gwl (2N) </v>
      </c>
      <c r="EK293" t="str">
        <v>(1 N) Ujj - (1 N) Mah - (1 N) Idr</v>
      </c>
      <c r="EL293" t="str">
        <v>Ex Bhp | Bhp - Bhoj - Bhim - Pch (3N) - Bhp</v>
      </c>
      <c r="EM293" t="str">
        <v>Ex Bhp | Bhp - Bhoj - Bhim - Pch (2N) - Mad (1N) - Bhp</v>
      </c>
      <c r="EN293" t="str">
        <v xml:space="preserve">Ex Nag - 3N Pch + Sat </v>
      </c>
      <c r="EO293" t="str">
        <v>1N Gwl - Son - Dat - 1N Hjr - 1N Orc - Jhn</v>
      </c>
    </row>
    <row r="294" spans="2:145" ht="15" customHeight="1">
      <c r="B294" s="35">
        <v>290</v>
      </c>
      <c r="C294" s="36" t="s">
        <v>1992</v>
      </c>
      <c r="D294" s="76">
        <v>46240</v>
      </c>
      <c r="E294" s="37" t="str">
        <f>IF(Table5[[#This Row],[Query Date]]&lt;&gt;"", TEXT(Table5[[#This Row],[Query Date]], "dddd"), "")</f>
        <v>Thursday</v>
      </c>
      <c r="F294" s="37" t="str">
        <f>IF(Table5[[#This Row],[Query Date]]&lt;&gt;"", TEXT(Table5[[#This Row],[Query Date]], "mmmm"), "")</f>
        <v>August</v>
      </c>
      <c r="G294" s="28" t="s">
        <v>113</v>
      </c>
      <c r="H294" s="28" t="s">
        <v>120</v>
      </c>
      <c r="I294" s="28" t="s">
        <v>67</v>
      </c>
      <c r="J294" s="28" t="s">
        <v>68</v>
      </c>
      <c r="K294" s="28" t="s">
        <v>1663</v>
      </c>
      <c r="L294" s="25" t="s">
        <v>160</v>
      </c>
      <c r="M294" s="112"/>
      <c r="N294" s="25" t="s">
        <v>227</v>
      </c>
      <c r="O294" s="130"/>
      <c r="P294" s="46" t="s">
        <v>1638</v>
      </c>
      <c r="Q294" s="77">
        <v>46270</v>
      </c>
      <c r="R294" s="77" t="str">
        <f>IF(Table5[[#This Row],[Tour Starting Date]]&lt;&gt;"", TEXT(Table5[[#This Row],[Tour Starting Date]], "dddd"), "")</f>
        <v>Saturday</v>
      </c>
      <c r="S294" s="77">
        <v>46275</v>
      </c>
      <c r="T294" s="25" t="str">
        <f>IF(Table5[[#This Row],[Tour Ending Date]]&lt;&gt;"", TEXT(Table5[[#This Row],[Tour Ending Date]], "dddd"), "")</f>
        <v>Thursday</v>
      </c>
      <c r="U29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5 Nights &amp; 6 Days</v>
      </c>
      <c r="V294" s="37" t="str">
        <f>IF(Table5[[#This Row],[Tour Starting Date]]&lt;&gt;"", TEXT(Table5[[#This Row],[Tour Starting Date]], "mmmm"), "")</f>
        <v>September</v>
      </c>
      <c r="W294" s="80" t="str" cm="1">
        <f t="array" ref="W294">IF(Q294&lt;&gt;"", INDEX(CI:CI, MATCH(1, (Q294&gt;=CG:CG)*(Q294&lt;=CH:CH), 0)), "")</f>
        <v>Long Weekend - Janmashtami</v>
      </c>
      <c r="X294" s="39">
        <v>3</v>
      </c>
      <c r="Y294" s="74">
        <v>32500</v>
      </c>
      <c r="Z294" s="74">
        <f>IF(OR(Table5[[#This Row],[Per Person Package Cost]]="", Table5[[#This Row],[No. of Pax]]=""), "", Table5[[#This Row],[Per Person Package Cost]] * Table5[[#This Row],[No. of Pax]])</f>
        <v>97500</v>
      </c>
      <c r="AA294" s="52" t="s">
        <v>226</v>
      </c>
      <c r="AB294" s="52" t="s">
        <v>226</v>
      </c>
      <c r="AC294" s="52" t="s">
        <v>173</v>
      </c>
      <c r="AD294" s="52"/>
      <c r="AE294" s="51" t="str">
        <f t="shared" si="37"/>
        <v/>
      </c>
      <c r="AF294" s="51" t="str">
        <f t="shared" si="38"/>
        <v/>
      </c>
      <c r="AG294" s="74" t="str">
        <f t="shared" si="39"/>
        <v/>
      </c>
      <c r="AH294" s="73" t="str">
        <f t="shared" si="43"/>
        <v/>
      </c>
      <c r="AI294" s="52" t="s">
        <v>84</v>
      </c>
      <c r="AJ294" s="56" t="s">
        <v>115</v>
      </c>
      <c r="AK294" s="59" t="s">
        <v>79</v>
      </c>
      <c r="AL294" s="60" t="s">
        <v>80</v>
      </c>
      <c r="AM294" s="54" t="s">
        <v>80</v>
      </c>
      <c r="AN294" s="14"/>
      <c r="AO294" s="15"/>
      <c r="AP294" s="91"/>
      <c r="AQ294" s="87"/>
      <c r="AR294" s="26"/>
      <c r="AS294" s="65"/>
      <c r="AT294" s="88" t="s">
        <v>85</v>
      </c>
      <c r="AU294" s="67"/>
      <c r="CN294" t="s">
        <v>1993</v>
      </c>
      <c r="DA294" t="str" cm="1">
        <f t="array" ref="DA294:DW294">IF(U294&lt;&gt;"", TRANSPOSE(_xlfn._xlws.FILTER(CZ:CZ, CY:CY=U294, "")), "")</f>
        <v>Gwl (2N) + Mor - Son - Dat - Orc (1N) - Hjr (2N) + Panna</v>
      </c>
      <c r="DB294" t="str">
        <v>Ex Gwl | Gwl (2N) + Mor - Shiv - Chan (2N) - Orc (1N) - Dat - Son - Gwl</v>
      </c>
      <c r="DC294" t="str">
        <v>Gwl (2N) + Mor - Son - Dat - Orc (1N) - Hjr (1N) - Jlr (1N)</v>
      </c>
      <c r="DD294" t="str">
        <v>Ex Idr | Idr - Ujj (1N) - Omk (1N) - Mah (1N) - Man (1N) - Idr (1N)</v>
      </c>
      <c r="DE294" t="str">
        <v>Bhp (1N) + Bhim + Bhoj + San - Ujj (1N) - Man (2N) - Mah - Omk (1N) - Idr</v>
      </c>
      <c r="DF294" t="str">
        <v>Jlr (1N) - Hjr (1N) - Orc (1N) - Dat - Son - Gwl (2N) + Mor</v>
      </c>
      <c r="DG294" t="str">
        <v>Jlr (1N) - Kan (1N) - Pch (2N) - Bhim - Bhoj - Bho (1N) + Sanchi</v>
      </c>
      <c r="DH294" t="str">
        <v>Ex Bho | Bho (1N) + San - Bhoj - Bhim - Tawa (1N) - Mad (1N) - Pch (2N) - Bho</v>
      </c>
      <c r="DI294" t="str">
        <v>Bho (1N) + San + Udaygiri - Bhoj - Bhim - Pch (2N) - Kan(1N) - Jlr (1N)</v>
      </c>
      <c r="DJ294" t="str">
        <v>Bho (1N) + Bhim + Bhoj - San - Ujj (1N) - Man (2N) - Mah - Omk (1N) - Idr</v>
      </c>
      <c r="DK294" t="str">
        <v>Idr - Man (2N) - Idr (1N) - Bho (2N) + Bhim + Bhoj + Sanchi</v>
      </c>
      <c r="DL294" t="str">
        <v>Ex Bho | Bho (2N) + San + Udaygiri - Bhoj - Bhim - Pch (2N) - Tawa (1N) - Bho</v>
      </c>
      <c r="DM294" t="str">
        <v>Rpr - Kan (2N) - Pen (1N) - Pch (2N) - Bho</v>
      </c>
      <c r="DN294" t="str">
        <v>Nag - Pen (2N) - Pch (2N) - Bhim - Bhoj - Bho (1N) + San</v>
      </c>
      <c r="DO294" t="str">
        <v>Gwl (2N) (Ex Mor) - Orc (1N) - Chn (1N) - Shiv (1N) - Jhn</v>
      </c>
      <c r="DP294" t="str">
        <v>Gwl (2N) (Ex Mor) - Dat - Orc (1N) - Chn (1N) - Shiv (1N) - Jhn</v>
      </c>
      <c r="DQ294" t="str">
        <v>Nag - Pen (2N) - Kan (2N) - Jlr (1N)</v>
      </c>
      <c r="DR294" t="str">
        <v>Rpr - (2 N) Amr - (1 N) Ban - (1 N) Hjr - (1 N) Jlr</v>
      </c>
      <c r="DS294" t="str">
        <v>Gwl (2N) (Ex Mor) -Orc  - Hjr (1N) - Chn (1N) - Shiv (1N) - Jhn</v>
      </c>
      <c r="DT294" t="str">
        <v>(2 N) Gwl - (1 N) Orch - (1 N) Hjr - (1 N) Jlr</v>
      </c>
      <c r="DU294" t="str">
        <v xml:space="preserve">Arr Rpr - Amr (2N) - Par (2N) - Jlr (1N) </v>
      </c>
      <c r="DV294" t="str">
        <v>3N Idr (Ex Ujj - Man) - Bhim - Bhoj - San - 2N Bho</v>
      </c>
      <c r="DW294" t="str">
        <v>1N Jlr - 1N Kan - 3N Pch - Ppi</v>
      </c>
    </row>
    <row r="295" spans="2:145" ht="15" customHeight="1">
      <c r="B295" s="34">
        <v>291</v>
      </c>
      <c r="C295" s="36" t="s">
        <v>1994</v>
      </c>
      <c r="D295" s="76">
        <v>46242</v>
      </c>
      <c r="E295" s="37" t="str">
        <f>IF(Table5[[#This Row],[Query Date]]&lt;&gt;"", TEXT(Table5[[#This Row],[Query Date]], "dddd"), "")</f>
        <v>Saturday</v>
      </c>
      <c r="F295" s="37" t="str">
        <f>IF(Table5[[#This Row],[Query Date]]&lt;&gt;"", TEXT(Table5[[#This Row],[Query Date]], "mmmm"), "")</f>
        <v>August</v>
      </c>
      <c r="G295" s="28" t="s">
        <v>65</v>
      </c>
      <c r="H295" s="28" t="s">
        <v>99</v>
      </c>
      <c r="I295" s="28" t="s">
        <v>67</v>
      </c>
      <c r="J295" s="28" t="s">
        <v>68</v>
      </c>
      <c r="K295" s="28" t="s">
        <v>246</v>
      </c>
      <c r="L295" s="25" t="s">
        <v>70</v>
      </c>
      <c r="M295" s="112" t="s">
        <v>866</v>
      </c>
      <c r="N295" s="25" t="s">
        <v>1995</v>
      </c>
      <c r="O295" s="130" t="s">
        <v>1996</v>
      </c>
      <c r="P295" s="46" t="s">
        <v>1997</v>
      </c>
      <c r="Q295" s="77">
        <v>46311</v>
      </c>
      <c r="R295" s="77" t="str">
        <f>IF(Table5[[#This Row],[Tour Starting Date]]&lt;&gt;"", TEXT(Table5[[#This Row],[Tour Starting Date]], "dddd"), "")</f>
        <v>Friday</v>
      </c>
      <c r="S295" s="77">
        <v>46317</v>
      </c>
      <c r="T295" s="25" t="str">
        <f>IF(Table5[[#This Row],[Tour Ending Date]]&lt;&gt;"", TEXT(Table5[[#This Row],[Tour Ending Date]], "dddd"), "")</f>
        <v>Thursday</v>
      </c>
      <c r="U29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6 Nights &amp; 7 Days</v>
      </c>
      <c r="V295" s="37" t="str">
        <f>IF(Table5[[#This Row],[Tour Starting Date]]&lt;&gt;"", TEXT(Table5[[#This Row],[Tour Starting Date]], "mmmm"), "")</f>
        <v>October</v>
      </c>
      <c r="W295" s="80" t="str" cm="1">
        <f t="array" ref="W295">IF(Q295&lt;&gt;"", INDEX(CI:CI, MATCH(1, (Q295&gt;=CG:CG)*(Q295&lt;=CH:CH), 0)), "")</f>
        <v>Regular Dates - Weekend</v>
      </c>
      <c r="X295" s="39">
        <v>4</v>
      </c>
      <c r="Y295" s="74">
        <v>36800</v>
      </c>
      <c r="Z295" s="74">
        <f>IF(OR(Table5[[#This Row],[Per Person Package Cost]]="", Table5[[#This Row],[No. of Pax]]=""), "", Table5[[#This Row],[Per Person Package Cost]] * Table5[[#This Row],[No. of Pax]])</f>
        <v>147200</v>
      </c>
      <c r="AA295" s="52" t="s">
        <v>75</v>
      </c>
      <c r="AB295" s="52" t="s">
        <v>1998</v>
      </c>
      <c r="AC295" s="52" t="s">
        <v>134</v>
      </c>
      <c r="AD295" s="52" t="s">
        <v>434</v>
      </c>
      <c r="AE295" s="51" t="str">
        <f t="shared" si="37"/>
        <v>EXIDR10</v>
      </c>
      <c r="AF295" s="51" t="str">
        <f t="shared" si="38"/>
        <v>Cultural Heritage Odyssey of Madhya Pradesh</v>
      </c>
      <c r="AG295" s="74" t="str">
        <f t="shared" si="39"/>
        <v>Quick Getaways</v>
      </c>
      <c r="AH295" s="73" t="str">
        <f t="shared" si="43"/>
        <v>South + West MP</v>
      </c>
      <c r="AI295" s="52" t="s">
        <v>159</v>
      </c>
      <c r="AJ295" s="56" t="s">
        <v>78</v>
      </c>
      <c r="AK295" s="59" t="s">
        <v>79</v>
      </c>
      <c r="AL295" s="60" t="s">
        <v>80</v>
      </c>
      <c r="AM295" s="54" t="s">
        <v>80</v>
      </c>
      <c r="AN295" s="14">
        <v>46266</v>
      </c>
      <c r="AO295" s="15"/>
      <c r="AP295" s="91"/>
      <c r="AQ295" s="87"/>
      <c r="AR295" s="26"/>
      <c r="AS295" s="65"/>
      <c r="AT295" s="88" t="s">
        <v>138</v>
      </c>
      <c r="AU295" s="67"/>
      <c r="CN295" t="s">
        <v>1999</v>
      </c>
      <c r="DA295" t="str" cm="1">
        <f t="array" ref="DA295:DZ295">IF(U295&lt;&gt;"", TRANSPOSE(_xlfn._xlws.FILTER(CZ:CZ, CY:CY=U295, "")), "")</f>
        <v>Ex Gwl | Gwl (2N) + Mor - Orc - Pan (2N) - Hjr (1N) - Dat - Son - Gwl (1N)</v>
      </c>
      <c r="DB295" t="str">
        <v>Ex Gwl | GWL (2N) + Mor - Shiv - Chan (2N) - Hjr (1N) - Orc (1N) - Dat - Gwl</v>
      </c>
      <c r="DC295" t="str">
        <v>Gwl (2N) + Mor - Son - Dat - Orc (1N) - Hjr (1N) - Ban (1N) - Jlr (1N)</v>
      </c>
      <c r="DD295" t="str">
        <v>Idr - Ujj (1N) - Omk - Mah (1N) - Man (2N) - Bhp (2N) + Bhim + Bhoj + San</v>
      </c>
      <c r="DE295" t="str">
        <v>Bhp (1N) + Bhim + Bhoj + San - Ujj (1N) - Man (2N) - Mah - Omk (1N) - Idr (1N)</v>
      </c>
      <c r="DF295" t="str">
        <v>Jlr (1N) - Ban (1N) - Hjr (1N) - Orc (1N) - Dat - Son - Gwl (2N) + Mor</v>
      </c>
      <c r="DG295" t="str">
        <v>Bho (1N) + San - Bhoj - Bhim - Tawa (1N) - Mad (1N) - Pch (2N) - Jlr (1N)</v>
      </c>
      <c r="DH295" t="str">
        <v>Bho (1N) + San + Udaygiri - Bhoj - Bhim - Pch (2N) - Kan(2N) - Jlr (1N)</v>
      </c>
      <c r="DI295" t="str">
        <v>Bho (1N) + Bhim + Bhoj - San - Ujj (1N) - Man (2N) - Mah - Omk (1N) - Idr (1N)</v>
      </c>
      <c r="DJ295" t="str">
        <v>Gwl (2N) + Mor - Son - Dat - Orc (1N) - Hjr (1N) - Jab (1N) - Kan (1N) - Nag</v>
      </c>
      <c r="DK295" t="str">
        <v>Bho (2N) + San + Bhoj + Bhim - Ujj (1N) - Omk - Mah (1N) - Man (1N) - Idr (1N)</v>
      </c>
      <c r="DL295" t="str">
        <v>Ex Nag | Nag - Pch (2N) - Bhim - Bhoj - Bho (2N) + San + Udaygiri - Jlr (1N) - Kan (1N) - Nag</v>
      </c>
      <c r="DM295" t="str">
        <v>Bho (1N) - Mad (2N) + Tawa Cruise Safari - Pch (2N) - Jlr (1N) - Nag</v>
      </c>
      <c r="DN295" t="str">
        <v>Idr - Man (2N) - Idr (1N) - Bho (1N) + San - Bhoj - Bhim - Pch (2N) - Bho</v>
      </c>
      <c r="DO295" t="str">
        <v>Rpr - kan (2N) - Ban (1N) - Jlr (1N) - Mad (2N) - Bhim - Bhoj - Bho</v>
      </c>
      <c r="DP295" t="str">
        <v>Jlr - Amar (1 N) - Ban (2 N) - Kan (1N) - Pch (2N) - Ppi</v>
      </c>
      <c r="DQ295" t="str">
        <v>Jlr - (2N) Kan - (1N) Jlr - Bhim - Bhoj - (2N) Bho  (Ex San &amp; Uda)  - (1N) Ujj - Idr</v>
      </c>
      <c r="DR295" t="str">
        <v>Ex Nag | Nag (2 N) Pach - Bhim - Bhij - (2 N) Bho (Ex San &amp; Uad) - (1 N) Jlr - (1 N) Kan - Nag</v>
      </c>
      <c r="DS295" t="str">
        <v>(2 N) Bho (Ex San, Bhoj &amp; Bhim) - (1 N) Ujj - Omk - (1 N) Mah - (1 N) Man - (1 N) Idr</v>
      </c>
      <c r="DT295" t="str">
        <v>(2 N) Gwl (Ex Mor) - Son - Dat - (1 N) Orc - (1 N) Hjr - (1 N) Jlr - (1 N) Kan - Nag</v>
      </c>
      <c r="DU295" t="str">
        <v>(1 N) Jlr - (2 N) Kanha - (2 N Pach) - (1 N) BHo</v>
      </c>
      <c r="DV295" t="str">
        <v>(2 N) Gwl - (1 N) Orc - (1 N) Hjr - (1 N) Ban - (1 N) Jlr</v>
      </c>
      <c r="DW295" t="str">
        <v>(2 N) BHo - (2 N) Madhai - (1 N) Pach - (1 N) Jlr</v>
      </c>
      <c r="DX295" t="str">
        <v>Ex Bhp | Bhp - Bhoj - Bhim - Pach (3N) - Tawa - Mad - Tawa (1N) - Mad (1N) - Bho (1N)</v>
      </c>
      <c r="DY295" t="str">
        <v>Ex Idr I Idr - 2N Ujj - 1N Man - 1N Mah - 1N Omk - 1N Idr</v>
      </c>
      <c r="DZ295" t="str">
        <v>1N Jlr - 1N Kan - 1N Ban - 1N Hjr -2N Gwl</v>
      </c>
    </row>
    <row r="296" spans="2:145" ht="15" customHeight="1">
      <c r="B296" s="35">
        <v>292</v>
      </c>
      <c r="C296" s="36" t="s">
        <v>2000</v>
      </c>
      <c r="D296" s="76">
        <v>46242</v>
      </c>
      <c r="E296" s="37" t="str">
        <f>IF(Table5[[#This Row],[Query Date]]&lt;&gt;"", TEXT(Table5[[#This Row],[Query Date]], "dddd"), "")</f>
        <v>Saturday</v>
      </c>
      <c r="F296" s="37" t="str">
        <f>IF(Table5[[#This Row],[Query Date]]&lt;&gt;"", TEXT(Table5[[#This Row],[Query Date]], "mmmm"), "")</f>
        <v>August</v>
      </c>
      <c r="G296" s="28" t="s">
        <v>65</v>
      </c>
      <c r="H296" s="28" t="s">
        <v>66</v>
      </c>
      <c r="I296" s="28" t="s">
        <v>67</v>
      </c>
      <c r="J296" s="28" t="s">
        <v>68</v>
      </c>
      <c r="K296" s="28" t="s">
        <v>128</v>
      </c>
      <c r="L296" s="25" t="s">
        <v>70</v>
      </c>
      <c r="M296" s="112" t="s">
        <v>2001</v>
      </c>
      <c r="N296" s="25" t="s">
        <v>2002</v>
      </c>
      <c r="O296" s="130" t="s">
        <v>2003</v>
      </c>
      <c r="P296" s="46" t="s">
        <v>2004</v>
      </c>
      <c r="Q296" s="77">
        <v>46291</v>
      </c>
      <c r="R296" s="77" t="str">
        <f>IF(Table5[[#This Row],[Tour Starting Date]]&lt;&gt;"", TEXT(Table5[[#This Row],[Tour Starting Date]], "dddd"), "")</f>
        <v>Saturday</v>
      </c>
      <c r="S296" s="77">
        <v>46294</v>
      </c>
      <c r="T296" s="25" t="str">
        <f>IF(Table5[[#This Row],[Tour Ending Date]]&lt;&gt;"", TEXT(Table5[[#This Row],[Tour Ending Date]], "dddd"), "")</f>
        <v>Tuesday</v>
      </c>
      <c r="U29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3 Nights &amp; 4 Days</v>
      </c>
      <c r="V296" s="37" t="str">
        <f>IF(Table5[[#This Row],[Tour Starting Date]]&lt;&gt;"", TEXT(Table5[[#This Row],[Tour Starting Date]], "mmmm"), "")</f>
        <v>September</v>
      </c>
      <c r="W296" s="80" t="str" cm="1">
        <f t="array" ref="W296">IF(Q296&lt;&gt;"", INDEX(CI:CI, MATCH(1, (Q296&gt;=CG:CG)*(Q296&lt;=CH:CH), 0)), "")</f>
        <v>Regular Dates - Weekend</v>
      </c>
      <c r="X296" s="39">
        <v>4</v>
      </c>
      <c r="Y296" s="74">
        <v>36500</v>
      </c>
      <c r="Z296" s="74">
        <f>IF(OR(Table5[[#This Row],[Per Person Package Cost]]="", Table5[[#This Row],[No. of Pax]]=""), "", Table5[[#This Row],[Per Person Package Cost]] * Table5[[#This Row],[No. of Pax]])</f>
        <v>146000</v>
      </c>
      <c r="AA296" s="52" t="s">
        <v>75</v>
      </c>
      <c r="AB296" s="52" t="s">
        <v>75</v>
      </c>
      <c r="AC296" s="52" t="s">
        <v>240</v>
      </c>
      <c r="AD296" s="52" t="s">
        <v>106</v>
      </c>
      <c r="AE296" s="51" t="str">
        <f t="shared" si="37"/>
        <v>EXIDR04</v>
      </c>
      <c r="AF296" s="51" t="str">
        <f t="shared" si="38"/>
        <v>Heritage Pilgrimage</v>
      </c>
      <c r="AG296" s="74" t="str">
        <f t="shared" si="39"/>
        <v>Quick Getaways</v>
      </c>
      <c r="AH296" s="73" t="str">
        <f t="shared" si="43"/>
        <v>West MP</v>
      </c>
      <c r="AI296" s="52" t="s">
        <v>107</v>
      </c>
      <c r="AJ296" s="56" t="s">
        <v>78</v>
      </c>
      <c r="AK296" s="59" t="s">
        <v>79</v>
      </c>
      <c r="AL296" s="60" t="s">
        <v>80</v>
      </c>
      <c r="AM296" s="54" t="s">
        <v>80</v>
      </c>
      <c r="AN296" s="14">
        <v>46255</v>
      </c>
      <c r="AO296" s="15">
        <v>46265</v>
      </c>
      <c r="AP296" s="91"/>
      <c r="AQ296" s="87"/>
      <c r="AR296" s="26"/>
      <c r="AS296" s="65"/>
      <c r="AT296" s="88" t="s">
        <v>138</v>
      </c>
      <c r="AU296" s="67"/>
      <c r="CN296" t="s">
        <v>2005</v>
      </c>
      <c r="DA296" t="str" cm="1">
        <f t="array" ref="DA296:EO296">IF(U296&lt;&gt;"", TRANSPOSE(_xlfn._xlws.FILTER(CZ:CZ, CY:CY=U296, "")), "")</f>
        <v>Gwl (3N) + Mor + Son + Dat + Orc</v>
      </c>
      <c r="DB296" t="str">
        <v>Ex Gwl | Gwl (1N) - Son - Dat - Orc (1N) - Gwl (1N)</v>
      </c>
      <c r="DC296" t="str">
        <v>Ex Idr | Idr - Ujj (1N) - Omk - Mah (1N) - Man (1N) - Idr</v>
      </c>
      <c r="DD296" t="str">
        <v>Ex Jlr | Jlr - Kan (2N) - Jlr (1N)</v>
      </c>
      <c r="DE296" t="str">
        <v>Ex Jlr | Jlr - Ban (2N) - Jlr (1N)</v>
      </c>
      <c r="DF296" t="str">
        <v>Ex Bho | Bho (1N) + San - Bhoj - Bhim - Pch (2N) - Bho</v>
      </c>
      <c r="DG296" t="str">
        <v>Ex Idr | Idr (1N) - Ujj (1N) - Omk (1N) - Mah - Idr</v>
      </c>
      <c r="DH296" t="str">
        <v>Gwl - Orc (1N) - Ckt (1N) - Myr (1N) - Jlr</v>
      </c>
      <c r="DI296" t="str">
        <v>Gwl - Orc (1N) - Ckt (2N) - Ixd</v>
      </c>
      <c r="DJ296" t="str">
        <v>Ex Idr | Idr - Ujj (1N) - Omk - Mah (1N) - Idr (1N)</v>
      </c>
      <c r="DK296" t="str">
        <v>Ex Jlr | Jlr - Kan (3N) - Jlr</v>
      </c>
      <c r="DL296" t="str">
        <v>Ex Bho | Bho (2N) + Bhim + Bhoj + San + Udaygiri + Vidisha + FDCT Bho</v>
      </c>
      <c r="DM296" t="str">
        <v>Bho (1N) + Bhim + Bhoj - HDCT  Bho + Sanchi - Ujj (2N)</v>
      </c>
      <c r="DN296" t="str">
        <v>Bho (1N) + Bhim + Bhoj - HDCT  Bho + Sanchi - Ujj (2N) - Idr</v>
      </c>
      <c r="DO296" t="str">
        <v>Ex Bho | Bho - Bhoj - Bhim - Mad (1N) - Pch (2N) - Bho</v>
      </c>
      <c r="DP296" t="str">
        <v>Ex Bho | Bho - Bhoj - Bhim - Mad (1N) - Pch (3N) - Bho</v>
      </c>
      <c r="DQ296" t="str">
        <v>Ex Bho | Bho - Bhoj - Bhim - Tawa (1N) - Mad (1N) - Bho (1N)</v>
      </c>
      <c r="DR296" t="str">
        <v>Bho (1N) - Bhim - Bhoj - San - Idr (2N) + Ujj</v>
      </c>
      <c r="DS296" t="str">
        <v>Bho (1N) - Bhoj - Bhim - Pch (2N) - Bho</v>
      </c>
      <c r="DT296" t="str">
        <v>Ujj (1N) - Omk - Mah (1N) - Idr (1N)</v>
      </c>
      <c r="DU296" t="str">
        <v>Ujj (1N) - Omk - Mah (1N) - Man (1N) - Idr</v>
      </c>
      <c r="DV296" t="str">
        <v>Ex Idr | Idr (1N) - Ujj (1N) - Omk - Mah (1N)</v>
      </c>
      <c r="DW296" t="str">
        <v>Ex Idr | Idr - Ujj (1N) - Omk (1N) - Mah (1N) - Idr</v>
      </c>
      <c r="DX296" t="str">
        <v>Khandwa - Omk (1N) - Mah (1N) - Ujj (1N) - Idr</v>
      </c>
      <c r="DY296" t="str">
        <v>Ex Idr | Idr - Ujj (1N) - Omk - Mah (1N) - Man - Idr (1N)</v>
      </c>
      <c r="DZ296" t="str">
        <v xml:space="preserve">Idr - Omk (1N) - Mah - Ujj (1N) San - Bho (1N) </v>
      </c>
      <c r="EA296" t="str">
        <v>Ex Idr | Idr - Man (1N) - Mah - Omk (1N) - Ujj (1N) - Idr</v>
      </c>
      <c r="EB296" t="str">
        <v>Khandwa - Omk (1N) - Mah - Ujj (2N)</v>
      </c>
      <c r="EC296" t="str">
        <v>Ex Jlr | Jlr (1N) - Amr (1N) - Ban (1N) - Jlr</v>
      </c>
      <c r="ED296" t="str">
        <v>Ex Jlr | Jlr - (1 N) Ban - (2 N) Amar</v>
      </c>
      <c r="EE296" t="str">
        <v>Jlr - Kan (1N) - Pch (2N)</v>
      </c>
      <c r="EF296" t="str">
        <v>Pi - Pch (2N)  - Kan (1N)</v>
      </c>
      <c r="EG296" t="str">
        <v>Ex Jlr | Jlr - Amr (1 N) - (1 N) Ban - (1 N) Jlr</v>
      </c>
      <c r="EH296" t="str">
        <v>Ppi - (2 N) Pch - (1 N) Pen</v>
      </c>
      <c r="EI296" t="str">
        <v>Bhp - Pch (2N) - Jlr (1N)</v>
      </c>
      <c r="EJ296" t="str">
        <v xml:space="preserve">Arr Jhn - Hjr (1N) - Orc - Gwl (2N) </v>
      </c>
      <c r="EK296" t="str">
        <v>(1 N) Ujj - (1 N) Mah - (1 N) Idr</v>
      </c>
      <c r="EL296" t="str">
        <v>Ex Bhp | Bhp - Bhoj - Bhim - Pch (3N) - Bhp</v>
      </c>
      <c r="EM296" t="str">
        <v>Ex Bhp | Bhp - Bhoj - Bhim - Pch (2N) - Mad (1N) - Bhp</v>
      </c>
      <c r="EN296" t="str">
        <v xml:space="preserve">Ex Nag - 3N Pch + Sat </v>
      </c>
      <c r="EO296" t="str">
        <v>1N Gwl - Son - Dat - 1N Hjr - 1N Orc - Jhn</v>
      </c>
    </row>
    <row r="297" spans="2:145" ht="15" customHeight="1">
      <c r="B297" s="34">
        <v>293</v>
      </c>
      <c r="C297" s="36" t="s">
        <v>2006</v>
      </c>
      <c r="D297" s="76">
        <v>46244</v>
      </c>
      <c r="E297" s="37" t="str">
        <f>IF(Table5[[#This Row],[Query Date]]&lt;&gt;"", TEXT(Table5[[#This Row],[Query Date]], "dddd"), "")</f>
        <v>Monday</v>
      </c>
      <c r="F297" s="37" t="str">
        <f>IF(Table5[[#This Row],[Query Date]]&lt;&gt;"", TEXT(Table5[[#This Row],[Query Date]], "mmmm"), "")</f>
        <v>August</v>
      </c>
      <c r="G297" s="28" t="s">
        <v>65</v>
      </c>
      <c r="H297" s="28" t="s">
        <v>99</v>
      </c>
      <c r="I297" s="28" t="s">
        <v>67</v>
      </c>
      <c r="J297" s="28" t="s">
        <v>68</v>
      </c>
      <c r="K297" s="28" t="s">
        <v>178</v>
      </c>
      <c r="L297" s="25" t="s">
        <v>70</v>
      </c>
      <c r="M297" s="112" t="s">
        <v>417</v>
      </c>
      <c r="N297" s="25" t="s">
        <v>418</v>
      </c>
      <c r="O297" s="130" t="s">
        <v>419</v>
      </c>
      <c r="P297" s="46" t="s">
        <v>420</v>
      </c>
      <c r="Q297" s="77">
        <v>46304</v>
      </c>
      <c r="R297" s="77" t="str">
        <f>IF(Table5[[#This Row],[Tour Starting Date]]&lt;&gt;"", TEXT(Table5[[#This Row],[Tour Starting Date]], "dddd"), "")</f>
        <v>Friday</v>
      </c>
      <c r="S297" s="77">
        <v>46307</v>
      </c>
      <c r="T297" s="25" t="str">
        <f>IF(Table5[[#This Row],[Tour Ending Date]]&lt;&gt;"", TEXT(Table5[[#This Row],[Tour Ending Date]], "dddd"), "")</f>
        <v>Monday</v>
      </c>
      <c r="U29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3 Nights &amp; 4 Days</v>
      </c>
      <c r="V297" s="37" t="str">
        <f>IF(Table5[[#This Row],[Tour Starting Date]]&lt;&gt;"", TEXT(Table5[[#This Row],[Tour Starting Date]], "mmmm"), "")</f>
        <v>October</v>
      </c>
      <c r="W297" s="80" t="str" cm="1">
        <f t="array" ref="W297">IF(Q297&lt;&gt;"", INDEX(CI:CI, MATCH(1, (Q297&gt;=CG:CG)*(Q297&lt;=CH:CH), 0)), "")</f>
        <v>Regular Dates - Weekend</v>
      </c>
      <c r="X297" s="39">
        <v>10</v>
      </c>
      <c r="Y297" s="74">
        <v>11300</v>
      </c>
      <c r="Z297" s="74">
        <f>IF(OR(Table5[[#This Row],[Per Person Package Cost]]="", Table5[[#This Row],[No. of Pax]]=""), "", Table5[[#This Row],[Per Person Package Cost]] * Table5[[#This Row],[No. of Pax]])</f>
        <v>113000</v>
      </c>
      <c r="AA297" s="52" t="s">
        <v>75</v>
      </c>
      <c r="AB297" s="52" t="s">
        <v>75</v>
      </c>
      <c r="AC297" s="52" t="s">
        <v>76</v>
      </c>
      <c r="AD297" s="52" t="s">
        <v>106</v>
      </c>
      <c r="AE297" s="51" t="str">
        <f t="shared" si="37"/>
        <v>EXIDR04</v>
      </c>
      <c r="AF297" s="51" t="str">
        <f t="shared" si="38"/>
        <v>Heritage Pilgrimage</v>
      </c>
      <c r="AG297" s="74" t="str">
        <f t="shared" si="39"/>
        <v>Quick Getaways</v>
      </c>
      <c r="AH297" s="73" t="str">
        <f t="shared" si="43"/>
        <v>West MP</v>
      </c>
      <c r="AI297" s="52" t="s">
        <v>159</v>
      </c>
      <c r="AJ297" s="56" t="s">
        <v>78</v>
      </c>
      <c r="AK297" s="59" t="s">
        <v>79</v>
      </c>
      <c r="AL297" s="60" t="s">
        <v>80</v>
      </c>
      <c r="AM297" s="54" t="s">
        <v>80</v>
      </c>
      <c r="AN297" s="14">
        <v>46265</v>
      </c>
      <c r="AO297" s="15"/>
      <c r="AP297" s="91"/>
      <c r="AQ297" s="87"/>
      <c r="AR297" s="26"/>
      <c r="AS297" s="65"/>
      <c r="AT297" s="88" t="s">
        <v>138</v>
      </c>
      <c r="AU297" s="67"/>
      <c r="CN297" t="s">
        <v>2007</v>
      </c>
      <c r="DA297" t="str" cm="1">
        <f t="array" ref="DA297:EO297">IF(U297&lt;&gt;"", TRANSPOSE(_xlfn._xlws.FILTER(CZ:CZ, CY:CY=U297, "")), "")</f>
        <v>Gwl (3N) + Mor + Son + Dat + Orc</v>
      </c>
      <c r="DB297" t="str">
        <v>Ex Gwl | Gwl (1N) - Son - Dat - Orc (1N) - Gwl (1N)</v>
      </c>
      <c r="DC297" t="str">
        <v>Ex Idr | Idr - Ujj (1N) - Omk - Mah (1N) - Man (1N) - Idr</v>
      </c>
      <c r="DD297" t="str">
        <v>Ex Jlr | Jlr - Kan (2N) - Jlr (1N)</v>
      </c>
      <c r="DE297" t="str">
        <v>Ex Jlr | Jlr - Ban (2N) - Jlr (1N)</v>
      </c>
      <c r="DF297" t="str">
        <v>Ex Bho | Bho (1N) + San - Bhoj - Bhim - Pch (2N) - Bho</v>
      </c>
      <c r="DG297" t="str">
        <v>Ex Idr | Idr (1N) - Ujj (1N) - Omk (1N) - Mah - Idr</v>
      </c>
      <c r="DH297" t="str">
        <v>Gwl - Orc (1N) - Ckt (1N) - Myr (1N) - Jlr</v>
      </c>
      <c r="DI297" t="str">
        <v>Gwl - Orc (1N) - Ckt (2N) - Ixd</v>
      </c>
      <c r="DJ297" t="str">
        <v>Ex Idr | Idr - Ujj (1N) - Omk - Mah (1N) - Idr (1N)</v>
      </c>
      <c r="DK297" t="str">
        <v>Ex Jlr | Jlr - Kan (3N) - Jlr</v>
      </c>
      <c r="DL297" t="str">
        <v>Ex Bho | Bho (2N) + Bhim + Bhoj + San + Udaygiri + Vidisha + FDCT Bho</v>
      </c>
      <c r="DM297" t="str">
        <v>Bho (1N) + Bhim + Bhoj - HDCT  Bho + Sanchi - Ujj (2N)</v>
      </c>
      <c r="DN297" t="str">
        <v>Bho (1N) + Bhim + Bhoj - HDCT  Bho + Sanchi - Ujj (2N) - Idr</v>
      </c>
      <c r="DO297" t="str">
        <v>Ex Bho | Bho - Bhoj - Bhim - Mad (1N) - Pch (2N) - Bho</v>
      </c>
      <c r="DP297" t="str">
        <v>Ex Bho | Bho - Bhoj - Bhim - Mad (1N) - Pch (3N) - Bho</v>
      </c>
      <c r="DQ297" t="str">
        <v>Ex Bho | Bho - Bhoj - Bhim - Tawa (1N) - Mad (1N) - Bho (1N)</v>
      </c>
      <c r="DR297" t="str">
        <v>Bho (1N) - Bhim - Bhoj - San - Idr (2N) + Ujj</v>
      </c>
      <c r="DS297" t="str">
        <v>Bho (1N) - Bhoj - Bhim - Pch (2N) - Bho</v>
      </c>
      <c r="DT297" t="str">
        <v>Ujj (1N) - Omk - Mah (1N) - Idr (1N)</v>
      </c>
      <c r="DU297" t="str">
        <v>Ujj (1N) - Omk - Mah (1N) - Man (1N) - Idr</v>
      </c>
      <c r="DV297" t="str">
        <v>Ex Idr | Idr (1N) - Ujj (1N) - Omk - Mah (1N)</v>
      </c>
      <c r="DW297" t="str">
        <v>Ex Idr | Idr - Ujj (1N) - Omk (1N) - Mah (1N) - Idr</v>
      </c>
      <c r="DX297" t="str">
        <v>Khandwa - Omk (1N) - Mah (1N) - Ujj (1N) - Idr</v>
      </c>
      <c r="DY297" t="str">
        <v>Ex Idr | Idr - Ujj (1N) - Omk - Mah (1N) - Man - Idr (1N)</v>
      </c>
      <c r="DZ297" t="str">
        <v xml:space="preserve">Idr - Omk (1N) - Mah - Ujj (1N) San - Bho (1N) </v>
      </c>
      <c r="EA297" t="str">
        <v>Ex Idr | Idr - Man (1N) - Mah - Omk (1N) - Ujj (1N) - Idr</v>
      </c>
      <c r="EB297" t="str">
        <v>Khandwa - Omk (1N) - Mah - Ujj (2N)</v>
      </c>
      <c r="EC297" t="str">
        <v>Ex Jlr | Jlr (1N) - Amr (1N) - Ban (1N) - Jlr</v>
      </c>
      <c r="ED297" t="str">
        <v>Ex Jlr | Jlr - (1 N) Ban - (2 N) Amar</v>
      </c>
      <c r="EE297" t="str">
        <v>Jlr - Kan (1N) - Pch (2N)</v>
      </c>
      <c r="EF297" t="str">
        <v>Pi - Pch (2N)  - Kan (1N)</v>
      </c>
      <c r="EG297" t="str">
        <v>Ex Jlr | Jlr - Amr (1 N) - (1 N) Ban - (1 N) Jlr</v>
      </c>
      <c r="EH297" t="str">
        <v>Ppi - (2 N) Pch - (1 N) Pen</v>
      </c>
      <c r="EI297" t="str">
        <v>Bhp - Pch (2N) - Jlr (1N)</v>
      </c>
      <c r="EJ297" t="str">
        <v xml:space="preserve">Arr Jhn - Hjr (1N) - Orc - Gwl (2N) </v>
      </c>
      <c r="EK297" t="str">
        <v>(1 N) Ujj - (1 N) Mah - (1 N) Idr</v>
      </c>
      <c r="EL297" t="str">
        <v>Ex Bhp | Bhp - Bhoj - Bhim - Pch (3N) - Bhp</v>
      </c>
      <c r="EM297" t="str">
        <v>Ex Bhp | Bhp - Bhoj - Bhim - Pch (2N) - Mad (1N) - Bhp</v>
      </c>
      <c r="EN297" t="str">
        <v xml:space="preserve">Ex Nag - 3N Pch + Sat </v>
      </c>
      <c r="EO297" t="str">
        <v>1N Gwl - Son - Dat - 1N Hjr - 1N Orc - Jhn</v>
      </c>
    </row>
    <row r="298" spans="2:145" ht="15" customHeight="1">
      <c r="B298" s="35">
        <v>294</v>
      </c>
      <c r="C298" s="36" t="s">
        <v>2008</v>
      </c>
      <c r="D298" s="76">
        <v>46245</v>
      </c>
      <c r="E298" s="37" t="str">
        <f>IF(Table5[[#This Row],[Query Date]]&lt;&gt;"", TEXT(Table5[[#This Row],[Query Date]], "dddd"), "")</f>
        <v>Tuesday</v>
      </c>
      <c r="F298" s="37" t="str">
        <f>IF(Table5[[#This Row],[Query Date]]&lt;&gt;"", TEXT(Table5[[#This Row],[Query Date]], "mmmm"), "")</f>
        <v>August</v>
      </c>
      <c r="G298" s="28" t="s">
        <v>65</v>
      </c>
      <c r="H298" s="28" t="s">
        <v>66</v>
      </c>
      <c r="I298" s="28" t="s">
        <v>67</v>
      </c>
      <c r="J298" s="28" t="s">
        <v>68</v>
      </c>
      <c r="K298" s="28" t="s">
        <v>69</v>
      </c>
      <c r="L298" s="25" t="s">
        <v>70</v>
      </c>
      <c r="M298" s="112" t="s">
        <v>101</v>
      </c>
      <c r="N298" s="25" t="s">
        <v>102</v>
      </c>
      <c r="O298" s="134" t="s">
        <v>725</v>
      </c>
      <c r="P298" s="46" t="s">
        <v>104</v>
      </c>
      <c r="Q298" s="77">
        <v>46250</v>
      </c>
      <c r="R298" s="77" t="str">
        <f>IF(Table5[[#This Row],[Tour Starting Date]]&lt;&gt;"", TEXT(Table5[[#This Row],[Tour Starting Date]], "dddd"), "")</f>
        <v>Sunday</v>
      </c>
      <c r="S298" s="77">
        <v>46252</v>
      </c>
      <c r="T298" s="25" t="str">
        <f>IF(Table5[[#This Row],[Tour Ending Date]]&lt;&gt;"", TEXT(Table5[[#This Row],[Tour Ending Date]], "dddd"), "")</f>
        <v>Tuesday</v>
      </c>
      <c r="U29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2 Nights &amp; 3 Days</v>
      </c>
      <c r="V298" s="37" t="str">
        <f>IF(Table5[[#This Row],[Tour Starting Date]]&lt;&gt;"", TEXT(Table5[[#This Row],[Tour Starting Date]], "mmmm"), "")</f>
        <v>August</v>
      </c>
      <c r="W298" s="80" t="str" cm="1">
        <f t="array" ref="W298">IF(Q298&lt;&gt;"", INDEX(CI:CI, MATCH(1, (Q298&gt;=CG:CG)*(Q298&lt;=CH:CH), 0)), "")</f>
        <v>Long Weekend - Independence Day</v>
      </c>
      <c r="X298" s="39">
        <v>1</v>
      </c>
      <c r="Y298" s="74">
        <v>26200</v>
      </c>
      <c r="Z298" s="74">
        <f>IF(OR(Table5[[#This Row],[Per Person Package Cost]]="", Table5[[#This Row],[No. of Pax]]=""), "", Table5[[#This Row],[Per Person Package Cost]] * Table5[[#This Row],[No. of Pax]])</f>
        <v>26200</v>
      </c>
      <c r="AA298" s="52" t="s">
        <v>75</v>
      </c>
      <c r="AB298" s="52" t="s">
        <v>75</v>
      </c>
      <c r="AC298" s="52" t="s">
        <v>76</v>
      </c>
      <c r="AD298" s="52" t="s">
        <v>352</v>
      </c>
      <c r="AE298" s="51" t="str">
        <f t="shared" si="37"/>
        <v>EXIDR02</v>
      </c>
      <c r="AF298" s="51" t="str">
        <f t="shared" si="38"/>
        <v>Jyotirlinga Trails</v>
      </c>
      <c r="AG298" s="74" t="str">
        <f t="shared" si="39"/>
        <v>Quick Getaways</v>
      </c>
      <c r="AH298" s="73" t="str">
        <f t="shared" si="43"/>
        <v>West MP</v>
      </c>
      <c r="AI298" s="52" t="s">
        <v>159</v>
      </c>
      <c r="AJ298" s="56" t="s">
        <v>78</v>
      </c>
      <c r="AK298" s="59" t="s">
        <v>79</v>
      </c>
      <c r="AL298" s="60" t="s">
        <v>80</v>
      </c>
      <c r="AM298" s="54" t="s">
        <v>80</v>
      </c>
      <c r="AN298" s="14">
        <v>46247</v>
      </c>
      <c r="AO298" s="15"/>
      <c r="AP298" s="91"/>
      <c r="AQ298" s="87"/>
      <c r="AR298" s="26"/>
      <c r="AS298" s="65"/>
      <c r="AT298" s="88" t="s">
        <v>81</v>
      </c>
      <c r="AU298" s="67" t="s">
        <v>82</v>
      </c>
      <c r="CN298" t="s">
        <v>2009</v>
      </c>
      <c r="DA298" t="str" cm="1">
        <f t="array" ref="DA298:DY298">IF(U298&lt;&gt;"", TRANSPOSE(_xlfn._xlws.FILTER(CZ:CZ, CY:CY=U298, "")), "")</f>
        <v>Gwl (2N) + Mor</v>
      </c>
      <c r="DB298" t="str">
        <v>Ex Idr | Idr - Ujj (1N) - Omk - Mah (1N) - Man - Idr</v>
      </c>
      <c r="DC298" t="str">
        <v>Ujj (1N) - Omk - Idr (1N)</v>
      </c>
      <c r="DD298" t="str">
        <v>Ex Jlr | Jlr - Kan (2N) - Jlr</v>
      </c>
      <c r="DE298" t="str">
        <v>Ex Jlr | Jlr - Ban (2N) - Jlr</v>
      </c>
      <c r="DF298" t="str">
        <v>Ex Bho | Bho (2N) + Bhim + Bhoj + San</v>
      </c>
      <c r="DG298" t="str">
        <v>Ex Idr | Idr - Man (2N) - Idr</v>
      </c>
      <c r="DH298" t="str">
        <v>Ex Jlr | Jlr - Kan (2N) - Jlr</v>
      </c>
      <c r="DI298" t="str">
        <v>Ex Bho | Bho (2N) + Bhim + Bhoj + San + HDCT Bho</v>
      </c>
      <c r="DJ298" t="str">
        <v>Ex Bho | Bho - Bhim - Tawa (1N) - Mad (1N) - Bho</v>
      </c>
      <c r="DK298" t="str">
        <v>Ujj (1N) - Omk - Mah (1N) - Idr</v>
      </c>
      <c r="DL298" t="str">
        <v>Ujj (1N) -  Idr (1N)</v>
      </c>
      <c r="DM298" t="str">
        <v>Ex Idr | Idr (2N) + Ujj + Omk + Mah</v>
      </c>
      <c r="DN298" t="str">
        <v>Idr - Mah - Omk (1N) - Ujj (1N)</v>
      </c>
      <c r="DO298" t="str">
        <v>Idr - Ujj (1N) - Mah - Omk (1N) - Khandwa</v>
      </c>
      <c r="DP298" t="str">
        <v>Ex Idr | Idr (EX Ujj) (1N) - Mah - Omk (1N) - Idr HDCT</v>
      </c>
      <c r="DQ298" t="str">
        <v>Ujj (1N) - Sehor - Bho (1N) HDCT</v>
      </c>
      <c r="DR298" t="str">
        <v>Ex Jlr | Jlr (1N) - Ban (1N)</v>
      </c>
      <c r="DS298" t="str">
        <v>Ex Jlr | Ban (1N)</v>
      </c>
      <c r="DT298" t="str">
        <v>Ex Jlr | Jlr (2 N) Kan</v>
      </c>
      <c r="DU298" t="str">
        <v>Ex Jlr | Jlr - Amr (1 N) - (1 N) Ban</v>
      </c>
      <c r="DV298" t="str">
        <v>Ex Rpr | Rpr - (2N) Kan</v>
      </c>
      <c r="DW298" t="str">
        <v>Hjr (1N) - Mahi (1N) - Sat</v>
      </c>
      <c r="DX298" t="str">
        <v>Ex Bhp | Bhp - Bhim - Pch (2N) - Bhp</v>
      </c>
      <c r="DY298" t="str">
        <v xml:space="preserve">Ex Ujj I 2N Ujj </v>
      </c>
    </row>
    <row r="299" spans="2:145" ht="15" customHeight="1">
      <c r="B299" s="34">
        <v>295</v>
      </c>
      <c r="C299" s="36" t="s">
        <v>2010</v>
      </c>
      <c r="D299" s="76">
        <v>46246</v>
      </c>
      <c r="E299" s="37" t="str">
        <f>IF(Table5[[#This Row],[Query Date]]&lt;&gt;"", TEXT(Table5[[#This Row],[Query Date]], "dddd"), "")</f>
        <v>Wednesday</v>
      </c>
      <c r="F299" s="37" t="str">
        <f>IF(Table5[[#This Row],[Query Date]]&lt;&gt;"", TEXT(Table5[[#This Row],[Query Date]], "mmmm"), "")</f>
        <v>August</v>
      </c>
      <c r="G299" s="28" t="s">
        <v>65</v>
      </c>
      <c r="H299" s="28" t="s">
        <v>99</v>
      </c>
      <c r="I299" s="28" t="s">
        <v>67</v>
      </c>
      <c r="J299" s="28" t="s">
        <v>68</v>
      </c>
      <c r="K299" s="28" t="s">
        <v>69</v>
      </c>
      <c r="L299" s="25" t="s">
        <v>70</v>
      </c>
      <c r="M299" s="112" t="s">
        <v>2011</v>
      </c>
      <c r="N299" s="25" t="s">
        <v>2012</v>
      </c>
      <c r="O299" s="130" t="s">
        <v>2013</v>
      </c>
      <c r="P299" s="46" t="s">
        <v>2014</v>
      </c>
      <c r="Q299" s="77">
        <v>46327</v>
      </c>
      <c r="R299" s="77" t="str">
        <f>IF(Table5[[#This Row],[Tour Starting Date]]&lt;&gt;"", TEXT(Table5[[#This Row],[Tour Starting Date]], "dddd"), "")</f>
        <v>Sunday</v>
      </c>
      <c r="S299" s="77">
        <v>46332</v>
      </c>
      <c r="T299" s="25" t="str">
        <f>IF(Table5[[#This Row],[Tour Ending Date]]&lt;&gt;"", TEXT(Table5[[#This Row],[Tour Ending Date]], "dddd"), "")</f>
        <v>Friday</v>
      </c>
      <c r="U29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5 Nights &amp; 6 Days</v>
      </c>
      <c r="V299" s="37" t="str">
        <f>IF(Table5[[#This Row],[Tour Starting Date]]&lt;&gt;"", TEXT(Table5[[#This Row],[Tour Starting Date]], "mmmm"), "")</f>
        <v>November</v>
      </c>
      <c r="W299" s="80" t="str" cm="1">
        <f t="array" ref="W299">IF(Q299&lt;&gt;"", INDEX(CI:CI, MATCH(1, (Q299&gt;=CG:CG)*(Q299&lt;=CH:CH), 0)), "")</f>
        <v>Regular Dates - Weekend</v>
      </c>
      <c r="X299" s="39">
        <v>30</v>
      </c>
      <c r="Y299" s="74">
        <v>30700</v>
      </c>
      <c r="Z299" s="74">
        <f>IF(OR(Table5[[#This Row],[Per Person Package Cost]]="", Table5[[#This Row],[No. of Pax]]=""), "", Table5[[#This Row],[Per Person Package Cost]] * Table5[[#This Row],[No. of Pax]])</f>
        <v>921000</v>
      </c>
      <c r="AA299" s="52" t="s">
        <v>509</v>
      </c>
      <c r="AB299" s="52" t="s">
        <v>509</v>
      </c>
      <c r="AC299" s="52" t="s">
        <v>134</v>
      </c>
      <c r="AD299" s="52" t="s">
        <v>198</v>
      </c>
      <c r="AE299" s="51" t="str">
        <f t="shared" si="37"/>
        <v>EXGWL05</v>
      </c>
      <c r="AF299" s="51" t="str">
        <f t="shared" si="38"/>
        <v>Marvels of Chambal &amp; Bundelkhand</v>
      </c>
      <c r="AG299" s="74" t="str">
        <f t="shared" si="39"/>
        <v>Quick Getaways</v>
      </c>
      <c r="AH299" s="73" t="str">
        <f t="shared" si="43"/>
        <v>North MP</v>
      </c>
      <c r="AI299" s="52" t="s">
        <v>107</v>
      </c>
      <c r="AJ299" s="56" t="s">
        <v>78</v>
      </c>
      <c r="AK299" s="59" t="s">
        <v>79</v>
      </c>
      <c r="AL299" s="60" t="s">
        <v>80</v>
      </c>
      <c r="AM299" s="54" t="s">
        <v>80</v>
      </c>
      <c r="AN299" s="14">
        <v>46254</v>
      </c>
      <c r="AO299" s="15">
        <v>46268</v>
      </c>
      <c r="AP299" s="91">
        <v>46270</v>
      </c>
      <c r="AQ299" s="87"/>
      <c r="AR299" s="26"/>
      <c r="AS299" s="65"/>
      <c r="AT299" s="88" t="s">
        <v>138</v>
      </c>
      <c r="AU299" s="67"/>
      <c r="CN299" t="s">
        <v>2015</v>
      </c>
      <c r="DA299" t="str" cm="1">
        <f t="array" ref="DA299:DW299">IF(U299&lt;&gt;"", TRANSPOSE(_xlfn._xlws.FILTER(CZ:CZ, CY:CY=U299, "")), "")</f>
        <v>Gwl (2N) + Mor - Son - Dat - Orc (1N) - Hjr (2N) + Panna</v>
      </c>
      <c r="DB299" t="str">
        <v>Ex Gwl | Gwl (2N) + Mor - Shiv - Chan (2N) - Orc (1N) - Dat - Son - Gwl</v>
      </c>
      <c r="DC299" t="str">
        <v>Gwl (2N) + Mor - Son - Dat - Orc (1N) - Hjr (1N) - Jlr (1N)</v>
      </c>
      <c r="DD299" t="str">
        <v>Ex Idr | Idr - Ujj (1N) - Omk (1N) - Mah (1N) - Man (1N) - Idr (1N)</v>
      </c>
      <c r="DE299" t="str">
        <v>Bhp (1N) + Bhim + Bhoj + San - Ujj (1N) - Man (2N) - Mah - Omk (1N) - Idr</v>
      </c>
      <c r="DF299" t="str">
        <v>Jlr (1N) - Hjr (1N) - Orc (1N) - Dat - Son - Gwl (2N) + Mor</v>
      </c>
      <c r="DG299" t="str">
        <v>Jlr (1N) - Kan (1N) - Pch (2N) - Bhim - Bhoj - Bho (1N) + Sanchi</v>
      </c>
      <c r="DH299" t="str">
        <v>Ex Bho | Bho (1N) + San - Bhoj - Bhim - Tawa (1N) - Mad (1N) - Pch (2N) - Bho</v>
      </c>
      <c r="DI299" t="str">
        <v>Bho (1N) + San + Udaygiri - Bhoj - Bhim - Pch (2N) - Kan(1N) - Jlr (1N)</v>
      </c>
      <c r="DJ299" t="str">
        <v>Bho (1N) + Bhim + Bhoj - San - Ujj (1N) - Man (2N) - Mah - Omk (1N) - Idr</v>
      </c>
      <c r="DK299" t="str">
        <v>Idr - Man (2N) - Idr (1N) - Bho (2N) + Bhim + Bhoj + Sanchi</v>
      </c>
      <c r="DL299" t="str">
        <v>Ex Bho | Bho (2N) + San + Udaygiri - Bhoj - Bhim - Pch (2N) - Tawa (1N) - Bho</v>
      </c>
      <c r="DM299" t="str">
        <v>Rpr - Kan (2N) - Pen (1N) - Pch (2N) - Bho</v>
      </c>
      <c r="DN299" t="str">
        <v>Nag - Pen (2N) - Pch (2N) - Bhim - Bhoj - Bho (1N) + San</v>
      </c>
      <c r="DO299" t="str">
        <v>Gwl (2N) (Ex Mor) - Orc (1N) - Chn (1N) - Shiv (1N) - Jhn</v>
      </c>
      <c r="DP299" t="str">
        <v>Gwl (2N) (Ex Mor) - Dat - Orc (1N) - Chn (1N) - Shiv (1N) - Jhn</v>
      </c>
      <c r="DQ299" t="str">
        <v>Nag - Pen (2N) - Kan (2N) - Jlr (1N)</v>
      </c>
      <c r="DR299" t="str">
        <v>Rpr - (2 N) Amr - (1 N) Ban - (1 N) Hjr - (1 N) Jlr</v>
      </c>
      <c r="DS299" t="str">
        <v>Gwl (2N) (Ex Mor) -Orc  - Hjr (1N) - Chn (1N) - Shiv (1N) - Jhn</v>
      </c>
      <c r="DT299" t="str">
        <v>(2 N) Gwl - (1 N) Orch - (1 N) Hjr - (1 N) Jlr</v>
      </c>
      <c r="DU299" t="str">
        <v xml:space="preserve">Arr Rpr - Amr (2N) - Par (2N) - Jlr (1N) </v>
      </c>
      <c r="DV299" t="str">
        <v>3N Idr (Ex Ujj - Man) - Bhim - Bhoj - San - 2N Bho</v>
      </c>
      <c r="DW299" t="str">
        <v>1N Jlr - 1N Kan - 3N Pch - Ppi</v>
      </c>
    </row>
    <row r="300" spans="2:145" ht="15" customHeight="1">
      <c r="B300" s="35">
        <v>296</v>
      </c>
      <c r="C300" s="36" t="s">
        <v>2016</v>
      </c>
      <c r="D300" s="76">
        <v>46246</v>
      </c>
      <c r="E300" s="37" t="str">
        <f>IF(Table5[[#This Row],[Query Date]]&lt;&gt;"", TEXT(Table5[[#This Row],[Query Date]], "dddd"), "")</f>
        <v>Wednesday</v>
      </c>
      <c r="F300" s="37" t="str">
        <f>IF(Table5[[#This Row],[Query Date]]&lt;&gt;"", TEXT(Table5[[#This Row],[Query Date]], "mmmm"), "")</f>
        <v>August</v>
      </c>
      <c r="G300" s="28" t="s">
        <v>65</v>
      </c>
      <c r="H300" s="28" t="s">
        <v>99</v>
      </c>
      <c r="I300" s="28" t="s">
        <v>67</v>
      </c>
      <c r="J300" s="28" t="s">
        <v>68</v>
      </c>
      <c r="K300" s="28" t="s">
        <v>2017</v>
      </c>
      <c r="L300" s="25" t="s">
        <v>70</v>
      </c>
      <c r="M300" t="s">
        <v>2018</v>
      </c>
      <c r="N300" s="25" t="s">
        <v>2019</v>
      </c>
      <c r="O300" s="130" t="s">
        <v>2020</v>
      </c>
      <c r="P300" s="106" t="s">
        <v>2021</v>
      </c>
      <c r="Q300" s="77">
        <v>46252</v>
      </c>
      <c r="R300" s="77" t="str">
        <f>IF(Table5[[#This Row],[Tour Starting Date]]&lt;&gt;"", TEXT(Table5[[#This Row],[Tour Starting Date]], "dddd"), "")</f>
        <v>Tuesday</v>
      </c>
      <c r="S300" s="77">
        <v>46255</v>
      </c>
      <c r="T300" s="25" t="str">
        <f>IF(Table5[[#This Row],[Tour Ending Date]]&lt;&gt;"", TEXT(Table5[[#This Row],[Tour Ending Date]], "dddd"), "")</f>
        <v>Friday</v>
      </c>
      <c r="U30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3 Nights &amp; 4 Days</v>
      </c>
      <c r="V300" s="37" t="str">
        <f>IF(Table5[[#This Row],[Tour Starting Date]]&lt;&gt;"", TEXT(Table5[[#This Row],[Tour Starting Date]], "mmmm"), "")</f>
        <v>August</v>
      </c>
      <c r="W300" s="80" t="str" cm="1">
        <f t="array" ref="W300">IF(Q300&lt;&gt;"", INDEX(CI:CI, MATCH(1, (Q300&gt;=CG:CG)*(Q300&lt;=CH:CH), 0)), "")</f>
        <v>Regular Dates - Weekday</v>
      </c>
      <c r="X300" s="39">
        <v>4</v>
      </c>
      <c r="Y300" s="74">
        <v>18700</v>
      </c>
      <c r="Z300" s="74"/>
      <c r="AA300" s="52" t="s">
        <v>75</v>
      </c>
      <c r="AB300" s="52" t="s">
        <v>75</v>
      </c>
      <c r="AC300" s="52" t="s">
        <v>134</v>
      </c>
      <c r="AD300" s="52" t="s">
        <v>364</v>
      </c>
      <c r="AE300" s="51" t="str">
        <f t="shared" si="37"/>
        <v>EXIDR03</v>
      </c>
      <c r="AF300" s="51" t="str">
        <f t="shared" si="38"/>
        <v>Temple Fort Odyssey</v>
      </c>
      <c r="AG300" s="74" t="str">
        <f t="shared" si="39"/>
        <v>Quick Getaways</v>
      </c>
      <c r="AH300" s="73" t="str">
        <f t="shared" si="43"/>
        <v>West MP</v>
      </c>
      <c r="AI300" s="52" t="s">
        <v>159</v>
      </c>
      <c r="AJ300" s="56" t="s">
        <v>78</v>
      </c>
      <c r="AK300" s="59" t="s">
        <v>79</v>
      </c>
      <c r="AL300" s="60" t="s">
        <v>80</v>
      </c>
      <c r="AM300" s="54" t="s">
        <v>80</v>
      </c>
      <c r="AN300" s="14">
        <v>46249</v>
      </c>
      <c r="AO300" s="15"/>
      <c r="AP300" s="91"/>
      <c r="AQ300" s="87"/>
      <c r="AR300" s="26"/>
      <c r="AS300" s="65"/>
      <c r="AT300" s="88" t="s">
        <v>81</v>
      </c>
      <c r="AU300" s="67" t="s">
        <v>82</v>
      </c>
      <c r="CN300" t="s">
        <v>2022</v>
      </c>
      <c r="DA300" t="str" cm="1">
        <f t="array" ref="DA300:EO300">IF(U300&lt;&gt;"", TRANSPOSE(_xlfn._xlws.FILTER(CZ:CZ, CY:CY=U300, "")), "")</f>
        <v>Gwl (3N) + Mor + Son + Dat + Orc</v>
      </c>
      <c r="DB300" t="str">
        <v>Ex Gwl | Gwl (1N) - Son - Dat - Orc (1N) - Gwl (1N)</v>
      </c>
      <c r="DC300" t="str">
        <v>Ex Idr | Idr - Ujj (1N) - Omk - Mah (1N) - Man (1N) - Idr</v>
      </c>
      <c r="DD300" t="str">
        <v>Ex Jlr | Jlr - Kan (2N) - Jlr (1N)</v>
      </c>
      <c r="DE300" t="str">
        <v>Ex Jlr | Jlr - Ban (2N) - Jlr (1N)</v>
      </c>
      <c r="DF300" t="str">
        <v>Ex Bho | Bho (1N) + San - Bhoj - Bhim - Pch (2N) - Bho</v>
      </c>
      <c r="DG300" t="str">
        <v>Ex Idr | Idr (1N) - Ujj (1N) - Omk (1N) - Mah - Idr</v>
      </c>
      <c r="DH300" t="str">
        <v>Gwl - Orc (1N) - Ckt (1N) - Myr (1N) - Jlr</v>
      </c>
      <c r="DI300" t="str">
        <v>Gwl - Orc (1N) - Ckt (2N) - Ixd</v>
      </c>
      <c r="DJ300" t="str">
        <v>Ex Idr | Idr - Ujj (1N) - Omk - Mah (1N) - Idr (1N)</v>
      </c>
      <c r="DK300" t="str">
        <v>Ex Jlr | Jlr - Kan (3N) - Jlr</v>
      </c>
      <c r="DL300" t="str">
        <v>Ex Bho | Bho (2N) + Bhim + Bhoj + San + Udaygiri + Vidisha + FDCT Bho</v>
      </c>
      <c r="DM300" t="str">
        <v>Bho (1N) + Bhim + Bhoj - HDCT  Bho + Sanchi - Ujj (2N)</v>
      </c>
      <c r="DN300" t="str">
        <v>Bho (1N) + Bhim + Bhoj - HDCT  Bho + Sanchi - Ujj (2N) - Idr</v>
      </c>
      <c r="DO300" t="str">
        <v>Ex Bho | Bho - Bhoj - Bhim - Mad (1N) - Pch (2N) - Bho</v>
      </c>
      <c r="DP300" t="str">
        <v>Ex Bho | Bho - Bhoj - Bhim - Mad (1N) - Pch (3N) - Bho</v>
      </c>
      <c r="DQ300" t="str">
        <v>Ex Bho | Bho - Bhoj - Bhim - Tawa (1N) - Mad (1N) - Bho (1N)</v>
      </c>
      <c r="DR300" t="str">
        <v>Bho (1N) - Bhim - Bhoj - San - Idr (2N) + Ujj</v>
      </c>
      <c r="DS300" t="str">
        <v>Bho (1N) - Bhoj - Bhim - Pch (2N) - Bho</v>
      </c>
      <c r="DT300" t="str">
        <v>Ujj (1N) - Omk - Mah (1N) - Idr (1N)</v>
      </c>
      <c r="DU300" t="str">
        <v>Ujj (1N) - Omk - Mah (1N) - Man (1N) - Idr</v>
      </c>
      <c r="DV300" t="str">
        <v>Ex Idr | Idr (1N) - Ujj (1N) - Omk - Mah (1N)</v>
      </c>
      <c r="DW300" t="str">
        <v>Ex Idr | Idr - Ujj (1N) - Omk (1N) - Mah (1N) - Idr</v>
      </c>
      <c r="DX300" t="str">
        <v>Khandwa - Omk (1N) - Mah (1N) - Ujj (1N) - Idr</v>
      </c>
      <c r="DY300" t="str">
        <v>Ex Idr | Idr - Ujj (1N) - Omk - Mah (1N) - Man - Idr (1N)</v>
      </c>
      <c r="DZ300" t="str">
        <v xml:space="preserve">Idr - Omk (1N) - Mah - Ujj (1N) San - Bho (1N) </v>
      </c>
      <c r="EA300" t="str">
        <v>Ex Idr | Idr - Man (1N) - Mah - Omk (1N) - Ujj (1N) - Idr</v>
      </c>
      <c r="EB300" t="str">
        <v>Khandwa - Omk (1N) - Mah - Ujj (2N)</v>
      </c>
      <c r="EC300" t="str">
        <v>Ex Jlr | Jlr (1N) - Amr (1N) - Ban (1N) - Jlr</v>
      </c>
      <c r="ED300" t="str">
        <v>Ex Jlr | Jlr - (1 N) Ban - (2 N) Amar</v>
      </c>
      <c r="EE300" t="str">
        <v>Jlr - Kan (1N) - Pch (2N)</v>
      </c>
      <c r="EF300" t="str">
        <v>Pi - Pch (2N)  - Kan (1N)</v>
      </c>
      <c r="EG300" t="str">
        <v>Ex Jlr | Jlr - Amr (1 N) - (1 N) Ban - (1 N) Jlr</v>
      </c>
      <c r="EH300" t="str">
        <v>Ppi - (2 N) Pch - (1 N) Pen</v>
      </c>
      <c r="EI300" t="str">
        <v>Bhp - Pch (2N) - Jlr (1N)</v>
      </c>
      <c r="EJ300" t="str">
        <v xml:space="preserve">Arr Jhn - Hjr (1N) - Orc - Gwl (2N) </v>
      </c>
      <c r="EK300" t="str">
        <v>(1 N) Ujj - (1 N) Mah - (1 N) Idr</v>
      </c>
      <c r="EL300" t="str">
        <v>Ex Bhp | Bhp - Bhoj - Bhim - Pch (3N) - Bhp</v>
      </c>
      <c r="EM300" t="str">
        <v>Ex Bhp | Bhp - Bhoj - Bhim - Pch (2N) - Mad (1N) - Bhp</v>
      </c>
      <c r="EN300" t="str">
        <v xml:space="preserve">Ex Nag - 3N Pch + Sat </v>
      </c>
      <c r="EO300" t="str">
        <v>1N Gwl - Son - Dat - 1N Hjr - 1N Orc - Jhn</v>
      </c>
    </row>
    <row r="301" spans="2:145" ht="15" customHeight="1">
      <c r="B301" s="34">
        <v>297</v>
      </c>
      <c r="C301" s="36" t="s">
        <v>2023</v>
      </c>
      <c r="D301" s="76">
        <v>46247</v>
      </c>
      <c r="E301" s="37" t="str">
        <f>IF(Table5[[#This Row],[Query Date]]&lt;&gt;"", TEXT(Table5[[#This Row],[Query Date]], "dddd"), "")</f>
        <v>Thursday</v>
      </c>
      <c r="F301" s="37" t="str">
        <f>IF(Table5[[#This Row],[Query Date]]&lt;&gt;"", TEXT(Table5[[#This Row],[Query Date]], "mmmm"), "")</f>
        <v>August</v>
      </c>
      <c r="G301" s="28" t="s">
        <v>65</v>
      </c>
      <c r="H301" s="28" t="s">
        <v>99</v>
      </c>
      <c r="I301" s="28" t="s">
        <v>67</v>
      </c>
      <c r="J301" s="28" t="s">
        <v>68</v>
      </c>
      <c r="K301" s="28" t="s">
        <v>2017</v>
      </c>
      <c r="L301" s="25" t="s">
        <v>70</v>
      </c>
      <c r="M301" s="112" t="s">
        <v>2018</v>
      </c>
      <c r="N301" s="25" t="s">
        <v>2019</v>
      </c>
      <c r="O301" s="130" t="s">
        <v>2020</v>
      </c>
      <c r="P301" s="31" t="s">
        <v>2021</v>
      </c>
      <c r="Q301" s="77">
        <v>46335</v>
      </c>
      <c r="R301" s="77" t="str">
        <f>IF(Table5[[#This Row],[Tour Starting Date]]&lt;&gt;"", TEXT(Table5[[#This Row],[Tour Starting Date]], "dddd"), "")</f>
        <v>Monday</v>
      </c>
      <c r="S301" s="77">
        <v>46339</v>
      </c>
      <c r="T301" s="25" t="str">
        <f>IF(Table5[[#This Row],[Tour Ending Date]]&lt;&gt;"", TEXT(Table5[[#This Row],[Tour Ending Date]], "dddd"), "")</f>
        <v>Friday</v>
      </c>
      <c r="U30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4 Nights &amp; 5 Days</v>
      </c>
      <c r="V301" s="37" t="str">
        <f>IF(Table5[[#This Row],[Tour Starting Date]]&lt;&gt;"", TEXT(Table5[[#This Row],[Tour Starting Date]], "mmmm"), "")</f>
        <v>November</v>
      </c>
      <c r="W301" s="80" t="str" cm="1">
        <f t="array" ref="W301">IF(Q301&lt;&gt;"", INDEX(CI:CI, MATCH(1, (Q301&gt;=CG:CG)*(Q301&lt;=CH:CH), 0)), "")</f>
        <v>Long Weekend - Diwali</v>
      </c>
      <c r="X301" s="39">
        <v>4</v>
      </c>
      <c r="Y301" s="74">
        <v>23700</v>
      </c>
      <c r="Z301" s="74">
        <f>IF(OR(Table5[[#This Row],[Per Person Package Cost]]="", Table5[[#This Row],[No. of Pax]]=""), "", Table5[[#This Row],[Per Person Package Cost]] * Table5[[#This Row],[No. of Pax]])</f>
        <v>94800</v>
      </c>
      <c r="AA301" s="52" t="s">
        <v>75</v>
      </c>
      <c r="AB301" s="52" t="s">
        <v>75</v>
      </c>
      <c r="AC301" s="52" t="s">
        <v>134</v>
      </c>
      <c r="AD301" s="52" t="s">
        <v>106</v>
      </c>
      <c r="AE301" s="51" t="str">
        <f t="shared" si="37"/>
        <v>EXIDR04</v>
      </c>
      <c r="AF301" s="51" t="str">
        <f t="shared" si="38"/>
        <v>Heritage Pilgrimage</v>
      </c>
      <c r="AG301" s="74" t="str">
        <f t="shared" si="39"/>
        <v>Quick Getaways</v>
      </c>
      <c r="AH301" s="73" t="str">
        <f t="shared" si="43"/>
        <v>West MP</v>
      </c>
      <c r="AI301" s="52" t="s">
        <v>159</v>
      </c>
      <c r="AJ301" s="56" t="s">
        <v>78</v>
      </c>
      <c r="AK301" s="59" t="s">
        <v>79</v>
      </c>
      <c r="AL301" s="60" t="s">
        <v>80</v>
      </c>
      <c r="AM301" s="54" t="s">
        <v>80</v>
      </c>
      <c r="AN301" s="14">
        <v>46251</v>
      </c>
      <c r="AO301" s="15">
        <v>46268</v>
      </c>
      <c r="AP301" s="91"/>
      <c r="AQ301" s="87"/>
      <c r="AR301" s="26"/>
      <c r="AS301" s="65"/>
      <c r="AT301" s="88" t="s">
        <v>138</v>
      </c>
      <c r="AU301" s="67"/>
      <c r="CN301" t="s">
        <v>600</v>
      </c>
      <c r="DA301" t="str" cm="1">
        <f t="array" ref="DA301:EJ301">IF(U301&lt;&gt;"", TRANSPOSE(_xlfn._xlws.FILTER(CZ:CZ, CY:CY=U301, "")), "")</f>
        <v>Ex Gwl | Gwl (2N) + Mor - Son - Dat - Orc (1N) - Hjr (1N) - Gwl</v>
      </c>
      <c r="DB301" t="str">
        <v>Ex Idr | Idr - Ujj (1N) - Omk - Mah (1N) - Man (1N) - Idr (1N)</v>
      </c>
      <c r="DC301" t="str">
        <v>Ex Idr | Idr - Ujj (1N) - Omk (1N) - Mah (1N) - Man (1N) - Idr</v>
      </c>
      <c r="DD301" t="str">
        <v>Ex Jlr | Jlr - Kan (2N) - Amk (1N) - Jlr (1N)</v>
      </c>
      <c r="DE301" t="str">
        <v>Ex Jlr | Jlr - Ban (2N) - Amk (1N) - Jlr (1N)</v>
      </c>
      <c r="DF301" t="str">
        <v>Ex Jlr | Jlr (1N) - Hjr (1N) - Ban (2N) - Jlr</v>
      </c>
      <c r="DG301" t="str">
        <v>Ex Jlr | Jlr (1N) - Kan (1N) - Ban (2N) - Jlr</v>
      </c>
      <c r="DH301" t="str">
        <v>Ex Bho | Bho (1N) + San + Bhoj + Bhim - Tawa - Mad (1N) - Pch (2N) - Bho</v>
      </c>
      <c r="DI301" t="str">
        <v>Ex Idr | Idr - Ujj (1N) - Omk - Mah (1N) - Man (1N) - Idr (1N)</v>
      </c>
      <c r="DJ301" t="str">
        <v>Ex Bho | Bho (1N) - Bhoj - Bhim - Pch (3N) - Bho</v>
      </c>
      <c r="DK301" t="str">
        <v>Gwl (1N) - Dat (Pitambara Peeth) - Orc (1N) - Ckt (2N) - Ixd</v>
      </c>
      <c r="DL301" t="str">
        <v>Ex Jlr | Jlr - Ban (2N) - Kan (2N) - Jlr</v>
      </c>
      <c r="DM301" t="str">
        <v>Jlr - Ban (1N) - Kan (1N) - Pen (2N) - Nag</v>
      </c>
      <c r="DN301" t="str">
        <v>Ex Bho | Bho (1N) - Bhoj - Bhim - Pch (3N) - Bho</v>
      </c>
      <c r="DO301" t="str">
        <v>Ex Bho | Bho (2N) + Sanchi + Bhoj + Bhim - Tawa - Mad (1N) - Bho (1N)</v>
      </c>
      <c r="DP301" t="str">
        <v>Ex Bho | Bho - Bhoj - Bhim - Tawa (1N) - Mad (1N) - Pch (2N) - Bho</v>
      </c>
      <c r="DQ301" t="str">
        <v>Bho - Bhoj - Bhim - Pch (2N) - Kan (1N) - Jlr (1N)</v>
      </c>
      <c r="DR301" t="str">
        <v>Bho - Bhoj - Bhim - Pch (2N) - Kan (1N) - Amk (1N) - Jlr</v>
      </c>
      <c r="DS301" t="str">
        <v xml:space="preserve">Bho (1N) + Bhim + Bhoj + San - Ujj (1N) - Omk - Mah (1N) - Idr (1N) </v>
      </c>
      <c r="DT301" t="str">
        <v>Ex Gwl | Gwl - Hjr (1N) - Orc (1N) - Dat - Son - Gwl (2N)</v>
      </c>
      <c r="DU301" t="str">
        <v>Ex Gwl | Gwl - Orc (1N) - Hjr (1N) - Chn (1N) - Shiv (1N) - Gwl</v>
      </c>
      <c r="DV301" t="str">
        <v>Gwl - Hjr (1N) - Panna (1N) - Chit (1N) - Mahi (1N) - Sat</v>
      </c>
      <c r="DW301" t="str">
        <v>Jlr - (2 N) Kan - (2 N) Pch - Bhim - Bhoj - Bhp</v>
      </c>
      <c r="DX301" t="str">
        <v>Jlr - (2 N) Kan - (2 N) Pen - Rpr</v>
      </c>
      <c r="DY301" t="str">
        <v>Gwl (2N) (Ex Mor) - Dat -Orc (1N) - Hjr (1N) - Jhn</v>
      </c>
      <c r="DZ301" t="str">
        <v>Ex Gwl | Gwl (1N) - Son - Dat - Orc (1N) - Hjr (2N) (Ex Panna) - Gwl</v>
      </c>
      <c r="EA301" t="str">
        <v>Hjr (1N) - Orc (1N) - Dat - son - Gwl (2N)(Ex Mor)</v>
      </c>
      <c r="EB301" t="str">
        <v>(2 N) Gwl - (1 N) Orch - (1 N) Hjr</v>
      </c>
      <c r="EC301" t="str">
        <v>Ex Bhp | Bhp - Bhoj - Bhim - Pch (2N) - Mad (1N) - Tawa (1N) - Bhp</v>
      </c>
      <c r="ED301" t="str">
        <v>Ex Bhp | Bhp - Bhoj - Bhim - Pch (2N) - Mad (2N) - Bhp</v>
      </c>
      <c r="EE301" t="str">
        <v>Ex Idr | Idr - Ujj (1N) - Omk (1N) - Mah (2N) (Ex Man) - Idr (HDCT)</v>
      </c>
      <c r="EF301" t="str">
        <v>Arr Rpr - Amr (2N) - Par (2N) - IXD</v>
      </c>
      <c r="EG301" t="str">
        <v>1N Gwl - Orc - 2N Hjr - Jhn - 1N Gwl</v>
      </c>
      <c r="EH301" t="str">
        <v>1N Orc - 1N Hjr - 2N Gwl Ex Mor</v>
      </c>
      <c r="EI301" t="str">
        <v>1N Idr - Omk - 1N Mah - 1N Ujj - Seh - 1N Bho</v>
      </c>
      <c r="EJ301" t="str">
        <v>Ex Idr I 1N Idr - 1N Ujj - Omk - 2N Mah - Man - Idr</v>
      </c>
    </row>
    <row r="302" spans="2:145" ht="15" customHeight="1">
      <c r="B302" s="35">
        <v>298</v>
      </c>
      <c r="C302" s="36" t="s">
        <v>2024</v>
      </c>
      <c r="D302" s="76">
        <v>46248</v>
      </c>
      <c r="E302" s="37" t="str">
        <f>IF(Table5[[#This Row],[Query Date]]&lt;&gt;"", TEXT(Table5[[#This Row],[Query Date]], "dddd"), "")</f>
        <v>Friday</v>
      </c>
      <c r="F302" s="37" t="str">
        <f>IF(Table5[[#This Row],[Query Date]]&lt;&gt;"", TEXT(Table5[[#This Row],[Query Date]], "mmmm"), "")</f>
        <v>August</v>
      </c>
      <c r="G302" s="28" t="s">
        <v>65</v>
      </c>
      <c r="H302" s="28" t="s">
        <v>99</v>
      </c>
      <c r="I302" s="28" t="s">
        <v>67</v>
      </c>
      <c r="J302" s="28" t="s">
        <v>68</v>
      </c>
      <c r="K302" s="28" t="s">
        <v>246</v>
      </c>
      <c r="L302" s="25" t="s">
        <v>70</v>
      </c>
      <c r="M302" s="112" t="s">
        <v>1248</v>
      </c>
      <c r="N302" s="25" t="s">
        <v>2025</v>
      </c>
      <c r="O302" s="130" t="s">
        <v>2026</v>
      </c>
      <c r="P302" s="46" t="s">
        <v>2027</v>
      </c>
      <c r="Q302" s="77">
        <v>46340</v>
      </c>
      <c r="R302" s="77" t="str">
        <f>IF(Table5[[#This Row],[Tour Starting Date]]&lt;&gt;"", TEXT(Table5[[#This Row],[Tour Starting Date]], "dddd"), "")</f>
        <v>Saturday</v>
      </c>
      <c r="S302" s="77">
        <v>46343</v>
      </c>
      <c r="T302" s="25" t="str">
        <f>IF(Table5[[#This Row],[Tour Ending Date]]&lt;&gt;"", TEXT(Table5[[#This Row],[Tour Ending Date]], "dddd"), "")</f>
        <v>Tuesday</v>
      </c>
      <c r="U30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3 Nights &amp; 4 Days</v>
      </c>
      <c r="V302" s="37" t="str">
        <f>IF(Table5[[#This Row],[Tour Starting Date]]&lt;&gt;"", TEXT(Table5[[#This Row],[Tour Starting Date]], "mmmm"), "")</f>
        <v>November</v>
      </c>
      <c r="W302" s="80" t="str" cm="1">
        <f t="array" ref="W302">IF(Q302&lt;&gt;"", INDEX(CI:CI, MATCH(1, (Q302&gt;=CG:CG)*(Q302&lt;=CH:CH), 0)), "")</f>
        <v>Regular Dates - Weekend</v>
      </c>
      <c r="X302" s="39">
        <v>3</v>
      </c>
      <c r="Y302" s="74">
        <v>11000</v>
      </c>
      <c r="Z302" s="74">
        <f>IF(OR(Table5[[#This Row],[Per Person Package Cost]]="", Table5[[#This Row],[No. of Pax]]=""), "", Table5[[#This Row],[Per Person Package Cost]] * Table5[[#This Row],[No. of Pax]])</f>
        <v>33000</v>
      </c>
      <c r="AA302" s="52" t="s">
        <v>75</v>
      </c>
      <c r="AB302" s="52" t="s">
        <v>75</v>
      </c>
      <c r="AC302" s="52" t="s">
        <v>76</v>
      </c>
      <c r="AD302" s="52" t="s">
        <v>352</v>
      </c>
      <c r="AE302" s="51" t="str">
        <f t="shared" si="37"/>
        <v>EXIDR02</v>
      </c>
      <c r="AF302" s="51" t="str">
        <f t="shared" si="38"/>
        <v>Jyotirlinga Trails</v>
      </c>
      <c r="AG302" s="74" t="str">
        <f t="shared" si="39"/>
        <v>Quick Getaways</v>
      </c>
      <c r="AH302" s="73" t="str">
        <f t="shared" si="43"/>
        <v>West MP</v>
      </c>
      <c r="AI302" s="52" t="s">
        <v>159</v>
      </c>
      <c r="AJ302" s="56" t="s">
        <v>78</v>
      </c>
      <c r="AK302" s="59" t="s">
        <v>79</v>
      </c>
      <c r="AL302" s="60" t="s">
        <v>80</v>
      </c>
      <c r="AM302" s="54" t="s">
        <v>80</v>
      </c>
      <c r="AN302" s="14">
        <v>46260</v>
      </c>
      <c r="AO302" s="15">
        <v>46273</v>
      </c>
      <c r="AP302" s="91">
        <v>46280</v>
      </c>
      <c r="AQ302" s="87"/>
      <c r="AR302" s="26"/>
      <c r="AS302" s="65"/>
      <c r="AT302" s="88" t="s">
        <v>138</v>
      </c>
      <c r="AU302" s="67"/>
      <c r="CN302" t="s">
        <v>2028</v>
      </c>
      <c r="DA302" t="str" cm="1">
        <f t="array" ref="DA302:EO302">IF(U302&lt;&gt;"", TRANSPOSE(_xlfn._xlws.FILTER(CZ:CZ, CY:CY=U302, "")), "")</f>
        <v>Gwl (3N) + Mor + Son + Dat + Orc</v>
      </c>
      <c r="DB302" t="str">
        <v>Ex Gwl | Gwl (1N) - Son - Dat - Orc (1N) - Gwl (1N)</v>
      </c>
      <c r="DC302" t="str">
        <v>Ex Idr | Idr - Ujj (1N) - Omk - Mah (1N) - Man (1N) - Idr</v>
      </c>
      <c r="DD302" t="str">
        <v>Ex Jlr | Jlr - Kan (2N) - Jlr (1N)</v>
      </c>
      <c r="DE302" t="str">
        <v>Ex Jlr | Jlr - Ban (2N) - Jlr (1N)</v>
      </c>
      <c r="DF302" t="str">
        <v>Ex Bho | Bho (1N) + San - Bhoj - Bhim - Pch (2N) - Bho</v>
      </c>
      <c r="DG302" t="str">
        <v>Ex Idr | Idr (1N) - Ujj (1N) - Omk (1N) - Mah - Idr</v>
      </c>
      <c r="DH302" t="str">
        <v>Gwl - Orc (1N) - Ckt (1N) - Myr (1N) - Jlr</v>
      </c>
      <c r="DI302" t="str">
        <v>Gwl - Orc (1N) - Ckt (2N) - Ixd</v>
      </c>
      <c r="DJ302" t="str">
        <v>Ex Idr | Idr - Ujj (1N) - Omk - Mah (1N) - Idr (1N)</v>
      </c>
      <c r="DK302" t="str">
        <v>Ex Jlr | Jlr - Kan (3N) - Jlr</v>
      </c>
      <c r="DL302" t="str">
        <v>Ex Bho | Bho (2N) + Bhim + Bhoj + San + Udaygiri + Vidisha + FDCT Bho</v>
      </c>
      <c r="DM302" t="str">
        <v>Bho (1N) + Bhim + Bhoj - HDCT  Bho + Sanchi - Ujj (2N)</v>
      </c>
      <c r="DN302" t="str">
        <v>Bho (1N) + Bhim + Bhoj - HDCT  Bho + Sanchi - Ujj (2N) - Idr</v>
      </c>
      <c r="DO302" t="str">
        <v>Ex Bho | Bho - Bhoj - Bhim - Mad (1N) - Pch (2N) - Bho</v>
      </c>
      <c r="DP302" t="str">
        <v>Ex Bho | Bho - Bhoj - Bhim - Mad (1N) - Pch (3N) - Bho</v>
      </c>
      <c r="DQ302" t="str">
        <v>Ex Bho | Bho - Bhoj - Bhim - Tawa (1N) - Mad (1N) - Bho (1N)</v>
      </c>
      <c r="DR302" t="str">
        <v>Bho (1N) - Bhim - Bhoj - San - Idr (2N) + Ujj</v>
      </c>
      <c r="DS302" t="str">
        <v>Bho (1N) - Bhoj - Bhim - Pch (2N) - Bho</v>
      </c>
      <c r="DT302" t="str">
        <v>Ujj (1N) - Omk - Mah (1N) - Idr (1N)</v>
      </c>
      <c r="DU302" t="str">
        <v>Ujj (1N) - Omk - Mah (1N) - Man (1N) - Idr</v>
      </c>
      <c r="DV302" t="str">
        <v>Ex Idr | Idr (1N) - Ujj (1N) - Omk - Mah (1N)</v>
      </c>
      <c r="DW302" t="str">
        <v>Ex Idr | Idr - Ujj (1N) - Omk (1N) - Mah (1N) - Idr</v>
      </c>
      <c r="DX302" t="str">
        <v>Khandwa - Omk (1N) - Mah (1N) - Ujj (1N) - Idr</v>
      </c>
      <c r="DY302" t="str">
        <v>Ex Idr | Idr - Ujj (1N) - Omk - Mah (1N) - Man - Idr (1N)</v>
      </c>
      <c r="DZ302" t="str">
        <v xml:space="preserve">Idr - Omk (1N) - Mah - Ujj (1N) San - Bho (1N) </v>
      </c>
      <c r="EA302" t="str">
        <v>Ex Idr | Idr - Man (1N) - Mah - Omk (1N) - Ujj (1N) - Idr</v>
      </c>
      <c r="EB302" t="str">
        <v>Khandwa - Omk (1N) - Mah - Ujj (2N)</v>
      </c>
      <c r="EC302" t="str">
        <v>Ex Jlr | Jlr (1N) - Amr (1N) - Ban (1N) - Jlr</v>
      </c>
      <c r="ED302" t="str">
        <v>Ex Jlr | Jlr - (1 N) Ban - (2 N) Amar</v>
      </c>
      <c r="EE302" t="str">
        <v>Jlr - Kan (1N) - Pch (2N)</v>
      </c>
      <c r="EF302" t="str">
        <v>Pi - Pch (2N)  - Kan (1N)</v>
      </c>
      <c r="EG302" t="str">
        <v>Ex Jlr | Jlr - Amr (1 N) - (1 N) Ban - (1 N) Jlr</v>
      </c>
      <c r="EH302" t="str">
        <v>Ppi - (2 N) Pch - (1 N) Pen</v>
      </c>
      <c r="EI302" t="str">
        <v>Bhp - Pch (2N) - Jlr (1N)</v>
      </c>
      <c r="EJ302" t="str">
        <v xml:space="preserve">Arr Jhn - Hjr (1N) - Orc - Gwl (2N) </v>
      </c>
      <c r="EK302" t="str">
        <v>(1 N) Ujj - (1 N) Mah - (1 N) Idr</v>
      </c>
      <c r="EL302" t="str">
        <v>Ex Bhp | Bhp - Bhoj - Bhim - Pch (3N) - Bhp</v>
      </c>
      <c r="EM302" t="str">
        <v>Ex Bhp | Bhp - Bhoj - Bhim - Pch (2N) - Mad (1N) - Bhp</v>
      </c>
      <c r="EN302" t="str">
        <v xml:space="preserve">Ex Nag - 3N Pch + Sat </v>
      </c>
      <c r="EO302" t="str">
        <v>1N Gwl - Son - Dat - 1N Hjr - 1N Orc - Jhn</v>
      </c>
    </row>
    <row r="303" spans="2:145" ht="15" customHeight="1">
      <c r="B303" s="34">
        <v>299</v>
      </c>
      <c r="C303" s="36" t="s">
        <v>2029</v>
      </c>
      <c r="D303" s="76">
        <v>46248</v>
      </c>
      <c r="E303" s="37" t="str">
        <f>IF(Table5[[#This Row],[Query Date]]&lt;&gt;"", TEXT(Table5[[#This Row],[Query Date]], "dddd"), "")</f>
        <v>Friday</v>
      </c>
      <c r="F303" s="37" t="str">
        <f>IF(Table5[[#This Row],[Query Date]]&lt;&gt;"", TEXT(Table5[[#This Row],[Query Date]], "mmmm"), "")</f>
        <v>August</v>
      </c>
      <c r="G303" s="28" t="s">
        <v>65</v>
      </c>
      <c r="H303" s="28" t="s">
        <v>66</v>
      </c>
      <c r="I303" s="28" t="s">
        <v>67</v>
      </c>
      <c r="J303" s="28" t="s">
        <v>68</v>
      </c>
      <c r="K303" s="28" t="s">
        <v>128</v>
      </c>
      <c r="L303" s="25" t="s">
        <v>70</v>
      </c>
      <c r="M303" s="112" t="s">
        <v>295</v>
      </c>
      <c r="N303" s="25" t="s">
        <v>1669</v>
      </c>
      <c r="O303" s="130" t="s">
        <v>1802</v>
      </c>
      <c r="P303" s="46" t="s">
        <v>1269</v>
      </c>
      <c r="Q303" s="77">
        <v>46283</v>
      </c>
      <c r="R303" s="77" t="str">
        <f>IF(Table5[[#This Row],[Tour Starting Date]]&lt;&gt;"", TEXT(Table5[[#This Row],[Tour Starting Date]], "dddd"), "")</f>
        <v>Friday</v>
      </c>
      <c r="S303" s="77">
        <v>46290</v>
      </c>
      <c r="T303" s="25" t="str">
        <f>IF(Table5[[#This Row],[Tour Ending Date]]&lt;&gt;"", TEXT(Table5[[#This Row],[Tour Ending Date]], "dddd"), "")</f>
        <v>Friday</v>
      </c>
      <c r="U30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7 Nights &amp; 8 Days</v>
      </c>
      <c r="V303" s="37" t="str">
        <f>IF(Table5[[#This Row],[Tour Starting Date]]&lt;&gt;"", TEXT(Table5[[#This Row],[Tour Starting Date]], "mmmm"), "")</f>
        <v>September</v>
      </c>
      <c r="W303" s="80" t="str" cm="1">
        <f t="array" ref="W303">IF(Q303&lt;&gt;"", INDEX(CI:CI, MATCH(1, (Q303&gt;=CG:CG)*(Q303&lt;=CH:CH), 0)), "")</f>
        <v>Regular Dates - Weekend</v>
      </c>
      <c r="X303" s="39">
        <v>2</v>
      </c>
      <c r="Y303" s="74">
        <v>42000</v>
      </c>
      <c r="Z303" s="74">
        <f>IF(OR(Table5[[#This Row],[Per Person Package Cost]]="", Table5[[#This Row],[No. of Pax]]=""), "", Table5[[#This Row],[Per Person Package Cost]] * Table5[[#This Row],[No. of Pax]])</f>
        <v>84000</v>
      </c>
      <c r="AA303" s="52" t="s">
        <v>509</v>
      </c>
      <c r="AB303" s="52" t="s">
        <v>520</v>
      </c>
      <c r="AC303" s="52" t="s">
        <v>134</v>
      </c>
      <c r="AD303" s="52"/>
      <c r="AE303" s="51" t="str">
        <f t="shared" si="37"/>
        <v/>
      </c>
      <c r="AF303" s="51" t="str">
        <f t="shared" si="38"/>
        <v/>
      </c>
      <c r="AG303" s="74" t="str">
        <f t="shared" si="39"/>
        <v/>
      </c>
      <c r="AH303" s="73" t="str">
        <f t="shared" si="43"/>
        <v/>
      </c>
      <c r="AI303" s="52" t="s">
        <v>159</v>
      </c>
      <c r="AJ303" s="56" t="s">
        <v>78</v>
      </c>
      <c r="AK303" s="59" t="s">
        <v>79</v>
      </c>
      <c r="AL303" s="60" t="s">
        <v>80</v>
      </c>
      <c r="AM303" s="54" t="s">
        <v>80</v>
      </c>
      <c r="AN303" s="14">
        <v>46265</v>
      </c>
      <c r="AO303" s="15"/>
      <c r="AP303" s="91"/>
      <c r="AQ303" s="87"/>
      <c r="AR303" s="26"/>
      <c r="AS303" s="65"/>
      <c r="AT303" s="88" t="s">
        <v>138</v>
      </c>
      <c r="AU303" s="67"/>
      <c r="CN303" t="s">
        <v>2030</v>
      </c>
      <c r="DA303" t="str" cm="1">
        <f t="array" ref="DA303:DJ303">IF(U303&lt;&gt;"", TRANSPOSE(_xlfn._xlws.FILTER(CZ:CZ, CY:CY=U303, "")), "")</f>
        <v>Ex Idr | Idr (1N) - Ujj (1N) - Omk - Mah (1N) - Man (2N) - Bhp (2N) + Bhim + Bhoj + Sanchi - Idr</v>
      </c>
      <c r="DB303" t="str">
        <v>Bho (1N) + San + Udaygiri - Bhoj - Bhim - Tawa (1N) - Mad (1N) - Pch (2N) - Kan(1N) - Jlr (1N)</v>
      </c>
      <c r="DC303" t="str">
        <v>Bho (1N) + San + Udaygiri - Bhoj - Bhim - Pch (2N) - Kan(1N) - Amk (2N) - Jlr (1N)</v>
      </c>
      <c r="DD303" t="str">
        <v>Bho (2N) + San + Bhoj + Bhim - Ujj (1N) - Omk (1N) - Mah (1N) - Man (1N) - Idr (1N)</v>
      </c>
      <c r="DE303" t="str">
        <v>Gwl (2N) + Mor - Son - Dat - Orc (1N) - Hjr (2N) - San - Bho (2N) + Bhoj + Bhim</v>
      </c>
      <c r="DF303" t="str">
        <v>Idr - Man (2N) - Bho (2N) + San - Bhoj - Bhim - Pch (2N) - Tawa (1N) - Bho</v>
      </c>
      <c r="DG303" t="str">
        <v>Jlr (1N) - Amk (1N) - Myr (1N) - Ckt (1N) - Orc (1N) - Dat - Son - Gwl (2N) + Mor + Shanichara</v>
      </c>
      <c r="DH303" t="str">
        <v>Gwl (2N) + Mor + Sanchichara - Dat (Pitambara Peeth) - Orc (1N) - Ckt (2N) - Amk (1N) - Jlr (1N)</v>
      </c>
      <c r="DI303" t="str">
        <v>Jlr - (1 N) Kan - (2 N) Pch - Bhim - Bhoj - (1 N) Bho - (1 N) Ujj - (1 N) Mah - Man -  (1 N) Idr</v>
      </c>
      <c r="DJ303" t="str">
        <v>Ex Nag - 2N Tado - 2N Pen - 3N Nag</v>
      </c>
    </row>
    <row r="304" spans="2:145" ht="15" customHeight="1">
      <c r="B304" s="35">
        <v>300</v>
      </c>
      <c r="C304" s="36" t="s">
        <v>2031</v>
      </c>
      <c r="D304" s="76">
        <v>46251</v>
      </c>
      <c r="E304" s="37" t="str">
        <f>IF(Table5[[#This Row],[Query Date]]&lt;&gt;"", TEXT(Table5[[#This Row],[Query Date]], "dddd"), "")</f>
        <v>Monday</v>
      </c>
      <c r="F304" s="37" t="str">
        <f>IF(Table5[[#This Row],[Query Date]]&lt;&gt;"", TEXT(Table5[[#This Row],[Query Date]], "mmmm"), "")</f>
        <v>August</v>
      </c>
      <c r="G304" s="28" t="s">
        <v>65</v>
      </c>
      <c r="H304" s="28" t="s">
        <v>99</v>
      </c>
      <c r="I304" s="28" t="s">
        <v>67</v>
      </c>
      <c r="J304" s="28" t="s">
        <v>68</v>
      </c>
      <c r="K304" s="28" t="s">
        <v>178</v>
      </c>
      <c r="L304" s="25" t="s">
        <v>70</v>
      </c>
      <c r="M304" s="112" t="s">
        <v>2032</v>
      </c>
      <c r="N304" s="25" t="s">
        <v>2033</v>
      </c>
      <c r="O304" s="130" t="s">
        <v>2034</v>
      </c>
      <c r="P304" s="46" t="s">
        <v>2035</v>
      </c>
      <c r="Q304" s="77">
        <v>46276</v>
      </c>
      <c r="R304" s="77" t="str">
        <f>IF(Table5[[#This Row],[Tour Starting Date]]&lt;&gt;"", TEXT(Table5[[#This Row],[Tour Starting Date]], "dddd"), "")</f>
        <v>Friday</v>
      </c>
      <c r="S304" s="77">
        <v>46280</v>
      </c>
      <c r="T304" s="25" t="str">
        <f>IF(Table5[[#This Row],[Tour Ending Date]]&lt;&gt;"", TEXT(Table5[[#This Row],[Tour Ending Date]], "dddd"), "")</f>
        <v>Tuesday</v>
      </c>
      <c r="U30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4 Nights &amp; 5 Days</v>
      </c>
      <c r="V304" s="37" t="str">
        <f>IF(Table5[[#This Row],[Tour Starting Date]]&lt;&gt;"", TEXT(Table5[[#This Row],[Tour Starting Date]], "mmmm"), "")</f>
        <v>September</v>
      </c>
      <c r="W304" s="80" t="str" cm="1">
        <f t="array" ref="W304">IF(Q304&lt;&gt;"", INDEX(CI:CI, MATCH(1, (Q304&gt;=CG:CG)*(Q304&lt;=CH:CH), 0)), "")</f>
        <v>Regular Dates - Weekend</v>
      </c>
      <c r="X304" s="39">
        <v>3</v>
      </c>
      <c r="Y304" s="74">
        <v>7500</v>
      </c>
      <c r="Z304" s="74">
        <f>IF(OR(Table5[[#This Row],[Per Person Package Cost]]="", Table5[[#This Row],[No. of Pax]]=""), "", Table5[[#This Row],[Per Person Package Cost]] * Table5[[#This Row],[No. of Pax]])</f>
        <v>22500</v>
      </c>
      <c r="AA304" s="52" t="s">
        <v>205</v>
      </c>
      <c r="AB304" s="52" t="s">
        <v>205</v>
      </c>
      <c r="AC304" s="52" t="s">
        <v>76</v>
      </c>
      <c r="AD304" s="52" t="s">
        <v>364</v>
      </c>
      <c r="AE304" s="51" t="str">
        <f t="shared" si="37"/>
        <v>EXIDR03</v>
      </c>
      <c r="AF304" s="51" t="str">
        <f t="shared" si="38"/>
        <v>Temple Fort Odyssey</v>
      </c>
      <c r="AG304" s="74" t="str">
        <f t="shared" si="39"/>
        <v>Quick Getaways</v>
      </c>
      <c r="AH304" s="73" t="str">
        <f t="shared" si="43"/>
        <v>West MP</v>
      </c>
      <c r="AI304" s="52" t="s">
        <v>107</v>
      </c>
      <c r="AJ304" s="56" t="s">
        <v>78</v>
      </c>
      <c r="AK304" s="59" t="s">
        <v>79</v>
      </c>
      <c r="AL304" s="60" t="s">
        <v>80</v>
      </c>
      <c r="AM304" s="54" t="s">
        <v>80</v>
      </c>
      <c r="AN304" s="14">
        <v>46265</v>
      </c>
      <c r="AO304" s="15">
        <v>46268</v>
      </c>
      <c r="AP304" s="91">
        <v>46280</v>
      </c>
      <c r="AQ304" s="87"/>
      <c r="AR304" s="26"/>
      <c r="AS304" s="65"/>
      <c r="AT304" s="88" t="s">
        <v>81</v>
      </c>
      <c r="AU304" s="67"/>
      <c r="CN304" t="s">
        <v>2036</v>
      </c>
      <c r="DA304" t="str" cm="1">
        <f t="array" ref="DA304:EJ304">IF(U304&lt;&gt;"", TRANSPOSE(_xlfn._xlws.FILTER(CZ:CZ, CY:CY=U304, "")), "")</f>
        <v>Ex Gwl | Gwl (2N) + Mor - Son - Dat - Orc (1N) - Hjr (1N) - Gwl</v>
      </c>
      <c r="DB304" t="str">
        <v>Ex Idr | Idr - Ujj (1N) - Omk - Mah (1N) - Man (1N) - Idr (1N)</v>
      </c>
      <c r="DC304" t="str">
        <v>Ex Idr | Idr - Ujj (1N) - Omk (1N) - Mah (1N) - Man (1N) - Idr</v>
      </c>
      <c r="DD304" t="str">
        <v>Ex Jlr | Jlr - Kan (2N) - Amk (1N) - Jlr (1N)</v>
      </c>
      <c r="DE304" t="str">
        <v>Ex Jlr | Jlr - Ban (2N) - Amk (1N) - Jlr (1N)</v>
      </c>
      <c r="DF304" t="str">
        <v>Ex Jlr | Jlr (1N) - Hjr (1N) - Ban (2N) - Jlr</v>
      </c>
      <c r="DG304" t="str">
        <v>Ex Jlr | Jlr (1N) - Kan (1N) - Ban (2N) - Jlr</v>
      </c>
      <c r="DH304" t="str">
        <v>Ex Bho | Bho (1N) + San + Bhoj + Bhim - Tawa - Mad (1N) - Pch (2N) - Bho</v>
      </c>
      <c r="DI304" t="str">
        <v>Ex Idr | Idr - Ujj (1N) - Omk - Mah (1N) - Man (1N) - Idr (1N)</v>
      </c>
      <c r="DJ304" t="str">
        <v>Ex Bho | Bho (1N) - Bhoj - Bhim - Pch (3N) - Bho</v>
      </c>
      <c r="DK304" t="str">
        <v>Gwl (1N) - Dat (Pitambara Peeth) - Orc (1N) - Ckt (2N) - Ixd</v>
      </c>
      <c r="DL304" t="str">
        <v>Ex Jlr | Jlr - Ban (2N) - Kan (2N) - Jlr</v>
      </c>
      <c r="DM304" t="str">
        <v>Jlr - Ban (1N) - Kan (1N) - Pen (2N) - Nag</v>
      </c>
      <c r="DN304" t="str">
        <v>Ex Bho | Bho (1N) - Bhoj - Bhim - Pch (3N) - Bho</v>
      </c>
      <c r="DO304" t="str">
        <v>Ex Bho | Bho (2N) + Sanchi + Bhoj + Bhim - Tawa - Mad (1N) - Bho (1N)</v>
      </c>
      <c r="DP304" t="str">
        <v>Ex Bho | Bho - Bhoj - Bhim - Tawa (1N) - Mad (1N) - Pch (2N) - Bho</v>
      </c>
      <c r="DQ304" t="str">
        <v>Bho - Bhoj - Bhim - Pch (2N) - Kan (1N) - Jlr (1N)</v>
      </c>
      <c r="DR304" t="str">
        <v>Bho - Bhoj - Bhim - Pch (2N) - Kan (1N) - Amk (1N) - Jlr</v>
      </c>
      <c r="DS304" t="str">
        <v xml:space="preserve">Bho (1N) + Bhim + Bhoj + San - Ujj (1N) - Omk - Mah (1N) - Idr (1N) </v>
      </c>
      <c r="DT304" t="str">
        <v>Ex Gwl | Gwl - Hjr (1N) - Orc (1N) - Dat - Son - Gwl (2N)</v>
      </c>
      <c r="DU304" t="str">
        <v>Ex Gwl | Gwl - Orc (1N) - Hjr (1N) - Chn (1N) - Shiv (1N) - Gwl</v>
      </c>
      <c r="DV304" t="str">
        <v>Gwl - Hjr (1N) - Panna (1N) - Chit (1N) - Mahi (1N) - Sat</v>
      </c>
      <c r="DW304" t="str">
        <v>Jlr - (2 N) Kan - (2 N) Pch - Bhim - Bhoj - Bhp</v>
      </c>
      <c r="DX304" t="str">
        <v>Jlr - (2 N) Kan - (2 N) Pen - Rpr</v>
      </c>
      <c r="DY304" t="str">
        <v>Gwl (2N) (Ex Mor) - Dat -Orc (1N) - Hjr (1N) - Jhn</v>
      </c>
      <c r="DZ304" t="str">
        <v>Ex Gwl | Gwl (1N) - Son - Dat - Orc (1N) - Hjr (2N) (Ex Panna) - Gwl</v>
      </c>
      <c r="EA304" t="str">
        <v>Hjr (1N) - Orc (1N) - Dat - son - Gwl (2N)(Ex Mor)</v>
      </c>
      <c r="EB304" t="str">
        <v>(2 N) Gwl - (1 N) Orch - (1 N) Hjr</v>
      </c>
      <c r="EC304" t="str">
        <v>Ex Bhp | Bhp - Bhoj - Bhim - Pch (2N) - Mad (1N) - Tawa (1N) - Bhp</v>
      </c>
      <c r="ED304" t="str">
        <v>Ex Bhp | Bhp - Bhoj - Bhim - Pch (2N) - Mad (2N) - Bhp</v>
      </c>
      <c r="EE304" t="str">
        <v>Ex Idr | Idr - Ujj (1N) - Omk (1N) - Mah (2N) (Ex Man) - Idr (HDCT)</v>
      </c>
      <c r="EF304" t="str">
        <v>Arr Rpr - Amr (2N) - Par (2N) - IXD</v>
      </c>
      <c r="EG304" t="str">
        <v>1N Gwl - Orc - 2N Hjr - Jhn - 1N Gwl</v>
      </c>
      <c r="EH304" t="str">
        <v>1N Orc - 1N Hjr - 2N Gwl Ex Mor</v>
      </c>
      <c r="EI304" t="str">
        <v>1N Idr - Omk - 1N Mah - 1N Ujj - Seh - 1N Bho</v>
      </c>
      <c r="EJ304" t="str">
        <v>Ex Idr I 1N Idr - 1N Ujj - Omk - 2N Mah - Man - Idr</v>
      </c>
    </row>
    <row r="305" spans="2:145" ht="15" customHeight="1">
      <c r="B305" s="34">
        <v>301</v>
      </c>
      <c r="C305" s="36" t="s">
        <v>2037</v>
      </c>
      <c r="D305" s="76">
        <v>46252</v>
      </c>
      <c r="E305" s="37" t="str">
        <f>IF(Table5[[#This Row],[Query Date]]&lt;&gt;"", TEXT(Table5[[#This Row],[Query Date]], "dddd"), "")</f>
        <v>Tuesday</v>
      </c>
      <c r="F305" s="37" t="str">
        <f>IF(Table5[[#This Row],[Query Date]]&lt;&gt;"", TEXT(Table5[[#This Row],[Query Date]], "mmmm"), "")</f>
        <v>August</v>
      </c>
      <c r="G305" s="28" t="s">
        <v>65</v>
      </c>
      <c r="H305" s="28" t="s">
        <v>120</v>
      </c>
      <c r="I305" s="28" t="s">
        <v>67</v>
      </c>
      <c r="J305" s="28" t="s">
        <v>68</v>
      </c>
      <c r="K305" s="28" t="s">
        <v>488</v>
      </c>
      <c r="L305" s="25" t="s">
        <v>70</v>
      </c>
      <c r="M305" s="112" t="s">
        <v>2038</v>
      </c>
      <c r="N305" s="25" t="s">
        <v>2039</v>
      </c>
      <c r="O305" s="130" t="s">
        <v>2040</v>
      </c>
      <c r="P305" s="106" t="s">
        <v>2041</v>
      </c>
      <c r="Q305" s="77">
        <v>46268</v>
      </c>
      <c r="R305" s="77" t="str">
        <f>IF(Table5[[#This Row],[Tour Starting Date]]&lt;&gt;"", TEXT(Table5[[#This Row],[Tour Starting Date]], "dddd"), "")</f>
        <v>Thursday</v>
      </c>
      <c r="S305" s="77">
        <v>46271</v>
      </c>
      <c r="T305" s="25" t="str">
        <f>IF(Table5[[#This Row],[Tour Ending Date]]&lt;&gt;"", TEXT(Table5[[#This Row],[Tour Ending Date]], "dddd"), "")</f>
        <v>Sunday</v>
      </c>
      <c r="U30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3 Nights &amp; 4 Days</v>
      </c>
      <c r="V305" s="37" t="str">
        <f>IF(Table5[[#This Row],[Tour Starting Date]]&lt;&gt;"", TEXT(Table5[[#This Row],[Tour Starting Date]], "mmmm"), "")</f>
        <v>September</v>
      </c>
      <c r="W305" s="80" t="str" cm="1">
        <f t="array" ref="W305">IF(Q305&lt;&gt;"", INDEX(CI:CI, MATCH(1, (Q305&gt;=CG:CG)*(Q305&lt;=CH:CH), 0)), "")</f>
        <v>Regular Dates - Weekday</v>
      </c>
      <c r="X305" s="39">
        <v>4</v>
      </c>
      <c r="Y305" s="74">
        <v>15100</v>
      </c>
      <c r="Z305" s="74">
        <f>IF(OR(Table5[[#This Row],[Per Person Package Cost]]="", Table5[[#This Row],[No. of Pax]]=""), "", Table5[[#This Row],[Per Person Package Cost]] * Table5[[#This Row],[No. of Pax]])</f>
        <v>60400</v>
      </c>
      <c r="AA305" s="52" t="s">
        <v>75</v>
      </c>
      <c r="AB305" s="52" t="s">
        <v>75</v>
      </c>
      <c r="AC305" s="52" t="s">
        <v>134</v>
      </c>
      <c r="AD305" s="52" t="s">
        <v>106</v>
      </c>
      <c r="AE305" s="51" t="str">
        <f t="shared" si="37"/>
        <v>EXIDR04</v>
      </c>
      <c r="AF305" s="51" t="str">
        <f t="shared" si="38"/>
        <v>Heritage Pilgrimage</v>
      </c>
      <c r="AG305" s="74" t="str">
        <f t="shared" si="39"/>
        <v>Quick Getaways</v>
      </c>
      <c r="AH305" s="73" t="str">
        <f t="shared" si="43"/>
        <v>West MP</v>
      </c>
      <c r="AI305" s="52" t="s">
        <v>159</v>
      </c>
      <c r="AJ305" s="56" t="s">
        <v>78</v>
      </c>
      <c r="AK305" s="59" t="s">
        <v>79</v>
      </c>
      <c r="AL305" s="60" t="s">
        <v>80</v>
      </c>
      <c r="AM305" s="54" t="s">
        <v>80</v>
      </c>
      <c r="AN305" s="14">
        <v>46265</v>
      </c>
      <c r="AO305" s="15"/>
      <c r="AP305" s="91"/>
      <c r="AQ305" s="87"/>
      <c r="AR305" s="26"/>
      <c r="AS305" s="65"/>
      <c r="AT305" s="88" t="s">
        <v>81</v>
      </c>
      <c r="AU305" s="67" t="s">
        <v>82</v>
      </c>
      <c r="CN305" t="s">
        <v>2042</v>
      </c>
      <c r="DA305" t="str" cm="1">
        <f t="array" ref="DA305:EO305">IF(U305&lt;&gt;"", TRANSPOSE(_xlfn._xlws.FILTER(CZ:CZ, CY:CY=U305, "")), "")</f>
        <v>Gwl (3N) + Mor + Son + Dat + Orc</v>
      </c>
      <c r="DB305" t="str">
        <v>Ex Gwl | Gwl (1N) - Son - Dat - Orc (1N) - Gwl (1N)</v>
      </c>
      <c r="DC305" t="str">
        <v>Ex Idr | Idr - Ujj (1N) - Omk - Mah (1N) - Man (1N) - Idr</v>
      </c>
      <c r="DD305" t="str">
        <v>Ex Jlr | Jlr - Kan (2N) - Jlr (1N)</v>
      </c>
      <c r="DE305" t="str">
        <v>Ex Jlr | Jlr - Ban (2N) - Jlr (1N)</v>
      </c>
      <c r="DF305" t="str">
        <v>Ex Bho | Bho (1N) + San - Bhoj - Bhim - Pch (2N) - Bho</v>
      </c>
      <c r="DG305" t="str">
        <v>Ex Idr | Idr (1N) - Ujj (1N) - Omk (1N) - Mah - Idr</v>
      </c>
      <c r="DH305" t="str">
        <v>Gwl - Orc (1N) - Ckt (1N) - Myr (1N) - Jlr</v>
      </c>
      <c r="DI305" t="str">
        <v>Gwl - Orc (1N) - Ckt (2N) - Ixd</v>
      </c>
      <c r="DJ305" t="str">
        <v>Ex Idr | Idr - Ujj (1N) - Omk - Mah (1N) - Idr (1N)</v>
      </c>
      <c r="DK305" t="str">
        <v>Ex Jlr | Jlr - Kan (3N) - Jlr</v>
      </c>
      <c r="DL305" t="str">
        <v>Ex Bho | Bho (2N) + Bhim + Bhoj + San + Udaygiri + Vidisha + FDCT Bho</v>
      </c>
      <c r="DM305" t="str">
        <v>Bho (1N) + Bhim + Bhoj - HDCT  Bho + Sanchi - Ujj (2N)</v>
      </c>
      <c r="DN305" t="str">
        <v>Bho (1N) + Bhim + Bhoj - HDCT  Bho + Sanchi - Ujj (2N) - Idr</v>
      </c>
      <c r="DO305" t="str">
        <v>Ex Bho | Bho - Bhoj - Bhim - Mad (1N) - Pch (2N) - Bho</v>
      </c>
      <c r="DP305" t="str">
        <v>Ex Bho | Bho - Bhoj - Bhim - Mad (1N) - Pch (3N) - Bho</v>
      </c>
      <c r="DQ305" t="str">
        <v>Ex Bho | Bho - Bhoj - Bhim - Tawa (1N) - Mad (1N) - Bho (1N)</v>
      </c>
      <c r="DR305" t="str">
        <v>Bho (1N) - Bhim - Bhoj - San - Idr (2N) + Ujj</v>
      </c>
      <c r="DS305" t="str">
        <v>Bho (1N) - Bhoj - Bhim - Pch (2N) - Bho</v>
      </c>
      <c r="DT305" t="str">
        <v>Ujj (1N) - Omk - Mah (1N) - Idr (1N)</v>
      </c>
      <c r="DU305" t="str">
        <v>Ujj (1N) - Omk - Mah (1N) - Man (1N) - Idr</v>
      </c>
      <c r="DV305" t="str">
        <v>Ex Idr | Idr (1N) - Ujj (1N) - Omk - Mah (1N)</v>
      </c>
      <c r="DW305" t="str">
        <v>Ex Idr | Idr - Ujj (1N) - Omk (1N) - Mah (1N) - Idr</v>
      </c>
      <c r="DX305" t="str">
        <v>Khandwa - Omk (1N) - Mah (1N) - Ujj (1N) - Idr</v>
      </c>
      <c r="DY305" t="str">
        <v>Ex Idr | Idr - Ujj (1N) - Omk - Mah (1N) - Man - Idr (1N)</v>
      </c>
      <c r="DZ305" t="str">
        <v xml:space="preserve">Idr - Omk (1N) - Mah - Ujj (1N) San - Bho (1N) </v>
      </c>
      <c r="EA305" t="str">
        <v>Ex Idr | Idr - Man (1N) - Mah - Omk (1N) - Ujj (1N) - Idr</v>
      </c>
      <c r="EB305" t="str">
        <v>Khandwa - Omk (1N) - Mah - Ujj (2N)</v>
      </c>
      <c r="EC305" t="str">
        <v>Ex Jlr | Jlr (1N) - Amr (1N) - Ban (1N) - Jlr</v>
      </c>
      <c r="ED305" t="str">
        <v>Ex Jlr | Jlr - (1 N) Ban - (2 N) Amar</v>
      </c>
      <c r="EE305" t="str">
        <v>Jlr - Kan (1N) - Pch (2N)</v>
      </c>
      <c r="EF305" t="str">
        <v>Pi - Pch (2N)  - Kan (1N)</v>
      </c>
      <c r="EG305" t="str">
        <v>Ex Jlr | Jlr - Amr (1 N) - (1 N) Ban - (1 N) Jlr</v>
      </c>
      <c r="EH305" t="str">
        <v>Ppi - (2 N) Pch - (1 N) Pen</v>
      </c>
      <c r="EI305" t="str">
        <v>Bhp - Pch (2N) - Jlr (1N)</v>
      </c>
      <c r="EJ305" t="str">
        <v xml:space="preserve">Arr Jhn - Hjr (1N) - Orc - Gwl (2N) </v>
      </c>
      <c r="EK305" t="str">
        <v>(1 N) Ujj - (1 N) Mah - (1 N) Idr</v>
      </c>
      <c r="EL305" t="str">
        <v>Ex Bhp | Bhp - Bhoj - Bhim - Pch (3N) - Bhp</v>
      </c>
      <c r="EM305" t="str">
        <v>Ex Bhp | Bhp - Bhoj - Bhim - Pch (2N) - Mad (1N) - Bhp</v>
      </c>
      <c r="EN305" t="str">
        <v xml:space="preserve">Ex Nag - 3N Pch + Sat </v>
      </c>
      <c r="EO305" t="str">
        <v>1N Gwl - Son - Dat - 1N Hjr - 1N Orc - Jhn</v>
      </c>
    </row>
    <row r="306" spans="2:145" ht="15" customHeight="1">
      <c r="B306" s="35">
        <v>302</v>
      </c>
      <c r="C306" s="36" t="s">
        <v>2043</v>
      </c>
      <c r="D306" s="76">
        <v>46252</v>
      </c>
      <c r="E306" s="37" t="str">
        <f>IF(Table5[[#This Row],[Query Date]]&lt;&gt;"", TEXT(Table5[[#This Row],[Query Date]], "dddd"), "")</f>
        <v>Tuesday</v>
      </c>
      <c r="F306" s="37" t="str">
        <f>IF(Table5[[#This Row],[Query Date]]&lt;&gt;"", TEXT(Table5[[#This Row],[Query Date]], "mmmm"), "")</f>
        <v>August</v>
      </c>
      <c r="G306" s="28" t="s">
        <v>65</v>
      </c>
      <c r="H306" s="28" t="s">
        <v>120</v>
      </c>
      <c r="I306" s="28" t="s">
        <v>67</v>
      </c>
      <c r="J306" s="28" t="s">
        <v>68</v>
      </c>
      <c r="K306" s="28" t="s">
        <v>488</v>
      </c>
      <c r="L306" s="25" t="s">
        <v>70</v>
      </c>
      <c r="M306" s="112" t="s">
        <v>489</v>
      </c>
      <c r="N306" s="25" t="s">
        <v>490</v>
      </c>
      <c r="O306" s="130" t="s">
        <v>491</v>
      </c>
      <c r="P306" s="46" t="s">
        <v>492</v>
      </c>
      <c r="Q306" s="77">
        <v>46290</v>
      </c>
      <c r="R306" s="77" t="str">
        <f>IF(Table5[[#This Row],[Tour Starting Date]]&lt;&gt;"", TEXT(Table5[[#This Row],[Tour Starting Date]], "dddd"), "")</f>
        <v>Friday</v>
      </c>
      <c r="S306" s="77">
        <v>46294</v>
      </c>
      <c r="T306" s="25" t="str">
        <f>IF(Table5[[#This Row],[Tour Ending Date]]&lt;&gt;"", TEXT(Table5[[#This Row],[Tour Ending Date]], "dddd"), "")</f>
        <v>Tuesday</v>
      </c>
      <c r="U30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4 Nights &amp; 5 Days</v>
      </c>
      <c r="V306" s="37" t="str">
        <f>IF(Table5[[#This Row],[Tour Starting Date]]&lt;&gt;"", TEXT(Table5[[#This Row],[Tour Starting Date]], "mmmm"), "")</f>
        <v>September</v>
      </c>
      <c r="W306" s="80" t="str" cm="1">
        <f t="array" ref="W306">IF(Q306&lt;&gt;"", INDEX(CI:CI, MATCH(1, (Q306&gt;=CG:CG)*(Q306&lt;=CH:CH), 0)), "")</f>
        <v>Regular Dates - Weekend</v>
      </c>
      <c r="X306" s="39">
        <v>3</v>
      </c>
      <c r="Y306" s="74">
        <v>16800</v>
      </c>
      <c r="Z306" s="74">
        <f>IF(OR(Table5[[#This Row],[Per Person Package Cost]]="", Table5[[#This Row],[No. of Pax]]=""), "", Table5[[#This Row],[Per Person Package Cost]] * Table5[[#This Row],[No. of Pax]])</f>
        <v>50400</v>
      </c>
      <c r="AA306" s="52" t="s">
        <v>75</v>
      </c>
      <c r="AB306" s="52" t="s">
        <v>75</v>
      </c>
      <c r="AC306" s="52" t="s">
        <v>173</v>
      </c>
      <c r="AD306" s="52" t="s">
        <v>106</v>
      </c>
      <c r="AE306" s="51" t="str">
        <f t="shared" si="37"/>
        <v>EXIDR04</v>
      </c>
      <c r="AF306" s="51" t="str">
        <f t="shared" si="38"/>
        <v>Heritage Pilgrimage</v>
      </c>
      <c r="AG306" s="74" t="str">
        <f t="shared" si="39"/>
        <v>Quick Getaways</v>
      </c>
      <c r="AH306" s="73" t="str">
        <f t="shared" si="43"/>
        <v>West MP</v>
      </c>
      <c r="AI306" s="52" t="s">
        <v>159</v>
      </c>
      <c r="AJ306" s="56" t="s">
        <v>78</v>
      </c>
      <c r="AK306" s="59" t="s">
        <v>79</v>
      </c>
      <c r="AL306" s="60" t="s">
        <v>80</v>
      </c>
      <c r="AM306" s="54" t="s">
        <v>80</v>
      </c>
      <c r="AN306" s="14">
        <v>46265</v>
      </c>
      <c r="AO306" s="15">
        <v>46267</v>
      </c>
      <c r="AP306" s="91"/>
      <c r="AQ306" s="87"/>
      <c r="AR306" s="26"/>
      <c r="AS306" s="65"/>
      <c r="AT306" s="88" t="s">
        <v>1973</v>
      </c>
      <c r="AU306" s="67" t="s">
        <v>82</v>
      </c>
      <c r="CN306" t="s">
        <v>2007</v>
      </c>
      <c r="DA306" t="str" cm="1">
        <f t="array" ref="DA306:EJ306">IF(U306&lt;&gt;"", TRANSPOSE(_xlfn._xlws.FILTER(CZ:CZ, CY:CY=U306, "")), "")</f>
        <v>Ex Gwl | Gwl (2N) + Mor - Son - Dat - Orc (1N) - Hjr (1N) - Gwl</v>
      </c>
      <c r="DB306" t="str">
        <v>Ex Idr | Idr - Ujj (1N) - Omk - Mah (1N) - Man (1N) - Idr (1N)</v>
      </c>
      <c r="DC306" t="str">
        <v>Ex Idr | Idr - Ujj (1N) - Omk (1N) - Mah (1N) - Man (1N) - Idr</v>
      </c>
      <c r="DD306" t="str">
        <v>Ex Jlr | Jlr - Kan (2N) - Amk (1N) - Jlr (1N)</v>
      </c>
      <c r="DE306" t="str">
        <v>Ex Jlr | Jlr - Ban (2N) - Amk (1N) - Jlr (1N)</v>
      </c>
      <c r="DF306" t="str">
        <v>Ex Jlr | Jlr (1N) - Hjr (1N) - Ban (2N) - Jlr</v>
      </c>
      <c r="DG306" t="str">
        <v>Ex Jlr | Jlr (1N) - Kan (1N) - Ban (2N) - Jlr</v>
      </c>
      <c r="DH306" t="str">
        <v>Ex Bho | Bho (1N) + San + Bhoj + Bhim - Tawa - Mad (1N) - Pch (2N) - Bho</v>
      </c>
      <c r="DI306" t="str">
        <v>Ex Idr | Idr - Ujj (1N) - Omk - Mah (1N) - Man (1N) - Idr (1N)</v>
      </c>
      <c r="DJ306" t="str">
        <v>Ex Bho | Bho (1N) - Bhoj - Bhim - Pch (3N) - Bho</v>
      </c>
      <c r="DK306" t="str">
        <v>Gwl (1N) - Dat (Pitambara Peeth) - Orc (1N) - Ckt (2N) - Ixd</v>
      </c>
      <c r="DL306" t="str">
        <v>Ex Jlr | Jlr - Ban (2N) - Kan (2N) - Jlr</v>
      </c>
      <c r="DM306" t="str">
        <v>Jlr - Ban (1N) - Kan (1N) - Pen (2N) - Nag</v>
      </c>
      <c r="DN306" t="str">
        <v>Ex Bho | Bho (1N) - Bhoj - Bhim - Pch (3N) - Bho</v>
      </c>
      <c r="DO306" t="str">
        <v>Ex Bho | Bho (2N) + Sanchi + Bhoj + Bhim - Tawa - Mad (1N) - Bho (1N)</v>
      </c>
      <c r="DP306" t="str">
        <v>Ex Bho | Bho - Bhoj - Bhim - Tawa (1N) - Mad (1N) - Pch (2N) - Bho</v>
      </c>
      <c r="DQ306" t="str">
        <v>Bho - Bhoj - Bhim - Pch (2N) - Kan (1N) - Jlr (1N)</v>
      </c>
      <c r="DR306" t="str">
        <v>Bho - Bhoj - Bhim - Pch (2N) - Kan (1N) - Amk (1N) - Jlr</v>
      </c>
      <c r="DS306" t="str">
        <v xml:space="preserve">Bho (1N) + Bhim + Bhoj + San - Ujj (1N) - Omk - Mah (1N) - Idr (1N) </v>
      </c>
      <c r="DT306" t="str">
        <v>Ex Gwl | Gwl - Hjr (1N) - Orc (1N) - Dat - Son - Gwl (2N)</v>
      </c>
      <c r="DU306" t="str">
        <v>Ex Gwl | Gwl - Orc (1N) - Hjr (1N) - Chn (1N) - Shiv (1N) - Gwl</v>
      </c>
      <c r="DV306" t="str">
        <v>Gwl - Hjr (1N) - Panna (1N) - Chit (1N) - Mahi (1N) - Sat</v>
      </c>
      <c r="DW306" t="str">
        <v>Jlr - (2 N) Kan - (2 N) Pch - Bhim - Bhoj - Bhp</v>
      </c>
      <c r="DX306" t="str">
        <v>Jlr - (2 N) Kan - (2 N) Pen - Rpr</v>
      </c>
      <c r="DY306" t="str">
        <v>Gwl (2N) (Ex Mor) - Dat -Orc (1N) - Hjr (1N) - Jhn</v>
      </c>
      <c r="DZ306" t="str">
        <v>Ex Gwl | Gwl (1N) - Son - Dat - Orc (1N) - Hjr (2N) (Ex Panna) - Gwl</v>
      </c>
      <c r="EA306" t="str">
        <v>Hjr (1N) - Orc (1N) - Dat - son - Gwl (2N)(Ex Mor)</v>
      </c>
      <c r="EB306" t="str">
        <v>(2 N) Gwl - (1 N) Orch - (1 N) Hjr</v>
      </c>
      <c r="EC306" t="str">
        <v>Ex Bhp | Bhp - Bhoj - Bhim - Pch (2N) - Mad (1N) - Tawa (1N) - Bhp</v>
      </c>
      <c r="ED306" t="str">
        <v>Ex Bhp | Bhp - Bhoj - Bhim - Pch (2N) - Mad (2N) - Bhp</v>
      </c>
      <c r="EE306" t="str">
        <v>Ex Idr | Idr - Ujj (1N) - Omk (1N) - Mah (2N) (Ex Man) - Idr (HDCT)</v>
      </c>
      <c r="EF306" t="str">
        <v>Arr Rpr - Amr (2N) - Par (2N) - IXD</v>
      </c>
      <c r="EG306" t="str">
        <v>1N Gwl - Orc - 2N Hjr - Jhn - 1N Gwl</v>
      </c>
      <c r="EH306" t="str">
        <v>1N Orc - 1N Hjr - 2N Gwl Ex Mor</v>
      </c>
      <c r="EI306" t="str">
        <v>1N Idr - Omk - 1N Mah - 1N Ujj - Seh - 1N Bho</v>
      </c>
      <c r="EJ306" t="str">
        <v>Ex Idr I 1N Idr - 1N Ujj - Omk - 2N Mah - Man - Idr</v>
      </c>
    </row>
    <row r="307" spans="2:145" ht="15" customHeight="1">
      <c r="B307" s="34">
        <v>303</v>
      </c>
      <c r="C307" s="36" t="s">
        <v>2044</v>
      </c>
      <c r="D307" s="76">
        <v>46252</v>
      </c>
      <c r="E307" s="37" t="str">
        <f>IF(Table5[[#This Row],[Query Date]]&lt;&gt;"", TEXT(Table5[[#This Row],[Query Date]], "dddd"), "")</f>
        <v>Tuesday</v>
      </c>
      <c r="F307" s="37" t="str">
        <f>IF(Table5[[#This Row],[Query Date]]&lt;&gt;"", TEXT(Table5[[#This Row],[Query Date]], "mmmm"), "")</f>
        <v>August</v>
      </c>
      <c r="G307" s="28" t="s">
        <v>65</v>
      </c>
      <c r="H307" s="28" t="s">
        <v>99</v>
      </c>
      <c r="I307" s="28" t="s">
        <v>67</v>
      </c>
      <c r="J307" s="28" t="s">
        <v>68</v>
      </c>
      <c r="K307" s="28" t="s">
        <v>178</v>
      </c>
      <c r="L307" s="25" t="s">
        <v>70</v>
      </c>
      <c r="M307" s="112" t="s">
        <v>417</v>
      </c>
      <c r="N307" s="25" t="s">
        <v>1382</v>
      </c>
      <c r="O307" s="130" t="s">
        <v>2045</v>
      </c>
      <c r="P307" s="46" t="s">
        <v>1384</v>
      </c>
      <c r="Q307" s="77">
        <v>46266</v>
      </c>
      <c r="R307" s="77" t="str">
        <f>IF(Table5[[#This Row],[Tour Starting Date]]&lt;&gt;"", TEXT(Table5[[#This Row],[Tour Starting Date]], "dddd"), "")</f>
        <v>Tuesday</v>
      </c>
      <c r="S307" s="77">
        <v>46269</v>
      </c>
      <c r="T307" s="25" t="str">
        <f>IF(Table5[[#This Row],[Tour Ending Date]]&lt;&gt;"", TEXT(Table5[[#This Row],[Tour Ending Date]], "dddd"), "")</f>
        <v>Friday</v>
      </c>
      <c r="U30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3 Nights &amp; 4 Days</v>
      </c>
      <c r="V307" s="37" t="str">
        <f>IF(Table5[[#This Row],[Tour Starting Date]]&lt;&gt;"", TEXT(Table5[[#This Row],[Tour Starting Date]], "mmmm"), "")</f>
        <v>September</v>
      </c>
      <c r="W307" s="80" t="str" cm="1">
        <f t="array" ref="W307">IF(Q307&lt;&gt;"", INDEX(CI:CI, MATCH(1, (Q307&gt;=CG:CG)*(Q307&lt;=CH:CH), 0)), "")</f>
        <v>Regular Dates - Weekday</v>
      </c>
      <c r="X307" s="39">
        <v>2</v>
      </c>
      <c r="Y307" s="74">
        <v>12300</v>
      </c>
      <c r="Z307" s="74">
        <f>IF(OR(Table5[[#This Row],[Per Person Package Cost]]="", Table5[[#This Row],[No. of Pax]]=""), "", Table5[[#This Row],[Per Person Package Cost]] * Table5[[#This Row],[No. of Pax]])</f>
        <v>24600</v>
      </c>
      <c r="AA307" s="52" t="s">
        <v>75</v>
      </c>
      <c r="AB307" s="52" t="s">
        <v>75</v>
      </c>
      <c r="AC307" s="52" t="s">
        <v>76</v>
      </c>
      <c r="AD307" s="52" t="s">
        <v>106</v>
      </c>
      <c r="AE307" s="51" t="str">
        <f t="shared" si="37"/>
        <v>EXIDR04</v>
      </c>
      <c r="AF307" s="51" t="str">
        <f t="shared" si="38"/>
        <v>Heritage Pilgrimage</v>
      </c>
      <c r="AG307" s="74" t="str">
        <f t="shared" si="39"/>
        <v>Quick Getaways</v>
      </c>
      <c r="AH307" s="73" t="str">
        <f t="shared" si="43"/>
        <v>West MP</v>
      </c>
      <c r="AI307" s="52" t="s">
        <v>107</v>
      </c>
      <c r="AJ307" s="56" t="s">
        <v>78</v>
      </c>
      <c r="AK307" s="59" t="s">
        <v>79</v>
      </c>
      <c r="AL307" s="60" t="s">
        <v>80</v>
      </c>
      <c r="AM307" s="54" t="s">
        <v>80</v>
      </c>
      <c r="AN307" s="14">
        <v>46255</v>
      </c>
      <c r="AO307" s="15"/>
      <c r="AP307" s="91"/>
      <c r="AQ307" s="87"/>
      <c r="AR307" s="26"/>
      <c r="AS307" s="65"/>
      <c r="AT307" s="88" t="s">
        <v>85</v>
      </c>
      <c r="AU307" s="67"/>
      <c r="CN307" t="s">
        <v>2046</v>
      </c>
      <c r="DA307" t="str" cm="1">
        <f t="array" ref="DA307:EO307">IF(U307&lt;&gt;"", TRANSPOSE(_xlfn._xlws.FILTER(CZ:CZ, CY:CY=U307, "")), "")</f>
        <v>Gwl (3N) + Mor + Son + Dat + Orc</v>
      </c>
      <c r="DB307" t="str">
        <v>Ex Gwl | Gwl (1N) - Son - Dat - Orc (1N) - Gwl (1N)</v>
      </c>
      <c r="DC307" t="str">
        <v>Ex Idr | Idr - Ujj (1N) - Omk - Mah (1N) - Man (1N) - Idr</v>
      </c>
      <c r="DD307" t="str">
        <v>Ex Jlr | Jlr - Kan (2N) - Jlr (1N)</v>
      </c>
      <c r="DE307" t="str">
        <v>Ex Jlr | Jlr - Ban (2N) - Jlr (1N)</v>
      </c>
      <c r="DF307" t="str">
        <v>Ex Bho | Bho (1N) + San - Bhoj - Bhim - Pch (2N) - Bho</v>
      </c>
      <c r="DG307" t="str">
        <v>Ex Idr | Idr (1N) - Ujj (1N) - Omk (1N) - Mah - Idr</v>
      </c>
      <c r="DH307" t="str">
        <v>Gwl - Orc (1N) - Ckt (1N) - Myr (1N) - Jlr</v>
      </c>
      <c r="DI307" t="str">
        <v>Gwl - Orc (1N) - Ckt (2N) - Ixd</v>
      </c>
      <c r="DJ307" t="str">
        <v>Ex Idr | Idr - Ujj (1N) - Omk - Mah (1N) - Idr (1N)</v>
      </c>
      <c r="DK307" t="str">
        <v>Ex Jlr | Jlr - Kan (3N) - Jlr</v>
      </c>
      <c r="DL307" t="str">
        <v>Ex Bho | Bho (2N) + Bhim + Bhoj + San + Udaygiri + Vidisha + FDCT Bho</v>
      </c>
      <c r="DM307" t="str">
        <v>Bho (1N) + Bhim + Bhoj - HDCT  Bho + Sanchi - Ujj (2N)</v>
      </c>
      <c r="DN307" t="str">
        <v>Bho (1N) + Bhim + Bhoj - HDCT  Bho + Sanchi - Ujj (2N) - Idr</v>
      </c>
      <c r="DO307" t="str">
        <v>Ex Bho | Bho - Bhoj - Bhim - Mad (1N) - Pch (2N) - Bho</v>
      </c>
      <c r="DP307" t="str">
        <v>Ex Bho | Bho - Bhoj - Bhim - Mad (1N) - Pch (3N) - Bho</v>
      </c>
      <c r="DQ307" t="str">
        <v>Ex Bho | Bho - Bhoj - Bhim - Tawa (1N) - Mad (1N) - Bho (1N)</v>
      </c>
      <c r="DR307" t="str">
        <v>Bho (1N) - Bhim - Bhoj - San - Idr (2N) + Ujj</v>
      </c>
      <c r="DS307" t="str">
        <v>Bho (1N) - Bhoj - Bhim - Pch (2N) - Bho</v>
      </c>
      <c r="DT307" t="str">
        <v>Ujj (1N) - Omk - Mah (1N) - Idr (1N)</v>
      </c>
      <c r="DU307" t="str">
        <v>Ujj (1N) - Omk - Mah (1N) - Man (1N) - Idr</v>
      </c>
      <c r="DV307" t="str">
        <v>Ex Idr | Idr (1N) - Ujj (1N) - Omk - Mah (1N)</v>
      </c>
      <c r="DW307" t="str">
        <v>Ex Idr | Idr - Ujj (1N) - Omk (1N) - Mah (1N) - Idr</v>
      </c>
      <c r="DX307" t="str">
        <v>Khandwa - Omk (1N) - Mah (1N) - Ujj (1N) - Idr</v>
      </c>
      <c r="DY307" t="str">
        <v>Ex Idr | Idr - Ujj (1N) - Omk - Mah (1N) - Man - Idr (1N)</v>
      </c>
      <c r="DZ307" t="str">
        <v xml:space="preserve">Idr - Omk (1N) - Mah - Ujj (1N) San - Bho (1N) </v>
      </c>
      <c r="EA307" t="str">
        <v>Ex Idr | Idr - Man (1N) - Mah - Omk (1N) - Ujj (1N) - Idr</v>
      </c>
      <c r="EB307" t="str">
        <v>Khandwa - Omk (1N) - Mah - Ujj (2N)</v>
      </c>
      <c r="EC307" t="str">
        <v>Ex Jlr | Jlr (1N) - Amr (1N) - Ban (1N) - Jlr</v>
      </c>
      <c r="ED307" t="str">
        <v>Ex Jlr | Jlr - (1 N) Ban - (2 N) Amar</v>
      </c>
      <c r="EE307" t="str">
        <v>Jlr - Kan (1N) - Pch (2N)</v>
      </c>
      <c r="EF307" t="str">
        <v>Pi - Pch (2N)  - Kan (1N)</v>
      </c>
      <c r="EG307" t="str">
        <v>Ex Jlr | Jlr - Amr (1 N) - (1 N) Ban - (1 N) Jlr</v>
      </c>
      <c r="EH307" t="str">
        <v>Ppi - (2 N) Pch - (1 N) Pen</v>
      </c>
      <c r="EI307" t="str">
        <v>Bhp - Pch (2N) - Jlr (1N)</v>
      </c>
      <c r="EJ307" t="str">
        <v xml:space="preserve">Arr Jhn - Hjr (1N) - Orc - Gwl (2N) </v>
      </c>
      <c r="EK307" t="str">
        <v>(1 N) Ujj - (1 N) Mah - (1 N) Idr</v>
      </c>
      <c r="EL307" t="str">
        <v>Ex Bhp | Bhp - Bhoj - Bhim - Pch (3N) - Bhp</v>
      </c>
      <c r="EM307" t="str">
        <v>Ex Bhp | Bhp - Bhoj - Bhim - Pch (2N) - Mad (1N) - Bhp</v>
      </c>
      <c r="EN307" t="str">
        <v xml:space="preserve">Ex Nag - 3N Pch + Sat </v>
      </c>
      <c r="EO307" t="str">
        <v>1N Gwl - Son - Dat - 1N Hjr - 1N Orc - Jhn</v>
      </c>
    </row>
    <row r="308" spans="2:145" ht="15" customHeight="1">
      <c r="B308" s="35">
        <v>304</v>
      </c>
      <c r="C308" s="36" t="s">
        <v>2047</v>
      </c>
      <c r="D308" s="76">
        <v>46253</v>
      </c>
      <c r="E308" s="37" t="str">
        <f>IF(Table5[[#This Row],[Query Date]]&lt;&gt;"", TEXT(Table5[[#This Row],[Query Date]], "dddd"), "")</f>
        <v>Wednesday</v>
      </c>
      <c r="F308" s="37" t="str">
        <f>IF(Table5[[#This Row],[Query Date]]&lt;&gt;"", TEXT(Table5[[#This Row],[Query Date]], "mmmm"), "")</f>
        <v>August</v>
      </c>
      <c r="G308" s="28" t="s">
        <v>65</v>
      </c>
      <c r="H308" s="28" t="s">
        <v>99</v>
      </c>
      <c r="I308" s="28" t="s">
        <v>67</v>
      </c>
      <c r="J308" s="28" t="s">
        <v>68</v>
      </c>
      <c r="K308" s="28" t="s">
        <v>69</v>
      </c>
      <c r="L308" s="25" t="s">
        <v>70</v>
      </c>
      <c r="M308" s="41" t="s">
        <v>266</v>
      </c>
      <c r="N308" s="25" t="s">
        <v>2048</v>
      </c>
      <c r="O308" s="139"/>
      <c r="P308" s="46" t="s">
        <v>637</v>
      </c>
      <c r="Q308" s="77">
        <v>46350</v>
      </c>
      <c r="R308" s="77" t="str">
        <f>IF(Table5[[#This Row],[Tour Starting Date]]&lt;&gt;"", TEXT(Table5[[#This Row],[Tour Starting Date]], "dddd"), "")</f>
        <v>Tuesday</v>
      </c>
      <c r="S308" s="77">
        <v>46353</v>
      </c>
      <c r="T308" s="25" t="str">
        <f>IF(Table5[[#This Row],[Tour Ending Date]]&lt;&gt;"", TEXT(Table5[[#This Row],[Tour Ending Date]], "dddd"), "")</f>
        <v>Friday</v>
      </c>
      <c r="U30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3 Nights &amp; 4 Days</v>
      </c>
      <c r="V308" s="37" t="str">
        <f>IF(Table5[[#This Row],[Tour Starting Date]]&lt;&gt;"", TEXT(Table5[[#This Row],[Tour Starting Date]], "mmmm"), "")</f>
        <v>November</v>
      </c>
      <c r="W308" s="80" t="str" cm="1">
        <f t="array" ref="W308">IF(Q308&lt;&gt;"", INDEX(CI:CI, MATCH(1, (Q308&gt;=CG:CG)*(Q308&lt;=CH:CH), 0)), "")</f>
        <v>Regular Dates - Weekday</v>
      </c>
      <c r="X308" s="39">
        <v>2</v>
      </c>
      <c r="Y308" s="74">
        <v>24500</v>
      </c>
      <c r="Z308" s="74">
        <f>IF(OR(Table5[[#This Row],[Per Person Package Cost]]="", Table5[[#This Row],[No. of Pax]]=""), "", Table5[[#This Row],[Per Person Package Cost]] * Table5[[#This Row],[No. of Pax]])</f>
        <v>49000</v>
      </c>
      <c r="AA308" s="52" t="s">
        <v>75</v>
      </c>
      <c r="AB308" s="52" t="s">
        <v>75</v>
      </c>
      <c r="AC308" s="52" t="s">
        <v>76</v>
      </c>
      <c r="AD308" s="52" t="s">
        <v>364</v>
      </c>
      <c r="AE308" s="51" t="str">
        <f t="shared" si="37"/>
        <v>EXIDR03</v>
      </c>
      <c r="AF308" s="51" t="str">
        <f t="shared" si="38"/>
        <v>Temple Fort Odyssey</v>
      </c>
      <c r="AG308" s="74" t="str">
        <f t="shared" si="39"/>
        <v>Quick Getaways</v>
      </c>
      <c r="AH308" s="73" t="str">
        <f t="shared" si="43"/>
        <v>West MP</v>
      </c>
      <c r="AI308" s="52" t="s">
        <v>107</v>
      </c>
      <c r="AJ308" s="56" t="s">
        <v>78</v>
      </c>
      <c r="AK308" s="59" t="s">
        <v>79</v>
      </c>
      <c r="AL308" s="60" t="s">
        <v>80</v>
      </c>
      <c r="AM308" s="54" t="s">
        <v>80</v>
      </c>
      <c r="AN308" s="14">
        <v>46256</v>
      </c>
      <c r="AO308" s="15"/>
      <c r="AP308" s="91"/>
      <c r="AQ308" s="87"/>
      <c r="AR308" s="26"/>
      <c r="AS308" s="65"/>
      <c r="AT308" s="88" t="s">
        <v>138</v>
      </c>
      <c r="AU308" s="67"/>
      <c r="CN308" t="s">
        <v>2049</v>
      </c>
      <c r="DA308" t="str" cm="1">
        <f t="array" ref="DA308:EO308">IF(U308&lt;&gt;"", TRANSPOSE(_xlfn._xlws.FILTER(CZ:CZ, CY:CY=U308, "")), "")</f>
        <v>Gwl (3N) + Mor + Son + Dat + Orc</v>
      </c>
      <c r="DB308" t="str">
        <v>Ex Gwl | Gwl (1N) - Son - Dat - Orc (1N) - Gwl (1N)</v>
      </c>
      <c r="DC308" t="str">
        <v>Ex Idr | Idr - Ujj (1N) - Omk - Mah (1N) - Man (1N) - Idr</v>
      </c>
      <c r="DD308" t="str">
        <v>Ex Jlr | Jlr - Kan (2N) - Jlr (1N)</v>
      </c>
      <c r="DE308" t="str">
        <v>Ex Jlr | Jlr - Ban (2N) - Jlr (1N)</v>
      </c>
      <c r="DF308" t="str">
        <v>Ex Bho | Bho (1N) + San - Bhoj - Bhim - Pch (2N) - Bho</v>
      </c>
      <c r="DG308" t="str">
        <v>Ex Idr | Idr (1N) - Ujj (1N) - Omk (1N) - Mah - Idr</v>
      </c>
      <c r="DH308" t="str">
        <v>Gwl - Orc (1N) - Ckt (1N) - Myr (1N) - Jlr</v>
      </c>
      <c r="DI308" t="str">
        <v>Gwl - Orc (1N) - Ckt (2N) - Ixd</v>
      </c>
      <c r="DJ308" t="str">
        <v>Ex Idr | Idr - Ujj (1N) - Omk - Mah (1N) - Idr (1N)</v>
      </c>
      <c r="DK308" t="str">
        <v>Ex Jlr | Jlr - Kan (3N) - Jlr</v>
      </c>
      <c r="DL308" t="str">
        <v>Ex Bho | Bho (2N) + Bhim + Bhoj + San + Udaygiri + Vidisha + FDCT Bho</v>
      </c>
      <c r="DM308" t="str">
        <v>Bho (1N) + Bhim + Bhoj - HDCT  Bho + Sanchi - Ujj (2N)</v>
      </c>
      <c r="DN308" t="str">
        <v>Bho (1N) + Bhim + Bhoj - HDCT  Bho + Sanchi - Ujj (2N) - Idr</v>
      </c>
      <c r="DO308" t="str">
        <v>Ex Bho | Bho - Bhoj - Bhim - Mad (1N) - Pch (2N) - Bho</v>
      </c>
      <c r="DP308" t="str">
        <v>Ex Bho | Bho - Bhoj - Bhim - Mad (1N) - Pch (3N) - Bho</v>
      </c>
      <c r="DQ308" t="str">
        <v>Ex Bho | Bho - Bhoj - Bhim - Tawa (1N) - Mad (1N) - Bho (1N)</v>
      </c>
      <c r="DR308" t="str">
        <v>Bho (1N) - Bhim - Bhoj - San - Idr (2N) + Ujj</v>
      </c>
      <c r="DS308" t="str">
        <v>Bho (1N) - Bhoj - Bhim - Pch (2N) - Bho</v>
      </c>
      <c r="DT308" t="str">
        <v>Ujj (1N) - Omk - Mah (1N) - Idr (1N)</v>
      </c>
      <c r="DU308" t="str">
        <v>Ujj (1N) - Omk - Mah (1N) - Man (1N) - Idr</v>
      </c>
      <c r="DV308" t="str">
        <v>Ex Idr | Idr (1N) - Ujj (1N) - Omk - Mah (1N)</v>
      </c>
      <c r="DW308" t="str">
        <v>Ex Idr | Idr - Ujj (1N) - Omk (1N) - Mah (1N) - Idr</v>
      </c>
      <c r="DX308" t="str">
        <v>Khandwa - Omk (1N) - Mah (1N) - Ujj (1N) - Idr</v>
      </c>
      <c r="DY308" t="str">
        <v>Ex Idr | Idr - Ujj (1N) - Omk - Mah (1N) - Man - Idr (1N)</v>
      </c>
      <c r="DZ308" t="str">
        <v xml:space="preserve">Idr - Omk (1N) - Mah - Ujj (1N) San - Bho (1N) </v>
      </c>
      <c r="EA308" t="str">
        <v>Ex Idr | Idr - Man (1N) - Mah - Omk (1N) - Ujj (1N) - Idr</v>
      </c>
      <c r="EB308" t="str">
        <v>Khandwa - Omk (1N) - Mah - Ujj (2N)</v>
      </c>
      <c r="EC308" t="str">
        <v>Ex Jlr | Jlr (1N) - Amr (1N) - Ban (1N) - Jlr</v>
      </c>
      <c r="ED308" t="str">
        <v>Ex Jlr | Jlr - (1 N) Ban - (2 N) Amar</v>
      </c>
      <c r="EE308" t="str">
        <v>Jlr - Kan (1N) - Pch (2N)</v>
      </c>
      <c r="EF308" t="str">
        <v>Pi - Pch (2N)  - Kan (1N)</v>
      </c>
      <c r="EG308" t="str">
        <v>Ex Jlr | Jlr - Amr (1 N) - (1 N) Ban - (1 N) Jlr</v>
      </c>
      <c r="EH308" t="str">
        <v>Ppi - (2 N) Pch - (1 N) Pen</v>
      </c>
      <c r="EI308" t="str">
        <v>Bhp - Pch (2N) - Jlr (1N)</v>
      </c>
      <c r="EJ308" t="str">
        <v xml:space="preserve">Arr Jhn - Hjr (1N) - Orc - Gwl (2N) </v>
      </c>
      <c r="EK308" t="str">
        <v>(1 N) Ujj - (1 N) Mah - (1 N) Idr</v>
      </c>
      <c r="EL308" t="str">
        <v>Ex Bhp | Bhp - Bhoj - Bhim - Pch (3N) - Bhp</v>
      </c>
      <c r="EM308" t="str">
        <v>Ex Bhp | Bhp - Bhoj - Bhim - Pch (2N) - Mad (1N) - Bhp</v>
      </c>
      <c r="EN308" t="str">
        <v xml:space="preserve">Ex Nag - 3N Pch + Sat </v>
      </c>
      <c r="EO308" t="str">
        <v>1N Gwl - Son - Dat - 1N Hjr - 1N Orc - Jhn</v>
      </c>
    </row>
    <row r="309" spans="2:145" ht="15" customHeight="1">
      <c r="B309" s="34">
        <v>305</v>
      </c>
      <c r="C309" s="36" t="s">
        <v>2050</v>
      </c>
      <c r="D309" s="76">
        <v>46197</v>
      </c>
      <c r="E309" s="37" t="str">
        <f>IF(Table5[[#This Row],[Query Date]]&lt;&gt;"", TEXT(Table5[[#This Row],[Query Date]], "dddd"), "")</f>
        <v>Wednesday</v>
      </c>
      <c r="F309" s="37" t="str">
        <f>IF(Table5[[#This Row],[Query Date]]&lt;&gt;"", TEXT(Table5[[#This Row],[Query Date]], "mmmm"), "")</f>
        <v>June</v>
      </c>
      <c r="G309" s="28" t="s">
        <v>65</v>
      </c>
      <c r="H309" s="28" t="s">
        <v>66</v>
      </c>
      <c r="I309" s="28" t="s">
        <v>67</v>
      </c>
      <c r="J309" s="28" t="s">
        <v>256</v>
      </c>
      <c r="K309" s="28" t="s">
        <v>128</v>
      </c>
      <c r="L309" s="25" t="s">
        <v>70</v>
      </c>
      <c r="M309" s="41" t="s">
        <v>565</v>
      </c>
      <c r="N309" s="25" t="s">
        <v>2051</v>
      </c>
      <c r="O309" s="130" t="s">
        <v>2052</v>
      </c>
      <c r="P309" s="46" t="s">
        <v>2053</v>
      </c>
      <c r="Q309" s="77">
        <v>46335</v>
      </c>
      <c r="R309" s="77" t="str">
        <f>IF(Table5[[#This Row],[Tour Starting Date]]&lt;&gt;"", TEXT(Table5[[#This Row],[Tour Starting Date]], "dddd"), "")</f>
        <v>Monday</v>
      </c>
      <c r="S309" s="77">
        <v>46343</v>
      </c>
      <c r="T309" s="25" t="str">
        <f>IF(Table5[[#This Row],[Tour Ending Date]]&lt;&gt;"", TEXT(Table5[[#This Row],[Tour Ending Date]], "dddd"), "")</f>
        <v>Tuesday</v>
      </c>
      <c r="U30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8 Nights &amp; 9 Days</v>
      </c>
      <c r="V309" s="37" t="str">
        <f>IF(Table5[[#This Row],[Tour Starting Date]]&lt;&gt;"", TEXT(Table5[[#This Row],[Tour Starting Date]], "mmmm"), "")</f>
        <v>November</v>
      </c>
      <c r="W309" s="80" t="str" cm="1">
        <f t="array" ref="W309">IF(Q309&lt;&gt;"", INDEX(CI:CI, MATCH(1, (Q309&gt;=CG:CG)*(Q309&lt;=CH:CH), 0)), "")</f>
        <v>Long Weekend - Diwali</v>
      </c>
      <c r="X309" s="39">
        <v>2</v>
      </c>
      <c r="Y309" s="74">
        <v>52000</v>
      </c>
      <c r="Z309" s="74">
        <f>IF(OR(Table5[[#This Row],[Per Person Package Cost]]="", Table5[[#This Row],[No. of Pax]]=""), "", Table5[[#This Row],[Per Person Package Cost]] * Table5[[#This Row],[No. of Pax]])</f>
        <v>104000</v>
      </c>
      <c r="AA309" s="52" t="s">
        <v>1157</v>
      </c>
      <c r="AB309" s="52" t="s">
        <v>520</v>
      </c>
      <c r="AC309" s="52" t="s">
        <v>76</v>
      </c>
      <c r="AD309" s="52"/>
      <c r="AE309" s="51" t="str">
        <f t="shared" si="37"/>
        <v/>
      </c>
      <c r="AF309" s="51" t="str">
        <f t="shared" si="38"/>
        <v/>
      </c>
      <c r="AG309" s="74" t="str">
        <f t="shared" si="39"/>
        <v/>
      </c>
      <c r="AH309" s="73" t="str">
        <f t="shared" si="43"/>
        <v/>
      </c>
      <c r="AI309" s="52" t="s">
        <v>107</v>
      </c>
      <c r="AJ309" s="56" t="s">
        <v>78</v>
      </c>
      <c r="AK309" s="59" t="s">
        <v>79</v>
      </c>
      <c r="AL309" s="60" t="s">
        <v>80</v>
      </c>
      <c r="AM309" s="54" t="s">
        <v>80</v>
      </c>
      <c r="AN309" s="14">
        <v>46254</v>
      </c>
      <c r="AO309" s="15">
        <v>46277</v>
      </c>
      <c r="AP309" s="91"/>
      <c r="AQ309" s="87"/>
      <c r="AR309" s="26"/>
      <c r="AS309" s="65"/>
      <c r="AT309" s="88" t="s">
        <v>138</v>
      </c>
      <c r="AU309" s="67"/>
      <c r="CN309" t="s">
        <v>2054</v>
      </c>
      <c r="DA309" t="str" cm="1">
        <f t="array" ref="DA309:DC309">IF(U309&lt;&gt;"", TRANSPOSE(_xlfn._xlws.FILTER(CZ:CZ, CY:CY=U309, "")), "")</f>
        <v>Gwl (1N) - Dat - Orc (1N) - Hjr (1N) - San - Bho (2N) + Bhim + Bhoj - Ujj (1N) - Omk - Mah (1N) - Man (1N) - Idr</v>
      </c>
      <c r="DB309" t="str">
        <v>Bho - Bhoj - Bhim - Mad (1N) - Pen (1N) - Kan (2N) - Ban (2N) - Pan (1N) - Gwl (1N)</v>
      </c>
      <c r="DC309" t="str">
        <v>(1 N) Ujj - (2 N) Mah - (1 N) Idr - (1 N) Bho - (2 N) Pach - (1 N) Pench</v>
      </c>
    </row>
    <row r="310" spans="2:145" ht="15" customHeight="1">
      <c r="B310" s="35">
        <v>306</v>
      </c>
      <c r="C310" s="36" t="s">
        <v>2055</v>
      </c>
      <c r="D310" s="76">
        <v>46253</v>
      </c>
      <c r="E310" s="37" t="str">
        <f>IF(Table5[[#This Row],[Query Date]]&lt;&gt;"", TEXT(Table5[[#This Row],[Query Date]], "dddd"), "")</f>
        <v>Wednesday</v>
      </c>
      <c r="F310" s="37" t="str">
        <f>IF(Table5[[#This Row],[Query Date]]&lt;&gt;"", TEXT(Table5[[#This Row],[Query Date]], "mmmm"), "")</f>
        <v>August</v>
      </c>
      <c r="G310" s="28" t="s">
        <v>65</v>
      </c>
      <c r="H310" s="28" t="s">
        <v>99</v>
      </c>
      <c r="I310" s="28" t="s">
        <v>67</v>
      </c>
      <c r="J310" s="28" t="s">
        <v>68</v>
      </c>
      <c r="K310" s="28" t="s">
        <v>178</v>
      </c>
      <c r="L310" s="25" t="s">
        <v>70</v>
      </c>
      <c r="M310" s="112" t="s">
        <v>417</v>
      </c>
      <c r="N310" s="25" t="s">
        <v>1154</v>
      </c>
      <c r="O310" s="134" t="s">
        <v>1155</v>
      </c>
      <c r="P310" s="46" t="s">
        <v>1156</v>
      </c>
      <c r="Q310" s="77">
        <v>46338</v>
      </c>
      <c r="R310" s="77" t="str">
        <f>IF(Table5[[#This Row],[Tour Starting Date]]&lt;&gt;"", TEXT(Table5[[#This Row],[Tour Starting Date]], "dddd"), "")</f>
        <v>Thursday</v>
      </c>
      <c r="S310" s="77">
        <v>46341</v>
      </c>
      <c r="T310" s="25" t="str">
        <f>IF(Table5[[#This Row],[Tour Ending Date]]&lt;&gt;"", TEXT(Table5[[#This Row],[Tour Ending Date]], "dddd"), "")</f>
        <v>Sunday</v>
      </c>
      <c r="U31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3 Nights &amp; 4 Days</v>
      </c>
      <c r="V310" s="37" t="str">
        <f>IF(Table5[[#This Row],[Tour Starting Date]]&lt;&gt;"", TEXT(Table5[[#This Row],[Tour Starting Date]], "mmmm"), "")</f>
        <v>November</v>
      </c>
      <c r="W310" s="80" t="str" cm="1">
        <f t="array" ref="W310">IF(Q310&lt;&gt;"", INDEX(CI:CI, MATCH(1, (Q310&gt;=CG:CG)*(Q310&lt;=CH:CH), 0)), "")</f>
        <v>Regular Dates - Weekend</v>
      </c>
      <c r="X310" s="39">
        <v>7</v>
      </c>
      <c r="Y310" s="74">
        <v>18000</v>
      </c>
      <c r="Z310" s="74">
        <f>IF(OR(Table5[[#This Row],[Per Person Package Cost]]="", Table5[[#This Row],[No. of Pax]]=""), "", Table5[[#This Row],[Per Person Package Cost]] * Table5[[#This Row],[No. of Pax]])</f>
        <v>126000</v>
      </c>
      <c r="AA310" s="52" t="s">
        <v>75</v>
      </c>
      <c r="AB310" s="52" t="s">
        <v>75</v>
      </c>
      <c r="AC310" s="52" t="s">
        <v>76</v>
      </c>
      <c r="AD310" s="52" t="s">
        <v>106</v>
      </c>
      <c r="AE310" s="51" t="str">
        <f t="shared" si="37"/>
        <v>EXIDR04</v>
      </c>
      <c r="AF310" s="51" t="str">
        <f t="shared" si="38"/>
        <v>Heritage Pilgrimage</v>
      </c>
      <c r="AG310" s="74" t="str">
        <f t="shared" si="39"/>
        <v>Quick Getaways</v>
      </c>
      <c r="AH310" s="73" t="str">
        <f t="shared" si="43"/>
        <v>West MP</v>
      </c>
      <c r="AI310" s="52" t="s">
        <v>159</v>
      </c>
      <c r="AJ310" s="56" t="s">
        <v>78</v>
      </c>
      <c r="AK310" s="59" t="s">
        <v>79</v>
      </c>
      <c r="AL310" s="60" t="s">
        <v>80</v>
      </c>
      <c r="AM310" s="54" t="s">
        <v>80</v>
      </c>
      <c r="AN310" s="14">
        <v>46256</v>
      </c>
      <c r="AO310" s="15"/>
      <c r="AP310" s="91"/>
      <c r="AQ310" s="87"/>
      <c r="AR310" s="26"/>
      <c r="AS310" s="65"/>
      <c r="AT310" s="88" t="s">
        <v>138</v>
      </c>
      <c r="AU310" s="67"/>
      <c r="CN310" t="s">
        <v>2056</v>
      </c>
      <c r="DA310" t="str" cm="1">
        <f t="array" ref="DA310:EO310">IF(U310&lt;&gt;"", TRANSPOSE(_xlfn._xlws.FILTER(CZ:CZ, CY:CY=U310, "")), "")</f>
        <v>Gwl (3N) + Mor + Son + Dat + Orc</v>
      </c>
      <c r="DB310" t="str">
        <v>Ex Gwl | Gwl (1N) - Son - Dat - Orc (1N) - Gwl (1N)</v>
      </c>
      <c r="DC310" t="str">
        <v>Ex Idr | Idr - Ujj (1N) - Omk - Mah (1N) - Man (1N) - Idr</v>
      </c>
      <c r="DD310" t="str">
        <v>Ex Jlr | Jlr - Kan (2N) - Jlr (1N)</v>
      </c>
      <c r="DE310" t="str">
        <v>Ex Jlr | Jlr - Ban (2N) - Jlr (1N)</v>
      </c>
      <c r="DF310" t="str">
        <v>Ex Bho | Bho (1N) + San - Bhoj - Bhim - Pch (2N) - Bho</v>
      </c>
      <c r="DG310" t="str">
        <v>Ex Idr | Idr (1N) - Ujj (1N) - Omk (1N) - Mah - Idr</v>
      </c>
      <c r="DH310" t="str">
        <v>Gwl - Orc (1N) - Ckt (1N) - Myr (1N) - Jlr</v>
      </c>
      <c r="DI310" t="str">
        <v>Gwl - Orc (1N) - Ckt (2N) - Ixd</v>
      </c>
      <c r="DJ310" t="str">
        <v>Ex Idr | Idr - Ujj (1N) - Omk - Mah (1N) - Idr (1N)</v>
      </c>
      <c r="DK310" t="str">
        <v>Ex Jlr | Jlr - Kan (3N) - Jlr</v>
      </c>
      <c r="DL310" t="str">
        <v>Ex Bho | Bho (2N) + Bhim + Bhoj + San + Udaygiri + Vidisha + FDCT Bho</v>
      </c>
      <c r="DM310" t="str">
        <v>Bho (1N) + Bhim + Bhoj - HDCT  Bho + Sanchi - Ujj (2N)</v>
      </c>
      <c r="DN310" t="str">
        <v>Bho (1N) + Bhim + Bhoj - HDCT  Bho + Sanchi - Ujj (2N) - Idr</v>
      </c>
      <c r="DO310" t="str">
        <v>Ex Bho | Bho - Bhoj - Bhim - Mad (1N) - Pch (2N) - Bho</v>
      </c>
      <c r="DP310" t="str">
        <v>Ex Bho | Bho - Bhoj - Bhim - Mad (1N) - Pch (3N) - Bho</v>
      </c>
      <c r="DQ310" t="str">
        <v>Ex Bho | Bho - Bhoj - Bhim - Tawa (1N) - Mad (1N) - Bho (1N)</v>
      </c>
      <c r="DR310" t="str">
        <v>Bho (1N) - Bhim - Bhoj - San - Idr (2N) + Ujj</v>
      </c>
      <c r="DS310" t="str">
        <v>Bho (1N) - Bhoj - Bhim - Pch (2N) - Bho</v>
      </c>
      <c r="DT310" t="str">
        <v>Ujj (1N) - Omk - Mah (1N) - Idr (1N)</v>
      </c>
      <c r="DU310" t="str">
        <v>Ujj (1N) - Omk - Mah (1N) - Man (1N) - Idr</v>
      </c>
      <c r="DV310" t="str">
        <v>Ex Idr | Idr (1N) - Ujj (1N) - Omk - Mah (1N)</v>
      </c>
      <c r="DW310" t="str">
        <v>Ex Idr | Idr - Ujj (1N) - Omk (1N) - Mah (1N) - Idr</v>
      </c>
      <c r="DX310" t="str">
        <v>Khandwa - Omk (1N) - Mah (1N) - Ujj (1N) - Idr</v>
      </c>
      <c r="DY310" t="str">
        <v>Ex Idr | Idr - Ujj (1N) - Omk - Mah (1N) - Man - Idr (1N)</v>
      </c>
      <c r="DZ310" t="str">
        <v xml:space="preserve">Idr - Omk (1N) - Mah - Ujj (1N) San - Bho (1N) </v>
      </c>
      <c r="EA310" t="str">
        <v>Ex Idr | Idr - Man (1N) - Mah - Omk (1N) - Ujj (1N) - Idr</v>
      </c>
      <c r="EB310" t="str">
        <v>Khandwa - Omk (1N) - Mah - Ujj (2N)</v>
      </c>
      <c r="EC310" t="str">
        <v>Ex Jlr | Jlr (1N) - Amr (1N) - Ban (1N) - Jlr</v>
      </c>
      <c r="ED310" t="str">
        <v>Ex Jlr | Jlr - (1 N) Ban - (2 N) Amar</v>
      </c>
      <c r="EE310" t="str">
        <v>Jlr - Kan (1N) - Pch (2N)</v>
      </c>
      <c r="EF310" t="str">
        <v>Pi - Pch (2N)  - Kan (1N)</v>
      </c>
      <c r="EG310" t="str">
        <v>Ex Jlr | Jlr - Amr (1 N) - (1 N) Ban - (1 N) Jlr</v>
      </c>
      <c r="EH310" t="str">
        <v>Ppi - (2 N) Pch - (1 N) Pen</v>
      </c>
      <c r="EI310" t="str">
        <v>Bhp - Pch (2N) - Jlr (1N)</v>
      </c>
      <c r="EJ310" t="str">
        <v xml:space="preserve">Arr Jhn - Hjr (1N) - Orc - Gwl (2N) </v>
      </c>
      <c r="EK310" t="str">
        <v>(1 N) Ujj - (1 N) Mah - (1 N) Idr</v>
      </c>
      <c r="EL310" t="str">
        <v>Ex Bhp | Bhp - Bhoj - Bhim - Pch (3N) - Bhp</v>
      </c>
      <c r="EM310" t="str">
        <v>Ex Bhp | Bhp - Bhoj - Bhim - Pch (2N) - Mad (1N) - Bhp</v>
      </c>
      <c r="EN310" t="str">
        <v xml:space="preserve">Ex Nag - 3N Pch + Sat </v>
      </c>
      <c r="EO310" t="str">
        <v>1N Gwl - Son - Dat - 1N Hjr - 1N Orc - Jhn</v>
      </c>
    </row>
    <row r="311" spans="2:145" ht="15" customHeight="1">
      <c r="B311" s="34">
        <v>307</v>
      </c>
      <c r="C311" s="36" t="s">
        <v>2057</v>
      </c>
      <c r="D311" s="76">
        <v>46245</v>
      </c>
      <c r="E311" s="37" t="str">
        <f>IF(Table5[[#This Row],[Query Date]]&lt;&gt;"", TEXT(Table5[[#This Row],[Query Date]], "dddd"), "")</f>
        <v>Tuesday</v>
      </c>
      <c r="F311" s="37" t="str">
        <f>IF(Table5[[#This Row],[Query Date]]&lt;&gt;"", TEXT(Table5[[#This Row],[Query Date]], "mmmm"), "")</f>
        <v>August</v>
      </c>
      <c r="G311" s="28" t="s">
        <v>65</v>
      </c>
      <c r="H311" s="28" t="s">
        <v>99</v>
      </c>
      <c r="I311" s="28" t="s">
        <v>67</v>
      </c>
      <c r="J311" s="28" t="s">
        <v>68</v>
      </c>
      <c r="K311" s="28" t="s">
        <v>69</v>
      </c>
      <c r="L311" s="25" t="s">
        <v>70</v>
      </c>
      <c r="M311" s="112" t="s">
        <v>2058</v>
      </c>
      <c r="N311" s="25" t="s">
        <v>2059</v>
      </c>
      <c r="O311" s="130" t="s">
        <v>2060</v>
      </c>
      <c r="P311" s="106" t="s">
        <v>2061</v>
      </c>
      <c r="Q311" s="77">
        <v>46294</v>
      </c>
      <c r="R311" s="77" t="str">
        <f>IF(Table5[[#This Row],[Tour Starting Date]]&lt;&gt;"", TEXT(Table5[[#This Row],[Tour Starting Date]], "dddd"), "")</f>
        <v>Tuesday</v>
      </c>
      <c r="S311" s="77">
        <v>46304</v>
      </c>
      <c r="T311" s="25" t="str">
        <f>IF(Table5[[#This Row],[Tour Ending Date]]&lt;&gt;"", TEXT(Table5[[#This Row],[Tour Ending Date]], "dddd"), "")</f>
        <v>Friday</v>
      </c>
      <c r="U31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10 Nights &amp; 11 Days</v>
      </c>
      <c r="V311" s="37" t="str">
        <f>IF(Table5[[#This Row],[Tour Starting Date]]&lt;&gt;"", TEXT(Table5[[#This Row],[Tour Starting Date]], "mmmm"), "")</f>
        <v>September</v>
      </c>
      <c r="W311" s="80" t="str" cm="1">
        <f t="array" ref="W311">IF(Q311&lt;&gt;"", INDEX(CI:CI, MATCH(1, (Q311&gt;=CG:CG)*(Q311&lt;=CH:CH), 0)), "")</f>
        <v>Regular Dates - Weekday</v>
      </c>
      <c r="X311" s="39">
        <v>8</v>
      </c>
      <c r="Y311" s="74">
        <v>83000</v>
      </c>
      <c r="Z311" s="74">
        <f>IF(OR(Table5[[#This Row],[Per Person Package Cost]]="", Table5[[#This Row],[No. of Pax]]=""), "", Table5[[#This Row],[Per Person Package Cost]] * Table5[[#This Row],[No. of Pax]])</f>
        <v>664000</v>
      </c>
      <c r="AA311" s="52" t="s">
        <v>520</v>
      </c>
      <c r="AB311" s="52" t="s">
        <v>509</v>
      </c>
      <c r="AC311" s="52" t="s">
        <v>240</v>
      </c>
      <c r="AD311" s="52" t="s">
        <v>510</v>
      </c>
      <c r="AE311" s="51" t="str">
        <f t="shared" si="37"/>
        <v>EMPRT01</v>
      </c>
      <c r="AF311" s="51" t="str">
        <f t="shared" si="38"/>
        <v>Ancient Madhya Pradesh</v>
      </c>
      <c r="AG311" s="74" t="str">
        <f t="shared" si="39"/>
        <v>Regular Tours</v>
      </c>
      <c r="AH311" s="73" t="str">
        <f t="shared" si="43"/>
        <v>North + South + West MP</v>
      </c>
      <c r="AI311" s="52" t="s">
        <v>107</v>
      </c>
      <c r="AJ311" s="56" t="s">
        <v>78</v>
      </c>
      <c r="AK311" s="59" t="s">
        <v>79</v>
      </c>
      <c r="AL311" s="60" t="s">
        <v>80</v>
      </c>
      <c r="AM311" s="54" t="s">
        <v>80</v>
      </c>
      <c r="AN311" s="14">
        <v>46265</v>
      </c>
      <c r="AO311" s="15">
        <v>46277</v>
      </c>
      <c r="AP311" s="91"/>
      <c r="AQ311" s="87"/>
      <c r="AR311" s="26"/>
      <c r="AS311" s="65"/>
      <c r="AT311" s="88" t="s">
        <v>81</v>
      </c>
      <c r="AU311" s="67"/>
      <c r="CN311" t="s">
        <v>2062</v>
      </c>
      <c r="DA311" t="str" cm="1">
        <f t="array" ref="DA311:DC311">IF(U311&lt;&gt;"", TRANSPOSE(_xlfn._xlws.FILTER(CZ:CZ, CY:CY=U311, "")), "")</f>
        <v>Gwl (2N) + Mor - Son - Dat - Orc (1N) - Hjr (1N) - San - Bho (2N) + Bhim + Bhoj - Ujj (1N) - Omk - Mah (1N) - Man (1N) - Idr (1N)</v>
      </c>
      <c r="DB311" t="str">
        <v>Gwl (1N) - Dat (Pitambara Peeth) - Orc (1N) - Ckt (1N) - Myr (1N) - Amk (2N) - Jlr (1N) - Bhoj - Bho (1N) - Ujj (1N)- Omk - Mah (1N) - Idr</v>
      </c>
      <c r="DC311" t="str">
        <v>2N Pen - 2N Kan - 2N Ban - 2N Pan - 2N Hjr</v>
      </c>
    </row>
    <row r="312" spans="2:145" ht="15" customHeight="1">
      <c r="B312" s="35">
        <v>308</v>
      </c>
      <c r="C312" s="36" t="s">
        <v>2063</v>
      </c>
      <c r="D312" s="76">
        <v>46254</v>
      </c>
      <c r="E312" s="37" t="str">
        <f>IF(Table5[[#This Row],[Query Date]]&lt;&gt;"", TEXT(Table5[[#This Row],[Query Date]], "dddd"), "")</f>
        <v>Thursday</v>
      </c>
      <c r="F312" s="37" t="str">
        <f>IF(Table5[[#This Row],[Query Date]]&lt;&gt;"", TEXT(Table5[[#This Row],[Query Date]], "mmmm"), "")</f>
        <v>August</v>
      </c>
      <c r="G312" s="28" t="s">
        <v>65</v>
      </c>
      <c r="H312" s="28" t="s">
        <v>66</v>
      </c>
      <c r="I312" s="28" t="s">
        <v>67</v>
      </c>
      <c r="J312" s="28" t="s">
        <v>68</v>
      </c>
      <c r="K312" s="28" t="s">
        <v>128</v>
      </c>
      <c r="L312" s="25" t="s">
        <v>70</v>
      </c>
      <c r="M312" s="112" t="s">
        <v>2064</v>
      </c>
      <c r="N312" s="25" t="s">
        <v>2065</v>
      </c>
      <c r="O312" s="130" t="s">
        <v>2066</v>
      </c>
      <c r="P312" s="46" t="s">
        <v>2067</v>
      </c>
      <c r="Q312" s="77">
        <v>46265</v>
      </c>
      <c r="R312" s="77" t="str">
        <f>IF(Table5[[#This Row],[Tour Starting Date]]&lt;&gt;"", TEXT(Table5[[#This Row],[Tour Starting Date]], "dddd"), "")</f>
        <v>Monday</v>
      </c>
      <c r="S312" s="77">
        <v>46270</v>
      </c>
      <c r="T312" s="25" t="str">
        <f>IF(Table5[[#This Row],[Tour Ending Date]]&lt;&gt;"", TEXT(Table5[[#This Row],[Tour Ending Date]], "dddd"), "")</f>
        <v>Saturday</v>
      </c>
      <c r="U31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5 Nights &amp; 6 Days</v>
      </c>
      <c r="V312" s="37" t="str">
        <f>IF(Table5[[#This Row],[Tour Starting Date]]&lt;&gt;"", TEXT(Table5[[#This Row],[Tour Starting Date]], "mmmm"), "")</f>
        <v>August</v>
      </c>
      <c r="W312" s="80" t="str" cm="1">
        <f t="array" ref="W312">IF(Q312&lt;&gt;"", INDEX(CI:CI, MATCH(1, (Q312&gt;=CG:CG)*(Q312&lt;=CH:CH), 0)), "")</f>
        <v>Regular Dates - Weekday</v>
      </c>
      <c r="X312" s="39">
        <v>2</v>
      </c>
      <c r="Y312" s="74">
        <v>21000</v>
      </c>
      <c r="Z312" s="74">
        <f>IF(OR(Table5[[#This Row],[Per Person Package Cost]]="", Table5[[#This Row],[No. of Pax]]=""), "", Table5[[#This Row],[Per Person Package Cost]] * Table5[[#This Row],[No. of Pax]])</f>
        <v>42000</v>
      </c>
      <c r="AA312" s="52" t="s">
        <v>2068</v>
      </c>
      <c r="AB312" s="52" t="s">
        <v>75</v>
      </c>
      <c r="AC312" s="52" t="s">
        <v>76</v>
      </c>
      <c r="AD312" s="52" t="s">
        <v>106</v>
      </c>
      <c r="AE312" s="51" t="str">
        <f t="shared" si="37"/>
        <v>EXIDR04</v>
      </c>
      <c r="AF312" s="51" t="str">
        <f t="shared" si="38"/>
        <v>Heritage Pilgrimage</v>
      </c>
      <c r="AG312" s="74" t="str">
        <f t="shared" si="39"/>
        <v>Quick Getaways</v>
      </c>
      <c r="AH312" s="73" t="str">
        <f t="shared" si="43"/>
        <v>West MP</v>
      </c>
      <c r="AI312" s="52" t="s">
        <v>159</v>
      </c>
      <c r="AJ312" s="56" t="s">
        <v>78</v>
      </c>
      <c r="AK312" s="59" t="s">
        <v>79</v>
      </c>
      <c r="AL312" s="60" t="s">
        <v>80</v>
      </c>
      <c r="AM312" s="54" t="s">
        <v>80</v>
      </c>
      <c r="AN312" s="14">
        <v>46256</v>
      </c>
      <c r="AO312" s="15"/>
      <c r="AP312" s="91"/>
      <c r="AQ312" s="87"/>
      <c r="AR312" s="26"/>
      <c r="AS312" s="65"/>
      <c r="AT312" s="88" t="s">
        <v>81</v>
      </c>
      <c r="AU312" s="67" t="s">
        <v>82</v>
      </c>
      <c r="CN312" t="s">
        <v>2069</v>
      </c>
      <c r="DA312" t="str" cm="1">
        <f t="array" ref="DA312:DW312">IF(U312&lt;&gt;"", TRANSPOSE(_xlfn._xlws.FILTER(CZ:CZ, CY:CY=U312, "")), "")</f>
        <v>Gwl (2N) + Mor - Son - Dat - Orc (1N) - Hjr (2N) + Panna</v>
      </c>
      <c r="DB312" t="str">
        <v>Ex Gwl | Gwl (2N) + Mor - Shiv - Chan (2N) - Orc (1N) - Dat - Son - Gwl</v>
      </c>
      <c r="DC312" t="str">
        <v>Gwl (2N) + Mor - Son - Dat - Orc (1N) - Hjr (1N) - Jlr (1N)</v>
      </c>
      <c r="DD312" t="str">
        <v>Ex Idr | Idr - Ujj (1N) - Omk (1N) - Mah (1N) - Man (1N) - Idr (1N)</v>
      </c>
      <c r="DE312" t="str">
        <v>Bhp (1N) + Bhim + Bhoj + San - Ujj (1N) - Man (2N) - Mah - Omk (1N) - Idr</v>
      </c>
      <c r="DF312" t="str">
        <v>Jlr (1N) - Hjr (1N) - Orc (1N) - Dat - Son - Gwl (2N) + Mor</v>
      </c>
      <c r="DG312" t="str">
        <v>Jlr (1N) - Kan (1N) - Pch (2N) - Bhim - Bhoj - Bho (1N) + Sanchi</v>
      </c>
      <c r="DH312" t="str">
        <v>Ex Bho | Bho (1N) + San - Bhoj - Bhim - Tawa (1N) - Mad (1N) - Pch (2N) - Bho</v>
      </c>
      <c r="DI312" t="str">
        <v>Bho (1N) + San + Udaygiri - Bhoj - Bhim - Pch (2N) - Kan(1N) - Jlr (1N)</v>
      </c>
      <c r="DJ312" t="str">
        <v>Bho (1N) + Bhim + Bhoj - San - Ujj (1N) - Man (2N) - Mah - Omk (1N) - Idr</v>
      </c>
      <c r="DK312" t="str">
        <v>Idr - Man (2N) - Idr (1N) - Bho (2N) + Bhim + Bhoj + Sanchi</v>
      </c>
      <c r="DL312" t="str">
        <v>Ex Bho | Bho (2N) + San + Udaygiri - Bhoj - Bhim - Pch (2N) - Tawa (1N) - Bho</v>
      </c>
      <c r="DM312" t="str">
        <v>Rpr - Kan (2N) - Pen (1N) - Pch (2N) - Bho</v>
      </c>
      <c r="DN312" t="str">
        <v>Nag - Pen (2N) - Pch (2N) - Bhim - Bhoj - Bho (1N) + San</v>
      </c>
      <c r="DO312" t="str">
        <v>Gwl (2N) (Ex Mor) - Orc (1N) - Chn (1N) - Shiv (1N) - Jhn</v>
      </c>
      <c r="DP312" t="str">
        <v>Gwl (2N) (Ex Mor) - Dat - Orc (1N) - Chn (1N) - Shiv (1N) - Jhn</v>
      </c>
      <c r="DQ312" t="str">
        <v>Nag - Pen (2N) - Kan (2N) - Jlr (1N)</v>
      </c>
      <c r="DR312" t="str">
        <v>Rpr - (2 N) Amr - (1 N) Ban - (1 N) Hjr - (1 N) Jlr</v>
      </c>
      <c r="DS312" t="str">
        <v>Gwl (2N) (Ex Mor) -Orc  - Hjr (1N) - Chn (1N) - Shiv (1N) - Jhn</v>
      </c>
      <c r="DT312" t="str">
        <v>(2 N) Gwl - (1 N) Orch - (1 N) Hjr - (1 N) Jlr</v>
      </c>
      <c r="DU312" t="str">
        <v xml:space="preserve">Arr Rpr - Amr (2N) - Par (2N) - Jlr (1N) </v>
      </c>
      <c r="DV312" t="str">
        <v>3N Idr (Ex Ujj - Man) - Bhim - Bhoj - San - 2N Bho</v>
      </c>
      <c r="DW312" t="str">
        <v>1N Jlr - 1N Kan - 3N Pch - Ppi</v>
      </c>
    </row>
    <row r="313" spans="2:145" ht="15" customHeight="1">
      <c r="B313" s="34">
        <v>309</v>
      </c>
      <c r="C313" s="36" t="s">
        <v>2070</v>
      </c>
      <c r="D313" s="76">
        <v>46256</v>
      </c>
      <c r="E313" s="37" t="str">
        <f>IF(Table5[[#This Row],[Query Date]]&lt;&gt;"", TEXT(Table5[[#This Row],[Query Date]], "dddd"), "")</f>
        <v>Saturday</v>
      </c>
      <c r="F313" s="37" t="str">
        <f>IF(Table5[[#This Row],[Query Date]]&lt;&gt;"", TEXT(Table5[[#This Row],[Query Date]], "mmmm"), "")</f>
        <v>August</v>
      </c>
      <c r="G313" s="28" t="s">
        <v>65</v>
      </c>
      <c r="H313" s="28" t="s">
        <v>66</v>
      </c>
      <c r="I313" s="28" t="s">
        <v>67</v>
      </c>
      <c r="J313" s="28" t="s">
        <v>68</v>
      </c>
      <c r="K313" s="28" t="s">
        <v>128</v>
      </c>
      <c r="L313" s="25" t="s">
        <v>70</v>
      </c>
      <c r="M313" s="112" t="s">
        <v>2071</v>
      </c>
      <c r="N313" s="25" t="s">
        <v>1638</v>
      </c>
      <c r="O313" s="130" t="s">
        <v>2072</v>
      </c>
      <c r="P313" s="46" t="s">
        <v>2073</v>
      </c>
      <c r="Q313" s="77">
        <v>46269</v>
      </c>
      <c r="R313" s="77" t="str">
        <f>IF(Table5[[#This Row],[Tour Starting Date]]&lt;&gt;"", TEXT(Table5[[#This Row],[Tour Starting Date]], "dddd"), "")</f>
        <v>Friday</v>
      </c>
      <c r="S313" s="77">
        <v>46272</v>
      </c>
      <c r="T313" s="25" t="str">
        <f>IF(Table5[[#This Row],[Tour Ending Date]]&lt;&gt;"", TEXT(Table5[[#This Row],[Tour Ending Date]], "dddd"), "")</f>
        <v>Monday</v>
      </c>
      <c r="U31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3 Nights &amp; 4 Days</v>
      </c>
      <c r="V313" s="37" t="str">
        <f>IF(Table5[[#This Row],[Tour Starting Date]]&lt;&gt;"", TEXT(Table5[[#This Row],[Tour Starting Date]], "mmmm"), "")</f>
        <v>September</v>
      </c>
      <c r="W313" s="80" t="str" cm="1">
        <f t="array" ref="W313">IF(Q313&lt;&gt;"", INDEX(CI:CI, MATCH(1, (Q313&gt;=CG:CG)*(Q313&lt;=CH:CH), 0)), "")</f>
        <v>Long Weekend - Janmashtami</v>
      </c>
      <c r="X313" s="39">
        <v>2</v>
      </c>
      <c r="Y313" s="74">
        <v>19000</v>
      </c>
      <c r="Z313" s="74">
        <f>IF(OR(Table5[[#This Row],[Per Person Package Cost]]="", Table5[[#This Row],[No. of Pax]]=""), "", Table5[[#This Row],[Per Person Package Cost]] * Table5[[#This Row],[No. of Pax]])</f>
        <v>38000</v>
      </c>
      <c r="AA313" s="52" t="s">
        <v>75</v>
      </c>
      <c r="AB313" s="52" t="s">
        <v>75</v>
      </c>
      <c r="AC313" s="52" t="s">
        <v>134</v>
      </c>
      <c r="AD313" s="52" t="s">
        <v>106</v>
      </c>
      <c r="AE313" s="51" t="str">
        <f t="shared" si="37"/>
        <v>EXIDR04</v>
      </c>
      <c r="AF313" s="51" t="str">
        <f t="shared" si="38"/>
        <v>Heritage Pilgrimage</v>
      </c>
      <c r="AG313" s="74" t="str">
        <f t="shared" si="39"/>
        <v>Quick Getaways</v>
      </c>
      <c r="AH313" s="73" t="str">
        <f t="shared" si="43"/>
        <v>West MP</v>
      </c>
      <c r="AI313" s="52" t="s">
        <v>159</v>
      </c>
      <c r="AJ313" s="56" t="s">
        <v>78</v>
      </c>
      <c r="AK313" s="59" t="s">
        <v>79</v>
      </c>
      <c r="AL313" s="60" t="s">
        <v>80</v>
      </c>
      <c r="AM313" s="54" t="s">
        <v>80</v>
      </c>
      <c r="AN313" s="14">
        <v>46265</v>
      </c>
      <c r="AO313" s="15"/>
      <c r="AP313" s="91"/>
      <c r="AQ313" s="87"/>
      <c r="AR313" s="26"/>
      <c r="AS313" s="65"/>
      <c r="AT313" s="88" t="s">
        <v>81</v>
      </c>
      <c r="AU313" s="67" t="s">
        <v>82</v>
      </c>
      <c r="CN313" t="s">
        <v>2074</v>
      </c>
      <c r="DA313" t="str" cm="1">
        <f t="array" ref="DA313:EO313">IF(U313&lt;&gt;"", TRANSPOSE(_xlfn._xlws.FILTER(CZ:CZ, CY:CY=U313, "")), "")</f>
        <v>Gwl (3N) + Mor + Son + Dat + Orc</v>
      </c>
      <c r="DB313" t="str">
        <v>Ex Gwl | Gwl (1N) - Son - Dat - Orc (1N) - Gwl (1N)</v>
      </c>
      <c r="DC313" t="str">
        <v>Ex Idr | Idr - Ujj (1N) - Omk - Mah (1N) - Man (1N) - Idr</v>
      </c>
      <c r="DD313" t="str">
        <v>Ex Jlr | Jlr - Kan (2N) - Jlr (1N)</v>
      </c>
      <c r="DE313" t="str">
        <v>Ex Jlr | Jlr - Ban (2N) - Jlr (1N)</v>
      </c>
      <c r="DF313" t="str">
        <v>Ex Bho | Bho (1N) + San - Bhoj - Bhim - Pch (2N) - Bho</v>
      </c>
      <c r="DG313" t="str">
        <v>Ex Idr | Idr (1N) - Ujj (1N) - Omk (1N) - Mah - Idr</v>
      </c>
      <c r="DH313" t="str">
        <v>Gwl - Orc (1N) - Ckt (1N) - Myr (1N) - Jlr</v>
      </c>
      <c r="DI313" t="str">
        <v>Gwl - Orc (1N) - Ckt (2N) - Ixd</v>
      </c>
      <c r="DJ313" t="str">
        <v>Ex Idr | Idr - Ujj (1N) - Omk - Mah (1N) - Idr (1N)</v>
      </c>
      <c r="DK313" t="str">
        <v>Ex Jlr | Jlr - Kan (3N) - Jlr</v>
      </c>
      <c r="DL313" t="str">
        <v>Ex Bho | Bho (2N) + Bhim + Bhoj + San + Udaygiri + Vidisha + FDCT Bho</v>
      </c>
      <c r="DM313" t="str">
        <v>Bho (1N) + Bhim + Bhoj - HDCT  Bho + Sanchi - Ujj (2N)</v>
      </c>
      <c r="DN313" t="str">
        <v>Bho (1N) + Bhim + Bhoj - HDCT  Bho + Sanchi - Ujj (2N) - Idr</v>
      </c>
      <c r="DO313" t="str">
        <v>Ex Bho | Bho - Bhoj - Bhim - Mad (1N) - Pch (2N) - Bho</v>
      </c>
      <c r="DP313" t="str">
        <v>Ex Bho | Bho - Bhoj - Bhim - Mad (1N) - Pch (3N) - Bho</v>
      </c>
      <c r="DQ313" t="str">
        <v>Ex Bho | Bho - Bhoj - Bhim - Tawa (1N) - Mad (1N) - Bho (1N)</v>
      </c>
      <c r="DR313" t="str">
        <v>Bho (1N) - Bhim - Bhoj - San - Idr (2N) + Ujj</v>
      </c>
      <c r="DS313" t="str">
        <v>Bho (1N) - Bhoj - Bhim - Pch (2N) - Bho</v>
      </c>
      <c r="DT313" t="str">
        <v>Ujj (1N) - Omk - Mah (1N) - Idr (1N)</v>
      </c>
      <c r="DU313" t="str">
        <v>Ujj (1N) - Omk - Mah (1N) - Man (1N) - Idr</v>
      </c>
      <c r="DV313" t="str">
        <v>Ex Idr | Idr (1N) - Ujj (1N) - Omk - Mah (1N)</v>
      </c>
      <c r="DW313" t="str">
        <v>Ex Idr | Idr - Ujj (1N) - Omk (1N) - Mah (1N) - Idr</v>
      </c>
      <c r="DX313" t="str">
        <v>Khandwa - Omk (1N) - Mah (1N) - Ujj (1N) - Idr</v>
      </c>
      <c r="DY313" t="str">
        <v>Ex Idr | Idr - Ujj (1N) - Omk - Mah (1N) - Man - Idr (1N)</v>
      </c>
      <c r="DZ313" t="str">
        <v xml:space="preserve">Idr - Omk (1N) - Mah - Ujj (1N) San - Bho (1N) </v>
      </c>
      <c r="EA313" t="str">
        <v>Ex Idr | Idr - Man (1N) - Mah - Omk (1N) - Ujj (1N) - Idr</v>
      </c>
      <c r="EB313" t="str">
        <v>Khandwa - Omk (1N) - Mah - Ujj (2N)</v>
      </c>
      <c r="EC313" t="str">
        <v>Ex Jlr | Jlr (1N) - Amr (1N) - Ban (1N) - Jlr</v>
      </c>
      <c r="ED313" t="str">
        <v>Ex Jlr | Jlr - (1 N) Ban - (2 N) Amar</v>
      </c>
      <c r="EE313" t="str">
        <v>Jlr - Kan (1N) - Pch (2N)</v>
      </c>
      <c r="EF313" t="str">
        <v>Pi - Pch (2N)  - Kan (1N)</v>
      </c>
      <c r="EG313" t="str">
        <v>Ex Jlr | Jlr - Amr (1 N) - (1 N) Ban - (1 N) Jlr</v>
      </c>
      <c r="EH313" t="str">
        <v>Ppi - (2 N) Pch - (1 N) Pen</v>
      </c>
      <c r="EI313" t="str">
        <v>Bhp - Pch (2N) - Jlr (1N)</v>
      </c>
      <c r="EJ313" t="str">
        <v xml:space="preserve">Arr Jhn - Hjr (1N) - Orc - Gwl (2N) </v>
      </c>
      <c r="EK313" t="str">
        <v>(1 N) Ujj - (1 N) Mah - (1 N) Idr</v>
      </c>
      <c r="EL313" t="str">
        <v>Ex Bhp | Bhp - Bhoj - Bhim - Pch (3N) - Bhp</v>
      </c>
      <c r="EM313" t="str">
        <v>Ex Bhp | Bhp - Bhoj - Bhim - Pch (2N) - Mad (1N) - Bhp</v>
      </c>
      <c r="EN313" t="str">
        <v xml:space="preserve">Ex Nag - 3N Pch + Sat </v>
      </c>
      <c r="EO313" t="str">
        <v>1N Gwl - Son - Dat - 1N Hjr - 1N Orc - Jhn</v>
      </c>
    </row>
    <row r="314" spans="2:145" ht="15" customHeight="1">
      <c r="B314" s="35">
        <v>310</v>
      </c>
      <c r="C314" s="36" t="s">
        <v>2075</v>
      </c>
      <c r="D314" s="76">
        <v>46259</v>
      </c>
      <c r="E314" s="37" t="str">
        <f>IF(Table5[[#This Row],[Query Date]]&lt;&gt;"", TEXT(Table5[[#This Row],[Query Date]], "dddd"), "")</f>
        <v>Tuesday</v>
      </c>
      <c r="F314" s="37" t="str">
        <f>IF(Table5[[#This Row],[Query Date]]&lt;&gt;"", TEXT(Table5[[#This Row],[Query Date]], "mmmm"), "")</f>
        <v>August</v>
      </c>
      <c r="G314" s="28" t="s">
        <v>65</v>
      </c>
      <c r="H314" s="28" t="s">
        <v>66</v>
      </c>
      <c r="I314" s="28" t="s">
        <v>67</v>
      </c>
      <c r="J314" s="28" t="s">
        <v>145</v>
      </c>
      <c r="K314" s="28" t="s">
        <v>128</v>
      </c>
      <c r="L314" s="25" t="s">
        <v>70</v>
      </c>
      <c r="M314" s="112" t="s">
        <v>2042</v>
      </c>
      <c r="N314" s="25" t="s">
        <v>2076</v>
      </c>
      <c r="O314" s="130" t="s">
        <v>2077</v>
      </c>
      <c r="P314" s="46" t="s">
        <v>2078</v>
      </c>
      <c r="Q314" s="77"/>
      <c r="R314" s="77" t="str">
        <f>IF(Table5[[#This Row],[Tour Starting Date]]&lt;&gt;"", TEXT(Table5[[#This Row],[Tour Starting Date]], "dddd"), "")</f>
        <v/>
      </c>
      <c r="S314" s="77"/>
      <c r="T314" s="25" t="str">
        <f>IF(Table5[[#This Row],[Tour Ending Date]]&lt;&gt;"", TEXT(Table5[[#This Row],[Tour Ending Date]], "dddd"), "")</f>
        <v/>
      </c>
      <c r="U31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314" s="37" t="str">
        <f>IF(Table5[[#This Row],[Tour Starting Date]]&lt;&gt;"", TEXT(Table5[[#This Row],[Tour Starting Date]], "mmmm"), "")</f>
        <v/>
      </c>
      <c r="W314" s="80" t="str" cm="1">
        <f t="array" ref="W314">IF(Q314&lt;&gt;"", INDEX(CI:CI, MATCH(1, (Q314&gt;=CG:CG)*(Q314&lt;=CH:CH), 0)), "")</f>
        <v/>
      </c>
      <c r="X314" s="39"/>
      <c r="Y314" s="74">
        <v>24700</v>
      </c>
      <c r="Z314" s="74" t="str">
        <f>IF(OR(Table5[[#This Row],[Per Person Package Cost]]="", Table5[[#This Row],[No. of Pax]]=""), "", Table5[[#This Row],[Per Person Package Cost]] * Table5[[#This Row],[No. of Pax]])</f>
        <v/>
      </c>
      <c r="AA314" s="52" t="s">
        <v>2079</v>
      </c>
      <c r="AB314" s="52" t="s">
        <v>624</v>
      </c>
      <c r="AC314" s="52"/>
      <c r="AD314" s="52"/>
      <c r="AE314" s="51" t="str">
        <f t="shared" si="37"/>
        <v/>
      </c>
      <c r="AF314" s="51" t="str">
        <f t="shared" si="38"/>
        <v/>
      </c>
      <c r="AG314" s="74" t="str">
        <f t="shared" si="39"/>
        <v/>
      </c>
      <c r="AH314" s="73" t="str">
        <f t="shared" si="43"/>
        <v/>
      </c>
      <c r="AI314" s="52" t="s">
        <v>159</v>
      </c>
      <c r="AJ314" s="56" t="s">
        <v>78</v>
      </c>
      <c r="AK314" s="59" t="s">
        <v>79</v>
      </c>
      <c r="AL314" s="60" t="s">
        <v>80</v>
      </c>
      <c r="AM314" s="54" t="s">
        <v>80</v>
      </c>
      <c r="AN314" s="14">
        <v>46256</v>
      </c>
      <c r="AO314" s="15"/>
      <c r="AP314" s="91"/>
      <c r="AQ314" s="87"/>
      <c r="AR314" s="26"/>
      <c r="AS314" s="65"/>
      <c r="AT314" s="88" t="s">
        <v>138</v>
      </c>
      <c r="AU314" s="67"/>
      <c r="CN314" t="s">
        <v>2080</v>
      </c>
      <c r="DA314" t="str" cm="1">
        <f t="array" ref="DA314">IF(U314&lt;&gt;"", TRANSPOSE(_xlfn._xlws.FILTER(CZ:CZ, CY:CY=U314, "")), "")</f>
        <v/>
      </c>
    </row>
    <row r="315" spans="2:145" ht="15" customHeight="1">
      <c r="B315" s="34">
        <v>311</v>
      </c>
      <c r="C315" s="36" t="s">
        <v>2081</v>
      </c>
      <c r="D315" s="76">
        <v>46259</v>
      </c>
      <c r="E315" s="37" t="str">
        <f>IF(Table5[[#This Row],[Query Date]]&lt;&gt;"", TEXT(Table5[[#This Row],[Query Date]], "dddd"), "")</f>
        <v>Tuesday</v>
      </c>
      <c r="F315" s="37" t="str">
        <f>IF(Table5[[#This Row],[Query Date]]&lt;&gt;"", TEXT(Table5[[#This Row],[Query Date]], "mmmm"), "")</f>
        <v>August</v>
      </c>
      <c r="G315" s="28" t="s">
        <v>65</v>
      </c>
      <c r="H315" s="28" t="s">
        <v>66</v>
      </c>
      <c r="I315" s="28" t="s">
        <v>67</v>
      </c>
      <c r="J315" s="28" t="s">
        <v>256</v>
      </c>
      <c r="K315" s="28" t="s">
        <v>69</v>
      </c>
      <c r="L315" s="25" t="s">
        <v>70</v>
      </c>
      <c r="M315" s="112" t="s">
        <v>266</v>
      </c>
      <c r="N315" s="25" t="s">
        <v>267</v>
      </c>
      <c r="O315" s="130" t="s">
        <v>268</v>
      </c>
      <c r="P315" s="106" t="s">
        <v>269</v>
      </c>
      <c r="Q315" s="77">
        <v>46376</v>
      </c>
      <c r="R315" s="77" t="str">
        <f>IF(Table5[[#This Row],[Tour Starting Date]]&lt;&gt;"", TEXT(Table5[[#This Row],[Tour Starting Date]], "dddd"), "")</f>
        <v>Sunday</v>
      </c>
      <c r="S315" s="77">
        <v>46380</v>
      </c>
      <c r="T315" s="25" t="str">
        <f>IF(Table5[[#This Row],[Tour Ending Date]]&lt;&gt;"", TEXT(Table5[[#This Row],[Tour Ending Date]], "dddd"), "")</f>
        <v>Thursday</v>
      </c>
      <c r="U31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4 Nights &amp; 5 Days</v>
      </c>
      <c r="V315" s="37" t="str">
        <f>IF(Table5[[#This Row],[Tour Starting Date]]&lt;&gt;"", TEXT(Table5[[#This Row],[Tour Starting Date]], "mmmm"), "")</f>
        <v>December</v>
      </c>
      <c r="W315" s="80" t="str" cm="1">
        <f t="array" ref="W315">IF(Q315&lt;&gt;"", INDEX(CI:CI, MATCH(1, (Q315&gt;=CG:CG)*(Q315&lt;=CH:CH), 0)), "")</f>
        <v>Regular Dates - Weekend</v>
      </c>
      <c r="X315" s="39">
        <v>3</v>
      </c>
      <c r="Y315" s="74">
        <v>44300</v>
      </c>
      <c r="Z315" s="74">
        <f>IF(OR(Table5[[#This Row],[Per Person Package Cost]]="", Table5[[#This Row],[No. of Pax]]=""), "", Table5[[#This Row],[Per Person Package Cost]] * Table5[[#This Row],[No. of Pax]])</f>
        <v>132900</v>
      </c>
      <c r="AA315" s="52" t="s">
        <v>2079</v>
      </c>
      <c r="AB315" s="52" t="s">
        <v>624</v>
      </c>
      <c r="AC315" s="52"/>
      <c r="AD315" s="52"/>
      <c r="AE315" s="51" t="str">
        <f t="shared" si="37"/>
        <v/>
      </c>
      <c r="AF315" s="51" t="str">
        <f t="shared" si="38"/>
        <v/>
      </c>
      <c r="AG315" s="74" t="str">
        <f t="shared" si="39"/>
        <v/>
      </c>
      <c r="AH315" s="73" t="str">
        <f t="shared" si="43"/>
        <v/>
      </c>
      <c r="AI315" s="52" t="s">
        <v>107</v>
      </c>
      <c r="AJ315" s="56" t="s">
        <v>78</v>
      </c>
      <c r="AK315" s="59" t="s">
        <v>79</v>
      </c>
      <c r="AL315" s="60" t="s">
        <v>80</v>
      </c>
      <c r="AM315" s="54" t="s">
        <v>80</v>
      </c>
      <c r="AN315" s="14">
        <v>46256</v>
      </c>
      <c r="AO315" s="15">
        <v>46268</v>
      </c>
      <c r="AP315" s="91"/>
      <c r="AQ315" s="87"/>
      <c r="AR315" s="26"/>
      <c r="AS315" s="65"/>
      <c r="AT315" s="88" t="s">
        <v>138</v>
      </c>
      <c r="AU315" s="68"/>
      <c r="CN315" t="s">
        <v>1683</v>
      </c>
      <c r="DA315" t="str" cm="1">
        <f t="array" ref="DA315:EJ315">IF(U315&lt;&gt;"", TRANSPOSE(_xlfn._xlws.FILTER(CZ:CZ, CY:CY=U315, "")), "")</f>
        <v>Ex Gwl | Gwl (2N) + Mor - Son - Dat - Orc (1N) - Hjr (1N) - Gwl</v>
      </c>
      <c r="DB315" t="str">
        <v>Ex Idr | Idr - Ujj (1N) - Omk - Mah (1N) - Man (1N) - Idr (1N)</v>
      </c>
      <c r="DC315" t="str">
        <v>Ex Idr | Idr - Ujj (1N) - Omk (1N) - Mah (1N) - Man (1N) - Idr</v>
      </c>
      <c r="DD315" t="str">
        <v>Ex Jlr | Jlr - Kan (2N) - Amk (1N) - Jlr (1N)</v>
      </c>
      <c r="DE315" t="str">
        <v>Ex Jlr | Jlr - Ban (2N) - Amk (1N) - Jlr (1N)</v>
      </c>
      <c r="DF315" t="str">
        <v>Ex Jlr | Jlr (1N) - Hjr (1N) - Ban (2N) - Jlr</v>
      </c>
      <c r="DG315" t="str">
        <v>Ex Jlr | Jlr (1N) - Kan (1N) - Ban (2N) - Jlr</v>
      </c>
      <c r="DH315" t="str">
        <v>Ex Bho | Bho (1N) + San + Bhoj + Bhim - Tawa - Mad (1N) - Pch (2N) - Bho</v>
      </c>
      <c r="DI315" t="str">
        <v>Ex Idr | Idr - Ujj (1N) - Omk - Mah (1N) - Man (1N) - Idr (1N)</v>
      </c>
      <c r="DJ315" t="str">
        <v>Ex Bho | Bho (1N) - Bhoj - Bhim - Pch (3N) - Bho</v>
      </c>
      <c r="DK315" t="str">
        <v>Gwl (1N) - Dat (Pitambara Peeth) - Orc (1N) - Ckt (2N) - Ixd</v>
      </c>
      <c r="DL315" t="str">
        <v>Ex Jlr | Jlr - Ban (2N) - Kan (2N) - Jlr</v>
      </c>
      <c r="DM315" t="str">
        <v>Jlr - Ban (1N) - Kan (1N) - Pen (2N) - Nag</v>
      </c>
      <c r="DN315" t="str">
        <v>Ex Bho | Bho (1N) - Bhoj - Bhim - Pch (3N) - Bho</v>
      </c>
      <c r="DO315" t="str">
        <v>Ex Bho | Bho (2N) + Sanchi + Bhoj + Bhim - Tawa - Mad (1N) - Bho (1N)</v>
      </c>
      <c r="DP315" t="str">
        <v>Ex Bho | Bho - Bhoj - Bhim - Tawa (1N) - Mad (1N) - Pch (2N) - Bho</v>
      </c>
      <c r="DQ315" t="str">
        <v>Bho - Bhoj - Bhim - Pch (2N) - Kan (1N) - Jlr (1N)</v>
      </c>
      <c r="DR315" t="str">
        <v>Bho - Bhoj - Bhim - Pch (2N) - Kan (1N) - Amk (1N) - Jlr</v>
      </c>
      <c r="DS315" t="str">
        <v xml:space="preserve">Bho (1N) + Bhim + Bhoj + San - Ujj (1N) - Omk - Mah (1N) - Idr (1N) </v>
      </c>
      <c r="DT315" t="str">
        <v>Ex Gwl | Gwl - Hjr (1N) - Orc (1N) - Dat - Son - Gwl (2N)</v>
      </c>
      <c r="DU315" t="str">
        <v>Ex Gwl | Gwl - Orc (1N) - Hjr (1N) - Chn (1N) - Shiv (1N) - Gwl</v>
      </c>
      <c r="DV315" t="str">
        <v>Gwl - Hjr (1N) - Panna (1N) - Chit (1N) - Mahi (1N) - Sat</v>
      </c>
      <c r="DW315" t="str">
        <v>Jlr - (2 N) Kan - (2 N) Pch - Bhim - Bhoj - Bhp</v>
      </c>
      <c r="DX315" t="str">
        <v>Jlr - (2 N) Kan - (2 N) Pen - Rpr</v>
      </c>
      <c r="DY315" t="str">
        <v>Gwl (2N) (Ex Mor) - Dat -Orc (1N) - Hjr (1N) - Jhn</v>
      </c>
      <c r="DZ315" t="str">
        <v>Ex Gwl | Gwl (1N) - Son - Dat - Orc (1N) - Hjr (2N) (Ex Panna) - Gwl</v>
      </c>
      <c r="EA315" t="str">
        <v>Hjr (1N) - Orc (1N) - Dat - son - Gwl (2N)(Ex Mor)</v>
      </c>
      <c r="EB315" t="str">
        <v>(2 N) Gwl - (1 N) Orch - (1 N) Hjr</v>
      </c>
      <c r="EC315" t="str">
        <v>Ex Bhp | Bhp - Bhoj - Bhim - Pch (2N) - Mad (1N) - Tawa (1N) - Bhp</v>
      </c>
      <c r="ED315" t="str">
        <v>Ex Bhp | Bhp - Bhoj - Bhim - Pch (2N) - Mad (2N) - Bhp</v>
      </c>
      <c r="EE315" t="str">
        <v>Ex Idr | Idr - Ujj (1N) - Omk (1N) - Mah (2N) (Ex Man) - Idr (HDCT)</v>
      </c>
      <c r="EF315" t="str">
        <v>Arr Rpr - Amr (2N) - Par (2N) - IXD</v>
      </c>
      <c r="EG315" t="str">
        <v>1N Gwl - Orc - 2N Hjr - Jhn - 1N Gwl</v>
      </c>
      <c r="EH315" t="str">
        <v>1N Orc - 1N Hjr - 2N Gwl Ex Mor</v>
      </c>
      <c r="EI315" t="str">
        <v>1N Idr - Omk - 1N Mah - 1N Ujj - Seh - 1N Bho</v>
      </c>
      <c r="EJ315" t="str">
        <v>Ex Idr I 1N Idr - 1N Ujj - Omk - 2N Mah - Man - Idr</v>
      </c>
    </row>
    <row r="316" spans="2:145" ht="15" customHeight="1">
      <c r="B316" s="35">
        <v>312</v>
      </c>
      <c r="C316" s="36" t="s">
        <v>2082</v>
      </c>
      <c r="D316" s="76">
        <v>46255</v>
      </c>
      <c r="E316" s="37" t="str">
        <f>IF(Table5[[#This Row],[Query Date]]&lt;&gt;"", TEXT(Table5[[#This Row],[Query Date]], "dddd"), "")</f>
        <v>Friday</v>
      </c>
      <c r="F316" s="37" t="str">
        <f>IF(Table5[[#This Row],[Query Date]]&lt;&gt;"", TEXT(Table5[[#This Row],[Query Date]], "mmmm"), "")</f>
        <v>August</v>
      </c>
      <c r="G316" s="28" t="s">
        <v>113</v>
      </c>
      <c r="H316" s="28" t="s">
        <v>99</v>
      </c>
      <c r="I316" s="28" t="s">
        <v>67</v>
      </c>
      <c r="J316" s="28" t="s">
        <v>68</v>
      </c>
      <c r="K316" s="28" t="s">
        <v>246</v>
      </c>
      <c r="L316" s="25" t="s">
        <v>160</v>
      </c>
      <c r="M316" s="112" t="s">
        <v>90</v>
      </c>
      <c r="N316" s="25" t="s">
        <v>2083</v>
      </c>
      <c r="O316" s="136" t="s">
        <v>2084</v>
      </c>
      <c r="P316" s="106" t="s">
        <v>1638</v>
      </c>
      <c r="Q316" s="77">
        <v>46283</v>
      </c>
      <c r="R316" s="77" t="str">
        <f>IF(Table5[[#This Row],[Tour Starting Date]]&lt;&gt;"", TEXT(Table5[[#This Row],[Tour Starting Date]], "dddd"), "")</f>
        <v>Friday</v>
      </c>
      <c r="S316" s="77">
        <v>46287</v>
      </c>
      <c r="T316" s="25" t="str">
        <f>IF(Table5[[#This Row],[Tour Ending Date]]&lt;&gt;"", TEXT(Table5[[#This Row],[Tour Ending Date]], "dddd"), "")</f>
        <v>Tuesday</v>
      </c>
      <c r="U31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4 Nights &amp; 5 Days</v>
      </c>
      <c r="V316" s="37" t="str">
        <f>IF(Table5[[#This Row],[Tour Starting Date]]&lt;&gt;"", TEXT(Table5[[#This Row],[Tour Starting Date]], "mmmm"), "")</f>
        <v>September</v>
      </c>
      <c r="W316" s="80" t="str" cm="1">
        <f t="array" ref="W316">IF(Q316&lt;&gt;"", INDEX(CI:CI, MATCH(1, (Q316&gt;=CG:CG)*(Q316&lt;=CH:CH), 0)), "")</f>
        <v>Regular Dates - Weekend</v>
      </c>
      <c r="X316" s="39">
        <v>2</v>
      </c>
      <c r="Y316" s="74">
        <v>19200</v>
      </c>
      <c r="Z316" s="74">
        <f>IF(OR(Table5[[#This Row],[Per Person Package Cost]]="", Table5[[#This Row],[No. of Pax]]=""), "", Table5[[#This Row],[Per Person Package Cost]] * Table5[[#This Row],[No. of Pax]])</f>
        <v>38400</v>
      </c>
      <c r="AA316" s="52" t="s">
        <v>205</v>
      </c>
      <c r="AB316" s="52" t="s">
        <v>2085</v>
      </c>
      <c r="AC316" s="52" t="s">
        <v>105</v>
      </c>
      <c r="AD316" s="52" t="s">
        <v>106</v>
      </c>
      <c r="AE316" s="51" t="str">
        <f t="shared" si="37"/>
        <v>EXIDR04</v>
      </c>
      <c r="AF316" s="51" t="str">
        <f t="shared" si="38"/>
        <v>Heritage Pilgrimage</v>
      </c>
      <c r="AG316" s="74" t="str">
        <f t="shared" si="39"/>
        <v>Quick Getaways</v>
      </c>
      <c r="AH316" s="73" t="str">
        <f t="shared" si="43"/>
        <v>West MP</v>
      </c>
      <c r="AI316" s="52" t="s">
        <v>159</v>
      </c>
      <c r="AJ316" s="56" t="s">
        <v>78</v>
      </c>
      <c r="AK316" s="59" t="s">
        <v>79</v>
      </c>
      <c r="AL316" s="60" t="s">
        <v>80</v>
      </c>
      <c r="AM316" s="54" t="s">
        <v>80</v>
      </c>
      <c r="AN316" s="14">
        <v>46258</v>
      </c>
      <c r="AO316" s="15"/>
      <c r="AP316" s="91"/>
      <c r="AQ316" s="87"/>
      <c r="AR316" s="26"/>
      <c r="AS316" s="65"/>
      <c r="AT316" s="88" t="s">
        <v>138</v>
      </c>
      <c r="AU316" s="67"/>
      <c r="CN316" t="s">
        <v>2086</v>
      </c>
      <c r="DA316" t="str" cm="1">
        <f t="array" ref="DA316:EJ316">IF(U316&lt;&gt;"", TRANSPOSE(_xlfn._xlws.FILTER(CZ:CZ, CY:CY=U316, "")), "")</f>
        <v>Ex Gwl | Gwl (2N) + Mor - Son - Dat - Orc (1N) - Hjr (1N) - Gwl</v>
      </c>
      <c r="DB316" t="str">
        <v>Ex Idr | Idr - Ujj (1N) - Omk - Mah (1N) - Man (1N) - Idr (1N)</v>
      </c>
      <c r="DC316" t="str">
        <v>Ex Idr | Idr - Ujj (1N) - Omk (1N) - Mah (1N) - Man (1N) - Idr</v>
      </c>
      <c r="DD316" t="str">
        <v>Ex Jlr | Jlr - Kan (2N) - Amk (1N) - Jlr (1N)</v>
      </c>
      <c r="DE316" t="str">
        <v>Ex Jlr | Jlr - Ban (2N) - Amk (1N) - Jlr (1N)</v>
      </c>
      <c r="DF316" t="str">
        <v>Ex Jlr | Jlr (1N) - Hjr (1N) - Ban (2N) - Jlr</v>
      </c>
      <c r="DG316" t="str">
        <v>Ex Jlr | Jlr (1N) - Kan (1N) - Ban (2N) - Jlr</v>
      </c>
      <c r="DH316" t="str">
        <v>Ex Bho | Bho (1N) + San + Bhoj + Bhim - Tawa - Mad (1N) - Pch (2N) - Bho</v>
      </c>
      <c r="DI316" t="str">
        <v>Ex Idr | Idr - Ujj (1N) - Omk - Mah (1N) - Man (1N) - Idr (1N)</v>
      </c>
      <c r="DJ316" t="str">
        <v>Ex Bho | Bho (1N) - Bhoj - Bhim - Pch (3N) - Bho</v>
      </c>
      <c r="DK316" t="str">
        <v>Gwl (1N) - Dat (Pitambara Peeth) - Orc (1N) - Ckt (2N) - Ixd</v>
      </c>
      <c r="DL316" t="str">
        <v>Ex Jlr | Jlr - Ban (2N) - Kan (2N) - Jlr</v>
      </c>
      <c r="DM316" t="str">
        <v>Jlr - Ban (1N) - Kan (1N) - Pen (2N) - Nag</v>
      </c>
      <c r="DN316" t="str">
        <v>Ex Bho | Bho (1N) - Bhoj - Bhim - Pch (3N) - Bho</v>
      </c>
      <c r="DO316" t="str">
        <v>Ex Bho | Bho (2N) + Sanchi + Bhoj + Bhim - Tawa - Mad (1N) - Bho (1N)</v>
      </c>
      <c r="DP316" t="str">
        <v>Ex Bho | Bho - Bhoj - Bhim - Tawa (1N) - Mad (1N) - Pch (2N) - Bho</v>
      </c>
      <c r="DQ316" t="str">
        <v>Bho - Bhoj - Bhim - Pch (2N) - Kan (1N) - Jlr (1N)</v>
      </c>
      <c r="DR316" t="str">
        <v>Bho - Bhoj - Bhim - Pch (2N) - Kan (1N) - Amk (1N) - Jlr</v>
      </c>
      <c r="DS316" t="str">
        <v xml:space="preserve">Bho (1N) + Bhim + Bhoj + San - Ujj (1N) - Omk - Mah (1N) - Idr (1N) </v>
      </c>
      <c r="DT316" t="str">
        <v>Ex Gwl | Gwl - Hjr (1N) - Orc (1N) - Dat - Son - Gwl (2N)</v>
      </c>
      <c r="DU316" t="str">
        <v>Ex Gwl | Gwl - Orc (1N) - Hjr (1N) - Chn (1N) - Shiv (1N) - Gwl</v>
      </c>
      <c r="DV316" t="str">
        <v>Gwl - Hjr (1N) - Panna (1N) - Chit (1N) - Mahi (1N) - Sat</v>
      </c>
      <c r="DW316" t="str">
        <v>Jlr - (2 N) Kan - (2 N) Pch - Bhim - Bhoj - Bhp</v>
      </c>
      <c r="DX316" t="str">
        <v>Jlr - (2 N) Kan - (2 N) Pen - Rpr</v>
      </c>
      <c r="DY316" t="str">
        <v>Gwl (2N) (Ex Mor) - Dat -Orc (1N) - Hjr (1N) - Jhn</v>
      </c>
      <c r="DZ316" t="str">
        <v>Ex Gwl | Gwl (1N) - Son - Dat - Orc (1N) - Hjr (2N) (Ex Panna) - Gwl</v>
      </c>
      <c r="EA316" t="str">
        <v>Hjr (1N) - Orc (1N) - Dat - son - Gwl (2N)(Ex Mor)</v>
      </c>
      <c r="EB316" t="str">
        <v>(2 N) Gwl - (1 N) Orch - (1 N) Hjr</v>
      </c>
      <c r="EC316" t="str">
        <v>Ex Bhp | Bhp - Bhoj - Bhim - Pch (2N) - Mad (1N) - Tawa (1N) - Bhp</v>
      </c>
      <c r="ED316" t="str">
        <v>Ex Bhp | Bhp - Bhoj - Bhim - Pch (2N) - Mad (2N) - Bhp</v>
      </c>
      <c r="EE316" t="str">
        <v>Ex Idr | Idr - Ujj (1N) - Omk (1N) - Mah (2N) (Ex Man) - Idr (HDCT)</v>
      </c>
      <c r="EF316" t="str">
        <v>Arr Rpr - Amr (2N) - Par (2N) - IXD</v>
      </c>
      <c r="EG316" t="str">
        <v>1N Gwl - Orc - 2N Hjr - Jhn - 1N Gwl</v>
      </c>
      <c r="EH316" t="str">
        <v>1N Orc - 1N Hjr - 2N Gwl Ex Mor</v>
      </c>
      <c r="EI316" t="str">
        <v>1N Idr - Omk - 1N Mah - 1N Ujj - Seh - 1N Bho</v>
      </c>
      <c r="EJ316" t="str">
        <v>Ex Idr I 1N Idr - 1N Ujj - Omk - 2N Mah - Man - Idr</v>
      </c>
    </row>
    <row r="317" spans="2:145" ht="15" customHeight="1">
      <c r="B317" s="34">
        <v>313</v>
      </c>
      <c r="C317" s="36" t="s">
        <v>2087</v>
      </c>
      <c r="D317" s="76">
        <v>46256</v>
      </c>
      <c r="E317" s="37" t="str">
        <f>IF(Table5[[#This Row],[Query Date]]&lt;&gt;"", TEXT(Table5[[#This Row],[Query Date]], "dddd"), "")</f>
        <v>Saturday</v>
      </c>
      <c r="F317" s="37" t="str">
        <f>IF(Table5[[#This Row],[Query Date]]&lt;&gt;"", TEXT(Table5[[#This Row],[Query Date]], "mmmm"), "")</f>
        <v>August</v>
      </c>
      <c r="G317" s="28" t="s">
        <v>113</v>
      </c>
      <c r="H317" s="28" t="s">
        <v>66</v>
      </c>
      <c r="I317" s="28" t="s">
        <v>67</v>
      </c>
      <c r="J317" s="28" t="s">
        <v>68</v>
      </c>
      <c r="K317" s="28" t="s">
        <v>2088</v>
      </c>
      <c r="L317" s="25" t="s">
        <v>160</v>
      </c>
      <c r="M317" s="112" t="s">
        <v>90</v>
      </c>
      <c r="N317" s="25" t="s">
        <v>2089</v>
      </c>
      <c r="O317" s="130" t="s">
        <v>2090</v>
      </c>
      <c r="P317" s="106" t="s">
        <v>1638</v>
      </c>
      <c r="Q317" s="77">
        <v>46305</v>
      </c>
      <c r="R317" s="77" t="str">
        <f>IF(Table5[[#This Row],[Tour Starting Date]]&lt;&gt;"", TEXT(Table5[[#This Row],[Tour Starting Date]], "dddd"), "")</f>
        <v>Saturday</v>
      </c>
      <c r="S317" s="77">
        <v>46316</v>
      </c>
      <c r="T317" s="25" t="str">
        <f>IF(Table5[[#This Row],[Tour Ending Date]]&lt;&gt;"", TEXT(Table5[[#This Row],[Tour Ending Date]], "dddd"), "")</f>
        <v>Wednesday</v>
      </c>
      <c r="U31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11 Nights &amp; 12 Days</v>
      </c>
      <c r="V317" s="37" t="str">
        <f>IF(Table5[[#This Row],[Tour Starting Date]]&lt;&gt;"", TEXT(Table5[[#This Row],[Tour Starting Date]], "mmmm"), "")</f>
        <v>October</v>
      </c>
      <c r="W317" s="80" t="str" cm="1">
        <f t="array" ref="W317">IF(Q317&lt;&gt;"", INDEX(CI:CI, MATCH(1, (Q317&gt;=CG:CG)*(Q317&lt;=CH:CH), 0)), "")</f>
        <v>Regular Dates - Weekend</v>
      </c>
      <c r="X317" s="39">
        <v>7</v>
      </c>
      <c r="Y317" s="74">
        <v>51000</v>
      </c>
      <c r="Z317" s="74">
        <f>IF(OR(Table5[[#This Row],[Per Person Package Cost]]="", Table5[[#This Row],[No. of Pax]]=""), "", Table5[[#This Row],[Per Person Package Cost]] * Table5[[#This Row],[No. of Pax]])</f>
        <v>357000</v>
      </c>
      <c r="AA317" s="52" t="s">
        <v>509</v>
      </c>
      <c r="AB317" s="52" t="s">
        <v>520</v>
      </c>
      <c r="AC317" s="52" t="s">
        <v>173</v>
      </c>
      <c r="AD317" s="52" t="s">
        <v>661</v>
      </c>
      <c r="AE317" s="51" t="str">
        <f t="shared" si="37"/>
        <v>EMPRT03</v>
      </c>
      <c r="AF317" s="51" t="str">
        <f t="shared" si="38"/>
        <v>Historical Saga Of Madhya Pradesh</v>
      </c>
      <c r="AG317" s="74" t="str">
        <f t="shared" si="39"/>
        <v>Regular Tours</v>
      </c>
      <c r="AH317" s="73" t="str">
        <f t="shared" ref="AH317" si="44">IF(AD317&lt;&gt;"", INDEX(CV:CV, MATCH(AD317, CZ:CZ, 0)), "")</f>
        <v>North + South + West MP</v>
      </c>
      <c r="AI317" s="52" t="s">
        <v>159</v>
      </c>
      <c r="AJ317" s="56" t="s">
        <v>115</v>
      </c>
      <c r="AK317" s="59" t="s">
        <v>79</v>
      </c>
      <c r="AL317" s="60" t="s">
        <v>80</v>
      </c>
      <c r="AM317" s="54" t="s">
        <v>80</v>
      </c>
      <c r="AN317" s="14">
        <v>46258</v>
      </c>
      <c r="AO317" s="15"/>
      <c r="AP317" s="91"/>
      <c r="AQ317" s="87"/>
      <c r="AR317" s="26"/>
      <c r="AS317" s="65"/>
      <c r="AT317" s="88" t="s">
        <v>138</v>
      </c>
      <c r="AU317" s="67"/>
      <c r="CN317" t="s">
        <v>2091</v>
      </c>
      <c r="DA317" t="str" cm="1">
        <f t="array" ref="DA317">IF(U317&lt;&gt;"", TRANSPOSE(_xlfn._xlws.FILTER(CZ:CZ, CY:CY=U317, "")), "")</f>
        <v>1N Gwl - 1n Orc - 2N Hjr - 2N Ban - 1N Jlr - 2N Pch - Bhim - Bhoj - 2N Bho Ex San</v>
      </c>
    </row>
    <row r="318" spans="2:145" ht="15" customHeight="1">
      <c r="B318" s="35">
        <v>314</v>
      </c>
      <c r="C318" s="36" t="s">
        <v>2092</v>
      </c>
      <c r="D318" s="76">
        <v>46256</v>
      </c>
      <c r="E318" s="37" t="str">
        <f>IF(Table5[[#This Row],[Query Date]]&lt;&gt;"", TEXT(Table5[[#This Row],[Query Date]], "dddd"), "")</f>
        <v>Saturday</v>
      </c>
      <c r="F318" s="37" t="str">
        <f>IF(Table5[[#This Row],[Query Date]]&lt;&gt;"", TEXT(Table5[[#This Row],[Query Date]], "mmmm"), "")</f>
        <v>August</v>
      </c>
      <c r="G318" s="28" t="s">
        <v>113</v>
      </c>
      <c r="H318" s="28" t="s">
        <v>99</v>
      </c>
      <c r="I318" s="28" t="s">
        <v>67</v>
      </c>
      <c r="J318" s="28" t="s">
        <v>68</v>
      </c>
      <c r="K318" s="28" t="s">
        <v>246</v>
      </c>
      <c r="L318" s="25" t="s">
        <v>160</v>
      </c>
      <c r="M318" s="112" t="s">
        <v>90</v>
      </c>
      <c r="N318" s="25" t="s">
        <v>2093</v>
      </c>
      <c r="O318" s="130" t="s">
        <v>2094</v>
      </c>
      <c r="P318" s="106" t="s">
        <v>1638</v>
      </c>
      <c r="Q318" s="77">
        <v>46346</v>
      </c>
      <c r="R318" s="77" t="str">
        <f>IF(Table5[[#This Row],[Tour Starting Date]]&lt;&gt;"", TEXT(Table5[[#This Row],[Tour Starting Date]], "dddd"), "")</f>
        <v>Friday</v>
      </c>
      <c r="S318" s="77">
        <v>46352</v>
      </c>
      <c r="T318" s="25" t="str">
        <f>IF(Table5[[#This Row],[Tour Ending Date]]&lt;&gt;"", TEXT(Table5[[#This Row],[Tour Ending Date]], "dddd"), "")</f>
        <v>Thursday</v>
      </c>
      <c r="U31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6 Nights &amp; 7 Days</v>
      </c>
      <c r="V318" s="37" t="str">
        <f>IF(Table5[[#This Row],[Tour Starting Date]]&lt;&gt;"", TEXT(Table5[[#This Row],[Tour Starting Date]], "mmmm"), "")</f>
        <v>November</v>
      </c>
      <c r="W318" s="80" t="str" cm="1">
        <f t="array" ref="W318">IF(Q318&lt;&gt;"", INDEX(CI:CI, MATCH(1, (Q318&gt;=CG:CG)*(Q318&lt;=CH:CH), 0)), "")</f>
        <v>Regular Dates - Weekend</v>
      </c>
      <c r="X318" s="39">
        <v>6</v>
      </c>
      <c r="Y318" s="74">
        <v>30000</v>
      </c>
      <c r="Z318" s="74">
        <f>IF(OR(Table5[[#This Row],[Per Person Package Cost]]="", Table5[[#This Row],[No. of Pax]]=""), "", Table5[[#This Row],[Per Person Package Cost]] * Table5[[#This Row],[No. of Pax]])</f>
        <v>180000</v>
      </c>
      <c r="AA318" s="52" t="s">
        <v>854</v>
      </c>
      <c r="AB318" s="52" t="s">
        <v>133</v>
      </c>
      <c r="AC318" s="52" t="s">
        <v>76</v>
      </c>
      <c r="AD318" s="52" t="s">
        <v>1166</v>
      </c>
      <c r="AE318" s="51" t="str">
        <f t="shared" si="37"/>
        <v>EXJBP13</v>
      </c>
      <c r="AF318" s="51" t="str">
        <f t="shared" si="38"/>
        <v>The Wilderness Journey</v>
      </c>
      <c r="AG318" s="74" t="str">
        <f t="shared" si="39"/>
        <v>Quick Getaways</v>
      </c>
      <c r="AH318" s="73" t="str">
        <f t="shared" si="43"/>
        <v>East MP</v>
      </c>
      <c r="AI318" s="52" t="s">
        <v>159</v>
      </c>
      <c r="AJ318" s="56" t="s">
        <v>115</v>
      </c>
      <c r="AK318" s="59" t="s">
        <v>79</v>
      </c>
      <c r="AL318" s="60" t="s">
        <v>80</v>
      </c>
      <c r="AM318" s="54" t="s">
        <v>80</v>
      </c>
      <c r="AN318" s="14">
        <v>46258</v>
      </c>
      <c r="AO318" s="15"/>
      <c r="AP318" s="91"/>
      <c r="AQ318" s="87"/>
      <c r="AR318" s="26"/>
      <c r="AS318" s="65"/>
      <c r="AT318" s="88" t="s">
        <v>138</v>
      </c>
      <c r="AU318" s="67"/>
      <c r="CN318" t="s">
        <v>2095</v>
      </c>
      <c r="DA318" t="str" cm="1">
        <f t="array" ref="DA318:DZ318">IF(U318&lt;&gt;"", TRANSPOSE(_xlfn._xlws.FILTER(CZ:CZ, CY:CY=U318, "")), "")</f>
        <v>Ex Gwl | Gwl (2N) + Mor - Orc - Pan (2N) - Hjr (1N) - Dat - Son - Gwl (1N)</v>
      </c>
      <c r="DB318" t="str">
        <v>Ex Gwl | GWL (2N) + Mor - Shiv - Chan (2N) - Hjr (1N) - Orc (1N) - Dat - Gwl</v>
      </c>
      <c r="DC318" t="str">
        <v>Gwl (2N) + Mor - Son - Dat - Orc (1N) - Hjr (1N) - Ban (1N) - Jlr (1N)</v>
      </c>
      <c r="DD318" t="str">
        <v>Idr - Ujj (1N) - Omk - Mah (1N) - Man (2N) - Bhp (2N) + Bhim + Bhoj + San</v>
      </c>
      <c r="DE318" t="str">
        <v>Bhp (1N) + Bhim + Bhoj + San - Ujj (1N) - Man (2N) - Mah - Omk (1N) - Idr (1N)</v>
      </c>
      <c r="DF318" t="str">
        <v>Jlr (1N) - Ban (1N) - Hjr (1N) - Orc (1N) - Dat - Son - Gwl (2N) + Mor</v>
      </c>
      <c r="DG318" t="str">
        <v>Bho (1N) + San - Bhoj - Bhim - Tawa (1N) - Mad (1N) - Pch (2N) - Jlr (1N)</v>
      </c>
      <c r="DH318" t="str">
        <v>Bho (1N) + San + Udaygiri - Bhoj - Bhim - Pch (2N) - Kan(2N) - Jlr (1N)</v>
      </c>
      <c r="DI318" t="str">
        <v>Bho (1N) + Bhim + Bhoj - San - Ujj (1N) - Man (2N) - Mah - Omk (1N) - Idr (1N)</v>
      </c>
      <c r="DJ318" t="str">
        <v>Gwl (2N) + Mor - Son - Dat - Orc (1N) - Hjr (1N) - Jab (1N) - Kan (1N) - Nag</v>
      </c>
      <c r="DK318" t="str">
        <v>Bho (2N) + San + Bhoj + Bhim - Ujj (1N) - Omk - Mah (1N) - Man (1N) - Idr (1N)</v>
      </c>
      <c r="DL318" t="str">
        <v>Ex Nag | Nag - Pch (2N) - Bhim - Bhoj - Bho (2N) + San + Udaygiri - Jlr (1N) - Kan (1N) - Nag</v>
      </c>
      <c r="DM318" t="str">
        <v>Bho (1N) - Mad (2N) + Tawa Cruise Safari - Pch (2N) - Jlr (1N) - Nag</v>
      </c>
      <c r="DN318" t="str">
        <v>Idr - Man (2N) - Idr (1N) - Bho (1N) + San - Bhoj - Bhim - Pch (2N) - Bho</v>
      </c>
      <c r="DO318" t="str">
        <v>Rpr - kan (2N) - Ban (1N) - Jlr (1N) - Mad (2N) - Bhim - Bhoj - Bho</v>
      </c>
      <c r="DP318" t="str">
        <v>Jlr - Amar (1 N) - Ban (2 N) - Kan (1N) - Pch (2N) - Ppi</v>
      </c>
      <c r="DQ318" t="str">
        <v>Jlr - (2N) Kan - (1N) Jlr - Bhim - Bhoj - (2N) Bho  (Ex San &amp; Uda)  - (1N) Ujj - Idr</v>
      </c>
      <c r="DR318" t="str">
        <v>Ex Nag | Nag (2 N) Pach - Bhim - Bhij - (2 N) Bho (Ex San &amp; Uad) - (1 N) Jlr - (1 N) Kan - Nag</v>
      </c>
      <c r="DS318" t="str">
        <v>(2 N) Bho (Ex San, Bhoj &amp; Bhim) - (1 N) Ujj - Omk - (1 N) Mah - (1 N) Man - (1 N) Idr</v>
      </c>
      <c r="DT318" t="str">
        <v>(2 N) Gwl (Ex Mor) - Son - Dat - (1 N) Orc - (1 N) Hjr - (1 N) Jlr - (1 N) Kan - Nag</v>
      </c>
      <c r="DU318" t="str">
        <v>(1 N) Jlr - (2 N) Kanha - (2 N Pach) - (1 N) BHo</v>
      </c>
      <c r="DV318" t="str">
        <v>(2 N) Gwl - (1 N) Orc - (1 N) Hjr - (1 N) Ban - (1 N) Jlr</v>
      </c>
      <c r="DW318" t="str">
        <v>(2 N) BHo - (2 N) Madhai - (1 N) Pach - (1 N) Jlr</v>
      </c>
      <c r="DX318" t="str">
        <v>Ex Bhp | Bhp - Bhoj - Bhim - Pach (3N) - Tawa - Mad - Tawa (1N) - Mad (1N) - Bho (1N)</v>
      </c>
      <c r="DY318" t="str">
        <v>Ex Idr I Idr - 2N Ujj - 1N Man - 1N Mah - 1N Omk - 1N Idr</v>
      </c>
      <c r="DZ318" t="str">
        <v>1N Jlr - 1N Kan - 1N Ban - 1N Hjr -2N Gwl</v>
      </c>
    </row>
    <row r="319" spans="2:145" ht="15" customHeight="1">
      <c r="B319" s="34">
        <v>315</v>
      </c>
      <c r="C319" s="36" t="s">
        <v>2096</v>
      </c>
      <c r="D319" s="76">
        <v>46256</v>
      </c>
      <c r="E319" s="37" t="str">
        <f>IF(Table5[[#This Row],[Query Date]]&lt;&gt;"", TEXT(Table5[[#This Row],[Query Date]], "dddd"), "")</f>
        <v>Saturday</v>
      </c>
      <c r="F319" s="37" t="str">
        <f>IF(Table5[[#This Row],[Query Date]]&lt;&gt;"", TEXT(Table5[[#This Row],[Query Date]], "mmmm"), "")</f>
        <v>August</v>
      </c>
      <c r="G319" s="28" t="s">
        <v>113</v>
      </c>
      <c r="H319" s="28" t="s">
        <v>99</v>
      </c>
      <c r="I319" s="28" t="s">
        <v>67</v>
      </c>
      <c r="J319" s="28" t="s">
        <v>68</v>
      </c>
      <c r="K319" s="28" t="s">
        <v>246</v>
      </c>
      <c r="L319" s="25" t="s">
        <v>160</v>
      </c>
      <c r="M319" s="112" t="s">
        <v>90</v>
      </c>
      <c r="N319" s="25" t="s">
        <v>2097</v>
      </c>
      <c r="O319" s="130" t="s">
        <v>2098</v>
      </c>
      <c r="P319" s="106" t="s">
        <v>1638</v>
      </c>
      <c r="Q319" s="77">
        <v>46398</v>
      </c>
      <c r="R319" s="77" t="str">
        <f>IF(Table5[[#This Row],[Tour Starting Date]]&lt;&gt;"", TEXT(Table5[[#This Row],[Tour Starting Date]], "dddd"), "")</f>
        <v>Monday</v>
      </c>
      <c r="S319" s="77">
        <v>46404</v>
      </c>
      <c r="T319" s="25" t="str">
        <f>IF(Table5[[#This Row],[Tour Ending Date]]&lt;&gt;"", TEXT(Table5[[#This Row],[Tour Ending Date]], "dddd"), "")</f>
        <v>Sunday</v>
      </c>
      <c r="U31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6 Nights &amp; 7 Days</v>
      </c>
      <c r="V319" s="37" t="str">
        <f>IF(Table5[[#This Row],[Tour Starting Date]]&lt;&gt;"", TEXT(Table5[[#This Row],[Tour Starting Date]], "mmmm"), "")</f>
        <v>January</v>
      </c>
      <c r="W319" s="80" t="str" cm="1">
        <f t="array" ref="W319">IF(Q319&lt;&gt;"", INDEX(CI:CI, MATCH(1, (Q319&gt;=CG:CG)*(Q319&lt;=CH:CH), 0)), "")</f>
        <v>Regular Dates - Weekday</v>
      </c>
      <c r="X319" s="39">
        <v>1</v>
      </c>
      <c r="Y319" s="74">
        <v>50400</v>
      </c>
      <c r="Z319" s="74">
        <f>IF(OR(Table5[[#This Row],[Per Person Package Cost]]="", Table5[[#This Row],[No. of Pax]]=""), "", Table5[[#This Row],[Per Person Package Cost]] * Table5[[#This Row],[No. of Pax]])</f>
        <v>50400</v>
      </c>
      <c r="AA319" s="52" t="s">
        <v>520</v>
      </c>
      <c r="AB319" s="52" t="s">
        <v>509</v>
      </c>
      <c r="AC319" s="52" t="s">
        <v>76</v>
      </c>
      <c r="AD319" s="52" t="s">
        <v>578</v>
      </c>
      <c r="AE319" s="51" t="str">
        <f t="shared" si="37"/>
        <v>EXBHO03</v>
      </c>
      <c r="AF319" s="51" t="str">
        <f t="shared" si="38"/>
        <v>Wilderness Getaway from Bhopal</v>
      </c>
      <c r="AG319" s="74" t="str">
        <f t="shared" si="39"/>
        <v>Quick Getaways</v>
      </c>
      <c r="AH319" s="73" t="str">
        <f t="shared" si="43"/>
        <v>South MP</v>
      </c>
      <c r="AI319" s="52" t="s">
        <v>159</v>
      </c>
      <c r="AJ319" s="56" t="s">
        <v>115</v>
      </c>
      <c r="AK319" s="59" t="s">
        <v>79</v>
      </c>
      <c r="AL319" s="60" t="s">
        <v>80</v>
      </c>
      <c r="AM319" s="54" t="s">
        <v>80</v>
      </c>
      <c r="AN319" s="14">
        <v>46258</v>
      </c>
      <c r="AO319" s="15"/>
      <c r="AP319" s="91"/>
      <c r="AQ319" s="87"/>
      <c r="AR319" s="26"/>
      <c r="AS319" s="65"/>
      <c r="AT319" s="88" t="s">
        <v>138</v>
      </c>
      <c r="AU319" s="67"/>
      <c r="CN319" t="s">
        <v>2099</v>
      </c>
      <c r="DA319" t="str" cm="1">
        <f t="array" ref="DA319:DZ319">IF(U319&lt;&gt;"", TRANSPOSE(_xlfn._xlws.FILTER(CZ:CZ, CY:CY=U319, "")), "")</f>
        <v>Ex Gwl | Gwl (2N) + Mor - Orc - Pan (2N) - Hjr (1N) - Dat - Son - Gwl (1N)</v>
      </c>
      <c r="DB319" t="str">
        <v>Ex Gwl | GWL (2N) + Mor - Shiv - Chan (2N) - Hjr (1N) - Orc (1N) - Dat - Gwl</v>
      </c>
      <c r="DC319" t="str">
        <v>Gwl (2N) + Mor - Son - Dat - Orc (1N) - Hjr (1N) - Ban (1N) - Jlr (1N)</v>
      </c>
      <c r="DD319" t="str">
        <v>Idr - Ujj (1N) - Omk - Mah (1N) - Man (2N) - Bhp (2N) + Bhim + Bhoj + San</v>
      </c>
      <c r="DE319" t="str">
        <v>Bhp (1N) + Bhim + Bhoj + San - Ujj (1N) - Man (2N) - Mah - Omk (1N) - Idr (1N)</v>
      </c>
      <c r="DF319" t="str">
        <v>Jlr (1N) - Ban (1N) - Hjr (1N) - Orc (1N) - Dat - Son - Gwl (2N) + Mor</v>
      </c>
      <c r="DG319" t="str">
        <v>Bho (1N) + San - Bhoj - Bhim - Tawa (1N) - Mad (1N) - Pch (2N) - Jlr (1N)</v>
      </c>
      <c r="DH319" t="str">
        <v>Bho (1N) + San + Udaygiri - Bhoj - Bhim - Pch (2N) - Kan(2N) - Jlr (1N)</v>
      </c>
      <c r="DI319" t="str">
        <v>Bho (1N) + Bhim + Bhoj - San - Ujj (1N) - Man (2N) - Mah - Omk (1N) - Idr (1N)</v>
      </c>
      <c r="DJ319" t="str">
        <v>Gwl (2N) + Mor - Son - Dat - Orc (1N) - Hjr (1N) - Jab (1N) - Kan (1N) - Nag</v>
      </c>
      <c r="DK319" t="str">
        <v>Bho (2N) + San + Bhoj + Bhim - Ujj (1N) - Omk - Mah (1N) - Man (1N) - Idr (1N)</v>
      </c>
      <c r="DL319" t="str">
        <v>Ex Nag | Nag - Pch (2N) - Bhim - Bhoj - Bho (2N) + San + Udaygiri - Jlr (1N) - Kan (1N) - Nag</v>
      </c>
      <c r="DM319" t="str">
        <v>Bho (1N) - Mad (2N) + Tawa Cruise Safari - Pch (2N) - Jlr (1N) - Nag</v>
      </c>
      <c r="DN319" t="str">
        <v>Idr - Man (2N) - Idr (1N) - Bho (1N) + San - Bhoj - Bhim - Pch (2N) - Bho</v>
      </c>
      <c r="DO319" t="str">
        <v>Rpr - kan (2N) - Ban (1N) - Jlr (1N) - Mad (2N) - Bhim - Bhoj - Bho</v>
      </c>
      <c r="DP319" t="str">
        <v>Jlr - Amar (1 N) - Ban (2 N) - Kan (1N) - Pch (2N) - Ppi</v>
      </c>
      <c r="DQ319" t="str">
        <v>Jlr - (2N) Kan - (1N) Jlr - Bhim - Bhoj - (2N) Bho  (Ex San &amp; Uda)  - (1N) Ujj - Idr</v>
      </c>
      <c r="DR319" t="str">
        <v>Ex Nag | Nag (2 N) Pach - Bhim - Bhij - (2 N) Bho (Ex San &amp; Uad) - (1 N) Jlr - (1 N) Kan - Nag</v>
      </c>
      <c r="DS319" t="str">
        <v>(2 N) Bho (Ex San, Bhoj &amp; Bhim) - (1 N) Ujj - Omk - (1 N) Mah - (1 N) Man - (1 N) Idr</v>
      </c>
      <c r="DT319" t="str">
        <v>(2 N) Gwl (Ex Mor) - Son - Dat - (1 N) Orc - (1 N) Hjr - (1 N) Jlr - (1 N) Kan - Nag</v>
      </c>
      <c r="DU319" t="str">
        <v>(1 N) Jlr - (2 N) Kanha - (2 N Pach) - (1 N) BHo</v>
      </c>
      <c r="DV319" t="str">
        <v>(2 N) Gwl - (1 N) Orc - (1 N) Hjr - (1 N) Ban - (1 N) Jlr</v>
      </c>
      <c r="DW319" t="str">
        <v>(2 N) BHo - (2 N) Madhai - (1 N) Pach - (1 N) Jlr</v>
      </c>
      <c r="DX319" t="str">
        <v>Ex Bhp | Bhp - Bhoj - Bhim - Pach (3N) - Tawa - Mad - Tawa (1N) - Mad (1N) - Bho (1N)</v>
      </c>
      <c r="DY319" t="str">
        <v>Ex Idr I Idr - 2N Ujj - 1N Man - 1N Mah - 1N Omk - 1N Idr</v>
      </c>
      <c r="DZ319" t="str">
        <v>1N Jlr - 1N Kan - 1N Ban - 1N Hjr -2N Gwl</v>
      </c>
    </row>
    <row r="320" spans="2:145" ht="15" customHeight="1">
      <c r="B320" s="35">
        <v>316</v>
      </c>
      <c r="C320" s="36" t="s">
        <v>2100</v>
      </c>
      <c r="D320" s="76">
        <v>46258</v>
      </c>
      <c r="E320" s="37" t="str">
        <f>IF(Table5[[#This Row],[Query Date]]&lt;&gt;"", TEXT(Table5[[#This Row],[Query Date]], "dddd"), "")</f>
        <v>Monday</v>
      </c>
      <c r="F320" s="37" t="str">
        <f>IF(Table5[[#This Row],[Query Date]]&lt;&gt;"", TEXT(Table5[[#This Row],[Query Date]], "mmmm"), "")</f>
        <v>August</v>
      </c>
      <c r="G320" s="28" t="s">
        <v>65</v>
      </c>
      <c r="H320" s="28" t="s">
        <v>99</v>
      </c>
      <c r="I320" s="28" t="s">
        <v>67</v>
      </c>
      <c r="J320" s="28" t="s">
        <v>68</v>
      </c>
      <c r="K320" s="28" t="s">
        <v>246</v>
      </c>
      <c r="L320" s="25" t="s">
        <v>70</v>
      </c>
      <c r="M320" s="112"/>
      <c r="N320" s="25"/>
      <c r="O320" s="130"/>
      <c r="P320" s="46"/>
      <c r="Q320" s="77">
        <v>46318</v>
      </c>
      <c r="R320" s="77" t="str">
        <f>IF(Table5[[#This Row],[Tour Starting Date]]&lt;&gt;"", TEXT(Table5[[#This Row],[Tour Starting Date]], "dddd"), "")</f>
        <v>Friday</v>
      </c>
      <c r="S320" s="77">
        <v>46321</v>
      </c>
      <c r="T320" s="25" t="str">
        <f>IF(Table5[[#This Row],[Tour Ending Date]]&lt;&gt;"", TEXT(Table5[[#This Row],[Tour Ending Date]], "dddd"), "")</f>
        <v>Monday</v>
      </c>
      <c r="U32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3 Nights &amp; 4 Days</v>
      </c>
      <c r="V320" s="37" t="str">
        <f>IF(Table5[[#This Row],[Tour Starting Date]]&lt;&gt;"", TEXT(Table5[[#This Row],[Tour Starting Date]], "mmmm"), "")</f>
        <v>October</v>
      </c>
      <c r="W320" s="80" t="str" cm="1">
        <f t="array" ref="W320">IF(Q320&lt;&gt;"", INDEX(CI:CI, MATCH(1, (Q320&gt;=CG:CG)*(Q320&lt;=CH:CH), 0)), "")</f>
        <v>Regular Dates - Weekend</v>
      </c>
      <c r="X320" s="39">
        <v>4</v>
      </c>
      <c r="Y320" s="74">
        <v>12500</v>
      </c>
      <c r="Z320" s="74">
        <f>IF(OR(Table5[[#This Row],[Per Person Package Cost]]="", Table5[[#This Row],[No. of Pax]]=""), "", Table5[[#This Row],[Per Person Package Cost]] * Table5[[#This Row],[No. of Pax]])</f>
        <v>50000</v>
      </c>
      <c r="AA320" s="52" t="s">
        <v>133</v>
      </c>
      <c r="AB320" s="52" t="s">
        <v>133</v>
      </c>
      <c r="AC320" s="52" t="s">
        <v>76</v>
      </c>
      <c r="AD320" s="52" t="s">
        <v>1225</v>
      </c>
      <c r="AE320" s="51" t="str">
        <f t="shared" si="37"/>
        <v>EXJBP21</v>
      </c>
      <c r="AF320" s="51" t="str">
        <f t="shared" si="38"/>
        <v>Safari &amp; Spiritual Odyssey</v>
      </c>
      <c r="AG320" s="74" t="str">
        <f t="shared" si="39"/>
        <v>Quick Getaways</v>
      </c>
      <c r="AH320" s="73" t="str">
        <f t="shared" si="43"/>
        <v>East MP</v>
      </c>
      <c r="AI320" s="52" t="s">
        <v>77</v>
      </c>
      <c r="AJ320" s="56" t="s">
        <v>115</v>
      </c>
      <c r="AK320" s="59" t="s">
        <v>79</v>
      </c>
      <c r="AL320" s="60" t="s">
        <v>80</v>
      </c>
      <c r="AM320" s="54" t="s">
        <v>80</v>
      </c>
      <c r="AN320" s="14">
        <v>46258</v>
      </c>
      <c r="AO320" s="15"/>
      <c r="AP320" s="91"/>
      <c r="AQ320" s="87"/>
      <c r="AR320" s="26"/>
      <c r="AS320" s="65"/>
      <c r="AT320" s="88" t="s">
        <v>81</v>
      </c>
      <c r="AU320" s="67"/>
      <c r="CN320" t="s">
        <v>2101</v>
      </c>
      <c r="DA320" t="str" cm="1">
        <f t="array" ref="DA320:EO320">IF(U320&lt;&gt;"", TRANSPOSE(_xlfn._xlws.FILTER(CZ:CZ, CY:CY=U320, "")), "")</f>
        <v>Gwl (3N) + Mor + Son + Dat + Orc</v>
      </c>
      <c r="DB320" t="str">
        <v>Ex Gwl | Gwl (1N) - Son - Dat - Orc (1N) - Gwl (1N)</v>
      </c>
      <c r="DC320" t="str">
        <v>Ex Idr | Idr - Ujj (1N) - Omk - Mah (1N) - Man (1N) - Idr</v>
      </c>
      <c r="DD320" t="str">
        <v>Ex Jlr | Jlr - Kan (2N) - Jlr (1N)</v>
      </c>
      <c r="DE320" t="str">
        <v>Ex Jlr | Jlr - Ban (2N) - Jlr (1N)</v>
      </c>
      <c r="DF320" t="str">
        <v>Ex Bho | Bho (1N) + San - Bhoj - Bhim - Pch (2N) - Bho</v>
      </c>
      <c r="DG320" t="str">
        <v>Ex Idr | Idr (1N) - Ujj (1N) - Omk (1N) - Mah - Idr</v>
      </c>
      <c r="DH320" t="str">
        <v>Gwl - Orc (1N) - Ckt (1N) - Myr (1N) - Jlr</v>
      </c>
      <c r="DI320" t="str">
        <v>Gwl - Orc (1N) - Ckt (2N) - Ixd</v>
      </c>
      <c r="DJ320" t="str">
        <v>Ex Idr | Idr - Ujj (1N) - Omk - Mah (1N) - Idr (1N)</v>
      </c>
      <c r="DK320" t="str">
        <v>Ex Jlr | Jlr - Kan (3N) - Jlr</v>
      </c>
      <c r="DL320" t="str">
        <v>Ex Bho | Bho (2N) + Bhim + Bhoj + San + Udaygiri + Vidisha + FDCT Bho</v>
      </c>
      <c r="DM320" t="str">
        <v>Bho (1N) + Bhim + Bhoj - HDCT  Bho + Sanchi - Ujj (2N)</v>
      </c>
      <c r="DN320" t="str">
        <v>Bho (1N) + Bhim + Bhoj - HDCT  Bho + Sanchi - Ujj (2N) - Idr</v>
      </c>
      <c r="DO320" t="str">
        <v>Ex Bho | Bho - Bhoj - Bhim - Mad (1N) - Pch (2N) - Bho</v>
      </c>
      <c r="DP320" t="str">
        <v>Ex Bho | Bho - Bhoj - Bhim - Mad (1N) - Pch (3N) - Bho</v>
      </c>
      <c r="DQ320" t="str">
        <v>Ex Bho | Bho - Bhoj - Bhim - Tawa (1N) - Mad (1N) - Bho (1N)</v>
      </c>
      <c r="DR320" t="str">
        <v>Bho (1N) - Bhim - Bhoj - San - Idr (2N) + Ujj</v>
      </c>
      <c r="DS320" t="str">
        <v>Bho (1N) - Bhoj - Bhim - Pch (2N) - Bho</v>
      </c>
      <c r="DT320" t="str">
        <v>Ujj (1N) - Omk - Mah (1N) - Idr (1N)</v>
      </c>
      <c r="DU320" t="str">
        <v>Ujj (1N) - Omk - Mah (1N) - Man (1N) - Idr</v>
      </c>
      <c r="DV320" t="str">
        <v>Ex Idr | Idr (1N) - Ujj (1N) - Omk - Mah (1N)</v>
      </c>
      <c r="DW320" t="str">
        <v>Ex Idr | Idr - Ujj (1N) - Omk (1N) - Mah (1N) - Idr</v>
      </c>
      <c r="DX320" t="str">
        <v>Khandwa - Omk (1N) - Mah (1N) - Ujj (1N) - Idr</v>
      </c>
      <c r="DY320" t="str">
        <v>Ex Idr | Idr - Ujj (1N) - Omk - Mah (1N) - Man - Idr (1N)</v>
      </c>
      <c r="DZ320" t="str">
        <v xml:space="preserve">Idr - Omk (1N) - Mah - Ujj (1N) San - Bho (1N) </v>
      </c>
      <c r="EA320" t="str">
        <v>Ex Idr | Idr - Man (1N) - Mah - Omk (1N) - Ujj (1N) - Idr</v>
      </c>
      <c r="EB320" t="str">
        <v>Khandwa - Omk (1N) - Mah - Ujj (2N)</v>
      </c>
      <c r="EC320" t="str">
        <v>Ex Jlr | Jlr (1N) - Amr (1N) - Ban (1N) - Jlr</v>
      </c>
      <c r="ED320" t="str">
        <v>Ex Jlr | Jlr - (1 N) Ban - (2 N) Amar</v>
      </c>
      <c r="EE320" t="str">
        <v>Jlr - Kan (1N) - Pch (2N)</v>
      </c>
      <c r="EF320" t="str">
        <v>Pi - Pch (2N)  - Kan (1N)</v>
      </c>
      <c r="EG320" t="str">
        <v>Ex Jlr | Jlr - Amr (1 N) - (1 N) Ban - (1 N) Jlr</v>
      </c>
      <c r="EH320" t="str">
        <v>Ppi - (2 N) Pch - (1 N) Pen</v>
      </c>
      <c r="EI320" t="str">
        <v>Bhp - Pch (2N) - Jlr (1N)</v>
      </c>
      <c r="EJ320" t="str">
        <v xml:space="preserve">Arr Jhn - Hjr (1N) - Orc - Gwl (2N) </v>
      </c>
      <c r="EK320" t="str">
        <v>(1 N) Ujj - (1 N) Mah - (1 N) Idr</v>
      </c>
      <c r="EL320" t="str">
        <v>Ex Bhp | Bhp - Bhoj - Bhim - Pch (3N) - Bhp</v>
      </c>
      <c r="EM320" t="str">
        <v>Ex Bhp | Bhp - Bhoj - Bhim - Pch (2N) - Mad (1N) - Bhp</v>
      </c>
      <c r="EN320" t="str">
        <v xml:space="preserve">Ex Nag - 3N Pch + Sat </v>
      </c>
      <c r="EO320" t="str">
        <v>1N Gwl - Son - Dat - 1N Hjr - 1N Orc - Jhn</v>
      </c>
    </row>
    <row r="321" spans="2:145" ht="15" customHeight="1">
      <c r="B321" s="34">
        <v>317</v>
      </c>
      <c r="C321" s="36" t="s">
        <v>2102</v>
      </c>
      <c r="D321" s="76">
        <v>46258</v>
      </c>
      <c r="E321" s="37" t="str">
        <f>IF(Table5[[#This Row],[Query Date]]&lt;&gt;"", TEXT(Table5[[#This Row],[Query Date]], "dddd"), "")</f>
        <v>Monday</v>
      </c>
      <c r="F321" s="37" t="str">
        <f>IF(Table5[[#This Row],[Query Date]]&lt;&gt;"", TEXT(Table5[[#This Row],[Query Date]], "mmmm"), "")</f>
        <v>August</v>
      </c>
      <c r="G321" s="28" t="s">
        <v>113</v>
      </c>
      <c r="H321" s="28" t="s">
        <v>66</v>
      </c>
      <c r="I321" s="28" t="s">
        <v>67</v>
      </c>
      <c r="J321" s="28" t="s">
        <v>68</v>
      </c>
      <c r="K321" s="28" t="s">
        <v>535</v>
      </c>
      <c r="L321" s="25" t="s">
        <v>160</v>
      </c>
      <c r="M321" s="112" t="s">
        <v>90</v>
      </c>
      <c r="N321" s="25" t="s">
        <v>2103</v>
      </c>
      <c r="O321" s="130" t="s">
        <v>2104</v>
      </c>
      <c r="P321" s="106" t="s">
        <v>1638</v>
      </c>
      <c r="Q321" s="77">
        <v>46273</v>
      </c>
      <c r="R321" s="77" t="str">
        <f>IF(Table5[[#This Row],[Tour Starting Date]]&lt;&gt;"", TEXT(Table5[[#This Row],[Tour Starting Date]], "dddd"), "")</f>
        <v>Tuesday</v>
      </c>
      <c r="S321" s="77">
        <v>46277</v>
      </c>
      <c r="T321" s="25" t="str">
        <f>IF(Table5[[#This Row],[Tour Ending Date]]&lt;&gt;"", TEXT(Table5[[#This Row],[Tour Ending Date]], "dddd"), "")</f>
        <v>Saturday</v>
      </c>
      <c r="U32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4 Nights &amp; 5 Days</v>
      </c>
      <c r="V321" s="37" t="str">
        <f>IF(Table5[[#This Row],[Tour Starting Date]]&lt;&gt;"", TEXT(Table5[[#This Row],[Tour Starting Date]], "mmmm"), "")</f>
        <v>September</v>
      </c>
      <c r="W321" s="80" t="str" cm="1">
        <f t="array" ref="W321">IF(Q321&lt;&gt;"", INDEX(CI:CI, MATCH(1, (Q321&gt;=CG:CG)*(Q321&lt;=CH:CH), 0)), "")</f>
        <v>Regular Dates - Weekday</v>
      </c>
      <c r="X321" s="39">
        <v>1</v>
      </c>
      <c r="Y321" s="74">
        <v>35200</v>
      </c>
      <c r="Z321" s="74">
        <f>IF(OR(Table5[[#This Row],[Per Person Package Cost]]="", Table5[[#This Row],[No. of Pax]]=""), "", Table5[[#This Row],[Per Person Package Cost]] * Table5[[#This Row],[No. of Pax]])</f>
        <v>35200</v>
      </c>
      <c r="AA321" s="52" t="s">
        <v>75</v>
      </c>
      <c r="AB321" s="52" t="s">
        <v>75</v>
      </c>
      <c r="AC321" s="52"/>
      <c r="AD321" s="52" t="s">
        <v>158</v>
      </c>
      <c r="AE321" s="51" t="str">
        <f t="shared" si="37"/>
        <v>EXIDR07</v>
      </c>
      <c r="AF321" s="51" t="str">
        <f t="shared" si="38"/>
        <v>Heritage Trails &amp; Sacred Wonders</v>
      </c>
      <c r="AG321" s="74" t="str">
        <f t="shared" si="39"/>
        <v>Quick Getaways</v>
      </c>
      <c r="AH321" s="73" t="str">
        <f t="shared" si="43"/>
        <v>West MP</v>
      </c>
      <c r="AI321" s="52" t="s">
        <v>159</v>
      </c>
      <c r="AJ321" s="56" t="s">
        <v>115</v>
      </c>
      <c r="AK321" s="59" t="s">
        <v>79</v>
      </c>
      <c r="AL321" s="60" t="s">
        <v>80</v>
      </c>
      <c r="AM321" s="54" t="s">
        <v>80</v>
      </c>
      <c r="AN321" s="14">
        <v>46261</v>
      </c>
      <c r="AO321" s="15"/>
      <c r="AP321" s="91"/>
      <c r="AQ321" s="87"/>
      <c r="AR321" s="26"/>
      <c r="AS321" s="65"/>
      <c r="AT321" s="88" t="s">
        <v>138</v>
      </c>
      <c r="AU321" s="67"/>
      <c r="CN321" t="s">
        <v>2105</v>
      </c>
      <c r="DA321" t="str" cm="1">
        <f t="array" ref="DA321:EJ321">IF(U321&lt;&gt;"", TRANSPOSE(_xlfn._xlws.FILTER(CZ:CZ, CY:CY=U321, "")), "")</f>
        <v>Ex Gwl | Gwl (2N) + Mor - Son - Dat - Orc (1N) - Hjr (1N) - Gwl</v>
      </c>
      <c r="DB321" t="str">
        <v>Ex Idr | Idr - Ujj (1N) - Omk - Mah (1N) - Man (1N) - Idr (1N)</v>
      </c>
      <c r="DC321" t="str">
        <v>Ex Idr | Idr - Ujj (1N) - Omk (1N) - Mah (1N) - Man (1N) - Idr</v>
      </c>
      <c r="DD321" t="str">
        <v>Ex Jlr | Jlr - Kan (2N) - Amk (1N) - Jlr (1N)</v>
      </c>
      <c r="DE321" t="str">
        <v>Ex Jlr | Jlr - Ban (2N) - Amk (1N) - Jlr (1N)</v>
      </c>
      <c r="DF321" t="str">
        <v>Ex Jlr | Jlr (1N) - Hjr (1N) - Ban (2N) - Jlr</v>
      </c>
      <c r="DG321" t="str">
        <v>Ex Jlr | Jlr (1N) - Kan (1N) - Ban (2N) - Jlr</v>
      </c>
      <c r="DH321" t="str">
        <v>Ex Bho | Bho (1N) + San + Bhoj + Bhim - Tawa - Mad (1N) - Pch (2N) - Bho</v>
      </c>
      <c r="DI321" t="str">
        <v>Ex Idr | Idr - Ujj (1N) - Omk - Mah (1N) - Man (1N) - Idr (1N)</v>
      </c>
      <c r="DJ321" t="str">
        <v>Ex Bho | Bho (1N) - Bhoj - Bhim - Pch (3N) - Bho</v>
      </c>
      <c r="DK321" t="str">
        <v>Gwl (1N) - Dat (Pitambara Peeth) - Orc (1N) - Ckt (2N) - Ixd</v>
      </c>
      <c r="DL321" t="str">
        <v>Ex Jlr | Jlr - Ban (2N) - Kan (2N) - Jlr</v>
      </c>
      <c r="DM321" t="str">
        <v>Jlr - Ban (1N) - Kan (1N) - Pen (2N) - Nag</v>
      </c>
      <c r="DN321" t="str">
        <v>Ex Bho | Bho (1N) - Bhoj - Bhim - Pch (3N) - Bho</v>
      </c>
      <c r="DO321" t="str">
        <v>Ex Bho | Bho (2N) + Sanchi + Bhoj + Bhim - Tawa - Mad (1N) - Bho (1N)</v>
      </c>
      <c r="DP321" t="str">
        <v>Ex Bho | Bho - Bhoj - Bhim - Tawa (1N) - Mad (1N) - Pch (2N) - Bho</v>
      </c>
      <c r="DQ321" t="str">
        <v>Bho - Bhoj - Bhim - Pch (2N) - Kan (1N) - Jlr (1N)</v>
      </c>
      <c r="DR321" t="str">
        <v>Bho - Bhoj - Bhim - Pch (2N) - Kan (1N) - Amk (1N) - Jlr</v>
      </c>
      <c r="DS321" t="str">
        <v xml:space="preserve">Bho (1N) + Bhim + Bhoj + San - Ujj (1N) - Omk - Mah (1N) - Idr (1N) </v>
      </c>
      <c r="DT321" t="str">
        <v>Ex Gwl | Gwl - Hjr (1N) - Orc (1N) - Dat - Son - Gwl (2N)</v>
      </c>
      <c r="DU321" t="str">
        <v>Ex Gwl | Gwl - Orc (1N) - Hjr (1N) - Chn (1N) - Shiv (1N) - Gwl</v>
      </c>
      <c r="DV321" t="str">
        <v>Gwl - Hjr (1N) - Panna (1N) - Chit (1N) - Mahi (1N) - Sat</v>
      </c>
      <c r="DW321" t="str">
        <v>Jlr - (2 N) Kan - (2 N) Pch - Bhim - Bhoj - Bhp</v>
      </c>
      <c r="DX321" t="str">
        <v>Jlr - (2 N) Kan - (2 N) Pen - Rpr</v>
      </c>
      <c r="DY321" t="str">
        <v>Gwl (2N) (Ex Mor) - Dat -Orc (1N) - Hjr (1N) - Jhn</v>
      </c>
      <c r="DZ321" t="str">
        <v>Ex Gwl | Gwl (1N) - Son - Dat - Orc (1N) - Hjr (2N) (Ex Panna) - Gwl</v>
      </c>
      <c r="EA321" t="str">
        <v>Hjr (1N) - Orc (1N) - Dat - son - Gwl (2N)(Ex Mor)</v>
      </c>
      <c r="EB321" t="str">
        <v>(2 N) Gwl - (1 N) Orch - (1 N) Hjr</v>
      </c>
      <c r="EC321" t="str">
        <v>Ex Bhp | Bhp - Bhoj - Bhim - Pch (2N) - Mad (1N) - Tawa (1N) - Bhp</v>
      </c>
      <c r="ED321" t="str">
        <v>Ex Bhp | Bhp - Bhoj - Bhim - Pch (2N) - Mad (2N) - Bhp</v>
      </c>
      <c r="EE321" t="str">
        <v>Ex Idr | Idr - Ujj (1N) - Omk (1N) - Mah (2N) (Ex Man) - Idr (HDCT)</v>
      </c>
      <c r="EF321" t="str">
        <v>Arr Rpr - Amr (2N) - Par (2N) - IXD</v>
      </c>
      <c r="EG321" t="str">
        <v>1N Gwl - Orc - 2N Hjr - Jhn - 1N Gwl</v>
      </c>
      <c r="EH321" t="str">
        <v>1N Orc - 1N Hjr - 2N Gwl Ex Mor</v>
      </c>
      <c r="EI321" t="str">
        <v>1N Idr - Omk - 1N Mah - 1N Ujj - Seh - 1N Bho</v>
      </c>
      <c r="EJ321" t="str">
        <v>Ex Idr I 1N Idr - 1N Ujj - Omk - 2N Mah - Man - Idr</v>
      </c>
    </row>
    <row r="322" spans="2:145" ht="15" customHeight="1">
      <c r="B322" s="35">
        <v>318</v>
      </c>
      <c r="C322" s="36" t="s">
        <v>2106</v>
      </c>
      <c r="D322" s="76">
        <v>46258</v>
      </c>
      <c r="E322" s="37" t="str">
        <f>IF(Table5[[#This Row],[Query Date]]&lt;&gt;"", TEXT(Table5[[#This Row],[Query Date]], "dddd"), "")</f>
        <v>Monday</v>
      </c>
      <c r="F322" s="37" t="str">
        <f>IF(Table5[[#This Row],[Query Date]]&lt;&gt;"", TEXT(Table5[[#This Row],[Query Date]], "mmmm"), "")</f>
        <v>August</v>
      </c>
      <c r="G322" s="28" t="s">
        <v>113</v>
      </c>
      <c r="H322" s="28" t="s">
        <v>66</v>
      </c>
      <c r="I322" s="28" t="s">
        <v>67</v>
      </c>
      <c r="J322" s="28" t="s">
        <v>68</v>
      </c>
      <c r="K322" s="28" t="s">
        <v>69</v>
      </c>
      <c r="L322" s="25" t="s">
        <v>160</v>
      </c>
      <c r="M322" s="112" t="s">
        <v>90</v>
      </c>
      <c r="N322" s="25" t="s">
        <v>2107</v>
      </c>
      <c r="O322" s="130" t="s">
        <v>2108</v>
      </c>
      <c r="P322" s="31" t="s">
        <v>1638</v>
      </c>
      <c r="Q322" s="77">
        <v>46304</v>
      </c>
      <c r="R322" s="77" t="str">
        <f>IF(Table5[[#This Row],[Tour Starting Date]]&lt;&gt;"", TEXT(Table5[[#This Row],[Tour Starting Date]], "dddd"), "")</f>
        <v>Friday</v>
      </c>
      <c r="S322" s="77">
        <v>46312</v>
      </c>
      <c r="T322" s="25" t="str">
        <f>IF(Table5[[#This Row],[Tour Ending Date]]&lt;&gt;"", TEXT(Table5[[#This Row],[Tour Ending Date]], "dddd"), "")</f>
        <v>Saturday</v>
      </c>
      <c r="U32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8 Nights &amp; 9 Days</v>
      </c>
      <c r="V322" s="37" t="str">
        <f>IF(Table5[[#This Row],[Tour Starting Date]]&lt;&gt;"", TEXT(Table5[[#This Row],[Tour Starting Date]], "mmmm"), "")</f>
        <v>October</v>
      </c>
      <c r="W322" s="80" t="str" cm="1">
        <f t="array" ref="W322">IF(Q322&lt;&gt;"", INDEX(CI:CI, MATCH(1, (Q322&gt;=CG:CG)*(Q322&lt;=CH:CH), 0)), "")</f>
        <v>Regular Dates - Weekend</v>
      </c>
      <c r="X322" s="39">
        <v>3</v>
      </c>
      <c r="Y322" s="74">
        <v>43500</v>
      </c>
      <c r="Z322" s="74">
        <f>IF(OR(Table5[[#This Row],[Per Person Package Cost]]="", Table5[[#This Row],[No. of Pax]]=""), "", Table5[[#This Row],[Per Person Package Cost]] * Table5[[#This Row],[No. of Pax]])</f>
        <v>130500</v>
      </c>
      <c r="AA322" s="52" t="s">
        <v>509</v>
      </c>
      <c r="AB322" s="52" t="s">
        <v>133</v>
      </c>
      <c r="AC322" s="52" t="s">
        <v>76</v>
      </c>
      <c r="AD322" s="52" t="s">
        <v>320</v>
      </c>
      <c r="AE322" s="51" t="str">
        <f t="shared" si="37"/>
        <v>EXGWL11</v>
      </c>
      <c r="AF322" s="51" t="str">
        <f t="shared" si="38"/>
        <v>Heritage, Tigers &amp; Marble Majesty</v>
      </c>
      <c r="AG322" s="74" t="str">
        <f t="shared" si="39"/>
        <v>Quick Getaways</v>
      </c>
      <c r="AH322" s="73" t="str">
        <f t="shared" si="43"/>
        <v>North + East MP</v>
      </c>
      <c r="AI322" s="52" t="s">
        <v>159</v>
      </c>
      <c r="AJ322" s="56" t="s">
        <v>115</v>
      </c>
      <c r="AK322" s="59" t="s">
        <v>79</v>
      </c>
      <c r="AL322" s="60" t="s">
        <v>80</v>
      </c>
      <c r="AM322" s="54" t="s">
        <v>80</v>
      </c>
      <c r="AN322" s="14">
        <v>46261</v>
      </c>
      <c r="AO322" s="15"/>
      <c r="AP322" s="91"/>
      <c r="AQ322" s="87"/>
      <c r="AR322" s="26"/>
      <c r="AS322" s="65"/>
      <c r="AT322" s="88" t="s">
        <v>138</v>
      </c>
      <c r="AU322" s="67"/>
      <c r="CN322" t="s">
        <v>2109</v>
      </c>
      <c r="DA322" t="str" cm="1">
        <f t="array" ref="DA322:DC322">IF(U322&lt;&gt;"", TRANSPOSE(_xlfn._xlws.FILTER(CZ:CZ, CY:CY=U322, "")), "")</f>
        <v>Gwl (1N) - Dat - Orc (1N) - Hjr (1N) - San - Bho (2N) + Bhim + Bhoj - Ujj (1N) - Omk - Mah (1N) - Man (1N) - Idr</v>
      </c>
      <c r="DB322" t="str">
        <v>Bho - Bhoj - Bhim - Mad (1N) - Pen (1N) - Kan (2N) - Ban (2N) - Pan (1N) - Gwl (1N)</v>
      </c>
      <c r="DC322" t="str">
        <v>(1 N) Ujj - (2 N) Mah - (1 N) Idr - (1 N) Bho - (2 N) Pach - (1 N) Pench</v>
      </c>
    </row>
    <row r="323" spans="2:145" ht="15" customHeight="1">
      <c r="B323" s="34">
        <v>319</v>
      </c>
      <c r="C323" s="36" t="s">
        <v>2110</v>
      </c>
      <c r="D323" s="76">
        <v>46258</v>
      </c>
      <c r="E323" s="37" t="str">
        <f>IF(Table5[[#This Row],[Query Date]]&lt;&gt;"", TEXT(Table5[[#This Row],[Query Date]], "dddd"), "")</f>
        <v>Monday</v>
      </c>
      <c r="F323" s="37" t="str">
        <f>IF(Table5[[#This Row],[Query Date]]&lt;&gt;"", TEXT(Table5[[#This Row],[Query Date]], "mmmm"), "")</f>
        <v>August</v>
      </c>
      <c r="G323" s="28" t="s">
        <v>113</v>
      </c>
      <c r="H323" s="28" t="s">
        <v>99</v>
      </c>
      <c r="I323" s="28" t="s">
        <v>67</v>
      </c>
      <c r="J323" s="28" t="s">
        <v>68</v>
      </c>
      <c r="K323" s="28" t="s">
        <v>246</v>
      </c>
      <c r="L323" s="25" t="s">
        <v>160</v>
      </c>
      <c r="M323" s="112" t="s">
        <v>90</v>
      </c>
      <c r="N323" s="25" t="s">
        <v>2111</v>
      </c>
      <c r="O323" s="130" t="s">
        <v>2112</v>
      </c>
      <c r="P323" s="31" t="s">
        <v>1638</v>
      </c>
      <c r="Q323" s="77">
        <v>46306</v>
      </c>
      <c r="R323" s="77" t="str">
        <f>IF(Table5[[#This Row],[Tour Starting Date]]&lt;&gt;"", TEXT(Table5[[#This Row],[Tour Starting Date]], "dddd"), "")</f>
        <v>Sunday</v>
      </c>
      <c r="S323" s="77">
        <v>46315</v>
      </c>
      <c r="T323" s="25" t="str">
        <f>IF(Table5[[#This Row],[Tour Ending Date]]&lt;&gt;"", TEXT(Table5[[#This Row],[Tour Ending Date]], "dddd"), "")</f>
        <v>Tuesday</v>
      </c>
      <c r="U32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9 Nights &amp; 10 Days</v>
      </c>
      <c r="V323" s="37" t="str">
        <f>IF(Table5[[#This Row],[Tour Starting Date]]&lt;&gt;"", TEXT(Table5[[#This Row],[Tour Starting Date]], "mmmm"), "")</f>
        <v>October</v>
      </c>
      <c r="W323" s="80" t="str" cm="1">
        <f t="array" ref="W323">IF(Q323&lt;&gt;"", INDEX(CI:CI, MATCH(1, (Q323&gt;=CG:CG)*(Q323&lt;=CH:CH), 0)), "")</f>
        <v>Regular Dates - Weekend</v>
      </c>
      <c r="X323" s="39">
        <v>5</v>
      </c>
      <c r="Y323" s="74">
        <v>12800</v>
      </c>
      <c r="Z323" s="74">
        <f>IF(OR(Table5[[#This Row],[Per Person Package Cost]]="", Table5[[#This Row],[No. of Pax]]=""), "", Table5[[#This Row],[Per Person Package Cost]] * Table5[[#This Row],[No. of Pax]])</f>
        <v>64000</v>
      </c>
      <c r="AA323" s="52" t="s">
        <v>400</v>
      </c>
      <c r="AB323" s="52" t="s">
        <v>75</v>
      </c>
      <c r="AC323" s="52" t="s">
        <v>76</v>
      </c>
      <c r="AD323" s="52" t="s">
        <v>158</v>
      </c>
      <c r="AE323" s="51" t="str">
        <f t="shared" si="37"/>
        <v>EXIDR07</v>
      </c>
      <c r="AF323" s="51" t="str">
        <f t="shared" si="38"/>
        <v>Heritage Trails &amp; Sacred Wonders</v>
      </c>
      <c r="AG323" s="74" t="str">
        <f t="shared" si="39"/>
        <v>Quick Getaways</v>
      </c>
      <c r="AH323" s="73" t="str">
        <f t="shared" si="43"/>
        <v>West MP</v>
      </c>
      <c r="AI323" s="52" t="s">
        <v>107</v>
      </c>
      <c r="AJ323" s="56" t="s">
        <v>115</v>
      </c>
      <c r="AK323" s="59" t="s">
        <v>79</v>
      </c>
      <c r="AL323" s="60" t="s">
        <v>80</v>
      </c>
      <c r="AM323" s="54" t="s">
        <v>80</v>
      </c>
      <c r="AN323" s="14">
        <v>46261</v>
      </c>
      <c r="AO323" s="15"/>
      <c r="AP323" s="91"/>
      <c r="AQ323" s="87"/>
      <c r="AR323" s="26"/>
      <c r="AS323" s="65"/>
      <c r="AT323" s="88" t="s">
        <v>138</v>
      </c>
      <c r="AU323" s="67"/>
      <c r="CN323" t="s">
        <v>2113</v>
      </c>
      <c r="DA323" t="str" cm="1">
        <f t="array" ref="DA323:DB323">IF(U323&lt;&gt;"", TRANSPOSE(_xlfn._xlws.FILTER(CZ:CZ, CY:CY=U323, "")), "")</f>
        <v>(2 N) Idr (Ex Ujj) - Omk - (1 N) Mah (1 N) Man  - (1 N) Bho - San - Bhim - (1 N) Tawa - (1 N) Madhai - (2 N) Pach - Bho</v>
      </c>
      <c r="DB323" t="str">
        <v>(1 N) Gwl - (2 N) Chan - Orc -(1 N)  Hjr - (1 N) Ban - (1 N) Jlr - (2 N) Pach - Bhim - San - (1 N) Bho</v>
      </c>
    </row>
    <row r="324" spans="2:145" ht="15" customHeight="1">
      <c r="B324" s="35">
        <v>320</v>
      </c>
      <c r="C324" s="36" t="s">
        <v>2114</v>
      </c>
      <c r="D324" s="76">
        <v>46258</v>
      </c>
      <c r="E324" s="37" t="str">
        <f>IF(Table5[[#This Row],[Query Date]]&lt;&gt;"", TEXT(Table5[[#This Row],[Query Date]], "dddd"), "")</f>
        <v>Monday</v>
      </c>
      <c r="F324" s="37" t="str">
        <f>IF(Table5[[#This Row],[Query Date]]&lt;&gt;"", TEXT(Table5[[#This Row],[Query Date]], "mmmm"), "")</f>
        <v>August</v>
      </c>
      <c r="G324" s="28" t="s">
        <v>113</v>
      </c>
      <c r="H324" s="28" t="s">
        <v>99</v>
      </c>
      <c r="I324" s="28" t="s">
        <v>67</v>
      </c>
      <c r="J324" s="28" t="s">
        <v>68</v>
      </c>
      <c r="K324" s="28" t="s">
        <v>246</v>
      </c>
      <c r="L324" s="25" t="s">
        <v>160</v>
      </c>
      <c r="M324" s="112" t="s">
        <v>90</v>
      </c>
      <c r="N324" s="25" t="s">
        <v>2115</v>
      </c>
      <c r="O324" s="130" t="s">
        <v>2116</v>
      </c>
      <c r="P324" s="46" t="s">
        <v>1638</v>
      </c>
      <c r="Q324" s="77">
        <v>46361</v>
      </c>
      <c r="R324" s="77" t="str">
        <f>IF(Table5[[#This Row],[Tour Starting Date]]&lt;&gt;"", TEXT(Table5[[#This Row],[Tour Starting Date]], "dddd"), "")</f>
        <v>Saturday</v>
      </c>
      <c r="S324" s="77">
        <v>46375</v>
      </c>
      <c r="T324" s="25" t="str">
        <f>IF(Table5[[#This Row],[Tour Ending Date]]&lt;&gt;"", TEXT(Table5[[#This Row],[Tour Ending Date]], "dddd"), "")</f>
        <v>Saturday</v>
      </c>
      <c r="U32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14 Nights &amp; 15 Days</v>
      </c>
      <c r="V324" s="37" t="str">
        <f>IF(Table5[[#This Row],[Tour Starting Date]]&lt;&gt;"", TEXT(Table5[[#This Row],[Tour Starting Date]], "mmmm"), "")</f>
        <v>December</v>
      </c>
      <c r="W324" s="80" t="str" cm="1">
        <f t="array" ref="W324">IF(Q324&lt;&gt;"", INDEX(CI:CI, MATCH(1, (Q324&gt;=CG:CG)*(Q324&lt;=CH:CH), 0)), "")</f>
        <v>Regular Dates - Weekend</v>
      </c>
      <c r="X324" s="39">
        <v>5</v>
      </c>
      <c r="Y324" s="74">
        <v>51700</v>
      </c>
      <c r="Z324" s="74">
        <f>IF(OR(Table5[[#This Row],[Per Person Package Cost]]="", Table5[[#This Row],[No. of Pax]]=""), "", Table5[[#This Row],[Per Person Package Cost]] * Table5[[#This Row],[No. of Pax]])</f>
        <v>258500</v>
      </c>
      <c r="AA324" s="52" t="s">
        <v>2117</v>
      </c>
      <c r="AB324" s="52" t="s">
        <v>75</v>
      </c>
      <c r="AC324" s="52" t="s">
        <v>76</v>
      </c>
      <c r="AD324" s="52" t="s">
        <v>769</v>
      </c>
      <c r="AE324" s="51" t="str">
        <f t="shared" si="37"/>
        <v>EMPSPR04</v>
      </c>
      <c r="AF324" s="51" t="str">
        <f t="shared" si="38"/>
        <v>Madhya Pradesh Temple Trail</v>
      </c>
      <c r="AG324" s="74" t="str">
        <f t="shared" si="39"/>
        <v>Special Interest - Spiritual Tours</v>
      </c>
      <c r="AH324" s="73" t="str">
        <f t="shared" si="43"/>
        <v>North + East + South MP</v>
      </c>
      <c r="AI324" s="52" t="s">
        <v>159</v>
      </c>
      <c r="AJ324" s="56" t="s">
        <v>115</v>
      </c>
      <c r="AK324" s="59" t="s">
        <v>79</v>
      </c>
      <c r="AL324" s="60" t="s">
        <v>80</v>
      </c>
      <c r="AM324" s="54" t="s">
        <v>80</v>
      </c>
      <c r="AN324" s="14">
        <v>46261</v>
      </c>
      <c r="AO324" s="15"/>
      <c r="AP324" s="91"/>
      <c r="AQ324" s="87"/>
      <c r="AR324" s="26"/>
      <c r="AS324" s="65"/>
      <c r="AT324" s="88" t="s">
        <v>138</v>
      </c>
      <c r="AU324" s="67"/>
      <c r="CN324" t="s">
        <v>2118</v>
      </c>
      <c r="DA324" t="str" cm="1">
        <f t="array" ref="DA324">IF(U324&lt;&gt;"", TRANSPOSE(_xlfn._xlws.FILTER(CZ:CZ, CY:CY=U324, "")), "")</f>
        <v/>
      </c>
    </row>
    <row r="325" spans="2:145" ht="15" customHeight="1">
      <c r="B325" s="34">
        <v>321</v>
      </c>
      <c r="C325" s="36" t="s">
        <v>2119</v>
      </c>
      <c r="D325" s="76">
        <v>46261</v>
      </c>
      <c r="E325" s="37" t="str">
        <f>IF(Table5[[#This Row],[Query Date]]&lt;&gt;"", TEXT(Table5[[#This Row],[Query Date]], "dddd"), "")</f>
        <v>Thursday</v>
      </c>
      <c r="F325" s="37" t="str">
        <f>IF(Table5[[#This Row],[Query Date]]&lt;&gt;"", TEXT(Table5[[#This Row],[Query Date]], "mmmm"), "")</f>
        <v>August</v>
      </c>
      <c r="G325" s="28" t="s">
        <v>113</v>
      </c>
      <c r="H325" s="28" t="s">
        <v>99</v>
      </c>
      <c r="I325" s="28" t="s">
        <v>67</v>
      </c>
      <c r="J325" s="28" t="s">
        <v>68</v>
      </c>
      <c r="K325" s="28" t="s">
        <v>246</v>
      </c>
      <c r="L325" s="25" t="s">
        <v>160</v>
      </c>
      <c r="M325" s="112" t="s">
        <v>90</v>
      </c>
      <c r="N325" s="25" t="s">
        <v>2120</v>
      </c>
      <c r="O325" s="130" t="s">
        <v>2121</v>
      </c>
      <c r="P325" s="31" t="s">
        <v>1638</v>
      </c>
      <c r="Q325" s="77">
        <v>46299</v>
      </c>
      <c r="R325" s="77" t="str">
        <f>IF(Table5[[#This Row],[Tour Starting Date]]&lt;&gt;"", TEXT(Table5[[#This Row],[Tour Starting Date]], "dddd"), "")</f>
        <v>Sunday</v>
      </c>
      <c r="S325" s="77">
        <v>46309</v>
      </c>
      <c r="T325" s="25" t="str">
        <f>IF(Table5[[#This Row],[Tour Ending Date]]&lt;&gt;"", TEXT(Table5[[#This Row],[Tour Ending Date]], "dddd"), "")</f>
        <v>Wednesday</v>
      </c>
      <c r="U32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10 Nights &amp; 11 Days</v>
      </c>
      <c r="V325" s="37" t="str">
        <f>IF(Table5[[#This Row],[Tour Starting Date]]&lt;&gt;"", TEXT(Table5[[#This Row],[Tour Starting Date]], "mmmm"), "")</f>
        <v>October</v>
      </c>
      <c r="W325" s="80" t="str" cm="1">
        <f t="array" ref="W325">IF(Q325&lt;&gt;"", INDEX(CI:CI, MATCH(1, (Q325&gt;=CG:CG)*(Q325&lt;=CH:CH), 0)), "")</f>
        <v>Long Weekend - Gandhi Jayanti</v>
      </c>
      <c r="X325" s="39">
        <v>3</v>
      </c>
      <c r="Y325" s="74">
        <v>50200</v>
      </c>
      <c r="Z325" s="74">
        <f>IF(OR(Table5[[#This Row],[Per Person Package Cost]]="", Table5[[#This Row],[No. of Pax]]=""), "", Table5[[#This Row],[Per Person Package Cost]] * Table5[[#This Row],[No. of Pax]])</f>
        <v>150600</v>
      </c>
      <c r="AA325" s="52" t="s">
        <v>520</v>
      </c>
      <c r="AB325" s="52" t="s">
        <v>1998</v>
      </c>
      <c r="AC325" s="52" t="s">
        <v>134</v>
      </c>
      <c r="AD325" s="52" t="s">
        <v>510</v>
      </c>
      <c r="AE325" s="51" t="str">
        <f t="shared" ref="AE325:AE388" si="45">IF(AD325&lt;&gt;"", INDEX(CW:CW, MATCH(AD325, CZ:CZ, 0)), "")</f>
        <v>EMPRT01</v>
      </c>
      <c r="AF325" s="51" t="str">
        <f t="shared" ref="AF325:AF388" si="46">IF(AD325&lt;&gt;"", INDEX(CX:CX, MATCH(AD325, CZ:CZ, 0)), "")</f>
        <v>Ancient Madhya Pradesh</v>
      </c>
      <c r="AG325" s="74" t="str">
        <f t="shared" ref="AG325:AG388" si="47">IF(AE325&lt;&gt;"", INDEX(CU:CU, MATCH(AE325, CW:CW, 0)), "")</f>
        <v>Regular Tours</v>
      </c>
      <c r="AH325" s="73" t="str">
        <f t="shared" si="43"/>
        <v>North + South + West MP</v>
      </c>
      <c r="AI325" s="52" t="s">
        <v>159</v>
      </c>
      <c r="AJ325" s="56" t="s">
        <v>115</v>
      </c>
      <c r="AK325" s="59" t="s">
        <v>79</v>
      </c>
      <c r="AL325" s="60" t="s">
        <v>80</v>
      </c>
      <c r="AM325" s="54" t="s">
        <v>80</v>
      </c>
      <c r="AN325" s="14">
        <v>46263</v>
      </c>
      <c r="AO325" s="15"/>
      <c r="AP325" s="91"/>
      <c r="AQ325" s="87"/>
      <c r="AR325" s="26"/>
      <c r="AS325" s="65"/>
      <c r="AT325" s="88" t="s">
        <v>138</v>
      </c>
      <c r="AU325" s="67"/>
      <c r="CN325" t="s">
        <v>2122</v>
      </c>
      <c r="DA325" t="str" cm="1">
        <f t="array" ref="DA325:DC325">IF(U325&lt;&gt;"", TRANSPOSE(_xlfn._xlws.FILTER(CZ:CZ, CY:CY=U325, "")), "")</f>
        <v>Gwl (2N) + Mor - Son - Dat - Orc (1N) - Hjr (1N) - San - Bho (2N) + Bhim + Bhoj - Ujj (1N) - Omk - Mah (1N) - Man (1N) - Idr (1N)</v>
      </c>
      <c r="DB325" t="str">
        <v>Gwl (1N) - Dat (Pitambara Peeth) - Orc (1N) - Ckt (1N) - Myr (1N) - Amk (2N) - Jlr (1N) - Bhoj - Bho (1N) - Ujj (1N)- Omk - Mah (1N) - Idr</v>
      </c>
      <c r="DC325" t="str">
        <v>2N Pen - 2N Kan - 2N Ban - 2N Pan - 2N Hjr</v>
      </c>
    </row>
    <row r="326" spans="2:145" ht="15" customHeight="1">
      <c r="B326" s="35">
        <v>322</v>
      </c>
      <c r="C326" s="36" t="s">
        <v>2123</v>
      </c>
      <c r="D326" s="76">
        <v>46260</v>
      </c>
      <c r="E326" s="37" t="str">
        <f>IF(Table5[[#This Row],[Query Date]]&lt;&gt;"", TEXT(Table5[[#This Row],[Query Date]], "dddd"), "")</f>
        <v>Wednesday</v>
      </c>
      <c r="F326" s="37" t="str">
        <f>IF(Table5[[#This Row],[Query Date]]&lt;&gt;"", TEXT(Table5[[#This Row],[Query Date]], "mmmm"), "")</f>
        <v>August</v>
      </c>
      <c r="G326" s="28" t="s">
        <v>65</v>
      </c>
      <c r="H326" s="28" t="s">
        <v>99</v>
      </c>
      <c r="I326" s="28" t="s">
        <v>100</v>
      </c>
      <c r="J326" s="28" t="s">
        <v>68</v>
      </c>
      <c r="K326" s="28" t="s">
        <v>178</v>
      </c>
      <c r="L326" s="25" t="s">
        <v>70</v>
      </c>
      <c r="M326" s="112" t="s">
        <v>454</v>
      </c>
      <c r="N326" s="45" t="s">
        <v>455</v>
      </c>
      <c r="O326" s="130">
        <v>8150899970</v>
      </c>
      <c r="P326" s="31" t="s">
        <v>457</v>
      </c>
      <c r="Q326" s="77">
        <v>46354</v>
      </c>
      <c r="R326" s="77" t="str">
        <f>IF(Table5[[#This Row],[Tour Starting Date]]&lt;&gt;"", TEXT(Table5[[#This Row],[Tour Starting Date]], "dddd"), "")</f>
        <v>Saturday</v>
      </c>
      <c r="S326" s="77">
        <v>46359</v>
      </c>
      <c r="T326" s="25" t="str">
        <f>IF(Table5[[#This Row],[Tour Ending Date]]&lt;&gt;"", TEXT(Table5[[#This Row],[Tour Ending Date]], "dddd"), "")</f>
        <v>Thursday</v>
      </c>
      <c r="U32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5 Nights &amp; 6 Days</v>
      </c>
      <c r="V326" s="37" t="str">
        <f>IF(Table5[[#This Row],[Tour Starting Date]]&lt;&gt;"", TEXT(Table5[[#This Row],[Tour Starting Date]], "mmmm"), "")</f>
        <v>November</v>
      </c>
      <c r="W326" s="80" t="str" cm="1">
        <f t="array" ref="W326">IF(Q326&lt;&gt;"", INDEX(CI:CI, MATCH(1, (Q326&gt;=CG:CG)*(Q326&lt;=CH:CH), 0)), "")</f>
        <v>Regular Dates - Weekend</v>
      </c>
      <c r="X326" s="39">
        <v>20</v>
      </c>
      <c r="Y326" s="74">
        <v>15500</v>
      </c>
      <c r="Z326" s="74">
        <f>IF(OR(Table5[[#This Row],[Per Person Package Cost]]="", Table5[[#This Row],[No. of Pax]]=""), "", Table5[[#This Row],[Per Person Package Cost]] * Table5[[#This Row],[No. of Pax]])</f>
        <v>310000</v>
      </c>
      <c r="AA326" s="52" t="s">
        <v>75</v>
      </c>
      <c r="AB326" s="52" t="s">
        <v>75</v>
      </c>
      <c r="AC326" s="52" t="s">
        <v>76</v>
      </c>
      <c r="AD326" s="52" t="s">
        <v>1354</v>
      </c>
      <c r="AE326" s="51" t="str">
        <f t="shared" si="45"/>
        <v>EMPWOM04</v>
      </c>
      <c r="AF326" s="51" t="str">
        <f t="shared" si="46"/>
        <v>Sacred Heritage &amp; Timeless Treasures</v>
      </c>
      <c r="AG326" s="74" t="str">
        <f t="shared" si="47"/>
        <v>Women Exclusive Tours</v>
      </c>
      <c r="AH326" s="73" t="str">
        <f t="shared" si="43"/>
        <v>South + West MP</v>
      </c>
      <c r="AI326" s="52" t="s">
        <v>159</v>
      </c>
      <c r="AJ326" s="56" t="s">
        <v>78</v>
      </c>
      <c r="AK326" s="59" t="s">
        <v>79</v>
      </c>
      <c r="AL326" s="60" t="s">
        <v>80</v>
      </c>
      <c r="AM326" s="54" t="s">
        <v>80</v>
      </c>
      <c r="AN326" s="14">
        <v>46263</v>
      </c>
      <c r="AO326" s="15">
        <v>46268</v>
      </c>
      <c r="AP326" s="91">
        <v>46277</v>
      </c>
      <c r="AQ326" s="87"/>
      <c r="AR326" s="26"/>
      <c r="AS326" s="65"/>
      <c r="AT326" s="88" t="s">
        <v>138</v>
      </c>
      <c r="AU326" s="67"/>
      <c r="CN326" t="s">
        <v>571</v>
      </c>
      <c r="DA326" t="str" cm="1">
        <f t="array" ref="DA326:DW326">IF(U326&lt;&gt;"", TRANSPOSE(_xlfn._xlws.FILTER(CZ:CZ, CY:CY=U326, "")), "")</f>
        <v>Gwl (2N) + Mor - Son - Dat - Orc (1N) - Hjr (2N) + Panna</v>
      </c>
      <c r="DB326" t="str">
        <v>Ex Gwl | Gwl (2N) + Mor - Shiv - Chan (2N) - Orc (1N) - Dat - Son - Gwl</v>
      </c>
      <c r="DC326" t="str">
        <v>Gwl (2N) + Mor - Son - Dat - Orc (1N) - Hjr (1N) - Jlr (1N)</v>
      </c>
      <c r="DD326" t="str">
        <v>Ex Idr | Idr - Ujj (1N) - Omk (1N) - Mah (1N) - Man (1N) - Idr (1N)</v>
      </c>
      <c r="DE326" t="str">
        <v>Bhp (1N) + Bhim + Bhoj + San - Ujj (1N) - Man (2N) - Mah - Omk (1N) - Idr</v>
      </c>
      <c r="DF326" t="str">
        <v>Jlr (1N) - Hjr (1N) - Orc (1N) - Dat - Son - Gwl (2N) + Mor</v>
      </c>
      <c r="DG326" t="str">
        <v>Jlr (1N) - Kan (1N) - Pch (2N) - Bhim - Bhoj - Bho (1N) + Sanchi</v>
      </c>
      <c r="DH326" t="str">
        <v>Ex Bho | Bho (1N) + San - Bhoj - Bhim - Tawa (1N) - Mad (1N) - Pch (2N) - Bho</v>
      </c>
      <c r="DI326" t="str">
        <v>Bho (1N) + San + Udaygiri - Bhoj - Bhim - Pch (2N) - Kan(1N) - Jlr (1N)</v>
      </c>
      <c r="DJ326" t="str">
        <v>Bho (1N) + Bhim + Bhoj - San - Ujj (1N) - Man (2N) - Mah - Omk (1N) - Idr</v>
      </c>
      <c r="DK326" t="str">
        <v>Idr - Man (2N) - Idr (1N) - Bho (2N) + Bhim + Bhoj + Sanchi</v>
      </c>
      <c r="DL326" t="str">
        <v>Ex Bho | Bho (2N) + San + Udaygiri - Bhoj - Bhim - Pch (2N) - Tawa (1N) - Bho</v>
      </c>
      <c r="DM326" t="str">
        <v>Rpr - Kan (2N) - Pen (1N) - Pch (2N) - Bho</v>
      </c>
      <c r="DN326" t="str">
        <v>Nag - Pen (2N) - Pch (2N) - Bhim - Bhoj - Bho (1N) + San</v>
      </c>
      <c r="DO326" t="str">
        <v>Gwl (2N) (Ex Mor) - Orc (1N) - Chn (1N) - Shiv (1N) - Jhn</v>
      </c>
      <c r="DP326" t="str">
        <v>Gwl (2N) (Ex Mor) - Dat - Orc (1N) - Chn (1N) - Shiv (1N) - Jhn</v>
      </c>
      <c r="DQ326" t="str">
        <v>Nag - Pen (2N) - Kan (2N) - Jlr (1N)</v>
      </c>
      <c r="DR326" t="str">
        <v>Rpr - (2 N) Amr - (1 N) Ban - (1 N) Hjr - (1 N) Jlr</v>
      </c>
      <c r="DS326" t="str">
        <v>Gwl (2N) (Ex Mor) -Orc  - Hjr (1N) - Chn (1N) - Shiv (1N) - Jhn</v>
      </c>
      <c r="DT326" t="str">
        <v>(2 N) Gwl - (1 N) Orch - (1 N) Hjr - (1 N) Jlr</v>
      </c>
      <c r="DU326" t="str">
        <v xml:space="preserve">Arr Rpr - Amr (2N) - Par (2N) - Jlr (1N) </v>
      </c>
      <c r="DV326" t="str">
        <v>3N Idr (Ex Ujj - Man) - Bhim - Bhoj - San - 2N Bho</v>
      </c>
      <c r="DW326" t="str">
        <v>1N Jlr - 1N Kan - 3N Pch - Ppi</v>
      </c>
    </row>
    <row r="327" spans="2:145" ht="15" customHeight="1">
      <c r="B327" s="34">
        <v>323</v>
      </c>
      <c r="C327" s="36" t="s">
        <v>2124</v>
      </c>
      <c r="D327" s="76">
        <v>46260</v>
      </c>
      <c r="E327" s="37" t="str">
        <f>IF(Table5[[#This Row],[Query Date]]&lt;&gt;"", TEXT(Table5[[#This Row],[Query Date]], "dddd"), "")</f>
        <v>Wednesday</v>
      </c>
      <c r="F327" s="37" t="str">
        <f>IF(Table5[[#This Row],[Query Date]]&lt;&gt;"", TEXT(Table5[[#This Row],[Query Date]], "mmmm"), "")</f>
        <v>August</v>
      </c>
      <c r="G327" s="28" t="s">
        <v>65</v>
      </c>
      <c r="H327" s="28" t="s">
        <v>66</v>
      </c>
      <c r="I327" s="28" t="s">
        <v>100</v>
      </c>
      <c r="J327" s="28" t="s">
        <v>68</v>
      </c>
      <c r="K327" s="28" t="s">
        <v>2125</v>
      </c>
      <c r="L327" s="25" t="s">
        <v>70</v>
      </c>
      <c r="M327" s="112" t="s">
        <v>2126</v>
      </c>
      <c r="N327" s="25" t="s">
        <v>2127</v>
      </c>
      <c r="O327" s="130" t="s">
        <v>2128</v>
      </c>
      <c r="P327" s="106" t="s">
        <v>2129</v>
      </c>
      <c r="Q327" s="77">
        <v>46310</v>
      </c>
      <c r="R327" s="77"/>
      <c r="S327" s="77">
        <v>46315</v>
      </c>
      <c r="T327" s="25"/>
      <c r="U327" s="28"/>
      <c r="V327" s="37" t="str">
        <f>IF(Table5[[#This Row],[Tour Starting Date]]&lt;&gt;"", TEXT(Table5[[#This Row],[Tour Starting Date]], "mmmm"), "")</f>
        <v>October</v>
      </c>
      <c r="W327" s="80" t="str" cm="1">
        <f t="array" ref="W327">IF(Q327&lt;&gt;"", INDEX(CI:CI, MATCH(1, (Q327&gt;=CG:CG)*(Q327&lt;=CH:CH), 0)), "")</f>
        <v>Regular Dates - Weekday</v>
      </c>
      <c r="X327" s="39">
        <v>15</v>
      </c>
      <c r="Y327" s="74">
        <v>52400</v>
      </c>
      <c r="Z327" s="74">
        <f>IF(OR(Table5[[#This Row],[Per Person Package Cost]]="", Table5[[#This Row],[No. of Pax]]=""), "", Table5[[#This Row],[Per Person Package Cost]] * Table5[[#This Row],[No. of Pax]])</f>
        <v>786000</v>
      </c>
      <c r="AA327" s="52" t="s">
        <v>520</v>
      </c>
      <c r="AB327" s="52" t="s">
        <v>75</v>
      </c>
      <c r="AC327" s="52" t="s">
        <v>240</v>
      </c>
      <c r="AD327" s="52" t="s">
        <v>1354</v>
      </c>
      <c r="AE327" s="51" t="str">
        <f t="shared" si="45"/>
        <v>EMPWOM04</v>
      </c>
      <c r="AF327" s="51" t="str">
        <f t="shared" si="46"/>
        <v>Sacred Heritage &amp; Timeless Treasures</v>
      </c>
      <c r="AG327" s="74" t="str">
        <f t="shared" si="47"/>
        <v>Women Exclusive Tours</v>
      </c>
      <c r="AH327" s="73" t="str">
        <f t="shared" si="43"/>
        <v>South + West MP</v>
      </c>
      <c r="AI327" s="52" t="s">
        <v>159</v>
      </c>
      <c r="AJ327" s="56" t="s">
        <v>78</v>
      </c>
      <c r="AK327" s="59" t="s">
        <v>79</v>
      </c>
      <c r="AL327" s="60" t="s">
        <v>80</v>
      </c>
      <c r="AM327" s="54" t="s">
        <v>80</v>
      </c>
      <c r="AN327" s="14">
        <v>46263</v>
      </c>
      <c r="AO327" s="15"/>
      <c r="AP327" s="91"/>
      <c r="AQ327" s="87"/>
      <c r="AR327" s="26"/>
      <c r="AS327" s="65"/>
      <c r="AT327" s="88" t="s">
        <v>138</v>
      </c>
      <c r="AU327" s="67"/>
      <c r="CN327" t="s">
        <v>2130</v>
      </c>
      <c r="DA327" t="str" cm="1">
        <f t="array" ref="DA327">IF(U327&lt;&gt;"", TRANSPOSE(_xlfn._xlws.FILTER(CZ:CZ, CY:CY=U327, "")), "")</f>
        <v/>
      </c>
    </row>
    <row r="328" spans="2:145" ht="15" customHeight="1">
      <c r="B328" s="35">
        <v>324</v>
      </c>
      <c r="C328" s="36" t="s">
        <v>2131</v>
      </c>
      <c r="D328" s="76">
        <v>46260</v>
      </c>
      <c r="E328" s="37" t="str">
        <f>IF(Table5[[#This Row],[Query Date]]&lt;&gt;"", TEXT(Table5[[#This Row],[Query Date]], "dddd"), "")</f>
        <v>Wednesday</v>
      </c>
      <c r="F328" s="37" t="str">
        <f>IF(Table5[[#This Row],[Query Date]]&lt;&gt;"", TEXT(Table5[[#This Row],[Query Date]], "mmmm"), "")</f>
        <v>August</v>
      </c>
      <c r="G328" s="28" t="s">
        <v>65</v>
      </c>
      <c r="H328" s="28" t="s">
        <v>99</v>
      </c>
      <c r="I328" s="28" t="s">
        <v>67</v>
      </c>
      <c r="J328" s="28" t="s">
        <v>145</v>
      </c>
      <c r="K328" s="28" t="s">
        <v>178</v>
      </c>
      <c r="L328" s="25" t="s">
        <v>70</v>
      </c>
      <c r="M328" s="112" t="s">
        <v>417</v>
      </c>
      <c r="N328" s="25" t="s">
        <v>2132</v>
      </c>
      <c r="O328" s="136" t="s">
        <v>1405</v>
      </c>
      <c r="P328" s="46" t="s">
        <v>1406</v>
      </c>
      <c r="Q328" s="77">
        <v>46267</v>
      </c>
      <c r="R328" s="77" t="str">
        <f>IF(Table5[[#This Row],[Tour Starting Date]]&lt;&gt;"", TEXT(Table5[[#This Row],[Tour Starting Date]], "dddd"), "")</f>
        <v>Wednesday</v>
      </c>
      <c r="S328" s="77">
        <v>46268</v>
      </c>
      <c r="T328" s="25" t="str">
        <f>IF(Table5[[#This Row],[Tour Ending Date]]&lt;&gt;"", TEXT(Table5[[#This Row],[Tour Ending Date]], "dddd"), "")</f>
        <v>Thursday</v>
      </c>
      <c r="U32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1 Nights &amp; 2 Days</v>
      </c>
      <c r="V328" s="37" t="str">
        <f>IF(Table5[[#This Row],[Tour Starting Date]]&lt;&gt;"", TEXT(Table5[[#This Row],[Tour Starting Date]], "mmmm"), "")</f>
        <v>September</v>
      </c>
      <c r="W328" s="80" t="str" cm="1">
        <f t="array" ref="W328">IF(Q328&lt;&gt;"", INDEX(CI:CI, MATCH(1, (Q328&gt;=CG:CG)*(Q328&lt;=CH:CH), 0)), "")</f>
        <v>Regular Dates - Weekday</v>
      </c>
      <c r="X328" s="39">
        <v>1</v>
      </c>
      <c r="Y328" s="74">
        <v>13000</v>
      </c>
      <c r="Z328" s="74">
        <f>IF(OR(Table5[[#This Row],[Per Person Package Cost]]="", Table5[[#This Row],[No. of Pax]]=""), "", Table5[[#This Row],[Per Person Package Cost]] * Table5[[#This Row],[No. of Pax]])</f>
        <v>13000</v>
      </c>
      <c r="AA328" s="52" t="s">
        <v>2133</v>
      </c>
      <c r="AB328" s="52" t="s">
        <v>75</v>
      </c>
      <c r="AC328" s="52" t="s">
        <v>76</v>
      </c>
      <c r="AD328" s="52"/>
      <c r="AE328" s="51" t="str">
        <f t="shared" si="45"/>
        <v/>
      </c>
      <c r="AF328" s="51" t="str">
        <f t="shared" si="46"/>
        <v/>
      </c>
      <c r="AG328" s="74" t="str">
        <f t="shared" si="47"/>
        <v/>
      </c>
      <c r="AH328" s="73" t="str">
        <f t="shared" si="43"/>
        <v/>
      </c>
      <c r="AI328" s="52" t="s">
        <v>107</v>
      </c>
      <c r="AJ328" s="56" t="s">
        <v>78</v>
      </c>
      <c r="AK328" s="59" t="s">
        <v>79</v>
      </c>
      <c r="AL328" s="60" t="s">
        <v>80</v>
      </c>
      <c r="AM328" s="54" t="s">
        <v>80</v>
      </c>
      <c r="AN328" s="14"/>
      <c r="AO328" s="15"/>
      <c r="AP328" s="91"/>
      <c r="AQ328" s="87"/>
      <c r="AR328" s="26"/>
      <c r="AS328" s="65"/>
      <c r="AT328" s="88" t="s">
        <v>85</v>
      </c>
      <c r="AU328" s="67"/>
      <c r="CN328" t="s">
        <v>2134</v>
      </c>
      <c r="DA328" t="str" cm="1">
        <f t="array" ref="DA328">IF(U328&lt;&gt;"", TRANSPOSE(_xlfn._xlws.FILTER(CZ:CZ, CY:CY=U328, "")), "")</f>
        <v/>
      </c>
    </row>
    <row r="329" spans="2:145" ht="15" customHeight="1">
      <c r="B329" s="34">
        <v>325</v>
      </c>
      <c r="C329" s="36" t="s">
        <v>2135</v>
      </c>
      <c r="D329" s="76">
        <v>46263</v>
      </c>
      <c r="E329" s="37" t="str">
        <f>IF(Table5[[#This Row],[Query Date]]&lt;&gt;"", TEXT(Table5[[#This Row],[Query Date]], "dddd"), "")</f>
        <v>Saturday</v>
      </c>
      <c r="F329" s="37" t="str">
        <f>IF(Table5[[#This Row],[Query Date]]&lt;&gt;"", TEXT(Table5[[#This Row],[Query Date]], "mmmm"), "")</f>
        <v>August</v>
      </c>
      <c r="G329" s="28" t="s">
        <v>65</v>
      </c>
      <c r="H329" s="28" t="s">
        <v>99</v>
      </c>
      <c r="I329" s="28" t="s">
        <v>67</v>
      </c>
      <c r="J329" s="28" t="s">
        <v>68</v>
      </c>
      <c r="K329" s="28" t="s">
        <v>178</v>
      </c>
      <c r="L329" s="25" t="s">
        <v>70</v>
      </c>
      <c r="M329" s="115" t="s">
        <v>417</v>
      </c>
      <c r="N329" s="25" t="s">
        <v>418</v>
      </c>
      <c r="O329" s="136" t="s">
        <v>419</v>
      </c>
      <c r="P329" s="106" t="s">
        <v>420</v>
      </c>
      <c r="Q329" s="77">
        <v>46275</v>
      </c>
      <c r="R329" s="77" t="str">
        <f>IF(Table5[[#This Row],[Tour Starting Date]]&lt;&gt;"", TEXT(Table5[[#This Row],[Tour Starting Date]], "dddd"), "")</f>
        <v>Thursday</v>
      </c>
      <c r="S329" s="77">
        <v>46278</v>
      </c>
      <c r="T329" s="25" t="str">
        <f>IF(Table5[[#This Row],[Tour Ending Date]]&lt;&gt;"", TEXT(Table5[[#This Row],[Tour Ending Date]], "dddd"), "")</f>
        <v>Sunday</v>
      </c>
      <c r="U32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3 Nights &amp; 4 Days</v>
      </c>
      <c r="V329" s="37" t="str">
        <f>IF(Table5[[#This Row],[Tour Starting Date]]&lt;&gt;"", TEXT(Table5[[#This Row],[Tour Starting Date]], "mmmm"), "")</f>
        <v>September</v>
      </c>
      <c r="W329" s="80" t="str" cm="1">
        <f t="array" ref="W329">IF(Q329&lt;&gt;"", INDEX(CI:CI, MATCH(1, (Q329&gt;=CG:CG)*(Q329&lt;=CH:CH), 0)), "")</f>
        <v>Regular Dates - Weekday</v>
      </c>
      <c r="X329" s="39">
        <v>4</v>
      </c>
      <c r="Y329" s="74">
        <v>11500</v>
      </c>
      <c r="Z329" s="74">
        <f>IF(OR(Table5[[#This Row],[Per Person Package Cost]]="", Table5[[#This Row],[No. of Pax]]=""), "", Table5[[#This Row],[Per Person Package Cost]] * Table5[[#This Row],[No. of Pax]])</f>
        <v>46000</v>
      </c>
      <c r="AA329" s="52" t="s">
        <v>75</v>
      </c>
      <c r="AB329" s="52" t="s">
        <v>75</v>
      </c>
      <c r="AC329" s="52" t="s">
        <v>76</v>
      </c>
      <c r="AD329" s="52" t="s">
        <v>106</v>
      </c>
      <c r="AE329" s="51" t="str">
        <f t="shared" si="45"/>
        <v>EXIDR04</v>
      </c>
      <c r="AF329" s="51" t="str">
        <f t="shared" si="46"/>
        <v>Heritage Pilgrimage</v>
      </c>
      <c r="AG329" s="74" t="str">
        <f t="shared" si="47"/>
        <v>Quick Getaways</v>
      </c>
      <c r="AH329" s="73" t="str">
        <f t="shared" si="43"/>
        <v>West MP</v>
      </c>
      <c r="AI329" s="52" t="s">
        <v>159</v>
      </c>
      <c r="AJ329" s="56" t="s">
        <v>78</v>
      </c>
      <c r="AK329" s="59" t="s">
        <v>79</v>
      </c>
      <c r="AL329" s="60" t="s">
        <v>80</v>
      </c>
      <c r="AM329" s="54" t="s">
        <v>80</v>
      </c>
      <c r="AN329" s="14">
        <v>46265</v>
      </c>
      <c r="AO329" s="15"/>
      <c r="AP329" s="91"/>
      <c r="AQ329" s="87"/>
      <c r="AR329" s="26"/>
      <c r="AS329" s="65"/>
      <c r="AT329" s="88" t="s">
        <v>81</v>
      </c>
      <c r="AU329" s="67" t="s">
        <v>82</v>
      </c>
      <c r="CN329" t="s">
        <v>2136</v>
      </c>
      <c r="DA329" t="str" cm="1">
        <f t="array" ref="DA329:EO329">IF(U329&lt;&gt;"", TRANSPOSE(_xlfn._xlws.FILTER(CZ:CZ, CY:CY=U329, "")), "")</f>
        <v>Gwl (3N) + Mor + Son + Dat + Orc</v>
      </c>
      <c r="DB329" t="str">
        <v>Ex Gwl | Gwl (1N) - Son - Dat - Orc (1N) - Gwl (1N)</v>
      </c>
      <c r="DC329" t="str">
        <v>Ex Idr | Idr - Ujj (1N) - Omk - Mah (1N) - Man (1N) - Idr</v>
      </c>
      <c r="DD329" t="str">
        <v>Ex Jlr | Jlr - Kan (2N) - Jlr (1N)</v>
      </c>
      <c r="DE329" t="str">
        <v>Ex Jlr | Jlr - Ban (2N) - Jlr (1N)</v>
      </c>
      <c r="DF329" t="str">
        <v>Ex Bho | Bho (1N) + San - Bhoj - Bhim - Pch (2N) - Bho</v>
      </c>
      <c r="DG329" t="str">
        <v>Ex Idr | Idr (1N) - Ujj (1N) - Omk (1N) - Mah - Idr</v>
      </c>
      <c r="DH329" t="str">
        <v>Gwl - Orc (1N) - Ckt (1N) - Myr (1N) - Jlr</v>
      </c>
      <c r="DI329" t="str">
        <v>Gwl - Orc (1N) - Ckt (2N) - Ixd</v>
      </c>
      <c r="DJ329" t="str">
        <v>Ex Idr | Idr - Ujj (1N) - Omk - Mah (1N) - Idr (1N)</v>
      </c>
      <c r="DK329" t="str">
        <v>Ex Jlr | Jlr - Kan (3N) - Jlr</v>
      </c>
      <c r="DL329" t="str">
        <v>Ex Bho | Bho (2N) + Bhim + Bhoj + San + Udaygiri + Vidisha + FDCT Bho</v>
      </c>
      <c r="DM329" t="str">
        <v>Bho (1N) + Bhim + Bhoj - HDCT  Bho + Sanchi - Ujj (2N)</v>
      </c>
      <c r="DN329" t="str">
        <v>Bho (1N) + Bhim + Bhoj - HDCT  Bho + Sanchi - Ujj (2N) - Idr</v>
      </c>
      <c r="DO329" t="str">
        <v>Ex Bho | Bho - Bhoj - Bhim - Mad (1N) - Pch (2N) - Bho</v>
      </c>
      <c r="DP329" t="str">
        <v>Ex Bho | Bho - Bhoj - Bhim - Mad (1N) - Pch (3N) - Bho</v>
      </c>
      <c r="DQ329" t="str">
        <v>Ex Bho | Bho - Bhoj - Bhim - Tawa (1N) - Mad (1N) - Bho (1N)</v>
      </c>
      <c r="DR329" t="str">
        <v>Bho (1N) - Bhim - Bhoj - San - Idr (2N) + Ujj</v>
      </c>
      <c r="DS329" t="str">
        <v>Bho (1N) - Bhoj - Bhim - Pch (2N) - Bho</v>
      </c>
      <c r="DT329" t="str">
        <v>Ujj (1N) - Omk - Mah (1N) - Idr (1N)</v>
      </c>
      <c r="DU329" t="str">
        <v>Ujj (1N) - Omk - Mah (1N) - Man (1N) - Idr</v>
      </c>
      <c r="DV329" t="str">
        <v>Ex Idr | Idr (1N) - Ujj (1N) - Omk - Mah (1N)</v>
      </c>
      <c r="DW329" t="str">
        <v>Ex Idr | Idr - Ujj (1N) - Omk (1N) - Mah (1N) - Idr</v>
      </c>
      <c r="DX329" t="str">
        <v>Khandwa - Omk (1N) - Mah (1N) - Ujj (1N) - Idr</v>
      </c>
      <c r="DY329" t="str">
        <v>Ex Idr | Idr - Ujj (1N) - Omk - Mah (1N) - Man - Idr (1N)</v>
      </c>
      <c r="DZ329" t="str">
        <v xml:space="preserve">Idr - Omk (1N) - Mah - Ujj (1N) San - Bho (1N) </v>
      </c>
      <c r="EA329" t="str">
        <v>Ex Idr | Idr - Man (1N) - Mah - Omk (1N) - Ujj (1N) - Idr</v>
      </c>
      <c r="EB329" t="str">
        <v>Khandwa - Omk (1N) - Mah - Ujj (2N)</v>
      </c>
      <c r="EC329" t="str">
        <v>Ex Jlr | Jlr (1N) - Amr (1N) - Ban (1N) - Jlr</v>
      </c>
      <c r="ED329" t="str">
        <v>Ex Jlr | Jlr - (1 N) Ban - (2 N) Amar</v>
      </c>
      <c r="EE329" t="str">
        <v>Jlr - Kan (1N) - Pch (2N)</v>
      </c>
      <c r="EF329" t="str">
        <v>Pi - Pch (2N)  - Kan (1N)</v>
      </c>
      <c r="EG329" t="str">
        <v>Ex Jlr | Jlr - Amr (1 N) - (1 N) Ban - (1 N) Jlr</v>
      </c>
      <c r="EH329" t="str">
        <v>Ppi - (2 N) Pch - (1 N) Pen</v>
      </c>
      <c r="EI329" t="str">
        <v>Bhp - Pch (2N) - Jlr (1N)</v>
      </c>
      <c r="EJ329" t="str">
        <v xml:space="preserve">Arr Jhn - Hjr (1N) - Orc - Gwl (2N) </v>
      </c>
      <c r="EK329" t="str">
        <v>(1 N) Ujj - (1 N) Mah - (1 N) Idr</v>
      </c>
      <c r="EL329" t="str">
        <v>Ex Bhp | Bhp - Bhoj - Bhim - Pch (3N) - Bhp</v>
      </c>
      <c r="EM329" t="str">
        <v>Ex Bhp | Bhp - Bhoj - Bhim - Pch (2N) - Mad (1N) - Bhp</v>
      </c>
      <c r="EN329" t="str">
        <v xml:space="preserve">Ex Nag - 3N Pch + Sat </v>
      </c>
      <c r="EO329" t="str">
        <v>1N Gwl - Son - Dat - 1N Hjr - 1N Orc - Jhn</v>
      </c>
    </row>
    <row r="330" spans="2:145" ht="15" customHeight="1">
      <c r="B330" s="35">
        <v>326</v>
      </c>
      <c r="C330" s="36" t="s">
        <v>2137</v>
      </c>
      <c r="D330" s="76">
        <v>46263</v>
      </c>
      <c r="E330" s="37" t="str">
        <f>IF(Table5[[#This Row],[Query Date]]&lt;&gt;"", TEXT(Table5[[#This Row],[Query Date]], "dddd"), "")</f>
        <v>Saturday</v>
      </c>
      <c r="F330" s="37" t="str">
        <f>IF(Table5[[#This Row],[Query Date]]&lt;&gt;"", TEXT(Table5[[#This Row],[Query Date]], "mmmm"), "")</f>
        <v>August</v>
      </c>
      <c r="G330" s="28" t="s">
        <v>65</v>
      </c>
      <c r="H330" s="28" t="s">
        <v>99</v>
      </c>
      <c r="I330" s="28" t="s">
        <v>67</v>
      </c>
      <c r="J330" s="28" t="s">
        <v>68</v>
      </c>
      <c r="K330" s="28" t="s">
        <v>178</v>
      </c>
      <c r="L330" s="25" t="s">
        <v>70</v>
      </c>
      <c r="M330" s="112" t="s">
        <v>417</v>
      </c>
      <c r="N330" s="45" t="s">
        <v>1382</v>
      </c>
      <c r="O330" s="130" t="s">
        <v>2045</v>
      </c>
      <c r="P330" s="46" t="s">
        <v>1384</v>
      </c>
      <c r="Q330" s="77">
        <v>46284</v>
      </c>
      <c r="R330" s="77" t="str">
        <f>IF(Table5[[#This Row],[Tour Starting Date]]&lt;&gt;"", TEXT(Table5[[#This Row],[Tour Starting Date]], "dddd"), "")</f>
        <v>Saturday</v>
      </c>
      <c r="S330" s="77">
        <v>46287</v>
      </c>
      <c r="T330" s="25" t="str">
        <f>IF(Table5[[#This Row],[Tour Ending Date]]&lt;&gt;"", TEXT(Table5[[#This Row],[Tour Ending Date]], "dddd"), "")</f>
        <v>Tuesday</v>
      </c>
      <c r="U33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3 Nights &amp; 4 Days</v>
      </c>
      <c r="V330" s="37" t="str">
        <f>IF(Table5[[#This Row],[Tour Starting Date]]&lt;&gt;"", TEXT(Table5[[#This Row],[Tour Starting Date]], "mmmm"), "")</f>
        <v>September</v>
      </c>
      <c r="W330" s="80" t="str" cm="1">
        <f t="array" ref="W330">IF(Q330&lt;&gt;"", INDEX(CI:CI, MATCH(1, (Q330&gt;=CG:CG)*(Q330&lt;=CH:CH), 0)), "")</f>
        <v>Regular Dates - Weekend</v>
      </c>
      <c r="X330" s="39">
        <v>2</v>
      </c>
      <c r="Y330" s="74">
        <v>28400</v>
      </c>
      <c r="Z330" s="74">
        <f>IF(OR(Table5[[#This Row],[Per Person Package Cost]]="", Table5[[#This Row],[No. of Pax]]=""), "", Table5[[#This Row],[Per Person Package Cost]] * Table5[[#This Row],[No. of Pax]])</f>
        <v>56800</v>
      </c>
      <c r="AA330" s="52" t="s">
        <v>75</v>
      </c>
      <c r="AB330" s="52" t="s">
        <v>75</v>
      </c>
      <c r="AC330" s="52" t="s">
        <v>134</v>
      </c>
      <c r="AD330" s="52" t="s">
        <v>106</v>
      </c>
      <c r="AE330" s="51" t="str">
        <f t="shared" si="45"/>
        <v>EXIDR04</v>
      </c>
      <c r="AF330" s="51" t="str">
        <f t="shared" si="46"/>
        <v>Heritage Pilgrimage</v>
      </c>
      <c r="AG330" s="74" t="str">
        <f t="shared" si="47"/>
        <v>Quick Getaways</v>
      </c>
      <c r="AH330" s="73" t="str">
        <f t="shared" si="43"/>
        <v>West MP</v>
      </c>
      <c r="AI330" s="52" t="s">
        <v>159</v>
      </c>
      <c r="AJ330" s="56" t="s">
        <v>78</v>
      </c>
      <c r="AK330" s="59" t="s">
        <v>79</v>
      </c>
      <c r="AL330" s="60" t="s">
        <v>80</v>
      </c>
      <c r="AM330" s="54" t="s">
        <v>80</v>
      </c>
      <c r="AN330" s="14">
        <v>46265</v>
      </c>
      <c r="AO330" s="15"/>
      <c r="AP330" s="91"/>
      <c r="AQ330" s="87"/>
      <c r="AR330" s="26"/>
      <c r="AS330" s="65"/>
      <c r="AT330" s="88" t="s">
        <v>138</v>
      </c>
      <c r="AU330" s="67"/>
      <c r="CN330" t="s">
        <v>2138</v>
      </c>
      <c r="DA330" t="str" cm="1">
        <f t="array" ref="DA330:EO330">IF(U330&lt;&gt;"", TRANSPOSE(_xlfn._xlws.FILTER(CZ:CZ, CY:CY=U330, "")), "")</f>
        <v>Gwl (3N) + Mor + Son + Dat + Orc</v>
      </c>
      <c r="DB330" t="str">
        <v>Ex Gwl | Gwl (1N) - Son - Dat - Orc (1N) - Gwl (1N)</v>
      </c>
      <c r="DC330" t="str">
        <v>Ex Idr | Idr - Ujj (1N) - Omk - Mah (1N) - Man (1N) - Idr</v>
      </c>
      <c r="DD330" t="str">
        <v>Ex Jlr | Jlr - Kan (2N) - Jlr (1N)</v>
      </c>
      <c r="DE330" t="str">
        <v>Ex Jlr | Jlr - Ban (2N) - Jlr (1N)</v>
      </c>
      <c r="DF330" t="str">
        <v>Ex Bho | Bho (1N) + San - Bhoj - Bhim - Pch (2N) - Bho</v>
      </c>
      <c r="DG330" t="str">
        <v>Ex Idr | Idr (1N) - Ujj (1N) - Omk (1N) - Mah - Idr</v>
      </c>
      <c r="DH330" t="str">
        <v>Gwl - Orc (1N) - Ckt (1N) - Myr (1N) - Jlr</v>
      </c>
      <c r="DI330" t="str">
        <v>Gwl - Orc (1N) - Ckt (2N) - Ixd</v>
      </c>
      <c r="DJ330" t="str">
        <v>Ex Idr | Idr - Ujj (1N) - Omk - Mah (1N) - Idr (1N)</v>
      </c>
      <c r="DK330" t="str">
        <v>Ex Jlr | Jlr - Kan (3N) - Jlr</v>
      </c>
      <c r="DL330" t="str">
        <v>Ex Bho | Bho (2N) + Bhim + Bhoj + San + Udaygiri + Vidisha + FDCT Bho</v>
      </c>
      <c r="DM330" t="str">
        <v>Bho (1N) + Bhim + Bhoj - HDCT  Bho + Sanchi - Ujj (2N)</v>
      </c>
      <c r="DN330" t="str">
        <v>Bho (1N) + Bhim + Bhoj - HDCT  Bho + Sanchi - Ujj (2N) - Idr</v>
      </c>
      <c r="DO330" t="str">
        <v>Ex Bho | Bho - Bhoj - Bhim - Mad (1N) - Pch (2N) - Bho</v>
      </c>
      <c r="DP330" t="str">
        <v>Ex Bho | Bho - Bhoj - Bhim - Mad (1N) - Pch (3N) - Bho</v>
      </c>
      <c r="DQ330" t="str">
        <v>Ex Bho | Bho - Bhoj - Bhim - Tawa (1N) - Mad (1N) - Bho (1N)</v>
      </c>
      <c r="DR330" t="str">
        <v>Bho (1N) - Bhim - Bhoj - San - Idr (2N) + Ujj</v>
      </c>
      <c r="DS330" t="str">
        <v>Bho (1N) - Bhoj - Bhim - Pch (2N) - Bho</v>
      </c>
      <c r="DT330" t="str">
        <v>Ujj (1N) - Omk - Mah (1N) - Idr (1N)</v>
      </c>
      <c r="DU330" t="str">
        <v>Ujj (1N) - Omk - Mah (1N) - Man (1N) - Idr</v>
      </c>
      <c r="DV330" t="str">
        <v>Ex Idr | Idr (1N) - Ujj (1N) - Omk - Mah (1N)</v>
      </c>
      <c r="DW330" t="str">
        <v>Ex Idr | Idr - Ujj (1N) - Omk (1N) - Mah (1N) - Idr</v>
      </c>
      <c r="DX330" t="str">
        <v>Khandwa - Omk (1N) - Mah (1N) - Ujj (1N) - Idr</v>
      </c>
      <c r="DY330" t="str">
        <v>Ex Idr | Idr - Ujj (1N) - Omk - Mah (1N) - Man - Idr (1N)</v>
      </c>
      <c r="DZ330" t="str">
        <v xml:space="preserve">Idr - Omk (1N) - Mah - Ujj (1N) San - Bho (1N) </v>
      </c>
      <c r="EA330" t="str">
        <v>Ex Idr | Idr - Man (1N) - Mah - Omk (1N) - Ujj (1N) - Idr</v>
      </c>
      <c r="EB330" t="str">
        <v>Khandwa - Omk (1N) - Mah - Ujj (2N)</v>
      </c>
      <c r="EC330" t="str">
        <v>Ex Jlr | Jlr (1N) - Amr (1N) - Ban (1N) - Jlr</v>
      </c>
      <c r="ED330" t="str">
        <v>Ex Jlr | Jlr - (1 N) Ban - (2 N) Amar</v>
      </c>
      <c r="EE330" t="str">
        <v>Jlr - Kan (1N) - Pch (2N)</v>
      </c>
      <c r="EF330" t="str">
        <v>Pi - Pch (2N)  - Kan (1N)</v>
      </c>
      <c r="EG330" t="str">
        <v>Ex Jlr | Jlr - Amr (1 N) - (1 N) Ban - (1 N) Jlr</v>
      </c>
      <c r="EH330" t="str">
        <v>Ppi - (2 N) Pch - (1 N) Pen</v>
      </c>
      <c r="EI330" t="str">
        <v>Bhp - Pch (2N) - Jlr (1N)</v>
      </c>
      <c r="EJ330" t="str">
        <v xml:space="preserve">Arr Jhn - Hjr (1N) - Orc - Gwl (2N) </v>
      </c>
      <c r="EK330" t="str">
        <v>(1 N) Ujj - (1 N) Mah - (1 N) Idr</v>
      </c>
      <c r="EL330" t="str">
        <v>Ex Bhp | Bhp - Bhoj - Bhim - Pch (3N) - Bhp</v>
      </c>
      <c r="EM330" t="str">
        <v>Ex Bhp | Bhp - Bhoj - Bhim - Pch (2N) - Mad (1N) - Bhp</v>
      </c>
      <c r="EN330" t="str">
        <v xml:space="preserve">Ex Nag - 3N Pch + Sat </v>
      </c>
      <c r="EO330" t="str">
        <v>1N Gwl - Son - Dat - 1N Hjr - 1N Orc - Jhn</v>
      </c>
    </row>
    <row r="331" spans="2:145" ht="15" customHeight="1">
      <c r="B331" s="34">
        <v>327</v>
      </c>
      <c r="C331" s="36" t="s">
        <v>2139</v>
      </c>
      <c r="D331" s="76">
        <v>46263</v>
      </c>
      <c r="E331" s="37" t="str">
        <f>IF(Table5[[#This Row],[Query Date]]&lt;&gt;"", TEXT(Table5[[#This Row],[Query Date]], "dddd"), "")</f>
        <v>Saturday</v>
      </c>
      <c r="F331" s="37" t="str">
        <f>IF(Table5[[#This Row],[Query Date]]&lt;&gt;"", TEXT(Table5[[#This Row],[Query Date]], "mmmm"), "")</f>
        <v>August</v>
      </c>
      <c r="G331" s="28" t="s">
        <v>65</v>
      </c>
      <c r="H331" s="28" t="s">
        <v>66</v>
      </c>
      <c r="I331" s="28" t="s">
        <v>67</v>
      </c>
      <c r="J331" s="28" t="s">
        <v>68</v>
      </c>
      <c r="K331" s="28" t="s">
        <v>226</v>
      </c>
      <c r="L331" s="25" t="s">
        <v>70</v>
      </c>
      <c r="M331" s="112" t="s">
        <v>749</v>
      </c>
      <c r="N331" s="25" t="s">
        <v>750</v>
      </c>
      <c r="O331" s="130" t="s">
        <v>751</v>
      </c>
      <c r="P331" s="46" t="s">
        <v>752</v>
      </c>
      <c r="Q331" s="77">
        <v>46268</v>
      </c>
      <c r="R331" s="77" t="str">
        <f>IF(Table5[[#This Row],[Tour Starting Date]]&lt;&gt;"", TEXT(Table5[[#This Row],[Tour Starting Date]], "dddd"), "")</f>
        <v>Thursday</v>
      </c>
      <c r="S331" s="77">
        <v>46273</v>
      </c>
      <c r="T331" s="25" t="str">
        <f>IF(Table5[[#This Row],[Tour Ending Date]]&lt;&gt;"", TEXT(Table5[[#This Row],[Tour Ending Date]], "dddd"), "")</f>
        <v>Tuesday</v>
      </c>
      <c r="U33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5 Nights &amp; 6 Days</v>
      </c>
      <c r="V331" s="37" t="str">
        <f>IF(Table5[[#This Row],[Tour Starting Date]]&lt;&gt;"", TEXT(Table5[[#This Row],[Tour Starting Date]], "mmmm"), "")</f>
        <v>September</v>
      </c>
      <c r="W331" s="80" t="str" cm="1">
        <f t="array" ref="W331">IF(Q331&lt;&gt;"", INDEX(CI:CI, MATCH(1, (Q331&gt;=CG:CG)*(Q331&lt;=CH:CH), 0)), "")</f>
        <v>Regular Dates - Weekday</v>
      </c>
      <c r="X331" s="39">
        <v>2</v>
      </c>
      <c r="Y331" s="74">
        <v>12800</v>
      </c>
      <c r="Z331" s="74">
        <f>IF(OR(Table5[[#This Row],[Per Person Package Cost]]="", Table5[[#This Row],[No. of Pax]]=""), "", Table5[[#This Row],[Per Person Package Cost]] * Table5[[#This Row],[No. of Pax]])</f>
        <v>25600</v>
      </c>
      <c r="AA331" s="52" t="s">
        <v>75</v>
      </c>
      <c r="AB331" s="52" t="s">
        <v>520</v>
      </c>
      <c r="AC331" s="52" t="s">
        <v>134</v>
      </c>
      <c r="AD331" s="52" t="s">
        <v>434</v>
      </c>
      <c r="AE331" s="51" t="str">
        <f t="shared" si="45"/>
        <v>EXIDR10</v>
      </c>
      <c r="AF331" s="51" t="str">
        <f t="shared" si="46"/>
        <v>Cultural Heritage Odyssey of Madhya Pradesh</v>
      </c>
      <c r="AG331" s="74" t="str">
        <f t="shared" si="47"/>
        <v>Quick Getaways</v>
      </c>
      <c r="AH331" s="73" t="str">
        <f t="shared" si="43"/>
        <v>South + West MP</v>
      </c>
      <c r="AI331" s="52" t="s">
        <v>159</v>
      </c>
      <c r="AJ331" s="56" t="s">
        <v>78</v>
      </c>
      <c r="AK331" s="59" t="s">
        <v>79</v>
      </c>
      <c r="AL331" s="60" t="s">
        <v>80</v>
      </c>
      <c r="AM331" s="54" t="s">
        <v>80</v>
      </c>
      <c r="AN331" s="14">
        <v>46265</v>
      </c>
      <c r="AO331" s="15"/>
      <c r="AP331" s="91"/>
      <c r="AQ331" s="87"/>
      <c r="AR331" s="26"/>
      <c r="AS331" s="65"/>
      <c r="AT331" s="88" t="s">
        <v>81</v>
      </c>
      <c r="AU331" s="67"/>
      <c r="CN331" t="s">
        <v>2140</v>
      </c>
      <c r="DA331" t="str" cm="1">
        <f t="array" ref="DA331:DW331">IF(U331&lt;&gt;"", TRANSPOSE(_xlfn._xlws.FILTER(CZ:CZ, CY:CY=U331, "")), "")</f>
        <v>Gwl (2N) + Mor - Son - Dat - Orc (1N) - Hjr (2N) + Panna</v>
      </c>
      <c r="DB331" t="str">
        <v>Ex Gwl | Gwl (2N) + Mor - Shiv - Chan (2N) - Orc (1N) - Dat - Son - Gwl</v>
      </c>
      <c r="DC331" t="str">
        <v>Gwl (2N) + Mor - Son - Dat - Orc (1N) - Hjr (1N) - Jlr (1N)</v>
      </c>
      <c r="DD331" t="str">
        <v>Ex Idr | Idr - Ujj (1N) - Omk (1N) - Mah (1N) - Man (1N) - Idr (1N)</v>
      </c>
      <c r="DE331" t="str">
        <v>Bhp (1N) + Bhim + Bhoj + San - Ujj (1N) - Man (2N) - Mah - Omk (1N) - Idr</v>
      </c>
      <c r="DF331" t="str">
        <v>Jlr (1N) - Hjr (1N) - Orc (1N) - Dat - Son - Gwl (2N) + Mor</v>
      </c>
      <c r="DG331" t="str">
        <v>Jlr (1N) - Kan (1N) - Pch (2N) - Bhim - Bhoj - Bho (1N) + Sanchi</v>
      </c>
      <c r="DH331" t="str">
        <v>Ex Bho | Bho (1N) + San - Bhoj - Bhim - Tawa (1N) - Mad (1N) - Pch (2N) - Bho</v>
      </c>
      <c r="DI331" t="str">
        <v>Bho (1N) + San + Udaygiri - Bhoj - Bhim - Pch (2N) - Kan(1N) - Jlr (1N)</v>
      </c>
      <c r="DJ331" t="str">
        <v>Bho (1N) + Bhim + Bhoj - San - Ujj (1N) - Man (2N) - Mah - Omk (1N) - Idr</v>
      </c>
      <c r="DK331" t="str">
        <v>Idr - Man (2N) - Idr (1N) - Bho (2N) + Bhim + Bhoj + Sanchi</v>
      </c>
      <c r="DL331" t="str">
        <v>Ex Bho | Bho (2N) + San + Udaygiri - Bhoj - Bhim - Pch (2N) - Tawa (1N) - Bho</v>
      </c>
      <c r="DM331" t="str">
        <v>Rpr - Kan (2N) - Pen (1N) - Pch (2N) - Bho</v>
      </c>
      <c r="DN331" t="str">
        <v>Nag - Pen (2N) - Pch (2N) - Bhim - Bhoj - Bho (1N) + San</v>
      </c>
      <c r="DO331" t="str">
        <v>Gwl (2N) (Ex Mor) - Orc (1N) - Chn (1N) - Shiv (1N) - Jhn</v>
      </c>
      <c r="DP331" t="str">
        <v>Gwl (2N) (Ex Mor) - Dat - Orc (1N) - Chn (1N) - Shiv (1N) - Jhn</v>
      </c>
      <c r="DQ331" t="str">
        <v>Nag - Pen (2N) - Kan (2N) - Jlr (1N)</v>
      </c>
      <c r="DR331" t="str">
        <v>Rpr - (2 N) Amr - (1 N) Ban - (1 N) Hjr - (1 N) Jlr</v>
      </c>
      <c r="DS331" t="str">
        <v>Gwl (2N) (Ex Mor) -Orc  - Hjr (1N) - Chn (1N) - Shiv (1N) - Jhn</v>
      </c>
      <c r="DT331" t="str">
        <v>(2 N) Gwl - (1 N) Orch - (1 N) Hjr - (1 N) Jlr</v>
      </c>
      <c r="DU331" t="str">
        <v xml:space="preserve">Arr Rpr - Amr (2N) - Par (2N) - Jlr (1N) </v>
      </c>
      <c r="DV331" t="str">
        <v>3N Idr (Ex Ujj - Man) - Bhim - Bhoj - San - 2N Bho</v>
      </c>
      <c r="DW331" t="str">
        <v>1N Jlr - 1N Kan - 3N Pch - Ppi</v>
      </c>
    </row>
    <row r="332" spans="2:145" ht="15" customHeight="1">
      <c r="B332" s="35">
        <v>328</v>
      </c>
      <c r="C332" s="36" t="s">
        <v>2141</v>
      </c>
      <c r="D332" s="76">
        <v>46265</v>
      </c>
      <c r="E332" s="37" t="str">
        <f>IF(Table5[[#This Row],[Query Date]]&lt;&gt;"", TEXT(Table5[[#This Row],[Query Date]], "dddd"), "")</f>
        <v>Monday</v>
      </c>
      <c r="F332" s="37" t="str">
        <f>IF(Table5[[#This Row],[Query Date]]&lt;&gt;"", TEXT(Table5[[#This Row],[Query Date]], "mmmm"), "")</f>
        <v>August</v>
      </c>
      <c r="G332" s="28" t="s">
        <v>65</v>
      </c>
      <c r="H332" s="28" t="s">
        <v>120</v>
      </c>
      <c r="I332" s="28" t="s">
        <v>100</v>
      </c>
      <c r="J332" s="28" t="s">
        <v>359</v>
      </c>
      <c r="K332" s="28" t="s">
        <v>860</v>
      </c>
      <c r="L332" s="25" t="s">
        <v>70</v>
      </c>
      <c r="M332" s="112" t="s">
        <v>861</v>
      </c>
      <c r="N332" s="25" t="s">
        <v>2142</v>
      </c>
      <c r="O332" s="130" t="s">
        <v>863</v>
      </c>
      <c r="P332" s="46" t="s">
        <v>864</v>
      </c>
      <c r="Q332" s="77">
        <v>46285</v>
      </c>
      <c r="R332" s="77" t="str">
        <f>IF(Table5[[#This Row],[Tour Starting Date]]&lt;&gt;"", TEXT(Table5[[#This Row],[Tour Starting Date]], "dddd"), "")</f>
        <v>Sunday</v>
      </c>
      <c r="S332" s="77">
        <v>46288</v>
      </c>
      <c r="T332" s="25" t="str">
        <f>IF(Table5[[#This Row],[Tour Ending Date]]&lt;&gt;"", TEXT(Table5[[#This Row],[Tour Ending Date]], "dddd"), "")</f>
        <v>Wednesday</v>
      </c>
      <c r="U33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3 Nights &amp; 4 Days</v>
      </c>
      <c r="V332" s="37" t="str">
        <f>IF(Table5[[#This Row],[Tour Starting Date]]&lt;&gt;"", TEXT(Table5[[#This Row],[Tour Starting Date]], "mmmm"), "")</f>
        <v>September</v>
      </c>
      <c r="W332" s="80" t="str" cm="1">
        <f t="array" ref="W332">IF(Q332&lt;&gt;"", INDEX(CI:CI, MATCH(1, (Q332&gt;=CG:CG)*(Q332&lt;=CH:CH), 0)), "")</f>
        <v>Regular Dates - Weekend</v>
      </c>
      <c r="X332" s="39">
        <v>32</v>
      </c>
      <c r="Y332" s="74">
        <v>12700</v>
      </c>
      <c r="Z332" s="74">
        <f>IF(OR(Table5[[#This Row],[Per Person Package Cost]]="", Table5[[#This Row],[No. of Pax]]=""), "", Table5[[#This Row],[Per Person Package Cost]] * Table5[[#This Row],[No. of Pax]])</f>
        <v>406400</v>
      </c>
      <c r="AA332" s="52" t="s">
        <v>75</v>
      </c>
      <c r="AB332" s="52" t="s">
        <v>75</v>
      </c>
      <c r="AC332" s="52" t="s">
        <v>134</v>
      </c>
      <c r="AD332" s="52" t="s">
        <v>335</v>
      </c>
      <c r="AE332" s="51" t="str">
        <f t="shared" si="45"/>
        <v>EXIDR01</v>
      </c>
      <c r="AF332" s="51" t="str">
        <f t="shared" si="46"/>
        <v>Mahakaal Darshan</v>
      </c>
      <c r="AG332" s="74" t="str">
        <f t="shared" si="47"/>
        <v>Quick Getaways</v>
      </c>
      <c r="AH332" s="73" t="str">
        <f t="shared" si="43"/>
        <v>West MP</v>
      </c>
      <c r="AI332" s="52" t="s">
        <v>159</v>
      </c>
      <c r="AJ332" s="56" t="s">
        <v>78</v>
      </c>
      <c r="AK332" s="59" t="s">
        <v>79</v>
      </c>
      <c r="AL332" s="60" t="s">
        <v>80</v>
      </c>
      <c r="AM332" s="54" t="s">
        <v>80</v>
      </c>
      <c r="AN332" s="14">
        <v>46267</v>
      </c>
      <c r="AO332" s="15"/>
      <c r="AP332" s="91"/>
      <c r="AQ332" s="87"/>
      <c r="AR332" s="26"/>
      <c r="AS332" s="65"/>
      <c r="AT332" s="88" t="s">
        <v>81</v>
      </c>
      <c r="AU332" s="67"/>
      <c r="CN332" t="s">
        <v>2143</v>
      </c>
      <c r="DA332" t="str" cm="1">
        <f t="array" ref="DA332:EO332">IF(U332&lt;&gt;"", TRANSPOSE(_xlfn._xlws.FILTER(CZ:CZ, CY:CY=U332, "")), "")</f>
        <v>Gwl (3N) + Mor + Son + Dat + Orc</v>
      </c>
      <c r="DB332" t="str">
        <v>Ex Gwl | Gwl (1N) - Son - Dat - Orc (1N) - Gwl (1N)</v>
      </c>
      <c r="DC332" t="str">
        <v>Ex Idr | Idr - Ujj (1N) - Omk - Mah (1N) - Man (1N) - Idr</v>
      </c>
      <c r="DD332" t="str">
        <v>Ex Jlr | Jlr - Kan (2N) - Jlr (1N)</v>
      </c>
      <c r="DE332" t="str">
        <v>Ex Jlr | Jlr - Ban (2N) - Jlr (1N)</v>
      </c>
      <c r="DF332" t="str">
        <v>Ex Bho | Bho (1N) + San - Bhoj - Bhim - Pch (2N) - Bho</v>
      </c>
      <c r="DG332" t="str">
        <v>Ex Idr | Idr (1N) - Ujj (1N) - Omk (1N) - Mah - Idr</v>
      </c>
      <c r="DH332" t="str">
        <v>Gwl - Orc (1N) - Ckt (1N) - Myr (1N) - Jlr</v>
      </c>
      <c r="DI332" t="str">
        <v>Gwl - Orc (1N) - Ckt (2N) - Ixd</v>
      </c>
      <c r="DJ332" t="str">
        <v>Ex Idr | Idr - Ujj (1N) - Omk - Mah (1N) - Idr (1N)</v>
      </c>
      <c r="DK332" t="str">
        <v>Ex Jlr | Jlr - Kan (3N) - Jlr</v>
      </c>
      <c r="DL332" t="str">
        <v>Ex Bho | Bho (2N) + Bhim + Bhoj + San + Udaygiri + Vidisha + FDCT Bho</v>
      </c>
      <c r="DM332" t="str">
        <v>Bho (1N) + Bhim + Bhoj - HDCT  Bho + Sanchi - Ujj (2N)</v>
      </c>
      <c r="DN332" t="str">
        <v>Bho (1N) + Bhim + Bhoj - HDCT  Bho + Sanchi - Ujj (2N) - Idr</v>
      </c>
      <c r="DO332" t="str">
        <v>Ex Bho | Bho - Bhoj - Bhim - Mad (1N) - Pch (2N) - Bho</v>
      </c>
      <c r="DP332" t="str">
        <v>Ex Bho | Bho - Bhoj - Bhim - Mad (1N) - Pch (3N) - Bho</v>
      </c>
      <c r="DQ332" t="str">
        <v>Ex Bho | Bho - Bhoj - Bhim - Tawa (1N) - Mad (1N) - Bho (1N)</v>
      </c>
      <c r="DR332" t="str">
        <v>Bho (1N) - Bhim - Bhoj - San - Idr (2N) + Ujj</v>
      </c>
      <c r="DS332" t="str">
        <v>Bho (1N) - Bhoj - Bhim - Pch (2N) - Bho</v>
      </c>
      <c r="DT332" t="str">
        <v>Ujj (1N) - Omk - Mah (1N) - Idr (1N)</v>
      </c>
      <c r="DU332" t="str">
        <v>Ujj (1N) - Omk - Mah (1N) - Man (1N) - Idr</v>
      </c>
      <c r="DV332" t="str">
        <v>Ex Idr | Idr (1N) - Ujj (1N) - Omk - Mah (1N)</v>
      </c>
      <c r="DW332" t="str">
        <v>Ex Idr | Idr - Ujj (1N) - Omk (1N) - Mah (1N) - Idr</v>
      </c>
      <c r="DX332" t="str">
        <v>Khandwa - Omk (1N) - Mah (1N) - Ujj (1N) - Idr</v>
      </c>
      <c r="DY332" t="str">
        <v>Ex Idr | Idr - Ujj (1N) - Omk - Mah (1N) - Man - Idr (1N)</v>
      </c>
      <c r="DZ332" t="str">
        <v xml:space="preserve">Idr - Omk (1N) - Mah - Ujj (1N) San - Bho (1N) </v>
      </c>
      <c r="EA332" t="str">
        <v>Ex Idr | Idr - Man (1N) - Mah - Omk (1N) - Ujj (1N) - Idr</v>
      </c>
      <c r="EB332" t="str">
        <v>Khandwa - Omk (1N) - Mah - Ujj (2N)</v>
      </c>
      <c r="EC332" t="str">
        <v>Ex Jlr | Jlr (1N) - Amr (1N) - Ban (1N) - Jlr</v>
      </c>
      <c r="ED332" t="str">
        <v>Ex Jlr | Jlr - (1 N) Ban - (2 N) Amar</v>
      </c>
      <c r="EE332" t="str">
        <v>Jlr - Kan (1N) - Pch (2N)</v>
      </c>
      <c r="EF332" t="str">
        <v>Pi - Pch (2N)  - Kan (1N)</v>
      </c>
      <c r="EG332" t="str">
        <v>Ex Jlr | Jlr - Amr (1 N) - (1 N) Ban - (1 N) Jlr</v>
      </c>
      <c r="EH332" t="str">
        <v>Ppi - (2 N) Pch - (1 N) Pen</v>
      </c>
      <c r="EI332" t="str">
        <v>Bhp - Pch (2N) - Jlr (1N)</v>
      </c>
      <c r="EJ332" t="str">
        <v xml:space="preserve">Arr Jhn - Hjr (1N) - Orc - Gwl (2N) </v>
      </c>
      <c r="EK332" t="str">
        <v>(1 N) Ujj - (1 N) Mah - (1 N) Idr</v>
      </c>
      <c r="EL332" t="str">
        <v>Ex Bhp | Bhp - Bhoj - Bhim - Pch (3N) - Bhp</v>
      </c>
      <c r="EM332" t="str">
        <v>Ex Bhp | Bhp - Bhoj - Bhim - Pch (2N) - Mad (1N) - Bhp</v>
      </c>
      <c r="EN332" t="str">
        <v xml:space="preserve">Ex Nag - 3N Pch + Sat </v>
      </c>
      <c r="EO332" t="str">
        <v>1N Gwl - Son - Dat - 1N Hjr - 1N Orc - Jhn</v>
      </c>
    </row>
    <row r="333" spans="2:145" ht="15" customHeight="1">
      <c r="B333" s="34">
        <v>329</v>
      </c>
      <c r="C333" s="36" t="s">
        <v>2144</v>
      </c>
      <c r="D333" s="76">
        <v>46266</v>
      </c>
      <c r="E333" s="37" t="str">
        <f>IF(Table5[[#This Row],[Query Date]]&lt;&gt;"", TEXT(Table5[[#This Row],[Query Date]], "dddd"), "")</f>
        <v>Tuesday</v>
      </c>
      <c r="F333" s="37" t="str">
        <f>IF(Table5[[#This Row],[Query Date]]&lt;&gt;"", TEXT(Table5[[#This Row],[Query Date]], "mmmm"), "")</f>
        <v>September</v>
      </c>
      <c r="G333" s="28" t="s">
        <v>65</v>
      </c>
      <c r="H333" s="28" t="s">
        <v>66</v>
      </c>
      <c r="I333" s="28" t="s">
        <v>67</v>
      </c>
      <c r="J333" s="28" t="s">
        <v>68</v>
      </c>
      <c r="K333" s="28" t="s">
        <v>69</v>
      </c>
      <c r="L333" s="25" t="s">
        <v>70</v>
      </c>
      <c r="M333" s="112" t="s">
        <v>312</v>
      </c>
      <c r="N333" s="45" t="s">
        <v>1735</v>
      </c>
      <c r="O333" s="130" t="s">
        <v>2145</v>
      </c>
      <c r="P333" s="46" t="s">
        <v>2146</v>
      </c>
      <c r="Q333" s="77">
        <v>46386</v>
      </c>
      <c r="R333" s="77" t="str">
        <f>IF(Table5[[#This Row],[Tour Starting Date]]&lt;&gt;"", TEXT(Table5[[#This Row],[Tour Starting Date]], "dddd"), "")</f>
        <v>Wednesday</v>
      </c>
      <c r="S333" s="77">
        <v>46389</v>
      </c>
      <c r="T333" s="25" t="str">
        <f>IF(Table5[[#This Row],[Tour Ending Date]]&lt;&gt;"", TEXT(Table5[[#This Row],[Tour Ending Date]], "dddd"), "")</f>
        <v>Saturday</v>
      </c>
      <c r="U33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3 Nights &amp; 4 Days</v>
      </c>
      <c r="V333" s="37" t="str">
        <f>IF(Table5[[#This Row],[Tour Starting Date]]&lt;&gt;"", TEXT(Table5[[#This Row],[Tour Starting Date]], "mmmm"), "")</f>
        <v>December</v>
      </c>
      <c r="W333" s="80" t="str" cm="1">
        <f t="array" ref="W333">IF(Q333&lt;&gt;"", INDEX(CI:CI, MATCH(1, (Q333&gt;=CG:CG)*(Q333&lt;=CH:CH), 0)), "")</f>
        <v>Regular Dates - Weekday</v>
      </c>
      <c r="X333" s="39">
        <v>12</v>
      </c>
      <c r="Y333" s="74">
        <v>56500</v>
      </c>
      <c r="Z333" s="74">
        <f>IF(OR(Table5[[#This Row],[Per Person Package Cost]]="", Table5[[#This Row],[No. of Pax]]=""), "", Table5[[#This Row],[Per Person Package Cost]] * Table5[[#This Row],[No. of Pax]])</f>
        <v>678000</v>
      </c>
      <c r="AA333" s="52" t="s">
        <v>270</v>
      </c>
      <c r="AB333" s="52" t="s">
        <v>270</v>
      </c>
      <c r="AC333" s="52" t="s">
        <v>134</v>
      </c>
      <c r="AD333" s="52" t="s">
        <v>1162</v>
      </c>
      <c r="AE333" s="51" t="str">
        <f t="shared" si="45"/>
        <v>EXNAG02</v>
      </c>
      <c r="AF333" s="51" t="str">
        <f t="shared" si="46"/>
        <v>Tales from the Tiger Trail</v>
      </c>
      <c r="AG333" s="74" t="str">
        <f t="shared" si="47"/>
        <v>Quick Getaways</v>
      </c>
      <c r="AH333" s="73" t="str">
        <f t="shared" si="43"/>
        <v>South + West MP</v>
      </c>
      <c r="AI333" s="52" t="s">
        <v>107</v>
      </c>
      <c r="AJ333" s="56" t="s">
        <v>78</v>
      </c>
      <c r="AK333" s="59" t="s">
        <v>79</v>
      </c>
      <c r="AL333" s="60" t="s">
        <v>80</v>
      </c>
      <c r="AM333" s="54" t="s">
        <v>80</v>
      </c>
      <c r="AN333" s="14">
        <v>46268</v>
      </c>
      <c r="AO333" s="15"/>
      <c r="AP333" s="91"/>
      <c r="AQ333" s="87"/>
      <c r="AR333" s="26"/>
      <c r="AS333" s="65"/>
      <c r="AT333" s="88" t="s">
        <v>81</v>
      </c>
      <c r="AU333" s="67" t="s">
        <v>82</v>
      </c>
      <c r="CN333" t="s">
        <v>2147</v>
      </c>
      <c r="DA333" t="str" cm="1">
        <f t="array" ref="DA333:EO333">IF(U333&lt;&gt;"", TRANSPOSE(_xlfn._xlws.FILTER(CZ:CZ, CY:CY=U333, "")), "")</f>
        <v>Gwl (3N) + Mor + Son + Dat + Orc</v>
      </c>
      <c r="DB333" t="str">
        <v>Ex Gwl | Gwl (1N) - Son - Dat - Orc (1N) - Gwl (1N)</v>
      </c>
      <c r="DC333" t="str">
        <v>Ex Idr | Idr - Ujj (1N) - Omk - Mah (1N) - Man (1N) - Idr</v>
      </c>
      <c r="DD333" t="str">
        <v>Ex Jlr | Jlr - Kan (2N) - Jlr (1N)</v>
      </c>
      <c r="DE333" t="str">
        <v>Ex Jlr | Jlr - Ban (2N) - Jlr (1N)</v>
      </c>
      <c r="DF333" t="str">
        <v>Ex Bho | Bho (1N) + San - Bhoj - Bhim - Pch (2N) - Bho</v>
      </c>
      <c r="DG333" t="str">
        <v>Ex Idr | Idr (1N) - Ujj (1N) - Omk (1N) - Mah - Idr</v>
      </c>
      <c r="DH333" t="str">
        <v>Gwl - Orc (1N) - Ckt (1N) - Myr (1N) - Jlr</v>
      </c>
      <c r="DI333" t="str">
        <v>Gwl - Orc (1N) - Ckt (2N) - Ixd</v>
      </c>
      <c r="DJ333" t="str">
        <v>Ex Idr | Idr - Ujj (1N) - Omk - Mah (1N) - Idr (1N)</v>
      </c>
      <c r="DK333" t="str">
        <v>Ex Jlr | Jlr - Kan (3N) - Jlr</v>
      </c>
      <c r="DL333" t="str">
        <v>Ex Bho | Bho (2N) + Bhim + Bhoj + San + Udaygiri + Vidisha + FDCT Bho</v>
      </c>
      <c r="DM333" t="str">
        <v>Bho (1N) + Bhim + Bhoj - HDCT  Bho + Sanchi - Ujj (2N)</v>
      </c>
      <c r="DN333" t="str">
        <v>Bho (1N) + Bhim + Bhoj - HDCT  Bho + Sanchi - Ujj (2N) - Idr</v>
      </c>
      <c r="DO333" t="str">
        <v>Ex Bho | Bho - Bhoj - Bhim - Mad (1N) - Pch (2N) - Bho</v>
      </c>
      <c r="DP333" t="str">
        <v>Ex Bho | Bho - Bhoj - Bhim - Mad (1N) - Pch (3N) - Bho</v>
      </c>
      <c r="DQ333" t="str">
        <v>Ex Bho | Bho - Bhoj - Bhim - Tawa (1N) - Mad (1N) - Bho (1N)</v>
      </c>
      <c r="DR333" t="str">
        <v>Bho (1N) - Bhim - Bhoj - San - Idr (2N) + Ujj</v>
      </c>
      <c r="DS333" t="str">
        <v>Bho (1N) - Bhoj - Bhim - Pch (2N) - Bho</v>
      </c>
      <c r="DT333" t="str">
        <v>Ujj (1N) - Omk - Mah (1N) - Idr (1N)</v>
      </c>
      <c r="DU333" t="str">
        <v>Ujj (1N) - Omk - Mah (1N) - Man (1N) - Idr</v>
      </c>
      <c r="DV333" t="str">
        <v>Ex Idr | Idr (1N) - Ujj (1N) - Omk - Mah (1N)</v>
      </c>
      <c r="DW333" t="str">
        <v>Ex Idr | Idr - Ujj (1N) - Omk (1N) - Mah (1N) - Idr</v>
      </c>
      <c r="DX333" t="str">
        <v>Khandwa - Omk (1N) - Mah (1N) - Ujj (1N) - Idr</v>
      </c>
      <c r="DY333" t="str">
        <v>Ex Idr | Idr - Ujj (1N) - Omk - Mah (1N) - Man - Idr (1N)</v>
      </c>
      <c r="DZ333" t="str">
        <v xml:space="preserve">Idr - Omk (1N) - Mah - Ujj (1N) San - Bho (1N) </v>
      </c>
      <c r="EA333" t="str">
        <v>Ex Idr | Idr - Man (1N) - Mah - Omk (1N) - Ujj (1N) - Idr</v>
      </c>
      <c r="EB333" t="str">
        <v>Khandwa - Omk (1N) - Mah - Ujj (2N)</v>
      </c>
      <c r="EC333" t="str">
        <v>Ex Jlr | Jlr (1N) - Amr (1N) - Ban (1N) - Jlr</v>
      </c>
      <c r="ED333" t="str">
        <v>Ex Jlr | Jlr - (1 N) Ban - (2 N) Amar</v>
      </c>
      <c r="EE333" t="str">
        <v>Jlr - Kan (1N) - Pch (2N)</v>
      </c>
      <c r="EF333" t="str">
        <v>Pi - Pch (2N)  - Kan (1N)</v>
      </c>
      <c r="EG333" t="str">
        <v>Ex Jlr | Jlr - Amr (1 N) - (1 N) Ban - (1 N) Jlr</v>
      </c>
      <c r="EH333" t="str">
        <v>Ppi - (2 N) Pch - (1 N) Pen</v>
      </c>
      <c r="EI333" t="str">
        <v>Bhp - Pch (2N) - Jlr (1N)</v>
      </c>
      <c r="EJ333" t="str">
        <v xml:space="preserve">Arr Jhn - Hjr (1N) - Orc - Gwl (2N) </v>
      </c>
      <c r="EK333" t="str">
        <v>(1 N) Ujj - (1 N) Mah - (1 N) Idr</v>
      </c>
      <c r="EL333" t="str">
        <v>Ex Bhp | Bhp - Bhoj - Bhim - Pch (3N) - Bhp</v>
      </c>
      <c r="EM333" t="str">
        <v>Ex Bhp | Bhp - Bhoj - Bhim - Pch (2N) - Mad (1N) - Bhp</v>
      </c>
      <c r="EN333" t="str">
        <v xml:space="preserve">Ex Nag - 3N Pch + Sat </v>
      </c>
      <c r="EO333" t="str">
        <v>1N Gwl - Son - Dat - 1N Hjr - 1N Orc - Jhn</v>
      </c>
    </row>
    <row r="334" spans="2:145" ht="15" customHeight="1">
      <c r="B334" s="35">
        <v>330</v>
      </c>
      <c r="C334" s="36" t="s">
        <v>2148</v>
      </c>
      <c r="D334" s="76">
        <v>46266</v>
      </c>
      <c r="E334" s="37" t="str">
        <f>IF(Table5[[#This Row],[Query Date]]&lt;&gt;"", TEXT(Table5[[#This Row],[Query Date]], "dddd"), "")</f>
        <v>Tuesday</v>
      </c>
      <c r="F334" s="37" t="str">
        <f>IF(Table5[[#This Row],[Query Date]]&lt;&gt;"", TEXT(Table5[[#This Row],[Query Date]], "mmmm"), "")</f>
        <v>September</v>
      </c>
      <c r="G334" s="28" t="s">
        <v>65</v>
      </c>
      <c r="H334" s="28" t="s">
        <v>99</v>
      </c>
      <c r="I334" s="28" t="s">
        <v>100</v>
      </c>
      <c r="J334" s="28" t="s">
        <v>68</v>
      </c>
      <c r="K334" s="28" t="s">
        <v>178</v>
      </c>
      <c r="L334" s="25" t="s">
        <v>70</v>
      </c>
      <c r="M334" s="112" t="s">
        <v>454</v>
      </c>
      <c r="N334" s="25" t="s">
        <v>455</v>
      </c>
      <c r="O334" s="130">
        <v>8150899970</v>
      </c>
      <c r="P334" s="106" t="s">
        <v>457</v>
      </c>
      <c r="Q334" s="77">
        <v>46281</v>
      </c>
      <c r="R334" s="77" t="str">
        <f>IF(Table5[[#This Row],[Tour Starting Date]]&lt;&gt;"", TEXT(Table5[[#This Row],[Tour Starting Date]], "dddd"), "")</f>
        <v>Wednesday</v>
      </c>
      <c r="S334" s="77">
        <v>46282</v>
      </c>
      <c r="T334" s="25" t="str">
        <f>IF(Table5[[#This Row],[Tour Ending Date]]&lt;&gt;"", TEXT(Table5[[#This Row],[Tour Ending Date]], "dddd"), "")</f>
        <v>Thursday</v>
      </c>
      <c r="U33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1 Nights &amp; 2 Days</v>
      </c>
      <c r="V334" s="37" t="str">
        <f>IF(Table5[[#This Row],[Tour Starting Date]]&lt;&gt;"", TEXT(Table5[[#This Row],[Tour Starting Date]], "mmmm"), "")</f>
        <v>September</v>
      </c>
      <c r="W334" s="80" t="str" cm="1">
        <f t="array" ref="W334">IF(Q334&lt;&gt;"", INDEX(CI:CI, MATCH(1, (Q334&gt;=CG:CG)*(Q334&lt;=CH:CH), 0)), "")</f>
        <v>Regular Dates - Weekday</v>
      </c>
      <c r="X334" s="39">
        <v>1</v>
      </c>
      <c r="Y334" s="74">
        <v>11800</v>
      </c>
      <c r="Z334" s="74">
        <f>IF(OR(Table5[[#This Row],[Per Person Package Cost]]="", Table5[[#This Row],[No. of Pax]]=""), "", Table5[[#This Row],[Per Person Package Cost]] * Table5[[#This Row],[No. of Pax]])</f>
        <v>11800</v>
      </c>
      <c r="AA334" s="52" t="s">
        <v>75</v>
      </c>
      <c r="AB334" s="52" t="s">
        <v>75</v>
      </c>
      <c r="AC334" s="52" t="s">
        <v>76</v>
      </c>
      <c r="AD334" s="52" t="s">
        <v>335</v>
      </c>
      <c r="AE334" s="51" t="str">
        <f t="shared" si="45"/>
        <v>EXIDR01</v>
      </c>
      <c r="AF334" s="51" t="str">
        <f t="shared" si="46"/>
        <v>Mahakaal Darshan</v>
      </c>
      <c r="AG334" s="74" t="str">
        <f t="shared" si="47"/>
        <v>Quick Getaways</v>
      </c>
      <c r="AH334" s="73" t="str">
        <f t="shared" si="43"/>
        <v>West MP</v>
      </c>
      <c r="AI334" s="52" t="s">
        <v>159</v>
      </c>
      <c r="AJ334" s="56" t="s">
        <v>78</v>
      </c>
      <c r="AK334" s="59" t="s">
        <v>79</v>
      </c>
      <c r="AL334" s="60" t="s">
        <v>80</v>
      </c>
      <c r="AM334" s="54" t="s">
        <v>80</v>
      </c>
      <c r="AN334" s="14">
        <v>46276</v>
      </c>
      <c r="AO334" s="15">
        <v>46277</v>
      </c>
      <c r="AP334" s="91"/>
      <c r="AQ334" s="87"/>
      <c r="AR334" s="26"/>
      <c r="AS334" s="65"/>
      <c r="AT334" s="88" t="s">
        <v>81</v>
      </c>
      <c r="AU334" s="67" t="s">
        <v>82</v>
      </c>
      <c r="CN334" t="s">
        <v>2149</v>
      </c>
      <c r="DA334" t="str" cm="1">
        <f t="array" ref="DA334">IF(U334&lt;&gt;"", TRANSPOSE(_xlfn._xlws.FILTER(CZ:CZ, CY:CY=U334, "")), "")</f>
        <v/>
      </c>
    </row>
    <row r="335" spans="2:145" ht="15" customHeight="1">
      <c r="B335" s="34">
        <v>331</v>
      </c>
      <c r="C335" s="36" t="s">
        <v>2150</v>
      </c>
      <c r="D335" s="76">
        <v>46266</v>
      </c>
      <c r="E335" s="37" t="str">
        <f>IF(Table5[[#This Row],[Query Date]]&lt;&gt;"", TEXT(Table5[[#This Row],[Query Date]], "dddd"), "")</f>
        <v>Tuesday</v>
      </c>
      <c r="F335" s="37" t="str">
        <f>IF(Table5[[#This Row],[Query Date]]&lt;&gt;"", TEXT(Table5[[#This Row],[Query Date]], "mmmm"), "")</f>
        <v>September</v>
      </c>
      <c r="G335" s="28" t="s">
        <v>65</v>
      </c>
      <c r="H335" s="28" t="s">
        <v>66</v>
      </c>
      <c r="I335" s="28" t="s">
        <v>67</v>
      </c>
      <c r="J335" s="28" t="s">
        <v>276</v>
      </c>
      <c r="K335" s="28" t="s">
        <v>128</v>
      </c>
      <c r="L335" s="25" t="s">
        <v>70</v>
      </c>
      <c r="M335" s="112" t="s">
        <v>2151</v>
      </c>
      <c r="N335" s="25" t="s">
        <v>2152</v>
      </c>
      <c r="O335" s="130" t="s">
        <v>2153</v>
      </c>
      <c r="P335" s="106" t="s">
        <v>2154</v>
      </c>
      <c r="Q335" s="77">
        <v>46284</v>
      </c>
      <c r="R335" s="77" t="str">
        <f>IF(Table5[[#This Row],[Tour Starting Date]]&lt;&gt;"", TEXT(Table5[[#This Row],[Tour Starting Date]], "dddd"), "")</f>
        <v>Saturday</v>
      </c>
      <c r="S335" s="77">
        <v>46287</v>
      </c>
      <c r="T335" s="25" t="str">
        <f>IF(Table5[[#This Row],[Tour Ending Date]]&lt;&gt;"", TEXT(Table5[[#This Row],[Tour Ending Date]], "dddd"), "")</f>
        <v>Tuesday</v>
      </c>
      <c r="U33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3 Nights &amp; 4 Days</v>
      </c>
      <c r="V335" s="37" t="str">
        <f>IF(Table5[[#This Row],[Tour Starting Date]]&lt;&gt;"", TEXT(Table5[[#This Row],[Tour Starting Date]], "mmmm"), "")</f>
        <v>September</v>
      </c>
      <c r="W335" s="80" t="str" cm="1">
        <f t="array" ref="W335">IF(Q335&lt;&gt;"", INDEX(CI:CI, MATCH(1, (Q335&gt;=CG:CG)*(Q335&lt;=CH:CH), 0)), "")</f>
        <v>Regular Dates - Weekend</v>
      </c>
      <c r="X335" s="39">
        <v>2</v>
      </c>
      <c r="Y335" s="74">
        <v>15500</v>
      </c>
      <c r="Z335" s="74">
        <f>IF(OR(Table5[[#This Row],[Per Person Package Cost]]="", Table5[[#This Row],[No. of Pax]]=""), "", Table5[[#This Row],[Per Person Package Cost]] * Table5[[#This Row],[No. of Pax]])</f>
        <v>31000</v>
      </c>
      <c r="AA335" s="52" t="s">
        <v>75</v>
      </c>
      <c r="AB335" s="52" t="s">
        <v>75</v>
      </c>
      <c r="AC335" s="52" t="s">
        <v>173</v>
      </c>
      <c r="AD335" s="52" t="s">
        <v>1053</v>
      </c>
      <c r="AE335" s="51" t="str">
        <f t="shared" si="45"/>
        <v>EXIDR22</v>
      </c>
      <c r="AF335" s="51" t="str">
        <f t="shared" si="46"/>
        <v>The Sacred Experience Of Madhya Pradesh</v>
      </c>
      <c r="AG335" s="74" t="str">
        <f t="shared" si="47"/>
        <v>Quick Getaways</v>
      </c>
      <c r="AH335" s="73" t="str">
        <f t="shared" si="43"/>
        <v>West MP</v>
      </c>
      <c r="AI335" s="52" t="s">
        <v>107</v>
      </c>
      <c r="AJ335" s="56" t="s">
        <v>78</v>
      </c>
      <c r="AK335" s="59" t="s">
        <v>79</v>
      </c>
      <c r="AL335" s="60" t="s">
        <v>80</v>
      </c>
      <c r="AM335" s="54" t="s">
        <v>80</v>
      </c>
      <c r="AN335" s="14">
        <v>46269</v>
      </c>
      <c r="AO335" s="15">
        <v>46277</v>
      </c>
      <c r="AP335" s="91"/>
      <c r="AQ335" s="87"/>
      <c r="AR335" s="26"/>
      <c r="AS335" s="65"/>
      <c r="AT335" s="88" t="s">
        <v>138</v>
      </c>
      <c r="AU335" s="67"/>
      <c r="CN335" t="s">
        <v>2155</v>
      </c>
      <c r="DA335" t="str" cm="1">
        <f t="array" ref="DA335:EO335">IF(U335&lt;&gt;"", TRANSPOSE(_xlfn._xlws.FILTER(CZ:CZ, CY:CY=U335, "")), "")</f>
        <v>Gwl (3N) + Mor + Son + Dat + Orc</v>
      </c>
      <c r="DB335" t="str">
        <v>Ex Gwl | Gwl (1N) - Son - Dat - Orc (1N) - Gwl (1N)</v>
      </c>
      <c r="DC335" t="str">
        <v>Ex Idr | Idr - Ujj (1N) - Omk - Mah (1N) - Man (1N) - Idr</v>
      </c>
      <c r="DD335" t="str">
        <v>Ex Jlr | Jlr - Kan (2N) - Jlr (1N)</v>
      </c>
      <c r="DE335" t="str">
        <v>Ex Jlr | Jlr - Ban (2N) - Jlr (1N)</v>
      </c>
      <c r="DF335" t="str">
        <v>Ex Bho | Bho (1N) + San - Bhoj - Bhim - Pch (2N) - Bho</v>
      </c>
      <c r="DG335" t="str">
        <v>Ex Idr | Idr (1N) - Ujj (1N) - Omk (1N) - Mah - Idr</v>
      </c>
      <c r="DH335" t="str">
        <v>Gwl - Orc (1N) - Ckt (1N) - Myr (1N) - Jlr</v>
      </c>
      <c r="DI335" t="str">
        <v>Gwl - Orc (1N) - Ckt (2N) - Ixd</v>
      </c>
      <c r="DJ335" t="str">
        <v>Ex Idr | Idr - Ujj (1N) - Omk - Mah (1N) - Idr (1N)</v>
      </c>
      <c r="DK335" t="str">
        <v>Ex Jlr | Jlr - Kan (3N) - Jlr</v>
      </c>
      <c r="DL335" t="str">
        <v>Ex Bho | Bho (2N) + Bhim + Bhoj + San + Udaygiri + Vidisha + FDCT Bho</v>
      </c>
      <c r="DM335" t="str">
        <v>Bho (1N) + Bhim + Bhoj - HDCT  Bho + Sanchi - Ujj (2N)</v>
      </c>
      <c r="DN335" t="str">
        <v>Bho (1N) + Bhim + Bhoj - HDCT  Bho + Sanchi - Ujj (2N) - Idr</v>
      </c>
      <c r="DO335" t="str">
        <v>Ex Bho | Bho - Bhoj - Bhim - Mad (1N) - Pch (2N) - Bho</v>
      </c>
      <c r="DP335" t="str">
        <v>Ex Bho | Bho - Bhoj - Bhim - Mad (1N) - Pch (3N) - Bho</v>
      </c>
      <c r="DQ335" t="str">
        <v>Ex Bho | Bho - Bhoj - Bhim - Tawa (1N) - Mad (1N) - Bho (1N)</v>
      </c>
      <c r="DR335" t="str">
        <v>Bho (1N) - Bhim - Bhoj - San - Idr (2N) + Ujj</v>
      </c>
      <c r="DS335" t="str">
        <v>Bho (1N) - Bhoj - Bhim - Pch (2N) - Bho</v>
      </c>
      <c r="DT335" t="str">
        <v>Ujj (1N) - Omk - Mah (1N) - Idr (1N)</v>
      </c>
      <c r="DU335" t="str">
        <v>Ujj (1N) - Omk - Mah (1N) - Man (1N) - Idr</v>
      </c>
      <c r="DV335" t="str">
        <v>Ex Idr | Idr (1N) - Ujj (1N) - Omk - Mah (1N)</v>
      </c>
      <c r="DW335" t="str">
        <v>Ex Idr | Idr - Ujj (1N) - Omk (1N) - Mah (1N) - Idr</v>
      </c>
      <c r="DX335" t="str">
        <v>Khandwa - Omk (1N) - Mah (1N) - Ujj (1N) - Idr</v>
      </c>
      <c r="DY335" t="str">
        <v>Ex Idr | Idr - Ujj (1N) - Omk - Mah (1N) - Man - Idr (1N)</v>
      </c>
      <c r="DZ335" t="str">
        <v xml:space="preserve">Idr - Omk (1N) - Mah - Ujj (1N) San - Bho (1N) </v>
      </c>
      <c r="EA335" t="str">
        <v>Ex Idr | Idr - Man (1N) - Mah - Omk (1N) - Ujj (1N) - Idr</v>
      </c>
      <c r="EB335" t="str">
        <v>Khandwa - Omk (1N) - Mah - Ujj (2N)</v>
      </c>
      <c r="EC335" t="str">
        <v>Ex Jlr | Jlr (1N) - Amr (1N) - Ban (1N) - Jlr</v>
      </c>
      <c r="ED335" t="str">
        <v>Ex Jlr | Jlr - (1 N) Ban - (2 N) Amar</v>
      </c>
      <c r="EE335" t="str">
        <v>Jlr - Kan (1N) - Pch (2N)</v>
      </c>
      <c r="EF335" t="str">
        <v>Pi - Pch (2N)  - Kan (1N)</v>
      </c>
      <c r="EG335" t="str">
        <v>Ex Jlr | Jlr - Amr (1 N) - (1 N) Ban - (1 N) Jlr</v>
      </c>
      <c r="EH335" t="str">
        <v>Ppi - (2 N) Pch - (1 N) Pen</v>
      </c>
      <c r="EI335" t="str">
        <v>Bhp - Pch (2N) - Jlr (1N)</v>
      </c>
      <c r="EJ335" t="str">
        <v xml:space="preserve">Arr Jhn - Hjr (1N) - Orc - Gwl (2N) </v>
      </c>
      <c r="EK335" t="str">
        <v>(1 N) Ujj - (1 N) Mah - (1 N) Idr</v>
      </c>
      <c r="EL335" t="str">
        <v>Ex Bhp | Bhp - Bhoj - Bhim - Pch (3N) - Bhp</v>
      </c>
      <c r="EM335" t="str">
        <v>Ex Bhp | Bhp - Bhoj - Bhim - Pch (2N) - Mad (1N) - Bhp</v>
      </c>
      <c r="EN335" t="str">
        <v xml:space="preserve">Ex Nag - 3N Pch + Sat </v>
      </c>
      <c r="EO335" t="str">
        <v>1N Gwl - Son - Dat - 1N Hjr - 1N Orc - Jhn</v>
      </c>
    </row>
    <row r="336" spans="2:145" ht="15" customHeight="1">
      <c r="B336" s="35">
        <v>332</v>
      </c>
      <c r="C336" s="36" t="s">
        <v>2156</v>
      </c>
      <c r="D336" s="76">
        <v>46267</v>
      </c>
      <c r="E336" s="37" t="str">
        <f>IF(Table5[[#This Row],[Query Date]]&lt;&gt;"", TEXT(Table5[[#This Row],[Query Date]], "dddd"), "")</f>
        <v>Wednesday</v>
      </c>
      <c r="F336" s="37" t="str">
        <f>IF(Table5[[#This Row],[Query Date]]&lt;&gt;"", TEXT(Table5[[#This Row],[Query Date]], "mmmm"), "")</f>
        <v>September</v>
      </c>
      <c r="G336" s="28" t="s">
        <v>65</v>
      </c>
      <c r="H336" s="28" t="s">
        <v>66</v>
      </c>
      <c r="I336" s="28" t="s">
        <v>67</v>
      </c>
      <c r="J336" s="28" t="s">
        <v>276</v>
      </c>
      <c r="K336" s="28" t="s">
        <v>69</v>
      </c>
      <c r="L336" s="25" t="s">
        <v>70</v>
      </c>
      <c r="M336" s="112" t="s">
        <v>1421</v>
      </c>
      <c r="N336" s="25" t="s">
        <v>2157</v>
      </c>
      <c r="O336" s="130" t="s">
        <v>1632</v>
      </c>
      <c r="P336" s="46" t="s">
        <v>1633</v>
      </c>
      <c r="Q336" s="77">
        <v>46310</v>
      </c>
      <c r="R336" s="77" t="str">
        <f>IF(Table5[[#This Row],[Tour Starting Date]]&lt;&gt;"", TEXT(Table5[[#This Row],[Tour Starting Date]], "dddd"), "")</f>
        <v>Thursday</v>
      </c>
      <c r="S336" s="77">
        <v>46314</v>
      </c>
      <c r="T336" s="25" t="str">
        <f>IF(Table5[[#This Row],[Tour Ending Date]]&lt;&gt;"", TEXT(Table5[[#This Row],[Tour Ending Date]], "dddd"), "")</f>
        <v>Monday</v>
      </c>
      <c r="U33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4 Nights &amp; 5 Days</v>
      </c>
      <c r="V336" s="37" t="str">
        <f>IF(Table5[[#This Row],[Tour Starting Date]]&lt;&gt;"", TEXT(Table5[[#This Row],[Tour Starting Date]], "mmmm"), "")</f>
        <v>October</v>
      </c>
      <c r="W336" s="80" t="str" cm="1">
        <f t="array" ref="W336">IF(Q336&lt;&gt;"", INDEX(CI:CI, MATCH(1, (Q336&gt;=CG:CG)*(Q336&lt;=CH:CH), 0)), "")</f>
        <v>Regular Dates - Weekday</v>
      </c>
      <c r="X336" s="39">
        <v>3</v>
      </c>
      <c r="Y336" s="74">
        <v>23000</v>
      </c>
      <c r="Z336" s="74">
        <f>IF(OR(Table5[[#This Row],[Per Person Package Cost]]="", Table5[[#This Row],[No. of Pax]]=""), "", Table5[[#This Row],[Per Person Package Cost]] * Table5[[#This Row],[No. of Pax]])</f>
        <v>69000</v>
      </c>
      <c r="AA336" s="52" t="s">
        <v>1157</v>
      </c>
      <c r="AB336" s="52" t="s">
        <v>1157</v>
      </c>
      <c r="AC336" s="52" t="s">
        <v>76</v>
      </c>
      <c r="AD336" s="52"/>
      <c r="AE336" s="51" t="str">
        <f t="shared" si="45"/>
        <v/>
      </c>
      <c r="AF336" s="51" t="str">
        <f t="shared" si="46"/>
        <v/>
      </c>
      <c r="AG336" s="74" t="str">
        <f t="shared" si="47"/>
        <v/>
      </c>
      <c r="AH336" s="73" t="str">
        <f t="shared" si="43"/>
        <v/>
      </c>
      <c r="AI336" s="52" t="s">
        <v>77</v>
      </c>
      <c r="AJ336" s="56" t="s">
        <v>78</v>
      </c>
      <c r="AK336" s="59" t="s">
        <v>79</v>
      </c>
      <c r="AL336" s="60" t="s">
        <v>80</v>
      </c>
      <c r="AM336" s="54" t="s">
        <v>80</v>
      </c>
      <c r="AN336" s="14">
        <v>46269</v>
      </c>
      <c r="AO336" s="15"/>
      <c r="AP336" s="91"/>
      <c r="AQ336" s="87"/>
      <c r="AR336" s="26"/>
      <c r="AS336" s="65"/>
      <c r="AT336" s="88" t="s">
        <v>85</v>
      </c>
      <c r="AU336" s="67"/>
      <c r="CN336" t="s">
        <v>236</v>
      </c>
      <c r="DA336" t="str" cm="1">
        <f t="array" ref="DA336:EJ336">IF(U336&lt;&gt;"", TRANSPOSE(_xlfn._xlws.FILTER(CZ:CZ, CY:CY=U336, "")), "")</f>
        <v>Ex Gwl | Gwl (2N) + Mor - Son - Dat - Orc (1N) - Hjr (1N) - Gwl</v>
      </c>
      <c r="DB336" t="str">
        <v>Ex Idr | Idr - Ujj (1N) - Omk - Mah (1N) - Man (1N) - Idr (1N)</v>
      </c>
      <c r="DC336" t="str">
        <v>Ex Idr | Idr - Ujj (1N) - Omk (1N) - Mah (1N) - Man (1N) - Idr</v>
      </c>
      <c r="DD336" t="str">
        <v>Ex Jlr | Jlr - Kan (2N) - Amk (1N) - Jlr (1N)</v>
      </c>
      <c r="DE336" t="str">
        <v>Ex Jlr | Jlr - Ban (2N) - Amk (1N) - Jlr (1N)</v>
      </c>
      <c r="DF336" t="str">
        <v>Ex Jlr | Jlr (1N) - Hjr (1N) - Ban (2N) - Jlr</v>
      </c>
      <c r="DG336" t="str">
        <v>Ex Jlr | Jlr (1N) - Kan (1N) - Ban (2N) - Jlr</v>
      </c>
      <c r="DH336" t="str">
        <v>Ex Bho | Bho (1N) + San + Bhoj + Bhim - Tawa - Mad (1N) - Pch (2N) - Bho</v>
      </c>
      <c r="DI336" t="str">
        <v>Ex Idr | Idr - Ujj (1N) - Omk - Mah (1N) - Man (1N) - Idr (1N)</v>
      </c>
      <c r="DJ336" t="str">
        <v>Ex Bho | Bho (1N) - Bhoj - Bhim - Pch (3N) - Bho</v>
      </c>
      <c r="DK336" t="str">
        <v>Gwl (1N) - Dat (Pitambara Peeth) - Orc (1N) - Ckt (2N) - Ixd</v>
      </c>
      <c r="DL336" t="str">
        <v>Ex Jlr | Jlr - Ban (2N) - Kan (2N) - Jlr</v>
      </c>
      <c r="DM336" t="str">
        <v>Jlr - Ban (1N) - Kan (1N) - Pen (2N) - Nag</v>
      </c>
      <c r="DN336" t="str">
        <v>Ex Bho | Bho (1N) - Bhoj - Bhim - Pch (3N) - Bho</v>
      </c>
      <c r="DO336" t="str">
        <v>Ex Bho | Bho (2N) + Sanchi + Bhoj + Bhim - Tawa - Mad (1N) - Bho (1N)</v>
      </c>
      <c r="DP336" t="str">
        <v>Ex Bho | Bho - Bhoj - Bhim - Tawa (1N) - Mad (1N) - Pch (2N) - Bho</v>
      </c>
      <c r="DQ336" t="str">
        <v>Bho - Bhoj - Bhim - Pch (2N) - Kan (1N) - Jlr (1N)</v>
      </c>
      <c r="DR336" t="str">
        <v>Bho - Bhoj - Bhim - Pch (2N) - Kan (1N) - Amk (1N) - Jlr</v>
      </c>
      <c r="DS336" t="str">
        <v xml:space="preserve">Bho (1N) + Bhim + Bhoj + San - Ujj (1N) - Omk - Mah (1N) - Idr (1N) </v>
      </c>
      <c r="DT336" t="str">
        <v>Ex Gwl | Gwl - Hjr (1N) - Orc (1N) - Dat - Son - Gwl (2N)</v>
      </c>
      <c r="DU336" t="str">
        <v>Ex Gwl | Gwl - Orc (1N) - Hjr (1N) - Chn (1N) - Shiv (1N) - Gwl</v>
      </c>
      <c r="DV336" t="str">
        <v>Gwl - Hjr (1N) - Panna (1N) - Chit (1N) - Mahi (1N) - Sat</v>
      </c>
      <c r="DW336" t="str">
        <v>Jlr - (2 N) Kan - (2 N) Pch - Bhim - Bhoj - Bhp</v>
      </c>
      <c r="DX336" t="str">
        <v>Jlr - (2 N) Kan - (2 N) Pen - Rpr</v>
      </c>
      <c r="DY336" t="str">
        <v>Gwl (2N) (Ex Mor) - Dat -Orc (1N) - Hjr (1N) - Jhn</v>
      </c>
      <c r="DZ336" t="str">
        <v>Ex Gwl | Gwl (1N) - Son - Dat - Orc (1N) - Hjr (2N) (Ex Panna) - Gwl</v>
      </c>
      <c r="EA336" t="str">
        <v>Hjr (1N) - Orc (1N) - Dat - son - Gwl (2N)(Ex Mor)</v>
      </c>
      <c r="EB336" t="str">
        <v>(2 N) Gwl - (1 N) Orch - (1 N) Hjr</v>
      </c>
      <c r="EC336" t="str">
        <v>Ex Bhp | Bhp - Bhoj - Bhim - Pch (2N) - Mad (1N) - Tawa (1N) - Bhp</v>
      </c>
      <c r="ED336" t="str">
        <v>Ex Bhp | Bhp - Bhoj - Bhim - Pch (2N) - Mad (2N) - Bhp</v>
      </c>
      <c r="EE336" t="str">
        <v>Ex Idr | Idr - Ujj (1N) - Omk (1N) - Mah (2N) (Ex Man) - Idr (HDCT)</v>
      </c>
      <c r="EF336" t="str">
        <v>Arr Rpr - Amr (2N) - Par (2N) - IXD</v>
      </c>
      <c r="EG336" t="str">
        <v>1N Gwl - Orc - 2N Hjr - Jhn - 1N Gwl</v>
      </c>
      <c r="EH336" t="str">
        <v>1N Orc - 1N Hjr - 2N Gwl Ex Mor</v>
      </c>
      <c r="EI336" t="str">
        <v>1N Idr - Omk - 1N Mah - 1N Ujj - Seh - 1N Bho</v>
      </c>
      <c r="EJ336" t="str">
        <v>Ex Idr I 1N Idr - 1N Ujj - Omk - 2N Mah - Man - Idr</v>
      </c>
    </row>
    <row r="337" spans="2:145" ht="15" customHeight="1">
      <c r="B337" s="34">
        <v>333</v>
      </c>
      <c r="C337" s="36" t="s">
        <v>2158</v>
      </c>
      <c r="D337" s="76">
        <v>46268</v>
      </c>
      <c r="E337" s="37" t="str">
        <f>IF(Table5[[#This Row],[Query Date]]&lt;&gt;"", TEXT(Table5[[#This Row],[Query Date]], "dddd"), "")</f>
        <v>Thursday</v>
      </c>
      <c r="F337" s="37" t="str">
        <f>IF(Table5[[#This Row],[Query Date]]&lt;&gt;"", TEXT(Table5[[#This Row],[Query Date]], "mmmm"), "")</f>
        <v>September</v>
      </c>
      <c r="G337" s="28" t="s">
        <v>65</v>
      </c>
      <c r="H337" s="28" t="s">
        <v>66</v>
      </c>
      <c r="I337" s="28" t="s">
        <v>67</v>
      </c>
      <c r="J337" s="28" t="s">
        <v>68</v>
      </c>
      <c r="K337" s="28" t="s">
        <v>69</v>
      </c>
      <c r="L337" s="25" t="s">
        <v>70</v>
      </c>
      <c r="M337" s="112" t="s">
        <v>984</v>
      </c>
      <c r="N337" s="25"/>
      <c r="O337" s="130" t="s">
        <v>2159</v>
      </c>
      <c r="P337" s="46" t="s">
        <v>986</v>
      </c>
      <c r="Q337" s="77">
        <v>46315</v>
      </c>
      <c r="R337" s="77" t="str">
        <f>IF(Table5[[#This Row],[Tour Starting Date]]&lt;&gt;"", TEXT(Table5[[#This Row],[Tour Starting Date]], "dddd"), "")</f>
        <v>Tuesday</v>
      </c>
      <c r="S337" s="77">
        <v>46317</v>
      </c>
      <c r="T337" s="25" t="str">
        <f>IF(Table5[[#This Row],[Tour Ending Date]]&lt;&gt;"", TEXT(Table5[[#This Row],[Tour Ending Date]], "dddd"), "")</f>
        <v>Thursday</v>
      </c>
      <c r="U33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2 Nights &amp; 3 Days</v>
      </c>
      <c r="V337" s="37" t="str">
        <f>IF(Table5[[#This Row],[Tour Starting Date]]&lt;&gt;"", TEXT(Table5[[#This Row],[Tour Starting Date]], "mmmm"), "")</f>
        <v>October</v>
      </c>
      <c r="W337" s="80" t="str" cm="1">
        <f t="array" ref="W337">IF(Q337&lt;&gt;"", INDEX(CI:CI, MATCH(1, (Q337&gt;=CG:CG)*(Q337&lt;=CH:CH), 0)), "")</f>
        <v>Regular Dates - Weekday</v>
      </c>
      <c r="X337" s="39">
        <v>2</v>
      </c>
      <c r="Y337" s="74">
        <v>9500</v>
      </c>
      <c r="Z337" s="74">
        <f>IF(OR(Table5[[#This Row],[Per Person Package Cost]]="", Table5[[#This Row],[No. of Pax]]=""), "", Table5[[#This Row],[Per Person Package Cost]] * Table5[[#This Row],[No. of Pax]])</f>
        <v>19000</v>
      </c>
      <c r="AA337" s="52" t="s">
        <v>75</v>
      </c>
      <c r="AB337" s="52" t="s">
        <v>75</v>
      </c>
      <c r="AC337" s="52" t="s">
        <v>105</v>
      </c>
      <c r="AD337" s="52" t="s">
        <v>106</v>
      </c>
      <c r="AE337" s="51" t="str">
        <f t="shared" si="45"/>
        <v>EXIDR04</v>
      </c>
      <c r="AF337" s="51" t="str">
        <f t="shared" si="46"/>
        <v>Heritage Pilgrimage</v>
      </c>
      <c r="AG337" s="74" t="str">
        <f t="shared" si="47"/>
        <v>Quick Getaways</v>
      </c>
      <c r="AH337" s="73" t="str">
        <f t="shared" si="43"/>
        <v>West MP</v>
      </c>
      <c r="AI337" s="52" t="s">
        <v>107</v>
      </c>
      <c r="AJ337" s="56" t="s">
        <v>78</v>
      </c>
      <c r="AK337" s="59" t="s">
        <v>79</v>
      </c>
      <c r="AL337" s="60" t="s">
        <v>80</v>
      </c>
      <c r="AM337" s="54" t="s">
        <v>80</v>
      </c>
      <c r="AN337" s="14">
        <v>46277</v>
      </c>
      <c r="AO337" s="15"/>
      <c r="AP337" s="91"/>
      <c r="AQ337" s="87"/>
      <c r="AR337" s="26"/>
      <c r="AS337" s="65"/>
      <c r="AT337" s="88" t="s">
        <v>138</v>
      </c>
      <c r="AU337" s="67"/>
      <c r="CN337" t="s">
        <v>2160</v>
      </c>
      <c r="DA337" t="str" cm="1">
        <f t="array" ref="DA337:DY337">IF(U337&lt;&gt;"", TRANSPOSE(_xlfn._xlws.FILTER(CZ:CZ, CY:CY=U337, "")), "")</f>
        <v>Gwl (2N) + Mor</v>
      </c>
      <c r="DB337" t="str">
        <v>Ex Idr | Idr - Ujj (1N) - Omk - Mah (1N) - Man - Idr</v>
      </c>
      <c r="DC337" t="str">
        <v>Ujj (1N) - Omk - Idr (1N)</v>
      </c>
      <c r="DD337" t="str">
        <v>Ex Jlr | Jlr - Kan (2N) - Jlr</v>
      </c>
      <c r="DE337" t="str">
        <v>Ex Jlr | Jlr - Ban (2N) - Jlr</v>
      </c>
      <c r="DF337" t="str">
        <v>Ex Bho | Bho (2N) + Bhim + Bhoj + San</v>
      </c>
      <c r="DG337" t="str">
        <v>Ex Idr | Idr - Man (2N) - Idr</v>
      </c>
      <c r="DH337" t="str">
        <v>Ex Jlr | Jlr - Kan (2N) - Jlr</v>
      </c>
      <c r="DI337" t="str">
        <v>Ex Bho | Bho (2N) + Bhim + Bhoj + San + HDCT Bho</v>
      </c>
      <c r="DJ337" t="str">
        <v>Ex Bho | Bho - Bhim - Tawa (1N) - Mad (1N) - Bho</v>
      </c>
      <c r="DK337" t="str">
        <v>Ujj (1N) - Omk - Mah (1N) - Idr</v>
      </c>
      <c r="DL337" t="str">
        <v>Ujj (1N) -  Idr (1N)</v>
      </c>
      <c r="DM337" t="str">
        <v>Ex Idr | Idr (2N) + Ujj + Omk + Mah</v>
      </c>
      <c r="DN337" t="str">
        <v>Idr - Mah - Omk (1N) - Ujj (1N)</v>
      </c>
      <c r="DO337" t="str">
        <v>Idr - Ujj (1N) - Mah - Omk (1N) - Khandwa</v>
      </c>
      <c r="DP337" t="str">
        <v>Ex Idr | Idr (EX Ujj) (1N) - Mah - Omk (1N) - Idr HDCT</v>
      </c>
      <c r="DQ337" t="str">
        <v>Ujj (1N) - Sehor - Bho (1N) HDCT</v>
      </c>
      <c r="DR337" t="str">
        <v>Ex Jlr | Jlr (1N) - Ban (1N)</v>
      </c>
      <c r="DS337" t="str">
        <v>Ex Jlr | Ban (1N)</v>
      </c>
      <c r="DT337" t="str">
        <v>Ex Jlr | Jlr (2 N) Kan</v>
      </c>
      <c r="DU337" t="str">
        <v>Ex Jlr | Jlr - Amr (1 N) - (1 N) Ban</v>
      </c>
      <c r="DV337" t="str">
        <v>Ex Rpr | Rpr - (2N) Kan</v>
      </c>
      <c r="DW337" t="str">
        <v>Hjr (1N) - Mahi (1N) - Sat</v>
      </c>
      <c r="DX337" t="str">
        <v>Ex Bhp | Bhp - Bhim - Pch (2N) - Bhp</v>
      </c>
      <c r="DY337" t="str">
        <v xml:space="preserve">Ex Ujj I 2N Ujj </v>
      </c>
    </row>
    <row r="338" spans="2:145" ht="15" customHeight="1">
      <c r="B338" s="35">
        <v>334</v>
      </c>
      <c r="C338" s="36" t="s">
        <v>2161</v>
      </c>
      <c r="D338" s="76">
        <v>46268</v>
      </c>
      <c r="E338" s="37" t="str">
        <f>IF(Table5[[#This Row],[Query Date]]&lt;&gt;"", TEXT(Table5[[#This Row],[Query Date]], "dddd"), "")</f>
        <v>Thursday</v>
      </c>
      <c r="F338" s="37" t="str">
        <f>IF(Table5[[#This Row],[Query Date]]&lt;&gt;"", TEXT(Table5[[#This Row],[Query Date]], "mmmm"), "")</f>
        <v>September</v>
      </c>
      <c r="G338" s="28" t="s">
        <v>65</v>
      </c>
      <c r="H338" s="28" t="s">
        <v>66</v>
      </c>
      <c r="I338" s="28" t="s">
        <v>67</v>
      </c>
      <c r="J338" s="28" t="s">
        <v>68</v>
      </c>
      <c r="K338" s="28"/>
      <c r="L338" s="25" t="s">
        <v>70</v>
      </c>
      <c r="M338" s="112" t="s">
        <v>2162</v>
      </c>
      <c r="N338" s="25" t="s">
        <v>2163</v>
      </c>
      <c r="O338" s="130" t="s">
        <v>2164</v>
      </c>
      <c r="P338" s="46" t="s">
        <v>2165</v>
      </c>
      <c r="Q338" s="77">
        <v>46343</v>
      </c>
      <c r="R338" s="77" t="str">
        <f>IF(Table5[[#This Row],[Tour Starting Date]]&lt;&gt;"", TEXT(Table5[[#This Row],[Tour Starting Date]], "dddd"), "")</f>
        <v>Tuesday</v>
      </c>
      <c r="S338" s="77">
        <v>46349</v>
      </c>
      <c r="T338" s="25" t="str">
        <f>IF(Table5[[#This Row],[Tour Ending Date]]&lt;&gt;"", TEXT(Table5[[#This Row],[Tour Ending Date]], "dddd"), "")</f>
        <v>Monday</v>
      </c>
      <c r="U33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6 Nights &amp; 7 Days</v>
      </c>
      <c r="V338" s="37" t="str">
        <f>IF(Table5[[#This Row],[Tour Starting Date]]&lt;&gt;"", TEXT(Table5[[#This Row],[Tour Starting Date]], "mmmm"), "")</f>
        <v>November</v>
      </c>
      <c r="W338" s="80" t="str" cm="1">
        <f t="array" ref="W338">IF(Q338&lt;&gt;"", INDEX(CI:CI, MATCH(1, (Q338&gt;=CG:CG)*(Q338&lt;=CH:CH), 0)), "")</f>
        <v>Regular Dates - Weekday</v>
      </c>
      <c r="X338" s="39">
        <v>2</v>
      </c>
      <c r="Y338" s="74">
        <v>83000</v>
      </c>
      <c r="Z338" s="74">
        <f>IF(OR(Table5[[#This Row],[Per Person Package Cost]]="", Table5[[#This Row],[No. of Pax]]=""), "", Table5[[#This Row],[Per Person Package Cost]] * Table5[[#This Row],[No. of Pax]])</f>
        <v>166000</v>
      </c>
      <c r="AA338" s="52" t="s">
        <v>624</v>
      </c>
      <c r="AB338" s="52" t="s">
        <v>133</v>
      </c>
      <c r="AC338" s="52" t="s">
        <v>134</v>
      </c>
      <c r="AD338" s="52" t="s">
        <v>525</v>
      </c>
      <c r="AE338" s="51" t="str">
        <f t="shared" si="45"/>
        <v>EXJBP07</v>
      </c>
      <c r="AF338" s="51" t="str">
        <f t="shared" si="46"/>
        <v>Cultural Heritage, Wildlife &amp; Marble Rocks Escapade</v>
      </c>
      <c r="AG338" s="74" t="str">
        <f t="shared" si="47"/>
        <v>Quick Getaways</v>
      </c>
      <c r="AH338" s="73" t="str">
        <f t="shared" si="43"/>
        <v>North + East MP</v>
      </c>
      <c r="AI338" s="52" t="s">
        <v>107</v>
      </c>
      <c r="AJ338" s="56" t="s">
        <v>78</v>
      </c>
      <c r="AK338" s="59" t="s">
        <v>79</v>
      </c>
      <c r="AL338" s="60" t="s">
        <v>80</v>
      </c>
      <c r="AM338" s="54" t="s">
        <v>80</v>
      </c>
      <c r="AN338" s="14">
        <v>46272</v>
      </c>
      <c r="AO338" s="15"/>
      <c r="AP338" s="91"/>
      <c r="AQ338" s="87"/>
      <c r="AR338" s="26"/>
      <c r="AS338" s="65"/>
      <c r="AT338" s="88" t="s">
        <v>85</v>
      </c>
      <c r="AU338" s="67"/>
      <c r="CN338" t="s">
        <v>1709</v>
      </c>
      <c r="DA338" t="str" cm="1">
        <f t="array" ref="DA338:DZ338">IF(U338&lt;&gt;"", TRANSPOSE(_xlfn._xlws.FILTER(CZ:CZ, CY:CY=U338, "")), "")</f>
        <v>Ex Gwl | Gwl (2N) + Mor - Orc - Pan (2N) - Hjr (1N) - Dat - Son - Gwl (1N)</v>
      </c>
      <c r="DB338" t="str">
        <v>Ex Gwl | GWL (2N) + Mor - Shiv - Chan (2N) - Hjr (1N) - Orc (1N) - Dat - Gwl</v>
      </c>
      <c r="DC338" t="str">
        <v>Gwl (2N) + Mor - Son - Dat - Orc (1N) - Hjr (1N) - Ban (1N) - Jlr (1N)</v>
      </c>
      <c r="DD338" t="str">
        <v>Idr - Ujj (1N) - Omk - Mah (1N) - Man (2N) - Bhp (2N) + Bhim + Bhoj + San</v>
      </c>
      <c r="DE338" t="str">
        <v>Bhp (1N) + Bhim + Bhoj + San - Ujj (1N) - Man (2N) - Mah - Omk (1N) - Idr (1N)</v>
      </c>
      <c r="DF338" t="str">
        <v>Jlr (1N) - Ban (1N) - Hjr (1N) - Orc (1N) - Dat - Son - Gwl (2N) + Mor</v>
      </c>
      <c r="DG338" t="str">
        <v>Bho (1N) + San - Bhoj - Bhim - Tawa (1N) - Mad (1N) - Pch (2N) - Jlr (1N)</v>
      </c>
      <c r="DH338" t="str">
        <v>Bho (1N) + San + Udaygiri - Bhoj - Bhim - Pch (2N) - Kan(2N) - Jlr (1N)</v>
      </c>
      <c r="DI338" t="str">
        <v>Bho (1N) + Bhim + Bhoj - San - Ujj (1N) - Man (2N) - Mah - Omk (1N) - Idr (1N)</v>
      </c>
      <c r="DJ338" t="str">
        <v>Gwl (2N) + Mor - Son - Dat - Orc (1N) - Hjr (1N) - Jab (1N) - Kan (1N) - Nag</v>
      </c>
      <c r="DK338" t="str">
        <v>Bho (2N) + San + Bhoj + Bhim - Ujj (1N) - Omk - Mah (1N) - Man (1N) - Idr (1N)</v>
      </c>
      <c r="DL338" t="str">
        <v>Ex Nag | Nag - Pch (2N) - Bhim - Bhoj - Bho (2N) + San + Udaygiri - Jlr (1N) - Kan (1N) - Nag</v>
      </c>
      <c r="DM338" t="str">
        <v>Bho (1N) - Mad (2N) + Tawa Cruise Safari - Pch (2N) - Jlr (1N) - Nag</v>
      </c>
      <c r="DN338" t="str">
        <v>Idr - Man (2N) - Idr (1N) - Bho (1N) + San - Bhoj - Bhim - Pch (2N) - Bho</v>
      </c>
      <c r="DO338" t="str">
        <v>Rpr - kan (2N) - Ban (1N) - Jlr (1N) - Mad (2N) - Bhim - Bhoj - Bho</v>
      </c>
      <c r="DP338" t="str">
        <v>Jlr - Amar (1 N) - Ban (2 N) - Kan (1N) - Pch (2N) - Ppi</v>
      </c>
      <c r="DQ338" t="str">
        <v>Jlr - (2N) Kan - (1N) Jlr - Bhim - Bhoj - (2N) Bho  (Ex San &amp; Uda)  - (1N) Ujj - Idr</v>
      </c>
      <c r="DR338" t="str">
        <v>Ex Nag | Nag (2 N) Pach - Bhim - Bhij - (2 N) Bho (Ex San &amp; Uad) - (1 N) Jlr - (1 N) Kan - Nag</v>
      </c>
      <c r="DS338" t="str">
        <v>(2 N) Bho (Ex San, Bhoj &amp; Bhim) - (1 N) Ujj - Omk - (1 N) Mah - (1 N) Man - (1 N) Idr</v>
      </c>
      <c r="DT338" t="str">
        <v>(2 N) Gwl (Ex Mor) - Son - Dat - (1 N) Orc - (1 N) Hjr - (1 N) Jlr - (1 N) Kan - Nag</v>
      </c>
      <c r="DU338" t="str">
        <v>(1 N) Jlr - (2 N) Kanha - (2 N Pach) - (1 N) BHo</v>
      </c>
      <c r="DV338" t="str">
        <v>(2 N) Gwl - (1 N) Orc - (1 N) Hjr - (1 N) Ban - (1 N) Jlr</v>
      </c>
      <c r="DW338" t="str">
        <v>(2 N) BHo - (2 N) Madhai - (1 N) Pach - (1 N) Jlr</v>
      </c>
      <c r="DX338" t="str">
        <v>Ex Bhp | Bhp - Bhoj - Bhim - Pach (3N) - Tawa - Mad - Tawa (1N) - Mad (1N) - Bho (1N)</v>
      </c>
      <c r="DY338" t="str">
        <v>Ex Idr I Idr - 2N Ujj - 1N Man - 1N Mah - 1N Omk - 1N Idr</v>
      </c>
      <c r="DZ338" t="str">
        <v>1N Jlr - 1N Kan - 1N Ban - 1N Hjr -2N Gwl</v>
      </c>
    </row>
    <row r="339" spans="2:145" ht="15" customHeight="1">
      <c r="B339" s="34">
        <v>335</v>
      </c>
      <c r="C339" s="36" t="s">
        <v>2166</v>
      </c>
      <c r="D339" s="76">
        <v>46269</v>
      </c>
      <c r="E339" s="37" t="str">
        <f>IF(Table5[[#This Row],[Query Date]]&lt;&gt;"", TEXT(Table5[[#This Row],[Query Date]], "dddd"), "")</f>
        <v>Friday</v>
      </c>
      <c r="F339" s="37" t="str">
        <f>IF(Table5[[#This Row],[Query Date]]&lt;&gt;"", TEXT(Table5[[#This Row],[Query Date]], "mmmm"), "")</f>
        <v>September</v>
      </c>
      <c r="G339" s="28" t="s">
        <v>65</v>
      </c>
      <c r="H339" s="28" t="s">
        <v>99</v>
      </c>
      <c r="I339" s="28" t="s">
        <v>67</v>
      </c>
      <c r="J339" s="28" t="s">
        <v>68</v>
      </c>
      <c r="K339" s="28" t="s">
        <v>2167</v>
      </c>
      <c r="L339" s="25" t="s">
        <v>70</v>
      </c>
      <c r="M339" s="112" t="s">
        <v>502</v>
      </c>
      <c r="N339" s="25" t="s">
        <v>2168</v>
      </c>
      <c r="O339" s="130" t="s">
        <v>2169</v>
      </c>
      <c r="P339" s="46" t="s">
        <v>508</v>
      </c>
      <c r="Q339" s="77">
        <v>46319</v>
      </c>
      <c r="R339" s="77" t="str">
        <f>IF(Table5[[#This Row],[Tour Starting Date]]&lt;&gt;"", TEXT(Table5[[#This Row],[Tour Starting Date]], "dddd"), "")</f>
        <v>Saturday</v>
      </c>
      <c r="S339" s="77">
        <v>46322</v>
      </c>
      <c r="T339" s="25" t="str">
        <f>IF(Table5[[#This Row],[Tour Ending Date]]&lt;&gt;"", TEXT(Table5[[#This Row],[Tour Ending Date]], "dddd"), "")</f>
        <v>Tuesday</v>
      </c>
      <c r="U33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3 Nights &amp; 4 Days</v>
      </c>
      <c r="V339" s="37" t="str">
        <f>IF(Table5[[#This Row],[Tour Starting Date]]&lt;&gt;"", TEXT(Table5[[#This Row],[Tour Starting Date]], "mmmm"), "")</f>
        <v>October</v>
      </c>
      <c r="W339" s="80" t="str" cm="1">
        <f t="array" ref="W339">IF(Q339&lt;&gt;"", INDEX(CI:CI, MATCH(1, (Q339&gt;=CG:CG)*(Q339&lt;=CH:CH), 0)), "")</f>
        <v>Regular Dates - Weekend</v>
      </c>
      <c r="X339" s="39">
        <v>3</v>
      </c>
      <c r="Y339" s="74">
        <v>18300</v>
      </c>
      <c r="Z339" s="74">
        <f>IF(OR(Table5[[#This Row],[Per Person Package Cost]]="", Table5[[#This Row],[No. of Pax]]=""), "", Table5[[#This Row],[Per Person Package Cost]] * Table5[[#This Row],[No. of Pax]])</f>
        <v>54900</v>
      </c>
      <c r="AA339" s="52" t="s">
        <v>75</v>
      </c>
      <c r="AB339" s="52" t="s">
        <v>75</v>
      </c>
      <c r="AC339" s="52" t="s">
        <v>134</v>
      </c>
      <c r="AD339" s="52" t="s">
        <v>183</v>
      </c>
      <c r="AE339" s="51" t="str">
        <f t="shared" si="45"/>
        <v>EXIDR05</v>
      </c>
      <c r="AF339" s="51" t="str">
        <f t="shared" si="46"/>
        <v>The Marvels Of Malwa</v>
      </c>
      <c r="AG339" s="74" t="str">
        <f t="shared" si="47"/>
        <v>Quick Getaways</v>
      </c>
      <c r="AH339" s="73" t="str">
        <f t="shared" si="43"/>
        <v>West MP</v>
      </c>
      <c r="AI339" s="52" t="s">
        <v>107</v>
      </c>
      <c r="AJ339" s="56" t="s">
        <v>78</v>
      </c>
      <c r="AK339" s="59" t="s">
        <v>79</v>
      </c>
      <c r="AL339" s="60" t="s">
        <v>80</v>
      </c>
      <c r="AM339" s="54" t="s">
        <v>80</v>
      </c>
      <c r="AN339" s="14">
        <v>46272</v>
      </c>
      <c r="AO339" s="15"/>
      <c r="AP339" s="91"/>
      <c r="AQ339" s="87"/>
      <c r="AR339" s="26"/>
      <c r="AS339" s="65"/>
      <c r="AT339" s="88" t="s">
        <v>85</v>
      </c>
      <c r="AU339" s="67"/>
      <c r="CN339" t="s">
        <v>2170</v>
      </c>
      <c r="DA339" t="str" cm="1">
        <f t="array" ref="DA339:EO339">IF(U339&lt;&gt;"", TRANSPOSE(_xlfn._xlws.FILTER(CZ:CZ, CY:CY=U339, "")), "")</f>
        <v>Gwl (3N) + Mor + Son + Dat + Orc</v>
      </c>
      <c r="DB339" t="str">
        <v>Ex Gwl | Gwl (1N) - Son - Dat - Orc (1N) - Gwl (1N)</v>
      </c>
      <c r="DC339" t="str">
        <v>Ex Idr | Idr - Ujj (1N) - Omk - Mah (1N) - Man (1N) - Idr</v>
      </c>
      <c r="DD339" t="str">
        <v>Ex Jlr | Jlr - Kan (2N) - Jlr (1N)</v>
      </c>
      <c r="DE339" t="str">
        <v>Ex Jlr | Jlr - Ban (2N) - Jlr (1N)</v>
      </c>
      <c r="DF339" t="str">
        <v>Ex Bho | Bho (1N) + San - Bhoj - Bhim - Pch (2N) - Bho</v>
      </c>
      <c r="DG339" t="str">
        <v>Ex Idr | Idr (1N) - Ujj (1N) - Omk (1N) - Mah - Idr</v>
      </c>
      <c r="DH339" t="str">
        <v>Gwl - Orc (1N) - Ckt (1N) - Myr (1N) - Jlr</v>
      </c>
      <c r="DI339" t="str">
        <v>Gwl - Orc (1N) - Ckt (2N) - Ixd</v>
      </c>
      <c r="DJ339" t="str">
        <v>Ex Idr | Idr - Ujj (1N) - Omk - Mah (1N) - Idr (1N)</v>
      </c>
      <c r="DK339" t="str">
        <v>Ex Jlr | Jlr - Kan (3N) - Jlr</v>
      </c>
      <c r="DL339" t="str">
        <v>Ex Bho | Bho (2N) + Bhim + Bhoj + San + Udaygiri + Vidisha + FDCT Bho</v>
      </c>
      <c r="DM339" t="str">
        <v>Bho (1N) + Bhim + Bhoj - HDCT  Bho + Sanchi - Ujj (2N)</v>
      </c>
      <c r="DN339" t="str">
        <v>Bho (1N) + Bhim + Bhoj - HDCT  Bho + Sanchi - Ujj (2N) - Idr</v>
      </c>
      <c r="DO339" t="str">
        <v>Ex Bho | Bho - Bhoj - Bhim - Mad (1N) - Pch (2N) - Bho</v>
      </c>
      <c r="DP339" t="str">
        <v>Ex Bho | Bho - Bhoj - Bhim - Mad (1N) - Pch (3N) - Bho</v>
      </c>
      <c r="DQ339" t="str">
        <v>Ex Bho | Bho - Bhoj - Bhim - Tawa (1N) - Mad (1N) - Bho (1N)</v>
      </c>
      <c r="DR339" t="str">
        <v>Bho (1N) - Bhim - Bhoj - San - Idr (2N) + Ujj</v>
      </c>
      <c r="DS339" t="str">
        <v>Bho (1N) - Bhoj - Bhim - Pch (2N) - Bho</v>
      </c>
      <c r="DT339" t="str">
        <v>Ujj (1N) - Omk - Mah (1N) - Idr (1N)</v>
      </c>
      <c r="DU339" t="str">
        <v>Ujj (1N) - Omk - Mah (1N) - Man (1N) - Idr</v>
      </c>
      <c r="DV339" t="str">
        <v>Ex Idr | Idr (1N) - Ujj (1N) - Omk - Mah (1N)</v>
      </c>
      <c r="DW339" t="str">
        <v>Ex Idr | Idr - Ujj (1N) - Omk (1N) - Mah (1N) - Idr</v>
      </c>
      <c r="DX339" t="str">
        <v>Khandwa - Omk (1N) - Mah (1N) - Ujj (1N) - Idr</v>
      </c>
      <c r="DY339" t="str">
        <v>Ex Idr | Idr - Ujj (1N) - Omk - Mah (1N) - Man - Idr (1N)</v>
      </c>
      <c r="DZ339" t="str">
        <v xml:space="preserve">Idr - Omk (1N) - Mah - Ujj (1N) San - Bho (1N) </v>
      </c>
      <c r="EA339" t="str">
        <v>Ex Idr | Idr - Man (1N) - Mah - Omk (1N) - Ujj (1N) - Idr</v>
      </c>
      <c r="EB339" t="str">
        <v>Khandwa - Omk (1N) - Mah - Ujj (2N)</v>
      </c>
      <c r="EC339" t="str">
        <v>Ex Jlr | Jlr (1N) - Amr (1N) - Ban (1N) - Jlr</v>
      </c>
      <c r="ED339" t="str">
        <v>Ex Jlr | Jlr - (1 N) Ban - (2 N) Amar</v>
      </c>
      <c r="EE339" t="str">
        <v>Jlr - Kan (1N) - Pch (2N)</v>
      </c>
      <c r="EF339" t="str">
        <v>Pi - Pch (2N)  - Kan (1N)</v>
      </c>
      <c r="EG339" t="str">
        <v>Ex Jlr | Jlr - Amr (1 N) - (1 N) Ban - (1 N) Jlr</v>
      </c>
      <c r="EH339" t="str">
        <v>Ppi - (2 N) Pch - (1 N) Pen</v>
      </c>
      <c r="EI339" t="str">
        <v>Bhp - Pch (2N) - Jlr (1N)</v>
      </c>
      <c r="EJ339" t="str">
        <v xml:space="preserve">Arr Jhn - Hjr (1N) - Orc - Gwl (2N) </v>
      </c>
      <c r="EK339" t="str">
        <v>(1 N) Ujj - (1 N) Mah - (1 N) Idr</v>
      </c>
      <c r="EL339" t="str">
        <v>Ex Bhp | Bhp - Bhoj - Bhim - Pch (3N) - Bhp</v>
      </c>
      <c r="EM339" t="str">
        <v>Ex Bhp | Bhp - Bhoj - Bhim - Pch (2N) - Mad (1N) - Bhp</v>
      </c>
      <c r="EN339" t="str">
        <v xml:space="preserve">Ex Nag - 3N Pch + Sat </v>
      </c>
      <c r="EO339" t="str">
        <v>1N Gwl - Son - Dat - 1N Hjr - 1N Orc - Jhn</v>
      </c>
    </row>
    <row r="340" spans="2:145" ht="15" customHeight="1">
      <c r="B340" s="35">
        <v>336</v>
      </c>
      <c r="C340" s="36" t="s">
        <v>2171</v>
      </c>
      <c r="D340" s="76">
        <v>46273</v>
      </c>
      <c r="E340" s="37" t="str">
        <f>IF(Table5[[#This Row],[Query Date]]&lt;&gt;"", TEXT(Table5[[#This Row],[Query Date]], "dddd"), "")</f>
        <v>Tuesday</v>
      </c>
      <c r="F340" s="37" t="str">
        <f>IF(Table5[[#This Row],[Query Date]]&lt;&gt;"", TEXT(Table5[[#This Row],[Query Date]], "mmmm"), "")</f>
        <v>September</v>
      </c>
      <c r="G340" s="28" t="s">
        <v>65</v>
      </c>
      <c r="H340" s="28" t="s">
        <v>99</v>
      </c>
      <c r="I340" s="28" t="s">
        <v>67</v>
      </c>
      <c r="J340" s="28" t="s">
        <v>68</v>
      </c>
      <c r="K340" s="28" t="s">
        <v>178</v>
      </c>
      <c r="L340" s="25" t="s">
        <v>70</v>
      </c>
      <c r="M340" s="112" t="s">
        <v>417</v>
      </c>
      <c r="N340" s="25" t="s">
        <v>1412</v>
      </c>
      <c r="O340" s="130" t="s">
        <v>1413</v>
      </c>
      <c r="P340" s="106" t="s">
        <v>888</v>
      </c>
      <c r="Q340" s="77">
        <v>46310</v>
      </c>
      <c r="R340" s="77" t="str">
        <f>IF(Table5[[#This Row],[Tour Starting Date]]&lt;&gt;"", TEXT(Table5[[#This Row],[Tour Starting Date]], "dddd"), "")</f>
        <v>Thursday</v>
      </c>
      <c r="S340" s="77">
        <v>46312</v>
      </c>
      <c r="T340" s="25" t="str">
        <f>IF(Table5[[#This Row],[Tour Ending Date]]&lt;&gt;"", TEXT(Table5[[#This Row],[Tour Ending Date]], "dddd"), "")</f>
        <v>Saturday</v>
      </c>
      <c r="U34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2 Nights &amp; 3 Days</v>
      </c>
      <c r="V340" s="37" t="str">
        <f>IF(Table5[[#This Row],[Tour Starting Date]]&lt;&gt;"", TEXT(Table5[[#This Row],[Tour Starting Date]], "mmmm"), "")</f>
        <v>October</v>
      </c>
      <c r="W340" s="80" t="str" cm="1">
        <f t="array" ref="W340">IF(Q340&lt;&gt;"", INDEX(CI:CI, MATCH(1, (Q340&gt;=CG:CG)*(Q340&lt;=CH:CH), 0)), "")</f>
        <v>Regular Dates - Weekday</v>
      </c>
      <c r="X340" s="39">
        <v>4</v>
      </c>
      <c r="Y340" s="74">
        <v>9400</v>
      </c>
      <c r="Z340" s="74">
        <f>IF(OR(Table5[[#This Row],[Per Person Package Cost]]="", Table5[[#This Row],[No. of Pax]]=""), "", Table5[[#This Row],[Per Person Package Cost]] * Table5[[#This Row],[No. of Pax]])</f>
        <v>37600</v>
      </c>
      <c r="AA340" s="52" t="s">
        <v>75</v>
      </c>
      <c r="AB340" s="52" t="s">
        <v>75</v>
      </c>
      <c r="AC340" s="52" t="s">
        <v>76</v>
      </c>
      <c r="AD340" s="52" t="s">
        <v>1053</v>
      </c>
      <c r="AE340" s="51" t="str">
        <f t="shared" si="45"/>
        <v>EXIDR22</v>
      </c>
      <c r="AF340" s="51" t="str">
        <f t="shared" si="46"/>
        <v>The Sacred Experience Of Madhya Pradesh</v>
      </c>
      <c r="AG340" s="74" t="str">
        <f t="shared" si="47"/>
        <v>Quick Getaways</v>
      </c>
      <c r="AH340" s="73" t="str">
        <f t="shared" ref="AH340:AH403" si="48">IF(AD340&lt;&gt;"", INDEX(CV:CV, MATCH(AD340, CZ:CZ, 0)), "")</f>
        <v>West MP</v>
      </c>
      <c r="AI340" s="52" t="s">
        <v>159</v>
      </c>
      <c r="AJ340" s="56" t="s">
        <v>78</v>
      </c>
      <c r="AK340" s="59" t="s">
        <v>79</v>
      </c>
      <c r="AL340" s="60" t="s">
        <v>80</v>
      </c>
      <c r="AM340" s="54" t="s">
        <v>80</v>
      </c>
      <c r="AN340" s="14">
        <v>46276</v>
      </c>
      <c r="AO340" s="15"/>
      <c r="AP340" s="91"/>
      <c r="AQ340" s="87"/>
      <c r="AR340" s="26"/>
      <c r="AS340" s="65"/>
      <c r="AT340" s="88" t="s">
        <v>138</v>
      </c>
      <c r="AU340" s="67"/>
      <c r="CN340" t="s">
        <v>2172</v>
      </c>
      <c r="DA340" t="str" cm="1">
        <f t="array" ref="DA340:DY340">IF(U340&lt;&gt;"", TRANSPOSE(_xlfn._xlws.FILTER(CZ:CZ, CY:CY=U340, "")), "")</f>
        <v>Gwl (2N) + Mor</v>
      </c>
      <c r="DB340" t="str">
        <v>Ex Idr | Idr - Ujj (1N) - Omk - Mah (1N) - Man - Idr</v>
      </c>
      <c r="DC340" t="str">
        <v>Ujj (1N) - Omk - Idr (1N)</v>
      </c>
      <c r="DD340" t="str">
        <v>Ex Jlr | Jlr - Kan (2N) - Jlr</v>
      </c>
      <c r="DE340" t="str">
        <v>Ex Jlr | Jlr - Ban (2N) - Jlr</v>
      </c>
      <c r="DF340" t="str">
        <v>Ex Bho | Bho (2N) + Bhim + Bhoj + San</v>
      </c>
      <c r="DG340" t="str">
        <v>Ex Idr | Idr - Man (2N) - Idr</v>
      </c>
      <c r="DH340" t="str">
        <v>Ex Jlr | Jlr - Kan (2N) - Jlr</v>
      </c>
      <c r="DI340" t="str">
        <v>Ex Bho | Bho (2N) + Bhim + Bhoj + San + HDCT Bho</v>
      </c>
      <c r="DJ340" t="str">
        <v>Ex Bho | Bho - Bhim - Tawa (1N) - Mad (1N) - Bho</v>
      </c>
      <c r="DK340" t="str">
        <v>Ujj (1N) - Omk - Mah (1N) - Idr</v>
      </c>
      <c r="DL340" t="str">
        <v>Ujj (1N) -  Idr (1N)</v>
      </c>
      <c r="DM340" t="str">
        <v>Ex Idr | Idr (2N) + Ujj + Omk + Mah</v>
      </c>
      <c r="DN340" t="str">
        <v>Idr - Mah - Omk (1N) - Ujj (1N)</v>
      </c>
      <c r="DO340" t="str">
        <v>Idr - Ujj (1N) - Mah - Omk (1N) - Khandwa</v>
      </c>
      <c r="DP340" t="str">
        <v>Ex Idr | Idr (EX Ujj) (1N) - Mah - Omk (1N) - Idr HDCT</v>
      </c>
      <c r="DQ340" t="str">
        <v>Ujj (1N) - Sehor - Bho (1N) HDCT</v>
      </c>
      <c r="DR340" t="str">
        <v>Ex Jlr | Jlr (1N) - Ban (1N)</v>
      </c>
      <c r="DS340" t="str">
        <v>Ex Jlr | Ban (1N)</v>
      </c>
      <c r="DT340" t="str">
        <v>Ex Jlr | Jlr (2 N) Kan</v>
      </c>
      <c r="DU340" t="str">
        <v>Ex Jlr | Jlr - Amr (1 N) - (1 N) Ban</v>
      </c>
      <c r="DV340" t="str">
        <v>Ex Rpr | Rpr - (2N) Kan</v>
      </c>
      <c r="DW340" t="str">
        <v>Hjr (1N) - Mahi (1N) - Sat</v>
      </c>
      <c r="DX340" t="str">
        <v>Ex Bhp | Bhp - Bhim - Pch (2N) - Bhp</v>
      </c>
      <c r="DY340" t="str">
        <v xml:space="preserve">Ex Ujj I 2N Ujj </v>
      </c>
    </row>
    <row r="341" spans="2:145" ht="15" customHeight="1">
      <c r="B341" s="34">
        <v>337</v>
      </c>
      <c r="C341" s="36" t="s">
        <v>2173</v>
      </c>
      <c r="D341" s="76">
        <v>46273</v>
      </c>
      <c r="E341" s="37" t="str">
        <f>IF(Table5[[#This Row],[Query Date]]&lt;&gt;"", TEXT(Table5[[#This Row],[Query Date]], "dddd"), "")</f>
        <v>Tuesday</v>
      </c>
      <c r="F341" s="37" t="str">
        <f>IF(Table5[[#This Row],[Query Date]]&lt;&gt;"", TEXT(Table5[[#This Row],[Query Date]], "mmmm"), "")</f>
        <v>September</v>
      </c>
      <c r="G341" s="28" t="s">
        <v>65</v>
      </c>
      <c r="H341" s="28" t="s">
        <v>99</v>
      </c>
      <c r="I341" s="28" t="s">
        <v>67</v>
      </c>
      <c r="J341" s="28" t="s">
        <v>68</v>
      </c>
      <c r="K341" s="28" t="s">
        <v>178</v>
      </c>
      <c r="L341" s="25" t="s">
        <v>70</v>
      </c>
      <c r="M341" s="112" t="s">
        <v>417</v>
      </c>
      <c r="N341" s="25" t="s">
        <v>1412</v>
      </c>
      <c r="O341" s="130" t="s">
        <v>1413</v>
      </c>
      <c r="P341" s="46" t="s">
        <v>888</v>
      </c>
      <c r="Q341" s="77">
        <v>46311</v>
      </c>
      <c r="R341" s="77" t="str">
        <f>IF(Table5[[#This Row],[Tour Starting Date]]&lt;&gt;"", TEXT(Table5[[#This Row],[Tour Starting Date]], "dddd"), "")</f>
        <v>Friday</v>
      </c>
      <c r="S341" s="77">
        <v>46315</v>
      </c>
      <c r="T341" s="25" t="str">
        <f>IF(Table5[[#This Row],[Tour Ending Date]]&lt;&gt;"", TEXT(Table5[[#This Row],[Tour Ending Date]], "dddd"), "")</f>
        <v>Tuesday</v>
      </c>
      <c r="U34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4 Nights &amp; 5 Days</v>
      </c>
      <c r="V341" s="37" t="str">
        <f>IF(Table5[[#This Row],[Tour Starting Date]]&lt;&gt;"", TEXT(Table5[[#This Row],[Tour Starting Date]], "mmmm"), "")</f>
        <v>October</v>
      </c>
      <c r="W341" s="80" t="str" cm="1">
        <f t="array" ref="W341">IF(Q341&lt;&gt;"", INDEX(CI:CI, MATCH(1, (Q341&gt;=CG:CG)*(Q341&lt;=CH:CH), 0)), "")</f>
        <v>Regular Dates - Weekend</v>
      </c>
      <c r="X341" s="39">
        <v>8</v>
      </c>
      <c r="Y341" s="74">
        <v>13500</v>
      </c>
      <c r="Z341" s="74">
        <f>IF(OR(Table5[[#This Row],[Per Person Package Cost]]="", Table5[[#This Row],[No. of Pax]]=""), "", Table5[[#This Row],[Per Person Package Cost]] * Table5[[#This Row],[No. of Pax]])</f>
        <v>108000</v>
      </c>
      <c r="AA341" s="52" t="s">
        <v>75</v>
      </c>
      <c r="AB341" s="52" t="s">
        <v>75</v>
      </c>
      <c r="AC341" s="52" t="s">
        <v>76</v>
      </c>
      <c r="AD341" s="52" t="s">
        <v>183</v>
      </c>
      <c r="AE341" s="51" t="str">
        <f t="shared" si="45"/>
        <v>EXIDR05</v>
      </c>
      <c r="AF341" s="51" t="str">
        <f t="shared" si="46"/>
        <v>The Marvels Of Malwa</v>
      </c>
      <c r="AG341" s="74" t="str">
        <f t="shared" si="47"/>
        <v>Quick Getaways</v>
      </c>
      <c r="AH341" s="73" t="str">
        <f t="shared" si="48"/>
        <v>West MP</v>
      </c>
      <c r="AI341" s="52" t="s">
        <v>159</v>
      </c>
      <c r="AJ341" s="56" t="s">
        <v>78</v>
      </c>
      <c r="AK341" s="59" t="s">
        <v>79</v>
      </c>
      <c r="AL341" s="60" t="s">
        <v>80</v>
      </c>
      <c r="AM341" s="54" t="s">
        <v>80</v>
      </c>
      <c r="AN341" s="14">
        <v>46276</v>
      </c>
      <c r="AO341" s="15"/>
      <c r="AP341" s="91"/>
      <c r="AQ341" s="87"/>
      <c r="AR341" s="26"/>
      <c r="AS341" s="65"/>
      <c r="AT341" s="88" t="s">
        <v>138</v>
      </c>
      <c r="AU341" s="67"/>
      <c r="CN341" t="s">
        <v>2174</v>
      </c>
      <c r="DA341" t="str" cm="1">
        <f t="array" ref="DA341:EJ341">IF(U341&lt;&gt;"", TRANSPOSE(_xlfn._xlws.FILTER(CZ:CZ, CY:CY=U341, "")), "")</f>
        <v>Ex Gwl | Gwl (2N) + Mor - Son - Dat - Orc (1N) - Hjr (1N) - Gwl</v>
      </c>
      <c r="DB341" t="str">
        <v>Ex Idr | Idr - Ujj (1N) - Omk - Mah (1N) - Man (1N) - Idr (1N)</v>
      </c>
      <c r="DC341" t="str">
        <v>Ex Idr | Idr - Ujj (1N) - Omk (1N) - Mah (1N) - Man (1N) - Idr</v>
      </c>
      <c r="DD341" t="str">
        <v>Ex Jlr | Jlr - Kan (2N) - Amk (1N) - Jlr (1N)</v>
      </c>
      <c r="DE341" t="str">
        <v>Ex Jlr | Jlr - Ban (2N) - Amk (1N) - Jlr (1N)</v>
      </c>
      <c r="DF341" t="str">
        <v>Ex Jlr | Jlr (1N) - Hjr (1N) - Ban (2N) - Jlr</v>
      </c>
      <c r="DG341" t="str">
        <v>Ex Jlr | Jlr (1N) - Kan (1N) - Ban (2N) - Jlr</v>
      </c>
      <c r="DH341" t="str">
        <v>Ex Bho | Bho (1N) + San + Bhoj + Bhim - Tawa - Mad (1N) - Pch (2N) - Bho</v>
      </c>
      <c r="DI341" t="str">
        <v>Ex Idr | Idr - Ujj (1N) - Omk - Mah (1N) - Man (1N) - Idr (1N)</v>
      </c>
      <c r="DJ341" t="str">
        <v>Ex Bho | Bho (1N) - Bhoj - Bhim - Pch (3N) - Bho</v>
      </c>
      <c r="DK341" t="str">
        <v>Gwl (1N) - Dat (Pitambara Peeth) - Orc (1N) - Ckt (2N) - Ixd</v>
      </c>
      <c r="DL341" t="str">
        <v>Ex Jlr | Jlr - Ban (2N) - Kan (2N) - Jlr</v>
      </c>
      <c r="DM341" t="str">
        <v>Jlr - Ban (1N) - Kan (1N) - Pen (2N) - Nag</v>
      </c>
      <c r="DN341" t="str">
        <v>Ex Bho | Bho (1N) - Bhoj - Bhim - Pch (3N) - Bho</v>
      </c>
      <c r="DO341" t="str">
        <v>Ex Bho | Bho (2N) + Sanchi + Bhoj + Bhim - Tawa - Mad (1N) - Bho (1N)</v>
      </c>
      <c r="DP341" t="str">
        <v>Ex Bho | Bho - Bhoj - Bhim - Tawa (1N) - Mad (1N) - Pch (2N) - Bho</v>
      </c>
      <c r="DQ341" t="str">
        <v>Bho - Bhoj - Bhim - Pch (2N) - Kan (1N) - Jlr (1N)</v>
      </c>
      <c r="DR341" t="str">
        <v>Bho - Bhoj - Bhim - Pch (2N) - Kan (1N) - Amk (1N) - Jlr</v>
      </c>
      <c r="DS341" t="str">
        <v xml:space="preserve">Bho (1N) + Bhim + Bhoj + San - Ujj (1N) - Omk - Mah (1N) - Idr (1N) </v>
      </c>
      <c r="DT341" t="str">
        <v>Ex Gwl | Gwl - Hjr (1N) - Orc (1N) - Dat - Son - Gwl (2N)</v>
      </c>
      <c r="DU341" t="str">
        <v>Ex Gwl | Gwl - Orc (1N) - Hjr (1N) - Chn (1N) - Shiv (1N) - Gwl</v>
      </c>
      <c r="DV341" t="str">
        <v>Gwl - Hjr (1N) - Panna (1N) - Chit (1N) - Mahi (1N) - Sat</v>
      </c>
      <c r="DW341" t="str">
        <v>Jlr - (2 N) Kan - (2 N) Pch - Bhim - Bhoj - Bhp</v>
      </c>
      <c r="DX341" t="str">
        <v>Jlr - (2 N) Kan - (2 N) Pen - Rpr</v>
      </c>
      <c r="DY341" t="str">
        <v>Gwl (2N) (Ex Mor) - Dat -Orc (1N) - Hjr (1N) - Jhn</v>
      </c>
      <c r="DZ341" t="str">
        <v>Ex Gwl | Gwl (1N) - Son - Dat - Orc (1N) - Hjr (2N) (Ex Panna) - Gwl</v>
      </c>
      <c r="EA341" t="str">
        <v>Hjr (1N) - Orc (1N) - Dat - son - Gwl (2N)(Ex Mor)</v>
      </c>
      <c r="EB341" t="str">
        <v>(2 N) Gwl - (1 N) Orch - (1 N) Hjr</v>
      </c>
      <c r="EC341" t="str">
        <v>Ex Bhp | Bhp - Bhoj - Bhim - Pch (2N) - Mad (1N) - Tawa (1N) - Bhp</v>
      </c>
      <c r="ED341" t="str">
        <v>Ex Bhp | Bhp - Bhoj - Bhim - Pch (2N) - Mad (2N) - Bhp</v>
      </c>
      <c r="EE341" t="str">
        <v>Ex Idr | Idr - Ujj (1N) - Omk (1N) - Mah (2N) (Ex Man) - Idr (HDCT)</v>
      </c>
      <c r="EF341" t="str">
        <v>Arr Rpr - Amr (2N) - Par (2N) - IXD</v>
      </c>
      <c r="EG341" t="str">
        <v>1N Gwl - Orc - 2N Hjr - Jhn - 1N Gwl</v>
      </c>
      <c r="EH341" t="str">
        <v>1N Orc - 1N Hjr - 2N Gwl Ex Mor</v>
      </c>
      <c r="EI341" t="str">
        <v>1N Idr - Omk - 1N Mah - 1N Ujj - Seh - 1N Bho</v>
      </c>
      <c r="EJ341" t="str">
        <v>Ex Idr I 1N Idr - 1N Ujj - Omk - 2N Mah - Man - Idr</v>
      </c>
    </row>
    <row r="342" spans="2:145" ht="15" customHeight="1">
      <c r="B342" s="35">
        <v>338</v>
      </c>
      <c r="C342" s="36" t="s">
        <v>2175</v>
      </c>
      <c r="D342" s="76">
        <v>46273</v>
      </c>
      <c r="E342" s="37" t="str">
        <f>IF(Table5[[#This Row],[Query Date]]&lt;&gt;"", TEXT(Table5[[#This Row],[Query Date]], "dddd"), "")</f>
        <v>Tuesday</v>
      </c>
      <c r="F342" s="37" t="str">
        <f>IF(Table5[[#This Row],[Query Date]]&lt;&gt;"", TEXT(Table5[[#This Row],[Query Date]], "mmmm"), "")</f>
        <v>September</v>
      </c>
      <c r="G342" s="28" t="s">
        <v>65</v>
      </c>
      <c r="H342" s="28" t="s">
        <v>99</v>
      </c>
      <c r="I342" s="28" t="s">
        <v>67</v>
      </c>
      <c r="J342" s="28" t="s">
        <v>68</v>
      </c>
      <c r="K342" s="28" t="s">
        <v>178</v>
      </c>
      <c r="L342" s="25" t="s">
        <v>70</v>
      </c>
      <c r="M342" s="112" t="s">
        <v>417</v>
      </c>
      <c r="N342" s="25" t="s">
        <v>1404</v>
      </c>
      <c r="O342" s="130" t="s">
        <v>1525</v>
      </c>
      <c r="P342" s="46" t="s">
        <v>1406</v>
      </c>
      <c r="Q342" s="77"/>
      <c r="R342" s="77" t="str">
        <f>IF(Table5[[#This Row],[Tour Starting Date]]&lt;&gt;"", TEXT(Table5[[#This Row],[Tour Starting Date]], "dddd"), "")</f>
        <v/>
      </c>
      <c r="S342" s="77"/>
      <c r="T342" s="25" t="str">
        <f>IF(Table5[[#This Row],[Tour Ending Date]]&lt;&gt;"", TEXT(Table5[[#This Row],[Tour Ending Date]], "dddd"), "")</f>
        <v/>
      </c>
      <c r="U34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342" s="37" t="str">
        <f>IF(Table5[[#This Row],[Tour Starting Date]]&lt;&gt;"", TEXT(Table5[[#This Row],[Tour Starting Date]], "mmmm"), "")</f>
        <v/>
      </c>
      <c r="W342" s="80" t="str" cm="1">
        <f t="array" ref="W342">IF(Q342&lt;&gt;"", INDEX(CI:CI, MATCH(1, (Q342&gt;=CG:CG)*(Q342&lt;=CH:CH), 0)), "")</f>
        <v/>
      </c>
      <c r="X342" s="39"/>
      <c r="Y342" s="74">
        <v>12000</v>
      </c>
      <c r="Z342" s="74" t="str">
        <f>IF(OR(Table5[[#This Row],[Per Person Package Cost]]="", Table5[[#This Row],[No. of Pax]]=""), "", Table5[[#This Row],[Per Person Package Cost]] * Table5[[#This Row],[No. of Pax]])</f>
        <v/>
      </c>
      <c r="AA342" s="52" t="s">
        <v>75</v>
      </c>
      <c r="AB342" s="52" t="s">
        <v>75</v>
      </c>
      <c r="AC342" s="52"/>
      <c r="AD342" s="52" t="s">
        <v>1053</v>
      </c>
      <c r="AE342" s="51" t="str">
        <f t="shared" si="45"/>
        <v>EXIDR22</v>
      </c>
      <c r="AF342" s="51" t="str">
        <f t="shared" si="46"/>
        <v>The Sacred Experience Of Madhya Pradesh</v>
      </c>
      <c r="AG342" s="74" t="str">
        <f t="shared" si="47"/>
        <v>Quick Getaways</v>
      </c>
      <c r="AH342" s="73" t="str">
        <f t="shared" si="48"/>
        <v>West MP</v>
      </c>
      <c r="AI342" s="52" t="s">
        <v>159</v>
      </c>
      <c r="AJ342" s="56" t="s">
        <v>78</v>
      </c>
      <c r="AK342" s="59" t="s">
        <v>79</v>
      </c>
      <c r="AL342" s="60" t="s">
        <v>80</v>
      </c>
      <c r="AM342" s="54" t="s">
        <v>80</v>
      </c>
      <c r="AN342" s="14">
        <v>46276</v>
      </c>
      <c r="AO342" s="15"/>
      <c r="AP342" s="91"/>
      <c r="AQ342" s="87"/>
      <c r="AR342" s="26"/>
      <c r="AS342" s="65"/>
      <c r="AT342" s="88" t="s">
        <v>138</v>
      </c>
      <c r="AU342" s="67"/>
      <c r="CN342" t="s">
        <v>2176</v>
      </c>
      <c r="DA342" t="str" cm="1">
        <f t="array" ref="DA342">IF(U342&lt;&gt;"", TRANSPOSE(_xlfn._xlws.FILTER(CZ:CZ, CY:CY=U342, "")), "")</f>
        <v/>
      </c>
    </row>
    <row r="343" spans="2:145" ht="15" customHeight="1">
      <c r="B343" s="34">
        <v>339</v>
      </c>
      <c r="C343" s="36" t="s">
        <v>2177</v>
      </c>
      <c r="D343" s="76">
        <v>46273</v>
      </c>
      <c r="E343" s="37" t="str">
        <f>IF(Table5[[#This Row],[Query Date]]&lt;&gt;"", TEXT(Table5[[#This Row],[Query Date]], "dddd"), "")</f>
        <v>Tuesday</v>
      </c>
      <c r="F343" s="37" t="str">
        <f>IF(Table5[[#This Row],[Query Date]]&lt;&gt;"", TEXT(Table5[[#This Row],[Query Date]], "mmmm"), "")</f>
        <v>September</v>
      </c>
      <c r="G343" s="28" t="s">
        <v>65</v>
      </c>
      <c r="H343" s="28" t="s">
        <v>99</v>
      </c>
      <c r="I343" s="28" t="s">
        <v>67</v>
      </c>
      <c r="J343" s="28" t="s">
        <v>68</v>
      </c>
      <c r="K343" s="28" t="s">
        <v>178</v>
      </c>
      <c r="L343" s="25" t="s">
        <v>70</v>
      </c>
      <c r="M343" s="112" t="s">
        <v>417</v>
      </c>
      <c r="N343" s="25" t="s">
        <v>1412</v>
      </c>
      <c r="O343" s="130" t="s">
        <v>1413</v>
      </c>
      <c r="P343" s="106" t="s">
        <v>888</v>
      </c>
      <c r="Q343" s="77">
        <v>46331</v>
      </c>
      <c r="R343" s="77" t="str">
        <f>IF(Table5[[#This Row],[Tour Starting Date]]&lt;&gt;"", TEXT(Table5[[#This Row],[Tour Starting Date]], "dddd"), "")</f>
        <v>Thursday</v>
      </c>
      <c r="S343" s="77">
        <v>46333</v>
      </c>
      <c r="T343" s="25" t="str">
        <f>IF(Table5[[#This Row],[Tour Ending Date]]&lt;&gt;"", TEXT(Table5[[#This Row],[Tour Ending Date]], "dddd"), "")</f>
        <v>Saturday</v>
      </c>
      <c r="U34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2 Nights &amp; 3 Days</v>
      </c>
      <c r="V343" s="37" t="str">
        <f>IF(Table5[[#This Row],[Tour Starting Date]]&lt;&gt;"", TEXT(Table5[[#This Row],[Tour Starting Date]], "mmmm"), "")</f>
        <v>November</v>
      </c>
      <c r="W343" s="80" t="str" cm="1">
        <f t="array" ref="W343">IF(Q343&lt;&gt;"", INDEX(CI:CI, MATCH(1, (Q343&gt;=CG:CG)*(Q343&lt;=CH:CH), 0)), "")</f>
        <v>Regular Dates - Weekday</v>
      </c>
      <c r="X343" s="39">
        <v>3</v>
      </c>
      <c r="Y343" s="74">
        <v>8100</v>
      </c>
      <c r="Z343" s="74">
        <f>IF(OR(Table5[[#This Row],[Per Person Package Cost]]="", Table5[[#This Row],[No. of Pax]]=""), "", Table5[[#This Row],[Per Person Package Cost]] * Table5[[#This Row],[No. of Pax]])</f>
        <v>24300</v>
      </c>
      <c r="AA343" s="52" t="s">
        <v>75</v>
      </c>
      <c r="AB343" s="52" t="s">
        <v>75</v>
      </c>
      <c r="AC343" s="52" t="s">
        <v>76</v>
      </c>
      <c r="AD343" s="52" t="s">
        <v>1053</v>
      </c>
      <c r="AE343" s="51" t="str">
        <f t="shared" si="45"/>
        <v>EXIDR22</v>
      </c>
      <c r="AF343" s="51" t="str">
        <f t="shared" si="46"/>
        <v>The Sacred Experience Of Madhya Pradesh</v>
      </c>
      <c r="AG343" s="74" t="str">
        <f t="shared" si="47"/>
        <v>Quick Getaways</v>
      </c>
      <c r="AH343" s="73" t="str">
        <f t="shared" si="48"/>
        <v>West MP</v>
      </c>
      <c r="AI343" s="52" t="s">
        <v>159</v>
      </c>
      <c r="AJ343" s="56" t="s">
        <v>78</v>
      </c>
      <c r="AK343" s="59" t="s">
        <v>79</v>
      </c>
      <c r="AL343" s="60" t="s">
        <v>80</v>
      </c>
      <c r="AM343" s="54" t="s">
        <v>80</v>
      </c>
      <c r="AN343" s="14">
        <v>46276</v>
      </c>
      <c r="AO343" s="15"/>
      <c r="AP343" s="91"/>
      <c r="AQ343" s="87"/>
      <c r="AR343" s="26"/>
      <c r="AS343" s="65"/>
      <c r="AT343" s="88" t="s">
        <v>138</v>
      </c>
      <c r="AU343" s="67"/>
      <c r="CN343" t="s">
        <v>2178</v>
      </c>
      <c r="DA343" t="str" cm="1">
        <f t="array" ref="DA343:DY343">IF(U343&lt;&gt;"", TRANSPOSE(_xlfn._xlws.FILTER(CZ:CZ, CY:CY=U343, "")), "")</f>
        <v>Gwl (2N) + Mor</v>
      </c>
      <c r="DB343" t="str">
        <v>Ex Idr | Idr - Ujj (1N) - Omk - Mah (1N) - Man - Idr</v>
      </c>
      <c r="DC343" t="str">
        <v>Ujj (1N) - Omk - Idr (1N)</v>
      </c>
      <c r="DD343" t="str">
        <v>Ex Jlr | Jlr - Kan (2N) - Jlr</v>
      </c>
      <c r="DE343" t="str">
        <v>Ex Jlr | Jlr - Ban (2N) - Jlr</v>
      </c>
      <c r="DF343" t="str">
        <v>Ex Bho | Bho (2N) + Bhim + Bhoj + San</v>
      </c>
      <c r="DG343" t="str">
        <v>Ex Idr | Idr - Man (2N) - Idr</v>
      </c>
      <c r="DH343" t="str">
        <v>Ex Jlr | Jlr - Kan (2N) - Jlr</v>
      </c>
      <c r="DI343" t="str">
        <v>Ex Bho | Bho (2N) + Bhim + Bhoj + San + HDCT Bho</v>
      </c>
      <c r="DJ343" t="str">
        <v>Ex Bho | Bho - Bhim - Tawa (1N) - Mad (1N) - Bho</v>
      </c>
      <c r="DK343" t="str">
        <v>Ujj (1N) - Omk - Mah (1N) - Idr</v>
      </c>
      <c r="DL343" t="str">
        <v>Ujj (1N) -  Idr (1N)</v>
      </c>
      <c r="DM343" t="str">
        <v>Ex Idr | Idr (2N) + Ujj + Omk + Mah</v>
      </c>
      <c r="DN343" t="str">
        <v>Idr - Mah - Omk (1N) - Ujj (1N)</v>
      </c>
      <c r="DO343" t="str">
        <v>Idr - Ujj (1N) - Mah - Omk (1N) - Khandwa</v>
      </c>
      <c r="DP343" t="str">
        <v>Ex Idr | Idr (EX Ujj) (1N) - Mah - Omk (1N) - Idr HDCT</v>
      </c>
      <c r="DQ343" t="str">
        <v>Ujj (1N) - Sehor - Bho (1N) HDCT</v>
      </c>
      <c r="DR343" t="str">
        <v>Ex Jlr | Jlr (1N) - Ban (1N)</v>
      </c>
      <c r="DS343" t="str">
        <v>Ex Jlr | Ban (1N)</v>
      </c>
      <c r="DT343" t="str">
        <v>Ex Jlr | Jlr (2 N) Kan</v>
      </c>
      <c r="DU343" t="str">
        <v>Ex Jlr | Jlr - Amr (1 N) - (1 N) Ban</v>
      </c>
      <c r="DV343" t="str">
        <v>Ex Rpr | Rpr - (2N) Kan</v>
      </c>
      <c r="DW343" t="str">
        <v>Hjr (1N) - Mahi (1N) - Sat</v>
      </c>
      <c r="DX343" t="str">
        <v>Ex Bhp | Bhp - Bhim - Pch (2N) - Bhp</v>
      </c>
      <c r="DY343" t="str">
        <v xml:space="preserve">Ex Ujj I 2N Ujj </v>
      </c>
    </row>
    <row r="344" spans="2:145" ht="15" customHeight="1">
      <c r="B344" s="35">
        <v>340</v>
      </c>
      <c r="C344" s="36" t="s">
        <v>2179</v>
      </c>
      <c r="D344" s="76">
        <v>46273</v>
      </c>
      <c r="E344" s="37" t="str">
        <f>IF(Table5[[#This Row],[Query Date]]&lt;&gt;"", TEXT(Table5[[#This Row],[Query Date]], "dddd"), "")</f>
        <v>Tuesday</v>
      </c>
      <c r="F344" s="37" t="str">
        <f>IF(Table5[[#This Row],[Query Date]]&lt;&gt;"", TEXT(Table5[[#This Row],[Query Date]], "mmmm"), "")</f>
        <v>September</v>
      </c>
      <c r="G344" s="28" t="s">
        <v>65</v>
      </c>
      <c r="H344" s="28" t="s">
        <v>99</v>
      </c>
      <c r="I344" s="28" t="s">
        <v>67</v>
      </c>
      <c r="J344" s="28" t="s">
        <v>68</v>
      </c>
      <c r="K344" s="28" t="s">
        <v>178</v>
      </c>
      <c r="L344" s="25" t="s">
        <v>70</v>
      </c>
      <c r="M344" s="112" t="s">
        <v>417</v>
      </c>
      <c r="N344" s="25" t="s">
        <v>1404</v>
      </c>
      <c r="O344" s="130" t="s">
        <v>1525</v>
      </c>
      <c r="P344" s="46" t="s">
        <v>1406</v>
      </c>
      <c r="Q344" s="77">
        <v>46292</v>
      </c>
      <c r="R344" s="77" t="str">
        <f>IF(Table5[[#This Row],[Tour Starting Date]]&lt;&gt;"", TEXT(Table5[[#This Row],[Tour Starting Date]], "dddd"), "")</f>
        <v>Sunday</v>
      </c>
      <c r="S344" s="77">
        <v>46294</v>
      </c>
      <c r="T344" s="25" t="str">
        <f>IF(Table5[[#This Row],[Tour Ending Date]]&lt;&gt;"", TEXT(Table5[[#This Row],[Tour Ending Date]], "dddd"), "")</f>
        <v>Tuesday</v>
      </c>
      <c r="U34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2 Nights &amp; 3 Days</v>
      </c>
      <c r="V344" s="37" t="str">
        <f>IF(Table5[[#This Row],[Tour Starting Date]]&lt;&gt;"", TEXT(Table5[[#This Row],[Tour Starting Date]], "mmmm"), "")</f>
        <v>September</v>
      </c>
      <c r="W344" s="80" t="str" cm="1">
        <f t="array" ref="W344">IF(Q344&lt;&gt;"", INDEX(CI:CI, MATCH(1, (Q344&gt;=CG:CG)*(Q344&lt;=CH:CH), 0)), "")</f>
        <v>Regular Dates - Weekend</v>
      </c>
      <c r="X344" s="39">
        <v>4</v>
      </c>
      <c r="Y344" s="74">
        <v>7800</v>
      </c>
      <c r="Z344" s="74">
        <f>IF(OR(Table5[[#This Row],[Per Person Package Cost]]="", Table5[[#This Row],[No. of Pax]]=""), "", Table5[[#This Row],[Per Person Package Cost]] * Table5[[#This Row],[No. of Pax]])</f>
        <v>31200</v>
      </c>
      <c r="AA344" s="52" t="s">
        <v>75</v>
      </c>
      <c r="AB344" s="52" t="s">
        <v>75</v>
      </c>
      <c r="AC344" s="52" t="s">
        <v>76</v>
      </c>
      <c r="AD344" s="52" t="s">
        <v>1053</v>
      </c>
      <c r="AE344" s="51" t="str">
        <f t="shared" si="45"/>
        <v>EXIDR22</v>
      </c>
      <c r="AF344" s="51" t="str">
        <f t="shared" si="46"/>
        <v>The Sacred Experience Of Madhya Pradesh</v>
      </c>
      <c r="AG344" s="74" t="str">
        <f t="shared" si="47"/>
        <v>Quick Getaways</v>
      </c>
      <c r="AH344" s="73" t="str">
        <f t="shared" si="48"/>
        <v>West MP</v>
      </c>
      <c r="AI344" s="52" t="s">
        <v>159</v>
      </c>
      <c r="AJ344" s="56" t="s">
        <v>78</v>
      </c>
      <c r="AK344" s="59" t="s">
        <v>79</v>
      </c>
      <c r="AL344" s="60" t="s">
        <v>80</v>
      </c>
      <c r="AM344" s="54" t="s">
        <v>80</v>
      </c>
      <c r="AN344" s="14">
        <v>46276</v>
      </c>
      <c r="AO344" s="15"/>
      <c r="AP344" s="91"/>
      <c r="AQ344" s="87"/>
      <c r="AR344" s="26"/>
      <c r="AS344" s="65"/>
      <c r="AT344" s="88" t="s">
        <v>138</v>
      </c>
      <c r="AU344" s="67"/>
      <c r="CN344" t="s">
        <v>2180</v>
      </c>
      <c r="DA344" t="str" cm="1">
        <f t="array" ref="DA344:DY344">IF(U344&lt;&gt;"", TRANSPOSE(_xlfn._xlws.FILTER(CZ:CZ, CY:CY=U344, "")), "")</f>
        <v>Gwl (2N) + Mor</v>
      </c>
      <c r="DB344" t="str">
        <v>Ex Idr | Idr - Ujj (1N) - Omk - Mah (1N) - Man - Idr</v>
      </c>
      <c r="DC344" t="str">
        <v>Ujj (1N) - Omk - Idr (1N)</v>
      </c>
      <c r="DD344" t="str">
        <v>Ex Jlr | Jlr - Kan (2N) - Jlr</v>
      </c>
      <c r="DE344" t="str">
        <v>Ex Jlr | Jlr - Ban (2N) - Jlr</v>
      </c>
      <c r="DF344" t="str">
        <v>Ex Bho | Bho (2N) + Bhim + Bhoj + San</v>
      </c>
      <c r="DG344" t="str">
        <v>Ex Idr | Idr - Man (2N) - Idr</v>
      </c>
      <c r="DH344" t="str">
        <v>Ex Jlr | Jlr - Kan (2N) - Jlr</v>
      </c>
      <c r="DI344" t="str">
        <v>Ex Bho | Bho (2N) + Bhim + Bhoj + San + HDCT Bho</v>
      </c>
      <c r="DJ344" t="str">
        <v>Ex Bho | Bho - Bhim - Tawa (1N) - Mad (1N) - Bho</v>
      </c>
      <c r="DK344" t="str">
        <v>Ujj (1N) - Omk - Mah (1N) - Idr</v>
      </c>
      <c r="DL344" t="str">
        <v>Ujj (1N) -  Idr (1N)</v>
      </c>
      <c r="DM344" t="str">
        <v>Ex Idr | Idr (2N) + Ujj + Omk + Mah</v>
      </c>
      <c r="DN344" t="str">
        <v>Idr - Mah - Omk (1N) - Ujj (1N)</v>
      </c>
      <c r="DO344" t="str">
        <v>Idr - Ujj (1N) - Mah - Omk (1N) - Khandwa</v>
      </c>
      <c r="DP344" t="str">
        <v>Ex Idr | Idr (EX Ujj) (1N) - Mah - Omk (1N) - Idr HDCT</v>
      </c>
      <c r="DQ344" t="str">
        <v>Ujj (1N) - Sehor - Bho (1N) HDCT</v>
      </c>
      <c r="DR344" t="str">
        <v>Ex Jlr | Jlr (1N) - Ban (1N)</v>
      </c>
      <c r="DS344" t="str">
        <v>Ex Jlr | Ban (1N)</v>
      </c>
      <c r="DT344" t="str">
        <v>Ex Jlr | Jlr (2 N) Kan</v>
      </c>
      <c r="DU344" t="str">
        <v>Ex Jlr | Jlr - Amr (1 N) - (1 N) Ban</v>
      </c>
      <c r="DV344" t="str">
        <v>Ex Rpr | Rpr - (2N) Kan</v>
      </c>
      <c r="DW344" t="str">
        <v>Hjr (1N) - Mahi (1N) - Sat</v>
      </c>
      <c r="DX344" t="str">
        <v>Ex Bhp | Bhp - Bhim - Pch (2N) - Bhp</v>
      </c>
      <c r="DY344" t="str">
        <v xml:space="preserve">Ex Ujj I 2N Ujj </v>
      </c>
    </row>
    <row r="345" spans="2:145" ht="15" customHeight="1">
      <c r="B345" s="34">
        <v>341</v>
      </c>
      <c r="C345" s="36" t="s">
        <v>2181</v>
      </c>
      <c r="D345" s="76">
        <v>46272</v>
      </c>
      <c r="E345" s="37" t="str">
        <f>IF(Table5[[#This Row],[Query Date]]&lt;&gt;"", TEXT(Table5[[#This Row],[Query Date]], "dddd"), "")</f>
        <v>Monday</v>
      </c>
      <c r="F345" s="37" t="str">
        <f>IF(Table5[[#This Row],[Query Date]]&lt;&gt;"", TEXT(Table5[[#This Row],[Query Date]], "mmmm"), "")</f>
        <v>September</v>
      </c>
      <c r="G345" s="28" t="s">
        <v>65</v>
      </c>
      <c r="H345" s="28" t="s">
        <v>99</v>
      </c>
      <c r="I345" s="28" t="s">
        <v>67</v>
      </c>
      <c r="J345" s="28" t="s">
        <v>68</v>
      </c>
      <c r="K345" s="28" t="s">
        <v>178</v>
      </c>
      <c r="L345" s="25" t="s">
        <v>70</v>
      </c>
      <c r="M345" s="112" t="s">
        <v>417</v>
      </c>
      <c r="N345" s="25" t="s">
        <v>1404</v>
      </c>
      <c r="O345" s="130" t="s">
        <v>1525</v>
      </c>
      <c r="P345" s="46" t="s">
        <v>1406</v>
      </c>
      <c r="Q345" s="77">
        <v>46306</v>
      </c>
      <c r="R345" s="77" t="str">
        <f>IF(Table5[[#This Row],[Tour Starting Date]]&lt;&gt;"", TEXT(Table5[[#This Row],[Tour Starting Date]], "dddd"), "")</f>
        <v>Sunday</v>
      </c>
      <c r="S345" s="77">
        <v>46308</v>
      </c>
      <c r="T345" s="25" t="str">
        <f>IF(Table5[[#This Row],[Tour Ending Date]]&lt;&gt;"", TEXT(Table5[[#This Row],[Tour Ending Date]], "dddd"), "")</f>
        <v>Tuesday</v>
      </c>
      <c r="U34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2 Nights &amp; 3 Days</v>
      </c>
      <c r="V345" s="37" t="str">
        <f>IF(Table5[[#This Row],[Tour Starting Date]]&lt;&gt;"", TEXT(Table5[[#This Row],[Tour Starting Date]], "mmmm"), "")</f>
        <v>October</v>
      </c>
      <c r="W345" s="80" t="str" cm="1">
        <f t="array" ref="W345">IF(Q345&lt;&gt;"", INDEX(CI:CI, MATCH(1, (Q345&gt;=CG:CG)*(Q345&lt;=CH:CH), 0)), "")</f>
        <v>Regular Dates - Weekend</v>
      </c>
      <c r="X345" s="39">
        <v>8</v>
      </c>
      <c r="Y345" s="74">
        <v>11100</v>
      </c>
      <c r="Z345" s="74">
        <f>IF(OR(Table5[[#This Row],[Per Person Package Cost]]="", Table5[[#This Row],[No. of Pax]]=""), "", Table5[[#This Row],[Per Person Package Cost]] * Table5[[#This Row],[No. of Pax]])</f>
        <v>88800</v>
      </c>
      <c r="AA345" s="52" t="s">
        <v>75</v>
      </c>
      <c r="AB345" s="52" t="s">
        <v>75</v>
      </c>
      <c r="AC345" s="52" t="s">
        <v>76</v>
      </c>
      <c r="AD345" s="52" t="s">
        <v>1053</v>
      </c>
      <c r="AE345" s="51" t="str">
        <f t="shared" si="45"/>
        <v>EXIDR22</v>
      </c>
      <c r="AF345" s="51" t="str">
        <f t="shared" si="46"/>
        <v>The Sacred Experience Of Madhya Pradesh</v>
      </c>
      <c r="AG345" s="74" t="str">
        <f t="shared" si="47"/>
        <v>Quick Getaways</v>
      </c>
      <c r="AH345" s="73" t="str">
        <f t="shared" si="48"/>
        <v>West MP</v>
      </c>
      <c r="AI345" s="52" t="s">
        <v>159</v>
      </c>
      <c r="AJ345" s="56" t="s">
        <v>78</v>
      </c>
      <c r="AK345" s="59" t="s">
        <v>79</v>
      </c>
      <c r="AL345" s="60" t="s">
        <v>80</v>
      </c>
      <c r="AM345" s="54" t="s">
        <v>80</v>
      </c>
      <c r="AN345" s="14">
        <v>46276</v>
      </c>
      <c r="AO345" s="15"/>
      <c r="AP345" s="91"/>
      <c r="AQ345" s="87"/>
      <c r="AR345" s="26"/>
      <c r="AS345" s="65"/>
      <c r="AT345" s="88" t="s">
        <v>138</v>
      </c>
      <c r="AU345" s="67"/>
      <c r="CN345" t="s">
        <v>2182</v>
      </c>
      <c r="DA345" t="str" cm="1">
        <f t="array" ref="DA345:DY345">IF(U345&lt;&gt;"", TRANSPOSE(_xlfn._xlws.FILTER(CZ:CZ, CY:CY=U345, "")), "")</f>
        <v>Gwl (2N) + Mor</v>
      </c>
      <c r="DB345" t="str">
        <v>Ex Idr | Idr - Ujj (1N) - Omk - Mah (1N) - Man - Idr</v>
      </c>
      <c r="DC345" t="str">
        <v>Ujj (1N) - Omk - Idr (1N)</v>
      </c>
      <c r="DD345" t="str">
        <v>Ex Jlr | Jlr - Kan (2N) - Jlr</v>
      </c>
      <c r="DE345" t="str">
        <v>Ex Jlr | Jlr - Ban (2N) - Jlr</v>
      </c>
      <c r="DF345" t="str">
        <v>Ex Bho | Bho (2N) + Bhim + Bhoj + San</v>
      </c>
      <c r="DG345" t="str">
        <v>Ex Idr | Idr - Man (2N) - Idr</v>
      </c>
      <c r="DH345" t="str">
        <v>Ex Jlr | Jlr - Kan (2N) - Jlr</v>
      </c>
      <c r="DI345" t="str">
        <v>Ex Bho | Bho (2N) + Bhim + Bhoj + San + HDCT Bho</v>
      </c>
      <c r="DJ345" t="str">
        <v>Ex Bho | Bho - Bhim - Tawa (1N) - Mad (1N) - Bho</v>
      </c>
      <c r="DK345" t="str">
        <v>Ujj (1N) - Omk - Mah (1N) - Idr</v>
      </c>
      <c r="DL345" t="str">
        <v>Ujj (1N) -  Idr (1N)</v>
      </c>
      <c r="DM345" t="str">
        <v>Ex Idr | Idr (2N) + Ujj + Omk + Mah</v>
      </c>
      <c r="DN345" t="str">
        <v>Idr - Mah - Omk (1N) - Ujj (1N)</v>
      </c>
      <c r="DO345" t="str">
        <v>Idr - Ujj (1N) - Mah - Omk (1N) - Khandwa</v>
      </c>
      <c r="DP345" t="str">
        <v>Ex Idr | Idr (EX Ujj) (1N) - Mah - Omk (1N) - Idr HDCT</v>
      </c>
      <c r="DQ345" t="str">
        <v>Ujj (1N) - Sehor - Bho (1N) HDCT</v>
      </c>
      <c r="DR345" t="str">
        <v>Ex Jlr | Jlr (1N) - Ban (1N)</v>
      </c>
      <c r="DS345" t="str">
        <v>Ex Jlr | Ban (1N)</v>
      </c>
      <c r="DT345" t="str">
        <v>Ex Jlr | Jlr (2 N) Kan</v>
      </c>
      <c r="DU345" t="str">
        <v>Ex Jlr | Jlr - Amr (1 N) - (1 N) Ban</v>
      </c>
      <c r="DV345" t="str">
        <v>Ex Rpr | Rpr - (2N) Kan</v>
      </c>
      <c r="DW345" t="str">
        <v>Hjr (1N) - Mahi (1N) - Sat</v>
      </c>
      <c r="DX345" t="str">
        <v>Ex Bhp | Bhp - Bhim - Pch (2N) - Bhp</v>
      </c>
      <c r="DY345" t="str">
        <v xml:space="preserve">Ex Ujj I 2N Ujj </v>
      </c>
    </row>
    <row r="346" spans="2:145" ht="15" customHeight="1">
      <c r="B346" s="35">
        <v>342</v>
      </c>
      <c r="C346" s="36" t="s">
        <v>2183</v>
      </c>
      <c r="D346" s="76">
        <v>46272</v>
      </c>
      <c r="E346" s="37" t="str">
        <f>IF(Table5[[#This Row],[Query Date]]&lt;&gt;"", TEXT(Table5[[#This Row],[Query Date]], "dddd"), "")</f>
        <v>Monday</v>
      </c>
      <c r="F346" s="37" t="str">
        <f>IF(Table5[[#This Row],[Query Date]]&lt;&gt;"", TEXT(Table5[[#This Row],[Query Date]], "mmmm"), "")</f>
        <v>September</v>
      </c>
      <c r="G346" s="28" t="s">
        <v>65</v>
      </c>
      <c r="H346" s="28" t="s">
        <v>99</v>
      </c>
      <c r="I346" s="28" t="s">
        <v>67</v>
      </c>
      <c r="J346" s="28" t="s">
        <v>68</v>
      </c>
      <c r="K346" s="28" t="s">
        <v>178</v>
      </c>
      <c r="L346" s="25" t="s">
        <v>70</v>
      </c>
      <c r="M346" s="112" t="s">
        <v>417</v>
      </c>
      <c r="N346" s="25" t="s">
        <v>1404</v>
      </c>
      <c r="O346" s="130" t="s">
        <v>1525</v>
      </c>
      <c r="P346" s="46" t="s">
        <v>1406</v>
      </c>
      <c r="Q346" s="77">
        <v>46289</v>
      </c>
      <c r="R346" s="77" t="str">
        <f>IF(Table5[[#This Row],[Tour Starting Date]]&lt;&gt;"", TEXT(Table5[[#This Row],[Tour Starting Date]], "dddd"), "")</f>
        <v>Thursday</v>
      </c>
      <c r="S346" s="77">
        <v>46291</v>
      </c>
      <c r="T346" s="25" t="str">
        <f>IF(Table5[[#This Row],[Tour Ending Date]]&lt;&gt;"", TEXT(Table5[[#This Row],[Tour Ending Date]], "dddd"), "")</f>
        <v>Saturday</v>
      </c>
      <c r="U34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2 Nights &amp; 3 Days</v>
      </c>
      <c r="V346" s="37" t="str">
        <f>IF(Table5[[#This Row],[Tour Starting Date]]&lt;&gt;"", TEXT(Table5[[#This Row],[Tour Starting Date]], "mmmm"), "")</f>
        <v>September</v>
      </c>
      <c r="W346" s="80" t="str" cm="1">
        <f t="array" ref="W346">IF(Q346&lt;&gt;"", INDEX(CI:CI, MATCH(1, (Q346&gt;=CG:CG)*(Q346&lt;=CH:CH), 0)), "")</f>
        <v>Regular Dates - Weekday</v>
      </c>
      <c r="X346" s="39">
        <v>3</v>
      </c>
      <c r="Y346" s="74">
        <v>8700</v>
      </c>
      <c r="Z346" s="74">
        <f>IF(OR(Table5[[#This Row],[Per Person Package Cost]]="", Table5[[#This Row],[No. of Pax]]=""), "", Table5[[#This Row],[Per Person Package Cost]] * Table5[[#This Row],[No. of Pax]])</f>
        <v>26100</v>
      </c>
      <c r="AA346" s="52" t="s">
        <v>75</v>
      </c>
      <c r="AB346" s="52" t="s">
        <v>75</v>
      </c>
      <c r="AC346" s="52" t="s">
        <v>76</v>
      </c>
      <c r="AD346" s="52" t="s">
        <v>1053</v>
      </c>
      <c r="AE346" s="51" t="str">
        <f t="shared" si="45"/>
        <v>EXIDR22</v>
      </c>
      <c r="AF346" s="51" t="str">
        <f t="shared" si="46"/>
        <v>The Sacred Experience Of Madhya Pradesh</v>
      </c>
      <c r="AG346" s="74" t="str">
        <f t="shared" si="47"/>
        <v>Quick Getaways</v>
      </c>
      <c r="AH346" s="73" t="str">
        <f t="shared" si="48"/>
        <v>West MP</v>
      </c>
      <c r="AI346" s="52" t="s">
        <v>159</v>
      </c>
      <c r="AJ346" s="56" t="s">
        <v>78</v>
      </c>
      <c r="AK346" s="59" t="s">
        <v>79</v>
      </c>
      <c r="AL346" s="60" t="s">
        <v>80</v>
      </c>
      <c r="AM346" s="54" t="s">
        <v>80</v>
      </c>
      <c r="AN346" s="14">
        <v>46276</v>
      </c>
      <c r="AO346" s="15"/>
      <c r="AP346" s="91"/>
      <c r="AQ346" s="87"/>
      <c r="AR346" s="26"/>
      <c r="AS346" s="65"/>
      <c r="AT346" s="88" t="s">
        <v>138</v>
      </c>
      <c r="AU346" s="67"/>
      <c r="CN346" t="s">
        <v>2184</v>
      </c>
      <c r="DA346" t="str" cm="1">
        <f t="array" ref="DA346:DY346">IF(U346&lt;&gt;"", TRANSPOSE(_xlfn._xlws.FILTER(CZ:CZ, CY:CY=U346, "")), "")</f>
        <v>Gwl (2N) + Mor</v>
      </c>
      <c r="DB346" t="str">
        <v>Ex Idr | Idr - Ujj (1N) - Omk - Mah (1N) - Man - Idr</v>
      </c>
      <c r="DC346" t="str">
        <v>Ujj (1N) - Omk - Idr (1N)</v>
      </c>
      <c r="DD346" t="str">
        <v>Ex Jlr | Jlr - Kan (2N) - Jlr</v>
      </c>
      <c r="DE346" t="str">
        <v>Ex Jlr | Jlr - Ban (2N) - Jlr</v>
      </c>
      <c r="DF346" t="str">
        <v>Ex Bho | Bho (2N) + Bhim + Bhoj + San</v>
      </c>
      <c r="DG346" t="str">
        <v>Ex Idr | Idr - Man (2N) - Idr</v>
      </c>
      <c r="DH346" t="str">
        <v>Ex Jlr | Jlr - Kan (2N) - Jlr</v>
      </c>
      <c r="DI346" t="str">
        <v>Ex Bho | Bho (2N) + Bhim + Bhoj + San + HDCT Bho</v>
      </c>
      <c r="DJ346" t="str">
        <v>Ex Bho | Bho - Bhim - Tawa (1N) - Mad (1N) - Bho</v>
      </c>
      <c r="DK346" t="str">
        <v>Ujj (1N) - Omk - Mah (1N) - Idr</v>
      </c>
      <c r="DL346" t="str">
        <v>Ujj (1N) -  Idr (1N)</v>
      </c>
      <c r="DM346" t="str">
        <v>Ex Idr | Idr (2N) + Ujj + Omk + Mah</v>
      </c>
      <c r="DN346" t="str">
        <v>Idr - Mah - Omk (1N) - Ujj (1N)</v>
      </c>
      <c r="DO346" t="str">
        <v>Idr - Ujj (1N) - Mah - Omk (1N) - Khandwa</v>
      </c>
      <c r="DP346" t="str">
        <v>Ex Idr | Idr (EX Ujj) (1N) - Mah - Omk (1N) - Idr HDCT</v>
      </c>
      <c r="DQ346" t="str">
        <v>Ujj (1N) - Sehor - Bho (1N) HDCT</v>
      </c>
      <c r="DR346" t="str">
        <v>Ex Jlr | Jlr (1N) - Ban (1N)</v>
      </c>
      <c r="DS346" t="str">
        <v>Ex Jlr | Ban (1N)</v>
      </c>
      <c r="DT346" t="str">
        <v>Ex Jlr | Jlr (2 N) Kan</v>
      </c>
      <c r="DU346" t="str">
        <v>Ex Jlr | Jlr - Amr (1 N) - (1 N) Ban</v>
      </c>
      <c r="DV346" t="str">
        <v>Ex Rpr | Rpr - (2N) Kan</v>
      </c>
      <c r="DW346" t="str">
        <v>Hjr (1N) - Mahi (1N) - Sat</v>
      </c>
      <c r="DX346" t="str">
        <v>Ex Bhp | Bhp - Bhim - Pch (2N) - Bhp</v>
      </c>
      <c r="DY346" t="str">
        <v xml:space="preserve">Ex Ujj I 2N Ujj </v>
      </c>
    </row>
    <row r="347" spans="2:145" ht="15" customHeight="1">
      <c r="B347" s="34">
        <v>343</v>
      </c>
      <c r="C347" s="36" t="s">
        <v>2185</v>
      </c>
      <c r="D347" s="76">
        <v>46272</v>
      </c>
      <c r="E347" s="37" t="str">
        <f>IF(Table5[[#This Row],[Query Date]]&lt;&gt;"", TEXT(Table5[[#This Row],[Query Date]], "dddd"), "")</f>
        <v>Monday</v>
      </c>
      <c r="F347" s="37" t="str">
        <f>IF(Table5[[#This Row],[Query Date]]&lt;&gt;"", TEXT(Table5[[#This Row],[Query Date]], "mmmm"), "")</f>
        <v>September</v>
      </c>
      <c r="G347" s="28" t="s">
        <v>65</v>
      </c>
      <c r="H347" s="28" t="s">
        <v>99</v>
      </c>
      <c r="I347" s="28" t="s">
        <v>67</v>
      </c>
      <c r="J347" s="28" t="s">
        <v>68</v>
      </c>
      <c r="K347" s="28" t="s">
        <v>178</v>
      </c>
      <c r="L347" s="25" t="s">
        <v>70</v>
      </c>
      <c r="M347" s="112" t="s">
        <v>417</v>
      </c>
      <c r="N347" s="25" t="s">
        <v>1404</v>
      </c>
      <c r="O347" s="130" t="s">
        <v>1525</v>
      </c>
      <c r="P347" s="31" t="s">
        <v>1406</v>
      </c>
      <c r="Q347" s="77">
        <v>46354</v>
      </c>
      <c r="R347" s="77" t="str">
        <f>IF(Table5[[#This Row],[Tour Starting Date]]&lt;&gt;"", TEXT(Table5[[#This Row],[Tour Starting Date]], "dddd"), "")</f>
        <v>Saturday</v>
      </c>
      <c r="S347" s="77">
        <v>46356</v>
      </c>
      <c r="T347" s="25" t="str">
        <f>IF(Table5[[#This Row],[Tour Ending Date]]&lt;&gt;"", TEXT(Table5[[#This Row],[Tour Ending Date]], "dddd"), "")</f>
        <v>Monday</v>
      </c>
      <c r="U34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2 Nights &amp; 3 Days</v>
      </c>
      <c r="V347" s="37" t="str">
        <f>IF(Table5[[#This Row],[Tour Starting Date]]&lt;&gt;"", TEXT(Table5[[#This Row],[Tour Starting Date]], "mmmm"), "")</f>
        <v>November</v>
      </c>
      <c r="W347" s="80" t="str" cm="1">
        <f t="array" ref="W347">IF(Q347&lt;&gt;"", INDEX(CI:CI, MATCH(1, (Q347&gt;=CG:CG)*(Q347&lt;=CH:CH), 0)), "")</f>
        <v>Regular Dates - Weekend</v>
      </c>
      <c r="X347" s="39">
        <v>4</v>
      </c>
      <c r="Y347" s="74">
        <v>9200</v>
      </c>
      <c r="Z347" s="74">
        <f>IF(OR(Table5[[#This Row],[Per Person Package Cost]]="", Table5[[#This Row],[No. of Pax]]=""), "", Table5[[#This Row],[Per Person Package Cost]] * Table5[[#This Row],[No. of Pax]])</f>
        <v>36800</v>
      </c>
      <c r="AA347" s="52" t="s">
        <v>75</v>
      </c>
      <c r="AB347" s="52" t="s">
        <v>75</v>
      </c>
      <c r="AC347" s="52" t="s">
        <v>76</v>
      </c>
      <c r="AD347" s="52" t="s">
        <v>1053</v>
      </c>
      <c r="AE347" s="51" t="str">
        <f t="shared" si="45"/>
        <v>EXIDR22</v>
      </c>
      <c r="AF347" s="51" t="str">
        <f t="shared" si="46"/>
        <v>The Sacred Experience Of Madhya Pradesh</v>
      </c>
      <c r="AG347" s="74" t="str">
        <f t="shared" si="47"/>
        <v>Quick Getaways</v>
      </c>
      <c r="AH347" s="73" t="str">
        <f t="shared" si="48"/>
        <v>West MP</v>
      </c>
      <c r="AI347" s="52" t="s">
        <v>159</v>
      </c>
      <c r="AJ347" s="56" t="s">
        <v>78</v>
      </c>
      <c r="AK347" s="59" t="s">
        <v>79</v>
      </c>
      <c r="AL347" s="60" t="s">
        <v>80</v>
      </c>
      <c r="AM347" s="54" t="s">
        <v>80</v>
      </c>
      <c r="AN347" s="14">
        <v>46276</v>
      </c>
      <c r="AO347" s="15"/>
      <c r="AP347" s="91"/>
      <c r="AQ347" s="87"/>
      <c r="AR347" s="26"/>
      <c r="AS347" s="65"/>
      <c r="AT347" s="88" t="s">
        <v>138</v>
      </c>
      <c r="AU347" s="67"/>
      <c r="CN347" t="s">
        <v>2186</v>
      </c>
      <c r="DA347" t="str" cm="1">
        <f t="array" ref="DA347:DY347">IF(U347&lt;&gt;"", TRANSPOSE(_xlfn._xlws.FILTER(CZ:CZ, CY:CY=U347, "")), "")</f>
        <v>Gwl (2N) + Mor</v>
      </c>
      <c r="DB347" t="str">
        <v>Ex Idr | Idr - Ujj (1N) - Omk - Mah (1N) - Man - Idr</v>
      </c>
      <c r="DC347" t="str">
        <v>Ujj (1N) - Omk - Idr (1N)</v>
      </c>
      <c r="DD347" t="str">
        <v>Ex Jlr | Jlr - Kan (2N) - Jlr</v>
      </c>
      <c r="DE347" t="str">
        <v>Ex Jlr | Jlr - Ban (2N) - Jlr</v>
      </c>
      <c r="DF347" t="str">
        <v>Ex Bho | Bho (2N) + Bhim + Bhoj + San</v>
      </c>
      <c r="DG347" t="str">
        <v>Ex Idr | Idr - Man (2N) - Idr</v>
      </c>
      <c r="DH347" t="str">
        <v>Ex Jlr | Jlr - Kan (2N) - Jlr</v>
      </c>
      <c r="DI347" t="str">
        <v>Ex Bho | Bho (2N) + Bhim + Bhoj + San + HDCT Bho</v>
      </c>
      <c r="DJ347" t="str">
        <v>Ex Bho | Bho - Bhim - Tawa (1N) - Mad (1N) - Bho</v>
      </c>
      <c r="DK347" t="str">
        <v>Ujj (1N) - Omk - Mah (1N) - Idr</v>
      </c>
      <c r="DL347" t="str">
        <v>Ujj (1N) -  Idr (1N)</v>
      </c>
      <c r="DM347" t="str">
        <v>Ex Idr | Idr (2N) + Ujj + Omk + Mah</v>
      </c>
      <c r="DN347" t="str">
        <v>Idr - Mah - Omk (1N) - Ujj (1N)</v>
      </c>
      <c r="DO347" t="str">
        <v>Idr - Ujj (1N) - Mah - Omk (1N) - Khandwa</v>
      </c>
      <c r="DP347" t="str">
        <v>Ex Idr | Idr (EX Ujj) (1N) - Mah - Omk (1N) - Idr HDCT</v>
      </c>
      <c r="DQ347" t="str">
        <v>Ujj (1N) - Sehor - Bho (1N) HDCT</v>
      </c>
      <c r="DR347" t="str">
        <v>Ex Jlr | Jlr (1N) - Ban (1N)</v>
      </c>
      <c r="DS347" t="str">
        <v>Ex Jlr | Ban (1N)</v>
      </c>
      <c r="DT347" t="str">
        <v>Ex Jlr | Jlr (2 N) Kan</v>
      </c>
      <c r="DU347" t="str">
        <v>Ex Jlr | Jlr - Amr (1 N) - (1 N) Ban</v>
      </c>
      <c r="DV347" t="str">
        <v>Ex Rpr | Rpr - (2N) Kan</v>
      </c>
      <c r="DW347" t="str">
        <v>Hjr (1N) - Mahi (1N) - Sat</v>
      </c>
      <c r="DX347" t="str">
        <v>Ex Bhp | Bhp - Bhim - Pch (2N) - Bhp</v>
      </c>
      <c r="DY347" t="str">
        <v xml:space="preserve">Ex Ujj I 2N Ujj </v>
      </c>
    </row>
    <row r="348" spans="2:145" ht="15" customHeight="1">
      <c r="B348" s="35">
        <v>344</v>
      </c>
      <c r="C348" s="36" t="s">
        <v>2187</v>
      </c>
      <c r="D348" s="76">
        <v>46272</v>
      </c>
      <c r="E348" s="37" t="str">
        <f>IF(Table5[[#This Row],[Query Date]]&lt;&gt;"", TEXT(Table5[[#This Row],[Query Date]], "dddd"), "")</f>
        <v>Monday</v>
      </c>
      <c r="F348" s="37" t="str">
        <f>IF(Table5[[#This Row],[Query Date]]&lt;&gt;"", TEXT(Table5[[#This Row],[Query Date]], "mmmm"), "")</f>
        <v>September</v>
      </c>
      <c r="G348" s="28" t="s">
        <v>65</v>
      </c>
      <c r="H348" s="28" t="s">
        <v>99</v>
      </c>
      <c r="I348" s="28" t="s">
        <v>67</v>
      </c>
      <c r="J348" s="28" t="s">
        <v>68</v>
      </c>
      <c r="K348" s="28" t="s">
        <v>178</v>
      </c>
      <c r="L348" s="25" t="s">
        <v>70</v>
      </c>
      <c r="M348" s="112" t="s">
        <v>1390</v>
      </c>
      <c r="N348" s="25" t="s">
        <v>1175</v>
      </c>
      <c r="O348" s="130" t="s">
        <v>1391</v>
      </c>
      <c r="P348" s="46" t="s">
        <v>1392</v>
      </c>
      <c r="Q348" s="77">
        <v>46320</v>
      </c>
      <c r="R348" s="77" t="str">
        <f>IF(Table5[[#This Row],[Tour Starting Date]]&lt;&gt;"", TEXT(Table5[[#This Row],[Tour Starting Date]], "dddd"), "")</f>
        <v>Sunday</v>
      </c>
      <c r="S348" s="77">
        <v>46329</v>
      </c>
      <c r="T348" s="25" t="str">
        <f>IF(Table5[[#This Row],[Tour Ending Date]]&lt;&gt;"", TEXT(Table5[[#This Row],[Tour Ending Date]], "dddd"), "")</f>
        <v>Tuesday</v>
      </c>
      <c r="U34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9 Nights &amp; 10 Days</v>
      </c>
      <c r="V348" s="37" t="str">
        <f>IF(Table5[[#This Row],[Tour Starting Date]]&lt;&gt;"", TEXT(Table5[[#This Row],[Tour Starting Date]], "mmmm"), "")</f>
        <v>October</v>
      </c>
      <c r="W348" s="80" t="str" cm="1">
        <f t="array" ref="W348">IF(Q348&lt;&gt;"", INDEX(CI:CI, MATCH(1, (Q348&gt;=CG:CG)*(Q348&lt;=CH:CH), 0)), "")</f>
        <v>Regular Dates - Weekend</v>
      </c>
      <c r="X348" s="39">
        <v>6</v>
      </c>
      <c r="Y348" s="74">
        <v>54000</v>
      </c>
      <c r="Z348" s="74">
        <f>IF(OR(Table5[[#This Row],[Per Person Package Cost]]="", Table5[[#This Row],[No. of Pax]]=""), "", Table5[[#This Row],[Per Person Package Cost]] * Table5[[#This Row],[No. of Pax]])</f>
        <v>324000</v>
      </c>
      <c r="AA348" s="52" t="s">
        <v>75</v>
      </c>
      <c r="AB348" s="52" t="s">
        <v>509</v>
      </c>
      <c r="AC348" s="52" t="s">
        <v>76</v>
      </c>
      <c r="AD348" s="52" t="s">
        <v>510</v>
      </c>
      <c r="AE348" s="51" t="str">
        <f t="shared" si="45"/>
        <v>EMPRT01</v>
      </c>
      <c r="AF348" s="51" t="str">
        <f t="shared" si="46"/>
        <v>Ancient Madhya Pradesh</v>
      </c>
      <c r="AG348" s="74" t="str">
        <f t="shared" si="47"/>
        <v>Regular Tours</v>
      </c>
      <c r="AH348" s="73" t="str">
        <f t="shared" si="48"/>
        <v>North + South + West MP</v>
      </c>
      <c r="AI348" s="52" t="s">
        <v>77</v>
      </c>
      <c r="AJ348" s="56" t="s">
        <v>78</v>
      </c>
      <c r="AK348" s="59" t="s">
        <v>79</v>
      </c>
      <c r="AL348" s="60" t="s">
        <v>80</v>
      </c>
      <c r="AM348" s="54" t="s">
        <v>80</v>
      </c>
      <c r="AN348" s="14">
        <v>46276</v>
      </c>
      <c r="AO348" s="15"/>
      <c r="AP348" s="91"/>
      <c r="AQ348" s="87"/>
      <c r="AR348" s="26"/>
      <c r="AS348" s="65"/>
      <c r="AT348" s="88" t="s">
        <v>85</v>
      </c>
      <c r="AU348" s="67"/>
      <c r="CN348" t="s">
        <v>286</v>
      </c>
      <c r="DA348" t="str" cm="1">
        <f t="array" ref="DA348:DB348">IF(U348&lt;&gt;"", TRANSPOSE(_xlfn._xlws.FILTER(CZ:CZ, CY:CY=U348, "")), "")</f>
        <v>(2 N) Idr (Ex Ujj) - Omk - (1 N) Mah (1 N) Man  - (1 N) Bho - San - Bhim - (1 N) Tawa - (1 N) Madhai - (2 N) Pach - Bho</v>
      </c>
      <c r="DB348" t="str">
        <v>(1 N) Gwl - (2 N) Chan - Orc -(1 N)  Hjr - (1 N) Ban - (1 N) Jlr - (2 N) Pach - Bhim - San - (1 N) Bho</v>
      </c>
    </row>
    <row r="349" spans="2:145" ht="15" customHeight="1">
      <c r="B349" s="34">
        <v>345</v>
      </c>
      <c r="C349" s="36" t="s">
        <v>2188</v>
      </c>
      <c r="D349" s="76">
        <v>46273</v>
      </c>
      <c r="E349" s="37" t="str">
        <f>IF(Table5[[#This Row],[Query Date]]&lt;&gt;"", TEXT(Table5[[#This Row],[Query Date]], "dddd"), "")</f>
        <v>Tuesday</v>
      </c>
      <c r="F349" s="37" t="str">
        <f>IF(Table5[[#This Row],[Query Date]]&lt;&gt;"", TEXT(Table5[[#This Row],[Query Date]], "mmmm"), "")</f>
        <v>September</v>
      </c>
      <c r="G349" s="28" t="s">
        <v>65</v>
      </c>
      <c r="H349" s="28" t="s">
        <v>99</v>
      </c>
      <c r="I349" s="28" t="s">
        <v>67</v>
      </c>
      <c r="J349" s="28" t="s">
        <v>68</v>
      </c>
      <c r="K349" s="28" t="s">
        <v>178</v>
      </c>
      <c r="L349" s="25" t="s">
        <v>70</v>
      </c>
      <c r="M349" s="112" t="s">
        <v>417</v>
      </c>
      <c r="N349" s="25" t="s">
        <v>1412</v>
      </c>
      <c r="O349" s="130" t="s">
        <v>1413</v>
      </c>
      <c r="P349" s="46" t="s">
        <v>888</v>
      </c>
      <c r="Q349" s="77">
        <v>46306</v>
      </c>
      <c r="R349" s="77" t="str">
        <f>IF(Table5[[#This Row],[Tour Starting Date]]&lt;&gt;"", TEXT(Table5[[#This Row],[Tour Starting Date]], "dddd"), "")</f>
        <v>Sunday</v>
      </c>
      <c r="S349" s="77">
        <v>46308</v>
      </c>
      <c r="T349" s="25" t="str">
        <f>IF(Table5[[#This Row],[Tour Ending Date]]&lt;&gt;"", TEXT(Table5[[#This Row],[Tour Ending Date]], "dddd"), "")</f>
        <v>Tuesday</v>
      </c>
      <c r="U34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2 Nights &amp; 3 Days</v>
      </c>
      <c r="V349" s="37" t="str">
        <f>IF(Table5[[#This Row],[Tour Starting Date]]&lt;&gt;"", TEXT(Table5[[#This Row],[Tour Starting Date]], "mmmm"), "")</f>
        <v>October</v>
      </c>
      <c r="W349" s="80" t="str" cm="1">
        <f t="array" ref="W349">IF(Q349&lt;&gt;"", INDEX(CI:CI, MATCH(1, (Q349&gt;=CG:CG)*(Q349&lt;=CH:CH), 0)), "")</f>
        <v>Regular Dates - Weekend</v>
      </c>
      <c r="X349" s="39">
        <v>8</v>
      </c>
      <c r="Y349" s="74">
        <v>11100</v>
      </c>
      <c r="Z349" s="74">
        <f>IF(OR(Table5[[#This Row],[Per Person Package Cost]]="", Table5[[#This Row],[No. of Pax]]=""), "", Table5[[#This Row],[Per Person Package Cost]] * Table5[[#This Row],[No. of Pax]])</f>
        <v>88800</v>
      </c>
      <c r="AA349" s="52" t="s">
        <v>75</v>
      </c>
      <c r="AB349" s="52" t="s">
        <v>75</v>
      </c>
      <c r="AC349" s="52" t="s">
        <v>76</v>
      </c>
      <c r="AD349" s="52" t="s">
        <v>1053</v>
      </c>
      <c r="AE349" s="51" t="str">
        <f t="shared" si="45"/>
        <v>EXIDR22</v>
      </c>
      <c r="AF349" s="51" t="str">
        <f t="shared" si="46"/>
        <v>The Sacred Experience Of Madhya Pradesh</v>
      </c>
      <c r="AG349" s="74" t="str">
        <f t="shared" si="47"/>
        <v>Quick Getaways</v>
      </c>
      <c r="AH349" s="73" t="str">
        <f t="shared" si="48"/>
        <v>West MP</v>
      </c>
      <c r="AI349" s="52" t="s">
        <v>159</v>
      </c>
      <c r="AJ349" s="56" t="s">
        <v>78</v>
      </c>
      <c r="AK349" s="59" t="s">
        <v>79</v>
      </c>
      <c r="AL349" s="60" t="s">
        <v>80</v>
      </c>
      <c r="AM349" s="54" t="s">
        <v>80</v>
      </c>
      <c r="AN349" s="14">
        <v>46276</v>
      </c>
      <c r="AO349" s="15"/>
      <c r="AP349" s="91"/>
      <c r="AQ349" s="87"/>
      <c r="AR349" s="26"/>
      <c r="AS349" s="65"/>
      <c r="AT349" s="88" t="s">
        <v>138</v>
      </c>
      <c r="AU349" s="67"/>
      <c r="CN349" t="s">
        <v>2189</v>
      </c>
      <c r="DA349" t="str" cm="1">
        <f t="array" ref="DA349:DY349">IF(U349&lt;&gt;"", TRANSPOSE(_xlfn._xlws.FILTER(CZ:CZ, CY:CY=U349, "")), "")</f>
        <v>Gwl (2N) + Mor</v>
      </c>
      <c r="DB349" t="str">
        <v>Ex Idr | Idr - Ujj (1N) - Omk - Mah (1N) - Man - Idr</v>
      </c>
      <c r="DC349" t="str">
        <v>Ujj (1N) - Omk - Idr (1N)</v>
      </c>
      <c r="DD349" t="str">
        <v>Ex Jlr | Jlr - Kan (2N) - Jlr</v>
      </c>
      <c r="DE349" t="str">
        <v>Ex Jlr | Jlr - Ban (2N) - Jlr</v>
      </c>
      <c r="DF349" t="str">
        <v>Ex Bho | Bho (2N) + Bhim + Bhoj + San</v>
      </c>
      <c r="DG349" t="str">
        <v>Ex Idr | Idr - Man (2N) - Idr</v>
      </c>
      <c r="DH349" t="str">
        <v>Ex Jlr | Jlr - Kan (2N) - Jlr</v>
      </c>
      <c r="DI349" t="str">
        <v>Ex Bho | Bho (2N) + Bhim + Bhoj + San + HDCT Bho</v>
      </c>
      <c r="DJ349" t="str">
        <v>Ex Bho | Bho - Bhim - Tawa (1N) - Mad (1N) - Bho</v>
      </c>
      <c r="DK349" t="str">
        <v>Ujj (1N) - Omk - Mah (1N) - Idr</v>
      </c>
      <c r="DL349" t="str">
        <v>Ujj (1N) -  Idr (1N)</v>
      </c>
      <c r="DM349" t="str">
        <v>Ex Idr | Idr (2N) + Ujj + Omk + Mah</v>
      </c>
      <c r="DN349" t="str">
        <v>Idr - Mah - Omk (1N) - Ujj (1N)</v>
      </c>
      <c r="DO349" t="str">
        <v>Idr - Ujj (1N) - Mah - Omk (1N) - Khandwa</v>
      </c>
      <c r="DP349" t="str">
        <v>Ex Idr | Idr (EX Ujj) (1N) - Mah - Omk (1N) - Idr HDCT</v>
      </c>
      <c r="DQ349" t="str">
        <v>Ujj (1N) - Sehor - Bho (1N) HDCT</v>
      </c>
      <c r="DR349" t="str">
        <v>Ex Jlr | Jlr (1N) - Ban (1N)</v>
      </c>
      <c r="DS349" t="str">
        <v>Ex Jlr | Ban (1N)</v>
      </c>
      <c r="DT349" t="str">
        <v>Ex Jlr | Jlr (2 N) Kan</v>
      </c>
      <c r="DU349" t="str">
        <v>Ex Jlr | Jlr - Amr (1 N) - (1 N) Ban</v>
      </c>
      <c r="DV349" t="str">
        <v>Ex Rpr | Rpr - (2N) Kan</v>
      </c>
      <c r="DW349" t="str">
        <v>Hjr (1N) - Mahi (1N) - Sat</v>
      </c>
      <c r="DX349" t="str">
        <v>Ex Bhp | Bhp - Bhim - Pch (2N) - Bhp</v>
      </c>
      <c r="DY349" t="str">
        <v xml:space="preserve">Ex Ujj I 2N Ujj </v>
      </c>
    </row>
    <row r="350" spans="2:145" ht="15" customHeight="1">
      <c r="B350" s="35">
        <v>346</v>
      </c>
      <c r="C350" s="36" t="s">
        <v>2190</v>
      </c>
      <c r="D350" s="76">
        <v>46274</v>
      </c>
      <c r="E350" s="37" t="str">
        <f>IF(Table5[[#This Row],[Query Date]]&lt;&gt;"", TEXT(Table5[[#This Row],[Query Date]], "dddd"), "")</f>
        <v>Wednesday</v>
      </c>
      <c r="F350" s="37" t="str">
        <f>IF(Table5[[#This Row],[Query Date]]&lt;&gt;"", TEXT(Table5[[#This Row],[Query Date]], "mmmm"), "")</f>
        <v>September</v>
      </c>
      <c r="G350" s="28" t="s">
        <v>65</v>
      </c>
      <c r="H350" s="28" t="s">
        <v>120</v>
      </c>
      <c r="I350" s="28" t="s">
        <v>67</v>
      </c>
      <c r="J350" s="28" t="s">
        <v>68</v>
      </c>
      <c r="K350" s="28" t="s">
        <v>488</v>
      </c>
      <c r="L350" s="25" t="s">
        <v>70</v>
      </c>
      <c r="M350" s="112" t="s">
        <v>736</v>
      </c>
      <c r="N350" s="25" t="s">
        <v>1440</v>
      </c>
      <c r="O350" s="130" t="s">
        <v>1441</v>
      </c>
      <c r="P350" s="46" t="s">
        <v>1442</v>
      </c>
      <c r="Q350" s="77">
        <v>46290</v>
      </c>
      <c r="R350" s="77" t="str">
        <f>IF(Table5[[#This Row],[Tour Starting Date]]&lt;&gt;"", TEXT(Table5[[#This Row],[Tour Starting Date]], "dddd"), "")</f>
        <v>Friday</v>
      </c>
      <c r="S350" s="77">
        <v>46292</v>
      </c>
      <c r="T350" s="25" t="str">
        <f>IF(Table5[[#This Row],[Tour Ending Date]]&lt;&gt;"", TEXT(Table5[[#This Row],[Tour Ending Date]], "dddd"), "")</f>
        <v>Sunday</v>
      </c>
      <c r="U35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2 Nights &amp; 3 Days</v>
      </c>
      <c r="V350" s="37" t="str">
        <f>IF(Table5[[#This Row],[Tour Starting Date]]&lt;&gt;"", TEXT(Table5[[#This Row],[Tour Starting Date]], "mmmm"), "")</f>
        <v>September</v>
      </c>
      <c r="W350" s="80" t="str" cm="1">
        <f t="array" ref="W350">IF(Q350&lt;&gt;"", INDEX(CI:CI, MATCH(1, (Q350&gt;=CG:CG)*(Q350&lt;=CH:CH), 0)), "")</f>
        <v>Regular Dates - Weekend</v>
      </c>
      <c r="X350" s="39">
        <v>3</v>
      </c>
      <c r="Y350" s="74">
        <v>7200</v>
      </c>
      <c r="Z350" s="74">
        <f>IF(OR(Table5[[#This Row],[Per Person Package Cost]]="", Table5[[#This Row],[No. of Pax]]=""), "", Table5[[#This Row],[Per Person Package Cost]] * Table5[[#This Row],[No. of Pax]])</f>
        <v>21600</v>
      </c>
      <c r="AA350" s="52" t="s">
        <v>75</v>
      </c>
      <c r="AB350" s="52" t="s">
        <v>75</v>
      </c>
      <c r="AC350" s="52" t="s">
        <v>76</v>
      </c>
      <c r="AD350" s="52" t="s">
        <v>352</v>
      </c>
      <c r="AE350" s="51" t="str">
        <f t="shared" si="45"/>
        <v>EXIDR02</v>
      </c>
      <c r="AF350" s="51" t="str">
        <f t="shared" si="46"/>
        <v>Jyotirlinga Trails</v>
      </c>
      <c r="AG350" s="74" t="str">
        <f t="shared" si="47"/>
        <v>Quick Getaways</v>
      </c>
      <c r="AH350" s="73" t="str">
        <f t="shared" si="48"/>
        <v>West MP</v>
      </c>
      <c r="AI350" s="52" t="s">
        <v>159</v>
      </c>
      <c r="AJ350" s="56" t="s">
        <v>78</v>
      </c>
      <c r="AK350" s="59" t="s">
        <v>79</v>
      </c>
      <c r="AL350" s="60" t="s">
        <v>80</v>
      </c>
      <c r="AM350" s="54" t="s">
        <v>80</v>
      </c>
      <c r="AN350" s="14">
        <v>46277</v>
      </c>
      <c r="AO350" s="15"/>
      <c r="AP350" s="91"/>
      <c r="AQ350" s="87"/>
      <c r="AR350" s="26"/>
      <c r="AS350" s="65"/>
      <c r="AT350" s="88" t="s">
        <v>138</v>
      </c>
      <c r="AU350" s="67"/>
      <c r="CN350" t="s">
        <v>2191</v>
      </c>
      <c r="DA350" t="str" cm="1">
        <f t="array" ref="DA350:DY350">IF(U350&lt;&gt;"", TRANSPOSE(_xlfn._xlws.FILTER(CZ:CZ, CY:CY=U350, "")), "")</f>
        <v>Gwl (2N) + Mor</v>
      </c>
      <c r="DB350" t="str">
        <v>Ex Idr | Idr - Ujj (1N) - Omk - Mah (1N) - Man - Idr</v>
      </c>
      <c r="DC350" t="str">
        <v>Ujj (1N) - Omk - Idr (1N)</v>
      </c>
      <c r="DD350" t="str">
        <v>Ex Jlr | Jlr - Kan (2N) - Jlr</v>
      </c>
      <c r="DE350" t="str">
        <v>Ex Jlr | Jlr - Ban (2N) - Jlr</v>
      </c>
      <c r="DF350" t="str">
        <v>Ex Bho | Bho (2N) + Bhim + Bhoj + San</v>
      </c>
      <c r="DG350" t="str">
        <v>Ex Idr | Idr - Man (2N) - Idr</v>
      </c>
      <c r="DH350" t="str">
        <v>Ex Jlr | Jlr - Kan (2N) - Jlr</v>
      </c>
      <c r="DI350" t="str">
        <v>Ex Bho | Bho (2N) + Bhim + Bhoj + San + HDCT Bho</v>
      </c>
      <c r="DJ350" t="str">
        <v>Ex Bho | Bho - Bhim - Tawa (1N) - Mad (1N) - Bho</v>
      </c>
      <c r="DK350" t="str">
        <v>Ujj (1N) - Omk - Mah (1N) - Idr</v>
      </c>
      <c r="DL350" t="str">
        <v>Ujj (1N) -  Idr (1N)</v>
      </c>
      <c r="DM350" t="str">
        <v>Ex Idr | Idr (2N) + Ujj + Omk + Mah</v>
      </c>
      <c r="DN350" t="str">
        <v>Idr - Mah - Omk (1N) - Ujj (1N)</v>
      </c>
      <c r="DO350" t="str">
        <v>Idr - Ujj (1N) - Mah - Omk (1N) - Khandwa</v>
      </c>
      <c r="DP350" t="str">
        <v>Ex Idr | Idr (EX Ujj) (1N) - Mah - Omk (1N) - Idr HDCT</v>
      </c>
      <c r="DQ350" t="str">
        <v>Ujj (1N) - Sehor - Bho (1N) HDCT</v>
      </c>
      <c r="DR350" t="str">
        <v>Ex Jlr | Jlr (1N) - Ban (1N)</v>
      </c>
      <c r="DS350" t="str">
        <v>Ex Jlr | Ban (1N)</v>
      </c>
      <c r="DT350" t="str">
        <v>Ex Jlr | Jlr (2 N) Kan</v>
      </c>
      <c r="DU350" t="str">
        <v>Ex Jlr | Jlr - Amr (1 N) - (1 N) Ban</v>
      </c>
      <c r="DV350" t="str">
        <v>Ex Rpr | Rpr - (2N) Kan</v>
      </c>
      <c r="DW350" t="str">
        <v>Hjr (1N) - Mahi (1N) - Sat</v>
      </c>
      <c r="DX350" t="str">
        <v>Ex Bhp | Bhp - Bhim - Pch (2N) - Bhp</v>
      </c>
      <c r="DY350" t="str">
        <v xml:space="preserve">Ex Ujj I 2N Ujj </v>
      </c>
    </row>
    <row r="351" spans="2:145" ht="15" customHeight="1">
      <c r="B351" s="34">
        <v>347</v>
      </c>
      <c r="C351" s="36" t="s">
        <v>2192</v>
      </c>
      <c r="D351" s="76">
        <v>46275</v>
      </c>
      <c r="E351" s="37" t="str">
        <f>IF(Table5[[#This Row],[Query Date]]&lt;&gt;"", TEXT(Table5[[#This Row],[Query Date]], "dddd"), "")</f>
        <v>Thursday</v>
      </c>
      <c r="F351" s="37" t="str">
        <f>IF(Table5[[#This Row],[Query Date]]&lt;&gt;"", TEXT(Table5[[#This Row],[Query Date]], "mmmm"), "")</f>
        <v>September</v>
      </c>
      <c r="G351" s="28" t="s">
        <v>65</v>
      </c>
      <c r="H351" s="28" t="s">
        <v>99</v>
      </c>
      <c r="I351" s="28" t="s">
        <v>67</v>
      </c>
      <c r="J351" s="28" t="s">
        <v>68</v>
      </c>
      <c r="K351" s="28" t="s">
        <v>69</v>
      </c>
      <c r="L351" s="25" t="s">
        <v>70</v>
      </c>
      <c r="M351" s="112" t="s">
        <v>101</v>
      </c>
      <c r="N351" s="25" t="s">
        <v>546</v>
      </c>
      <c r="O351" s="130">
        <v>9987720222</v>
      </c>
      <c r="P351" s="31" t="s">
        <v>547</v>
      </c>
      <c r="Q351" s="77">
        <v>46304</v>
      </c>
      <c r="R351" s="77" t="str">
        <f>IF(Table5[[#This Row],[Tour Starting Date]]&lt;&gt;"", TEXT(Table5[[#This Row],[Tour Starting Date]], "dddd"), "")</f>
        <v>Friday</v>
      </c>
      <c r="S351" s="77">
        <v>46306</v>
      </c>
      <c r="T351" s="25" t="str">
        <f>IF(Table5[[#This Row],[Tour Ending Date]]&lt;&gt;"", TEXT(Table5[[#This Row],[Tour Ending Date]], "dddd"), "")</f>
        <v>Sunday</v>
      </c>
      <c r="U35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2 Nights &amp; 3 Days</v>
      </c>
      <c r="V351" s="37" t="str">
        <f>IF(Table5[[#This Row],[Tour Starting Date]]&lt;&gt;"", TEXT(Table5[[#This Row],[Tour Starting Date]], "mmmm"), "")</f>
        <v>October</v>
      </c>
      <c r="W351" s="80" t="str" cm="1">
        <f t="array" ref="W351">IF(Q351&lt;&gt;"", INDEX(CI:CI, MATCH(1, (Q351&gt;=CG:CG)*(Q351&lt;=CH:CH), 0)), "")</f>
        <v>Regular Dates - Weekend</v>
      </c>
      <c r="X351" s="39">
        <v>10</v>
      </c>
      <c r="Y351" s="74">
        <v>16500</v>
      </c>
      <c r="Z351" s="74">
        <f>IF(OR(Table5[[#This Row],[Per Person Package Cost]]="", Table5[[#This Row],[No. of Pax]]=""), "", Table5[[#This Row],[Per Person Package Cost]] * Table5[[#This Row],[No. of Pax]])</f>
        <v>165000</v>
      </c>
      <c r="AA351" s="52" t="s">
        <v>683</v>
      </c>
      <c r="AB351" s="52" t="s">
        <v>683</v>
      </c>
      <c r="AC351" s="52" t="s">
        <v>76</v>
      </c>
      <c r="AD351" s="52"/>
      <c r="AE351" s="51" t="str">
        <f t="shared" si="45"/>
        <v/>
      </c>
      <c r="AF351" s="51" t="str">
        <f t="shared" si="46"/>
        <v/>
      </c>
      <c r="AG351" s="74" t="str">
        <f t="shared" si="47"/>
        <v/>
      </c>
      <c r="AH351" s="73" t="str">
        <f t="shared" si="48"/>
        <v/>
      </c>
      <c r="AI351" s="52" t="s">
        <v>107</v>
      </c>
      <c r="AJ351" s="56" t="s">
        <v>78</v>
      </c>
      <c r="AK351" s="59" t="s">
        <v>79</v>
      </c>
      <c r="AL351" s="60" t="s">
        <v>80</v>
      </c>
      <c r="AM351" s="54" t="s">
        <v>80</v>
      </c>
      <c r="AN351" s="14">
        <v>46277</v>
      </c>
      <c r="AO351" s="15"/>
      <c r="AP351" s="91"/>
      <c r="AQ351" s="87"/>
      <c r="AR351" s="26"/>
      <c r="AS351" s="65"/>
      <c r="AT351" s="88" t="s">
        <v>138</v>
      </c>
      <c r="AU351" s="67"/>
      <c r="CN351" t="s">
        <v>1323</v>
      </c>
      <c r="DA351" t="str" cm="1">
        <f t="array" ref="DA351:DY351">IF(U351&lt;&gt;"", TRANSPOSE(_xlfn._xlws.FILTER(CZ:CZ, CY:CY=U351, "")), "")</f>
        <v>Gwl (2N) + Mor</v>
      </c>
      <c r="DB351" t="str">
        <v>Ex Idr | Idr - Ujj (1N) - Omk - Mah (1N) - Man - Idr</v>
      </c>
      <c r="DC351" t="str">
        <v>Ujj (1N) - Omk - Idr (1N)</v>
      </c>
      <c r="DD351" t="str">
        <v>Ex Jlr | Jlr - Kan (2N) - Jlr</v>
      </c>
      <c r="DE351" t="str">
        <v>Ex Jlr | Jlr - Ban (2N) - Jlr</v>
      </c>
      <c r="DF351" t="str">
        <v>Ex Bho | Bho (2N) + Bhim + Bhoj + San</v>
      </c>
      <c r="DG351" t="str">
        <v>Ex Idr | Idr - Man (2N) - Idr</v>
      </c>
      <c r="DH351" t="str">
        <v>Ex Jlr | Jlr - Kan (2N) - Jlr</v>
      </c>
      <c r="DI351" t="str">
        <v>Ex Bho | Bho (2N) + Bhim + Bhoj + San + HDCT Bho</v>
      </c>
      <c r="DJ351" t="str">
        <v>Ex Bho | Bho - Bhim - Tawa (1N) - Mad (1N) - Bho</v>
      </c>
      <c r="DK351" t="str">
        <v>Ujj (1N) - Omk - Mah (1N) - Idr</v>
      </c>
      <c r="DL351" t="str">
        <v>Ujj (1N) -  Idr (1N)</v>
      </c>
      <c r="DM351" t="str">
        <v>Ex Idr | Idr (2N) + Ujj + Omk + Mah</v>
      </c>
      <c r="DN351" t="str">
        <v>Idr - Mah - Omk (1N) - Ujj (1N)</v>
      </c>
      <c r="DO351" t="str">
        <v>Idr - Ujj (1N) - Mah - Omk (1N) - Khandwa</v>
      </c>
      <c r="DP351" t="str">
        <v>Ex Idr | Idr (EX Ujj) (1N) - Mah - Omk (1N) - Idr HDCT</v>
      </c>
      <c r="DQ351" t="str">
        <v>Ujj (1N) - Sehor - Bho (1N) HDCT</v>
      </c>
      <c r="DR351" t="str">
        <v>Ex Jlr | Jlr (1N) - Ban (1N)</v>
      </c>
      <c r="DS351" t="str">
        <v>Ex Jlr | Ban (1N)</v>
      </c>
      <c r="DT351" t="str">
        <v>Ex Jlr | Jlr (2 N) Kan</v>
      </c>
      <c r="DU351" t="str">
        <v>Ex Jlr | Jlr - Amr (1 N) - (1 N) Ban</v>
      </c>
      <c r="DV351" t="str">
        <v>Ex Rpr | Rpr - (2N) Kan</v>
      </c>
      <c r="DW351" t="str">
        <v>Hjr (1N) - Mahi (1N) - Sat</v>
      </c>
      <c r="DX351" t="str">
        <v>Ex Bhp | Bhp - Bhim - Pch (2N) - Bhp</v>
      </c>
      <c r="DY351" t="str">
        <v xml:space="preserve">Ex Ujj I 2N Ujj </v>
      </c>
    </row>
    <row r="352" spans="2:145" ht="15" customHeight="1">
      <c r="B352" s="35">
        <v>348</v>
      </c>
      <c r="C352" s="36" t="s">
        <v>2193</v>
      </c>
      <c r="D352" s="76">
        <v>46275</v>
      </c>
      <c r="E352" s="37" t="str">
        <f>IF(Table5[[#This Row],[Query Date]]&lt;&gt;"", TEXT(Table5[[#This Row],[Query Date]], "dddd"), "")</f>
        <v>Thursday</v>
      </c>
      <c r="F352" s="37" t="str">
        <f>IF(Table5[[#This Row],[Query Date]]&lt;&gt;"", TEXT(Table5[[#This Row],[Query Date]], "mmmm"), "")</f>
        <v>September</v>
      </c>
      <c r="G352" s="28" t="s">
        <v>65</v>
      </c>
      <c r="H352" s="28" t="s">
        <v>99</v>
      </c>
      <c r="I352" s="28" t="s">
        <v>67</v>
      </c>
      <c r="J352" s="28" t="s">
        <v>276</v>
      </c>
      <c r="K352" s="28" t="s">
        <v>69</v>
      </c>
      <c r="L352" s="25" t="s">
        <v>70</v>
      </c>
      <c r="M352" s="112" t="s">
        <v>266</v>
      </c>
      <c r="N352" s="25" t="s">
        <v>900</v>
      </c>
      <c r="O352" s="130" t="s">
        <v>901</v>
      </c>
      <c r="P352" s="46" t="s">
        <v>902</v>
      </c>
      <c r="Q352" s="77">
        <v>46338</v>
      </c>
      <c r="R352" s="77" t="str">
        <f>IF(Table5[[#This Row],[Tour Starting Date]]&lt;&gt;"", TEXT(Table5[[#This Row],[Tour Starting Date]], "dddd"), "")</f>
        <v>Thursday</v>
      </c>
      <c r="S352" s="77">
        <v>46341</v>
      </c>
      <c r="T352" s="25" t="str">
        <f>IF(Table5[[#This Row],[Tour Ending Date]]&lt;&gt;"", TEXT(Table5[[#This Row],[Tour Ending Date]], "dddd"), "")</f>
        <v>Sunday</v>
      </c>
      <c r="U35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3 Nights &amp; 4 Days</v>
      </c>
      <c r="V352" s="37" t="str">
        <f>IF(Table5[[#This Row],[Tour Starting Date]]&lt;&gt;"", TEXT(Table5[[#This Row],[Tour Starting Date]], "mmmm"), "")</f>
        <v>November</v>
      </c>
      <c r="W352" s="80" t="str" cm="1">
        <f t="array" ref="W352">IF(Q352&lt;&gt;"", INDEX(CI:CI, MATCH(1, (Q352&gt;=CG:CG)*(Q352&lt;=CH:CH), 0)), "")</f>
        <v>Regular Dates - Weekend</v>
      </c>
      <c r="X352" s="39">
        <v>2</v>
      </c>
      <c r="Y352" s="74">
        <v>11250</v>
      </c>
      <c r="Z352" s="74">
        <f>IF(OR(Table5[[#This Row],[Per Person Package Cost]]="", Table5[[#This Row],[No. of Pax]]=""), "", Table5[[#This Row],[Per Person Package Cost]] * Table5[[#This Row],[No. of Pax]])</f>
        <v>22500</v>
      </c>
      <c r="AA352" s="52" t="s">
        <v>75</v>
      </c>
      <c r="AB352" s="52" t="s">
        <v>75</v>
      </c>
      <c r="AC352" s="52"/>
      <c r="AD352" s="52" t="s">
        <v>335</v>
      </c>
      <c r="AE352" s="51" t="str">
        <f t="shared" si="45"/>
        <v>EXIDR01</v>
      </c>
      <c r="AF352" s="51" t="str">
        <f t="shared" si="46"/>
        <v>Mahakaal Darshan</v>
      </c>
      <c r="AG352" s="74" t="str">
        <f t="shared" si="47"/>
        <v>Quick Getaways</v>
      </c>
      <c r="AH352" s="73" t="str">
        <f t="shared" si="48"/>
        <v>West MP</v>
      </c>
      <c r="AI352" s="52" t="s">
        <v>159</v>
      </c>
      <c r="AJ352" s="56" t="s">
        <v>78</v>
      </c>
      <c r="AK352" s="59" t="s">
        <v>79</v>
      </c>
      <c r="AL352" s="60" t="s">
        <v>80</v>
      </c>
      <c r="AM352" s="54" t="s">
        <v>80</v>
      </c>
      <c r="AN352" s="14">
        <v>46277</v>
      </c>
      <c r="AO352" s="15"/>
      <c r="AP352" s="91"/>
      <c r="AQ352" s="87"/>
      <c r="AR352" s="26"/>
      <c r="AS352" s="65"/>
      <c r="AT352" s="88" t="s">
        <v>138</v>
      </c>
      <c r="AU352" s="67"/>
      <c r="CN352" t="s">
        <v>2194</v>
      </c>
      <c r="DA352" t="str" cm="1">
        <f t="array" ref="DA352:EO352">IF(U352&lt;&gt;"", TRANSPOSE(_xlfn._xlws.FILTER(CZ:CZ, CY:CY=U352, "")), "")</f>
        <v>Gwl (3N) + Mor + Son + Dat + Orc</v>
      </c>
      <c r="DB352" t="str">
        <v>Ex Gwl | Gwl (1N) - Son - Dat - Orc (1N) - Gwl (1N)</v>
      </c>
      <c r="DC352" t="str">
        <v>Ex Idr | Idr - Ujj (1N) - Omk - Mah (1N) - Man (1N) - Idr</v>
      </c>
      <c r="DD352" t="str">
        <v>Ex Jlr | Jlr - Kan (2N) - Jlr (1N)</v>
      </c>
      <c r="DE352" t="str">
        <v>Ex Jlr | Jlr - Ban (2N) - Jlr (1N)</v>
      </c>
      <c r="DF352" t="str">
        <v>Ex Bho | Bho (1N) + San - Bhoj - Bhim - Pch (2N) - Bho</v>
      </c>
      <c r="DG352" t="str">
        <v>Ex Idr | Idr (1N) - Ujj (1N) - Omk (1N) - Mah - Idr</v>
      </c>
      <c r="DH352" t="str">
        <v>Gwl - Orc (1N) - Ckt (1N) - Myr (1N) - Jlr</v>
      </c>
      <c r="DI352" t="str">
        <v>Gwl - Orc (1N) - Ckt (2N) - Ixd</v>
      </c>
      <c r="DJ352" t="str">
        <v>Ex Idr | Idr - Ujj (1N) - Omk - Mah (1N) - Idr (1N)</v>
      </c>
      <c r="DK352" t="str">
        <v>Ex Jlr | Jlr - Kan (3N) - Jlr</v>
      </c>
      <c r="DL352" t="str">
        <v>Ex Bho | Bho (2N) + Bhim + Bhoj + San + Udaygiri + Vidisha + FDCT Bho</v>
      </c>
      <c r="DM352" t="str">
        <v>Bho (1N) + Bhim + Bhoj - HDCT  Bho + Sanchi - Ujj (2N)</v>
      </c>
      <c r="DN352" t="str">
        <v>Bho (1N) + Bhim + Bhoj - HDCT  Bho + Sanchi - Ujj (2N) - Idr</v>
      </c>
      <c r="DO352" t="str">
        <v>Ex Bho | Bho - Bhoj - Bhim - Mad (1N) - Pch (2N) - Bho</v>
      </c>
      <c r="DP352" t="str">
        <v>Ex Bho | Bho - Bhoj - Bhim - Mad (1N) - Pch (3N) - Bho</v>
      </c>
      <c r="DQ352" t="str">
        <v>Ex Bho | Bho - Bhoj - Bhim - Tawa (1N) - Mad (1N) - Bho (1N)</v>
      </c>
      <c r="DR352" t="str">
        <v>Bho (1N) - Bhim - Bhoj - San - Idr (2N) + Ujj</v>
      </c>
      <c r="DS352" t="str">
        <v>Bho (1N) - Bhoj - Bhim - Pch (2N) - Bho</v>
      </c>
      <c r="DT352" t="str">
        <v>Ujj (1N) - Omk - Mah (1N) - Idr (1N)</v>
      </c>
      <c r="DU352" t="str">
        <v>Ujj (1N) - Omk - Mah (1N) - Man (1N) - Idr</v>
      </c>
      <c r="DV352" t="str">
        <v>Ex Idr | Idr (1N) - Ujj (1N) - Omk - Mah (1N)</v>
      </c>
      <c r="DW352" t="str">
        <v>Ex Idr | Idr - Ujj (1N) - Omk (1N) - Mah (1N) - Idr</v>
      </c>
      <c r="DX352" t="str">
        <v>Khandwa - Omk (1N) - Mah (1N) - Ujj (1N) - Idr</v>
      </c>
      <c r="DY352" t="str">
        <v>Ex Idr | Idr - Ujj (1N) - Omk - Mah (1N) - Man - Idr (1N)</v>
      </c>
      <c r="DZ352" t="str">
        <v xml:space="preserve">Idr - Omk (1N) - Mah - Ujj (1N) San - Bho (1N) </v>
      </c>
      <c r="EA352" t="str">
        <v>Ex Idr | Idr - Man (1N) - Mah - Omk (1N) - Ujj (1N) - Idr</v>
      </c>
      <c r="EB352" t="str">
        <v>Khandwa - Omk (1N) - Mah - Ujj (2N)</v>
      </c>
      <c r="EC352" t="str">
        <v>Ex Jlr | Jlr (1N) - Amr (1N) - Ban (1N) - Jlr</v>
      </c>
      <c r="ED352" t="str">
        <v>Ex Jlr | Jlr - (1 N) Ban - (2 N) Amar</v>
      </c>
      <c r="EE352" t="str">
        <v>Jlr - Kan (1N) - Pch (2N)</v>
      </c>
      <c r="EF352" t="str">
        <v>Pi - Pch (2N)  - Kan (1N)</v>
      </c>
      <c r="EG352" t="str">
        <v>Ex Jlr | Jlr - Amr (1 N) - (1 N) Ban - (1 N) Jlr</v>
      </c>
      <c r="EH352" t="str">
        <v>Ppi - (2 N) Pch - (1 N) Pen</v>
      </c>
      <c r="EI352" t="str">
        <v>Bhp - Pch (2N) - Jlr (1N)</v>
      </c>
      <c r="EJ352" t="str">
        <v xml:space="preserve">Arr Jhn - Hjr (1N) - Orc - Gwl (2N) </v>
      </c>
      <c r="EK352" t="str">
        <v>(1 N) Ujj - (1 N) Mah - (1 N) Idr</v>
      </c>
      <c r="EL352" t="str">
        <v>Ex Bhp | Bhp - Bhoj - Bhim - Pch (3N) - Bhp</v>
      </c>
      <c r="EM352" t="str">
        <v>Ex Bhp | Bhp - Bhoj - Bhim - Pch (2N) - Mad (1N) - Bhp</v>
      </c>
      <c r="EN352" t="str">
        <v xml:space="preserve">Ex Nag - 3N Pch + Sat </v>
      </c>
      <c r="EO352" t="str">
        <v>1N Gwl - Son - Dat - 1N Hjr - 1N Orc - Jhn</v>
      </c>
    </row>
    <row r="353" spans="2:145" ht="15" customHeight="1">
      <c r="B353" s="34">
        <v>349</v>
      </c>
      <c r="C353" s="36" t="s">
        <v>2195</v>
      </c>
      <c r="D353" s="76">
        <v>46275</v>
      </c>
      <c r="E353" s="37" t="str">
        <f>IF(Table5[[#This Row],[Query Date]]&lt;&gt;"", TEXT(Table5[[#This Row],[Query Date]], "dddd"), "")</f>
        <v>Thursday</v>
      </c>
      <c r="F353" s="37" t="str">
        <f>IF(Table5[[#This Row],[Query Date]]&lt;&gt;"", TEXT(Table5[[#This Row],[Query Date]], "mmmm"), "")</f>
        <v>September</v>
      </c>
      <c r="G353" s="28" t="s">
        <v>65</v>
      </c>
      <c r="H353" s="28" t="s">
        <v>66</v>
      </c>
      <c r="I353" s="28" t="s">
        <v>67</v>
      </c>
      <c r="J353" s="28" t="s">
        <v>68</v>
      </c>
      <c r="K353" s="28"/>
      <c r="L353" s="25" t="s">
        <v>70</v>
      </c>
      <c r="M353" s="112" t="s">
        <v>1952</v>
      </c>
      <c r="N353" s="25"/>
      <c r="O353" s="130"/>
      <c r="P353" s="106"/>
      <c r="Q353" s="77">
        <v>46293</v>
      </c>
      <c r="R353" s="77" t="str">
        <f>IF(Table5[[#This Row],[Tour Starting Date]]&lt;&gt;"", TEXT(Table5[[#This Row],[Tour Starting Date]], "dddd"), "")</f>
        <v>Monday</v>
      </c>
      <c r="S353" s="77">
        <v>46296</v>
      </c>
      <c r="T353" s="25" t="str">
        <f>IF(Table5[[#This Row],[Tour Ending Date]]&lt;&gt;"", TEXT(Table5[[#This Row],[Tour Ending Date]], "dddd"), "")</f>
        <v>Thursday</v>
      </c>
      <c r="U35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3 Nights &amp; 4 Days</v>
      </c>
      <c r="V353" s="37" t="str">
        <f>IF(Table5[[#This Row],[Tour Starting Date]]&lt;&gt;"", TEXT(Table5[[#This Row],[Tour Starting Date]], "mmmm"), "")</f>
        <v>September</v>
      </c>
      <c r="W353" s="80" t="str" cm="1">
        <f t="array" ref="W353">IF(Q353&lt;&gt;"", INDEX(CI:CI, MATCH(1, (Q353&gt;=CG:CG)*(Q353&lt;=CH:CH), 0)), "")</f>
        <v>Regular Dates - Weekday</v>
      </c>
      <c r="X353" s="39">
        <v>6</v>
      </c>
      <c r="Y353" s="74">
        <v>24500</v>
      </c>
      <c r="Z353" s="74">
        <f>IF(OR(Table5[[#This Row],[Per Person Package Cost]]="", Table5[[#This Row],[No. of Pax]]=""), "", Table5[[#This Row],[Per Person Package Cost]] * Table5[[#This Row],[No. of Pax]])</f>
        <v>147000</v>
      </c>
      <c r="AA353" s="52" t="s">
        <v>75</v>
      </c>
      <c r="AB353" s="52" t="s">
        <v>75</v>
      </c>
      <c r="AC353" s="52" t="s">
        <v>173</v>
      </c>
      <c r="AD353" s="52" t="s">
        <v>106</v>
      </c>
      <c r="AE353" s="51" t="str">
        <f t="shared" si="45"/>
        <v>EXIDR04</v>
      </c>
      <c r="AF353" s="51" t="str">
        <f t="shared" si="46"/>
        <v>Heritage Pilgrimage</v>
      </c>
      <c r="AG353" s="74" t="str">
        <f t="shared" si="47"/>
        <v>Quick Getaways</v>
      </c>
      <c r="AH353" s="73" t="str">
        <f t="shared" si="48"/>
        <v>West MP</v>
      </c>
      <c r="AI353" s="52" t="s">
        <v>162</v>
      </c>
      <c r="AJ353" s="56" t="s">
        <v>115</v>
      </c>
      <c r="AK353" s="59" t="s">
        <v>79</v>
      </c>
      <c r="AL353" s="60" t="s">
        <v>80</v>
      </c>
      <c r="AM353" s="54" t="s">
        <v>80</v>
      </c>
      <c r="AN353" s="14"/>
      <c r="AO353" s="15"/>
      <c r="AP353" s="91"/>
      <c r="AQ353" s="87"/>
      <c r="AR353" s="26"/>
      <c r="AS353" s="65"/>
      <c r="AT353" s="88" t="s">
        <v>85</v>
      </c>
      <c r="AU353" s="67"/>
      <c r="CN353" t="s">
        <v>473</v>
      </c>
      <c r="DA353" t="str" cm="1">
        <f t="array" ref="DA353:EO353">IF(U353&lt;&gt;"", TRANSPOSE(_xlfn._xlws.FILTER(CZ:CZ, CY:CY=U353, "")), "")</f>
        <v>Gwl (3N) + Mor + Son + Dat + Orc</v>
      </c>
      <c r="DB353" t="str">
        <v>Ex Gwl | Gwl (1N) - Son - Dat - Orc (1N) - Gwl (1N)</v>
      </c>
      <c r="DC353" t="str">
        <v>Ex Idr | Idr - Ujj (1N) - Omk - Mah (1N) - Man (1N) - Idr</v>
      </c>
      <c r="DD353" t="str">
        <v>Ex Jlr | Jlr - Kan (2N) - Jlr (1N)</v>
      </c>
      <c r="DE353" t="str">
        <v>Ex Jlr | Jlr - Ban (2N) - Jlr (1N)</v>
      </c>
      <c r="DF353" t="str">
        <v>Ex Bho | Bho (1N) + San - Bhoj - Bhim - Pch (2N) - Bho</v>
      </c>
      <c r="DG353" t="str">
        <v>Ex Idr | Idr (1N) - Ujj (1N) - Omk (1N) - Mah - Idr</v>
      </c>
      <c r="DH353" t="str">
        <v>Gwl - Orc (1N) - Ckt (1N) - Myr (1N) - Jlr</v>
      </c>
      <c r="DI353" t="str">
        <v>Gwl - Orc (1N) - Ckt (2N) - Ixd</v>
      </c>
      <c r="DJ353" t="str">
        <v>Ex Idr | Idr - Ujj (1N) - Omk - Mah (1N) - Idr (1N)</v>
      </c>
      <c r="DK353" t="str">
        <v>Ex Jlr | Jlr - Kan (3N) - Jlr</v>
      </c>
      <c r="DL353" t="str">
        <v>Ex Bho | Bho (2N) + Bhim + Bhoj + San + Udaygiri + Vidisha + FDCT Bho</v>
      </c>
      <c r="DM353" t="str">
        <v>Bho (1N) + Bhim + Bhoj - HDCT  Bho + Sanchi - Ujj (2N)</v>
      </c>
      <c r="DN353" t="str">
        <v>Bho (1N) + Bhim + Bhoj - HDCT  Bho + Sanchi - Ujj (2N) - Idr</v>
      </c>
      <c r="DO353" t="str">
        <v>Ex Bho | Bho - Bhoj - Bhim - Mad (1N) - Pch (2N) - Bho</v>
      </c>
      <c r="DP353" t="str">
        <v>Ex Bho | Bho - Bhoj - Bhim - Mad (1N) - Pch (3N) - Bho</v>
      </c>
      <c r="DQ353" t="str">
        <v>Ex Bho | Bho - Bhoj - Bhim - Tawa (1N) - Mad (1N) - Bho (1N)</v>
      </c>
      <c r="DR353" t="str">
        <v>Bho (1N) - Bhim - Bhoj - San - Idr (2N) + Ujj</v>
      </c>
      <c r="DS353" t="str">
        <v>Bho (1N) - Bhoj - Bhim - Pch (2N) - Bho</v>
      </c>
      <c r="DT353" t="str">
        <v>Ujj (1N) - Omk - Mah (1N) - Idr (1N)</v>
      </c>
      <c r="DU353" t="str">
        <v>Ujj (1N) - Omk - Mah (1N) - Man (1N) - Idr</v>
      </c>
      <c r="DV353" t="str">
        <v>Ex Idr | Idr (1N) - Ujj (1N) - Omk - Mah (1N)</v>
      </c>
      <c r="DW353" t="str">
        <v>Ex Idr | Idr - Ujj (1N) - Omk (1N) - Mah (1N) - Idr</v>
      </c>
      <c r="DX353" t="str">
        <v>Khandwa - Omk (1N) - Mah (1N) - Ujj (1N) - Idr</v>
      </c>
      <c r="DY353" t="str">
        <v>Ex Idr | Idr - Ujj (1N) - Omk - Mah (1N) - Man - Idr (1N)</v>
      </c>
      <c r="DZ353" t="str">
        <v xml:space="preserve">Idr - Omk (1N) - Mah - Ujj (1N) San - Bho (1N) </v>
      </c>
      <c r="EA353" t="str">
        <v>Ex Idr | Idr - Man (1N) - Mah - Omk (1N) - Ujj (1N) - Idr</v>
      </c>
      <c r="EB353" t="str">
        <v>Khandwa - Omk (1N) - Mah - Ujj (2N)</v>
      </c>
      <c r="EC353" t="str">
        <v>Ex Jlr | Jlr (1N) - Amr (1N) - Ban (1N) - Jlr</v>
      </c>
      <c r="ED353" t="str">
        <v>Ex Jlr | Jlr - (1 N) Ban - (2 N) Amar</v>
      </c>
      <c r="EE353" t="str">
        <v>Jlr - Kan (1N) - Pch (2N)</v>
      </c>
      <c r="EF353" t="str">
        <v>Pi - Pch (2N)  - Kan (1N)</v>
      </c>
      <c r="EG353" t="str">
        <v>Ex Jlr | Jlr - Amr (1 N) - (1 N) Ban - (1 N) Jlr</v>
      </c>
      <c r="EH353" t="str">
        <v>Ppi - (2 N) Pch - (1 N) Pen</v>
      </c>
      <c r="EI353" t="str">
        <v>Bhp - Pch (2N) - Jlr (1N)</v>
      </c>
      <c r="EJ353" t="str">
        <v xml:space="preserve">Arr Jhn - Hjr (1N) - Orc - Gwl (2N) </v>
      </c>
      <c r="EK353" t="str">
        <v>(1 N) Ujj - (1 N) Mah - (1 N) Idr</v>
      </c>
      <c r="EL353" t="str">
        <v>Ex Bhp | Bhp - Bhoj - Bhim - Pch (3N) - Bhp</v>
      </c>
      <c r="EM353" t="str">
        <v>Ex Bhp | Bhp - Bhoj - Bhim - Pch (2N) - Mad (1N) - Bhp</v>
      </c>
      <c r="EN353" t="str">
        <v xml:space="preserve">Ex Nag - 3N Pch + Sat </v>
      </c>
      <c r="EO353" t="str">
        <v>1N Gwl - Son - Dat - 1N Hjr - 1N Orc - Jhn</v>
      </c>
    </row>
    <row r="354" spans="2:145" ht="15" customHeight="1">
      <c r="B354" s="35">
        <v>350</v>
      </c>
      <c r="C354" s="36" t="s">
        <v>2196</v>
      </c>
      <c r="D354" s="76">
        <v>46275</v>
      </c>
      <c r="E354" s="37" t="str">
        <f>IF(Table5[[#This Row],[Query Date]]&lt;&gt;"", TEXT(Table5[[#This Row],[Query Date]], "dddd"), "")</f>
        <v>Thursday</v>
      </c>
      <c r="F354" s="37" t="str">
        <f>IF(Table5[[#This Row],[Query Date]]&lt;&gt;"", TEXT(Table5[[#This Row],[Query Date]], "mmmm"), "")</f>
        <v>September</v>
      </c>
      <c r="G354" s="28" t="s">
        <v>65</v>
      </c>
      <c r="H354" s="28" t="s">
        <v>99</v>
      </c>
      <c r="I354" s="28" t="s">
        <v>100</v>
      </c>
      <c r="J354" s="28" t="s">
        <v>68</v>
      </c>
      <c r="K354" s="28" t="s">
        <v>69</v>
      </c>
      <c r="L354" s="25" t="s">
        <v>70</v>
      </c>
      <c r="M354" s="112" t="s">
        <v>1222</v>
      </c>
      <c r="N354" s="25" t="s">
        <v>2197</v>
      </c>
      <c r="O354" s="130" t="s">
        <v>2198</v>
      </c>
      <c r="P354" s="46" t="s">
        <v>2199</v>
      </c>
      <c r="Q354" s="77">
        <v>46419</v>
      </c>
      <c r="R354" s="77" t="str">
        <f>IF(Table5[[#This Row],[Tour Starting Date]]&lt;&gt;"", TEXT(Table5[[#This Row],[Tour Starting Date]], "dddd"), "")</f>
        <v>Monday</v>
      </c>
      <c r="S354" s="77">
        <v>46423</v>
      </c>
      <c r="T354" s="25" t="str">
        <f>IF(Table5[[#This Row],[Tour Ending Date]]&lt;&gt;"", TEXT(Table5[[#This Row],[Tour Ending Date]], "dddd"), "")</f>
        <v>Friday</v>
      </c>
      <c r="U35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4 Nights &amp; 5 Days</v>
      </c>
      <c r="V354" s="37" t="str">
        <f>IF(Table5[[#This Row],[Tour Starting Date]]&lt;&gt;"", TEXT(Table5[[#This Row],[Tour Starting Date]], "mmmm"), "")</f>
        <v>February</v>
      </c>
      <c r="W354" s="80" t="str" cm="1">
        <f t="array" ref="W354">IF(Q354&lt;&gt;"", INDEX(CI:CI, MATCH(1, (Q354&gt;=CG:CG)*(Q354&lt;=CH:CH), 0)), "")</f>
        <v>Regular Dates - Weekday</v>
      </c>
      <c r="X354" s="39">
        <v>5</v>
      </c>
      <c r="Y354" s="74">
        <v>19500</v>
      </c>
      <c r="Z354" s="74">
        <f>IF(OR(Table5[[#This Row],[Per Person Package Cost]]="", Table5[[#This Row],[No. of Pax]]=""), "", Table5[[#This Row],[Per Person Package Cost]] * Table5[[#This Row],[No. of Pax]])</f>
        <v>97500</v>
      </c>
      <c r="AA354" s="52" t="s">
        <v>520</v>
      </c>
      <c r="AB354" s="52" t="s">
        <v>520</v>
      </c>
      <c r="AC354" s="52" t="s">
        <v>134</v>
      </c>
      <c r="AD354" s="52" t="s">
        <v>858</v>
      </c>
      <c r="AE354" s="51" t="str">
        <f t="shared" si="45"/>
        <v>EXBHO12</v>
      </c>
      <c r="AF354" s="51" t="str">
        <f t="shared" si="46"/>
        <v xml:space="preserve">Echoes Of The Ancient &amp; Wilderness </v>
      </c>
      <c r="AG354" s="74" t="str">
        <f t="shared" si="47"/>
        <v>Quick Getaways</v>
      </c>
      <c r="AH354" s="73" t="str">
        <f t="shared" si="48"/>
        <v>South MP</v>
      </c>
      <c r="AI354" s="52" t="s">
        <v>107</v>
      </c>
      <c r="AJ354" s="56" t="s">
        <v>78</v>
      </c>
      <c r="AK354" s="59" t="s">
        <v>79</v>
      </c>
      <c r="AL354" s="60" t="s">
        <v>80</v>
      </c>
      <c r="AM354" s="54" t="s">
        <v>80</v>
      </c>
      <c r="AN354" s="14">
        <v>46277</v>
      </c>
      <c r="AO354" s="15"/>
      <c r="AP354" s="91"/>
      <c r="AQ354" s="87"/>
      <c r="AR354" s="26"/>
      <c r="AS354" s="65"/>
      <c r="AT354" s="88" t="s">
        <v>138</v>
      </c>
      <c r="AU354" s="67"/>
      <c r="CN354" t="s">
        <v>201</v>
      </c>
      <c r="DA354" t="str" cm="1">
        <f t="array" ref="DA354:EJ354">IF(U354&lt;&gt;"", TRANSPOSE(_xlfn._xlws.FILTER(CZ:CZ, CY:CY=U354, "")), "")</f>
        <v>Ex Gwl | Gwl (2N) + Mor - Son - Dat - Orc (1N) - Hjr (1N) - Gwl</v>
      </c>
      <c r="DB354" t="str">
        <v>Ex Idr | Idr - Ujj (1N) - Omk - Mah (1N) - Man (1N) - Idr (1N)</v>
      </c>
      <c r="DC354" t="str">
        <v>Ex Idr | Idr - Ujj (1N) - Omk (1N) - Mah (1N) - Man (1N) - Idr</v>
      </c>
      <c r="DD354" t="str">
        <v>Ex Jlr | Jlr - Kan (2N) - Amk (1N) - Jlr (1N)</v>
      </c>
      <c r="DE354" t="str">
        <v>Ex Jlr | Jlr - Ban (2N) - Amk (1N) - Jlr (1N)</v>
      </c>
      <c r="DF354" t="str">
        <v>Ex Jlr | Jlr (1N) - Hjr (1N) - Ban (2N) - Jlr</v>
      </c>
      <c r="DG354" t="str">
        <v>Ex Jlr | Jlr (1N) - Kan (1N) - Ban (2N) - Jlr</v>
      </c>
      <c r="DH354" t="str">
        <v>Ex Bho | Bho (1N) + San + Bhoj + Bhim - Tawa - Mad (1N) - Pch (2N) - Bho</v>
      </c>
      <c r="DI354" t="str">
        <v>Ex Idr | Idr - Ujj (1N) - Omk - Mah (1N) - Man (1N) - Idr (1N)</v>
      </c>
      <c r="DJ354" t="str">
        <v>Ex Bho | Bho (1N) - Bhoj - Bhim - Pch (3N) - Bho</v>
      </c>
      <c r="DK354" t="str">
        <v>Gwl (1N) - Dat (Pitambara Peeth) - Orc (1N) - Ckt (2N) - Ixd</v>
      </c>
      <c r="DL354" t="str">
        <v>Ex Jlr | Jlr - Ban (2N) - Kan (2N) - Jlr</v>
      </c>
      <c r="DM354" t="str">
        <v>Jlr - Ban (1N) - Kan (1N) - Pen (2N) - Nag</v>
      </c>
      <c r="DN354" t="str">
        <v>Ex Bho | Bho (1N) - Bhoj - Bhim - Pch (3N) - Bho</v>
      </c>
      <c r="DO354" t="str">
        <v>Ex Bho | Bho (2N) + Sanchi + Bhoj + Bhim - Tawa - Mad (1N) - Bho (1N)</v>
      </c>
      <c r="DP354" t="str">
        <v>Ex Bho | Bho - Bhoj - Bhim - Tawa (1N) - Mad (1N) - Pch (2N) - Bho</v>
      </c>
      <c r="DQ354" t="str">
        <v>Bho - Bhoj - Bhim - Pch (2N) - Kan (1N) - Jlr (1N)</v>
      </c>
      <c r="DR354" t="str">
        <v>Bho - Bhoj - Bhim - Pch (2N) - Kan (1N) - Amk (1N) - Jlr</v>
      </c>
      <c r="DS354" t="str">
        <v xml:space="preserve">Bho (1N) + Bhim + Bhoj + San - Ujj (1N) - Omk - Mah (1N) - Idr (1N) </v>
      </c>
      <c r="DT354" t="str">
        <v>Ex Gwl | Gwl - Hjr (1N) - Orc (1N) - Dat - Son - Gwl (2N)</v>
      </c>
      <c r="DU354" t="str">
        <v>Ex Gwl | Gwl - Orc (1N) - Hjr (1N) - Chn (1N) - Shiv (1N) - Gwl</v>
      </c>
      <c r="DV354" t="str">
        <v>Gwl - Hjr (1N) - Panna (1N) - Chit (1N) - Mahi (1N) - Sat</v>
      </c>
      <c r="DW354" t="str">
        <v>Jlr - (2 N) Kan - (2 N) Pch - Bhim - Bhoj - Bhp</v>
      </c>
      <c r="DX354" t="str">
        <v>Jlr - (2 N) Kan - (2 N) Pen - Rpr</v>
      </c>
      <c r="DY354" t="str">
        <v>Gwl (2N) (Ex Mor) - Dat -Orc (1N) - Hjr (1N) - Jhn</v>
      </c>
      <c r="DZ354" t="str">
        <v>Ex Gwl | Gwl (1N) - Son - Dat - Orc (1N) - Hjr (2N) (Ex Panna) - Gwl</v>
      </c>
      <c r="EA354" t="str">
        <v>Hjr (1N) - Orc (1N) - Dat - son - Gwl (2N)(Ex Mor)</v>
      </c>
      <c r="EB354" t="str">
        <v>(2 N) Gwl - (1 N) Orch - (1 N) Hjr</v>
      </c>
      <c r="EC354" t="str">
        <v>Ex Bhp | Bhp - Bhoj - Bhim - Pch (2N) - Mad (1N) - Tawa (1N) - Bhp</v>
      </c>
      <c r="ED354" t="str">
        <v>Ex Bhp | Bhp - Bhoj - Bhim - Pch (2N) - Mad (2N) - Bhp</v>
      </c>
      <c r="EE354" t="str">
        <v>Ex Idr | Idr - Ujj (1N) - Omk (1N) - Mah (2N) (Ex Man) - Idr (HDCT)</v>
      </c>
      <c r="EF354" t="str">
        <v>Arr Rpr - Amr (2N) - Par (2N) - IXD</v>
      </c>
      <c r="EG354" t="str">
        <v>1N Gwl - Orc - 2N Hjr - Jhn - 1N Gwl</v>
      </c>
      <c r="EH354" t="str">
        <v>1N Orc - 1N Hjr - 2N Gwl Ex Mor</v>
      </c>
      <c r="EI354" t="str">
        <v>1N Idr - Omk - 1N Mah - 1N Ujj - Seh - 1N Bho</v>
      </c>
      <c r="EJ354" t="str">
        <v>Ex Idr I 1N Idr - 1N Ujj - Omk - 2N Mah - Man - Idr</v>
      </c>
    </row>
    <row r="355" spans="2:145" ht="15" customHeight="1">
      <c r="B355" s="34">
        <v>351</v>
      </c>
      <c r="C355" s="36" t="s">
        <v>2200</v>
      </c>
      <c r="D355" s="76">
        <v>46276</v>
      </c>
      <c r="E355" s="37" t="str">
        <f>IF(Table5[[#This Row],[Query Date]]&lt;&gt;"", TEXT(Table5[[#This Row],[Query Date]], "dddd"), "")</f>
        <v>Friday</v>
      </c>
      <c r="F355" s="37" t="str">
        <f>IF(Table5[[#This Row],[Query Date]]&lt;&gt;"", TEXT(Table5[[#This Row],[Query Date]], "mmmm"), "")</f>
        <v>September</v>
      </c>
      <c r="G355" s="28" t="s">
        <v>65</v>
      </c>
      <c r="H355" s="28" t="s">
        <v>99</v>
      </c>
      <c r="I355" s="28" t="s">
        <v>67</v>
      </c>
      <c r="J355" s="28" t="s">
        <v>68</v>
      </c>
      <c r="K355" s="28" t="s">
        <v>178</v>
      </c>
      <c r="L355" s="25" t="s">
        <v>70</v>
      </c>
      <c r="M355" s="112" t="s">
        <v>502</v>
      </c>
      <c r="N355" s="25" t="s">
        <v>507</v>
      </c>
      <c r="O355" s="130">
        <v>9036405090</v>
      </c>
      <c r="P355" s="46" t="s">
        <v>508</v>
      </c>
      <c r="Q355" s="77">
        <v>46306</v>
      </c>
      <c r="R355" s="77" t="str">
        <f>IF(Table5[[#This Row],[Tour Starting Date]]&lt;&gt;"", TEXT(Table5[[#This Row],[Tour Starting Date]], "dddd"), "")</f>
        <v>Sunday</v>
      </c>
      <c r="S355" s="77">
        <v>46313</v>
      </c>
      <c r="T355" s="25" t="str">
        <f>IF(Table5[[#This Row],[Tour Ending Date]]&lt;&gt;"", TEXT(Table5[[#This Row],[Tour Ending Date]], "dddd"), "")</f>
        <v>Sunday</v>
      </c>
      <c r="U35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7 Nights &amp; 8 Days</v>
      </c>
      <c r="V355" s="37" t="str">
        <f>IF(Table5[[#This Row],[Tour Starting Date]]&lt;&gt;"", TEXT(Table5[[#This Row],[Tour Starting Date]], "mmmm"), "")</f>
        <v>October</v>
      </c>
      <c r="W355" s="80" t="str" cm="1">
        <f t="array" ref="W355">IF(Q355&lt;&gt;"", INDEX(CI:CI, MATCH(1, (Q355&gt;=CG:CG)*(Q355&lt;=CH:CH), 0)), "")</f>
        <v>Regular Dates - Weekend</v>
      </c>
      <c r="X355" s="39">
        <v>4</v>
      </c>
      <c r="Y355" s="74">
        <v>69000</v>
      </c>
      <c r="Z355" s="74">
        <f>IF(OR(Table5[[#This Row],[Per Person Package Cost]]="", Table5[[#This Row],[No. of Pax]]=""), "", Table5[[#This Row],[Per Person Package Cost]] * Table5[[#This Row],[No. of Pax]])</f>
        <v>276000</v>
      </c>
      <c r="AA355" s="52" t="s">
        <v>270</v>
      </c>
      <c r="AB355" s="52" t="s">
        <v>133</v>
      </c>
      <c r="AC355" s="52" t="s">
        <v>134</v>
      </c>
      <c r="AD355" s="52" t="s">
        <v>1162</v>
      </c>
      <c r="AE355" s="51" t="str">
        <f t="shared" si="45"/>
        <v>EXNAG02</v>
      </c>
      <c r="AF355" s="51" t="str">
        <f t="shared" si="46"/>
        <v>Tales from the Tiger Trail</v>
      </c>
      <c r="AG355" s="74" t="str">
        <f t="shared" si="47"/>
        <v>Quick Getaways</v>
      </c>
      <c r="AH355" s="73" t="str">
        <f t="shared" si="48"/>
        <v>South + West MP</v>
      </c>
      <c r="AI355" s="52" t="s">
        <v>107</v>
      </c>
      <c r="AJ355" s="56" t="s">
        <v>78</v>
      </c>
      <c r="AK355" s="59" t="s">
        <v>79</v>
      </c>
      <c r="AL355" s="60" t="s">
        <v>80</v>
      </c>
      <c r="AM355" s="54" t="s">
        <v>80</v>
      </c>
      <c r="AN355" s="14">
        <v>46277</v>
      </c>
      <c r="AO355" s="15"/>
      <c r="AP355" s="91"/>
      <c r="AQ355" s="87"/>
      <c r="AR355" s="26"/>
      <c r="AS355" s="65"/>
      <c r="AT355" s="88" t="s">
        <v>81</v>
      </c>
      <c r="AU355" s="67" t="s">
        <v>87</v>
      </c>
      <c r="CN355" t="s">
        <v>337</v>
      </c>
      <c r="DA355" t="str" cm="1">
        <f t="array" ref="DA355:DJ355">IF(U355&lt;&gt;"", TRANSPOSE(_xlfn._xlws.FILTER(CZ:CZ, CY:CY=U355, "")), "")</f>
        <v>Ex Idr | Idr (1N) - Ujj (1N) - Omk - Mah (1N) - Man (2N) - Bhp (2N) + Bhim + Bhoj + Sanchi - Idr</v>
      </c>
      <c r="DB355" t="str">
        <v>Bho (1N) + San + Udaygiri - Bhoj - Bhim - Tawa (1N) - Mad (1N) - Pch (2N) - Kan(1N) - Jlr (1N)</v>
      </c>
      <c r="DC355" t="str">
        <v>Bho (1N) + San + Udaygiri - Bhoj - Bhim - Pch (2N) - Kan(1N) - Amk (2N) - Jlr (1N)</v>
      </c>
      <c r="DD355" t="str">
        <v>Bho (2N) + San + Bhoj + Bhim - Ujj (1N) - Omk (1N) - Mah (1N) - Man (1N) - Idr (1N)</v>
      </c>
      <c r="DE355" t="str">
        <v>Gwl (2N) + Mor - Son - Dat - Orc (1N) - Hjr (2N) - San - Bho (2N) + Bhoj + Bhim</v>
      </c>
      <c r="DF355" t="str">
        <v>Idr - Man (2N) - Bho (2N) + San - Bhoj - Bhim - Pch (2N) - Tawa (1N) - Bho</v>
      </c>
      <c r="DG355" t="str">
        <v>Jlr (1N) - Amk (1N) - Myr (1N) - Ckt (1N) - Orc (1N) - Dat - Son - Gwl (2N) + Mor + Shanichara</v>
      </c>
      <c r="DH355" t="str">
        <v>Gwl (2N) + Mor + Sanchichara - Dat (Pitambara Peeth) - Orc (1N) - Ckt (2N) - Amk (1N) - Jlr (1N)</v>
      </c>
      <c r="DI355" t="str">
        <v>Jlr - (1 N) Kan - (2 N) Pch - Bhim - Bhoj - (1 N) Bho - (1 N) Ujj - (1 N) Mah - Man -  (1 N) Idr</v>
      </c>
      <c r="DJ355" t="str">
        <v>Ex Nag - 2N Tado - 2N Pen - 3N Nag</v>
      </c>
    </row>
    <row r="356" spans="2:145" ht="15" customHeight="1">
      <c r="B356" s="35">
        <v>352</v>
      </c>
      <c r="C356" s="36" t="s">
        <v>2201</v>
      </c>
      <c r="D356" s="76">
        <v>46277</v>
      </c>
      <c r="E356" s="37" t="str">
        <f>IF(Table5[[#This Row],[Query Date]]&lt;&gt;"", TEXT(Table5[[#This Row],[Query Date]], "dddd"), "")</f>
        <v>Saturday</v>
      </c>
      <c r="F356" s="37" t="str">
        <f>IF(Table5[[#This Row],[Query Date]]&lt;&gt;"", TEXT(Table5[[#This Row],[Query Date]], "mmmm"), "")</f>
        <v>September</v>
      </c>
      <c r="G356" s="28" t="s">
        <v>65</v>
      </c>
      <c r="H356" s="28" t="s">
        <v>99</v>
      </c>
      <c r="I356" s="28" t="s">
        <v>67</v>
      </c>
      <c r="J356" s="28" t="s">
        <v>68</v>
      </c>
      <c r="K356" s="28" t="s">
        <v>178</v>
      </c>
      <c r="L356" s="25" t="s">
        <v>70</v>
      </c>
      <c r="M356" s="112" t="s">
        <v>417</v>
      </c>
      <c r="N356" s="25" t="s">
        <v>1404</v>
      </c>
      <c r="O356" s="130" t="s">
        <v>1525</v>
      </c>
      <c r="P356" s="46" t="s">
        <v>1406</v>
      </c>
      <c r="Q356" s="77">
        <v>46314</v>
      </c>
      <c r="R356" s="77" t="str">
        <f>IF(Table5[[#This Row],[Tour Starting Date]]&lt;&gt;"", TEXT(Table5[[#This Row],[Tour Starting Date]], "dddd"), "")</f>
        <v>Monday</v>
      </c>
      <c r="S356" s="77">
        <v>46317</v>
      </c>
      <c r="T356" s="25" t="str">
        <f>IF(Table5[[#This Row],[Tour Ending Date]]&lt;&gt;"", TEXT(Table5[[#This Row],[Tour Ending Date]], "dddd"), "")</f>
        <v>Thursday</v>
      </c>
      <c r="U35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3 Nights &amp; 4 Days</v>
      </c>
      <c r="V356" s="37" t="str">
        <f>IF(Table5[[#This Row],[Tour Starting Date]]&lt;&gt;"", TEXT(Table5[[#This Row],[Tour Starting Date]], "mmmm"), "")</f>
        <v>October</v>
      </c>
      <c r="W356" s="80" t="str" cm="1">
        <f t="array" ref="W356">IF(Q356&lt;&gt;"", INDEX(CI:CI, MATCH(1, (Q356&gt;=CG:CG)*(Q356&lt;=CH:CH), 0)), "")</f>
        <v>Regular Dates - Weekday</v>
      </c>
      <c r="X356" s="39">
        <v>3</v>
      </c>
      <c r="Y356" s="74">
        <v>13000</v>
      </c>
      <c r="Z356" s="74">
        <f>IF(OR(Table5[[#This Row],[Per Person Package Cost]]="", Table5[[#This Row],[No. of Pax]]=""), "", Table5[[#This Row],[Per Person Package Cost]] * Table5[[#This Row],[No. of Pax]])</f>
        <v>39000</v>
      </c>
      <c r="AA356" s="52" t="s">
        <v>205</v>
      </c>
      <c r="AB356" s="52" t="s">
        <v>205</v>
      </c>
      <c r="AC356" s="52" t="s">
        <v>76</v>
      </c>
      <c r="AD356" s="52" t="s">
        <v>461</v>
      </c>
      <c r="AE356" s="51" t="str">
        <f t="shared" si="45"/>
        <v>EXIDR13</v>
      </c>
      <c r="AF356" s="51" t="str">
        <f t="shared" si="46"/>
        <v>A Spiritual Odyssey of Madhya Pradesh</v>
      </c>
      <c r="AG356" s="74" t="str">
        <f t="shared" si="47"/>
        <v>Quick Getaways</v>
      </c>
      <c r="AH356" s="73" t="str">
        <f t="shared" si="48"/>
        <v>West MP</v>
      </c>
      <c r="AI356" s="52" t="s">
        <v>159</v>
      </c>
      <c r="AJ356" s="56" t="s">
        <v>78</v>
      </c>
      <c r="AK356" s="59" t="s">
        <v>79</v>
      </c>
      <c r="AL356" s="60" t="s">
        <v>80</v>
      </c>
      <c r="AM356" s="54" t="s">
        <v>80</v>
      </c>
      <c r="AN356" s="14">
        <v>46279</v>
      </c>
      <c r="AO356" s="15"/>
      <c r="AP356" s="91"/>
      <c r="AQ356" s="87"/>
      <c r="AR356" s="26"/>
      <c r="AS356" s="65"/>
      <c r="AT356" s="88" t="s">
        <v>138</v>
      </c>
      <c r="AU356" s="67"/>
      <c r="CN356" s="123" t="s">
        <v>645</v>
      </c>
      <c r="DA356" t="str" cm="1">
        <f t="array" ref="DA356:EO356">IF(U356&lt;&gt;"", TRANSPOSE(_xlfn._xlws.FILTER(CZ:CZ, CY:CY=U356, "")), "")</f>
        <v>Gwl (3N) + Mor + Son + Dat + Orc</v>
      </c>
      <c r="DB356" t="str">
        <v>Ex Gwl | Gwl (1N) - Son - Dat - Orc (1N) - Gwl (1N)</v>
      </c>
      <c r="DC356" t="str">
        <v>Ex Idr | Idr - Ujj (1N) - Omk - Mah (1N) - Man (1N) - Idr</v>
      </c>
      <c r="DD356" t="str">
        <v>Ex Jlr | Jlr - Kan (2N) - Jlr (1N)</v>
      </c>
      <c r="DE356" t="str">
        <v>Ex Jlr | Jlr - Ban (2N) - Jlr (1N)</v>
      </c>
      <c r="DF356" t="str">
        <v>Ex Bho | Bho (1N) + San - Bhoj - Bhim - Pch (2N) - Bho</v>
      </c>
      <c r="DG356" t="str">
        <v>Ex Idr | Idr (1N) - Ujj (1N) - Omk (1N) - Mah - Idr</v>
      </c>
      <c r="DH356" t="str">
        <v>Gwl - Orc (1N) - Ckt (1N) - Myr (1N) - Jlr</v>
      </c>
      <c r="DI356" t="str">
        <v>Gwl - Orc (1N) - Ckt (2N) - Ixd</v>
      </c>
      <c r="DJ356" t="str">
        <v>Ex Idr | Idr - Ujj (1N) - Omk - Mah (1N) - Idr (1N)</v>
      </c>
      <c r="DK356" t="str">
        <v>Ex Jlr | Jlr - Kan (3N) - Jlr</v>
      </c>
      <c r="DL356" t="str">
        <v>Ex Bho | Bho (2N) + Bhim + Bhoj + San + Udaygiri + Vidisha + FDCT Bho</v>
      </c>
      <c r="DM356" t="str">
        <v>Bho (1N) + Bhim + Bhoj - HDCT  Bho + Sanchi - Ujj (2N)</v>
      </c>
      <c r="DN356" t="str">
        <v>Bho (1N) + Bhim + Bhoj - HDCT  Bho + Sanchi - Ujj (2N) - Idr</v>
      </c>
      <c r="DO356" t="str">
        <v>Ex Bho | Bho - Bhoj - Bhim - Mad (1N) - Pch (2N) - Bho</v>
      </c>
      <c r="DP356" t="str">
        <v>Ex Bho | Bho - Bhoj - Bhim - Mad (1N) - Pch (3N) - Bho</v>
      </c>
      <c r="DQ356" t="str">
        <v>Ex Bho | Bho - Bhoj - Bhim - Tawa (1N) - Mad (1N) - Bho (1N)</v>
      </c>
      <c r="DR356" t="str">
        <v>Bho (1N) - Bhim - Bhoj - San - Idr (2N) + Ujj</v>
      </c>
      <c r="DS356" t="str">
        <v>Bho (1N) - Bhoj - Bhim - Pch (2N) - Bho</v>
      </c>
      <c r="DT356" t="str">
        <v>Ujj (1N) - Omk - Mah (1N) - Idr (1N)</v>
      </c>
      <c r="DU356" t="str">
        <v>Ujj (1N) - Omk - Mah (1N) - Man (1N) - Idr</v>
      </c>
      <c r="DV356" t="str">
        <v>Ex Idr | Idr (1N) - Ujj (1N) - Omk - Mah (1N)</v>
      </c>
      <c r="DW356" t="str">
        <v>Ex Idr | Idr - Ujj (1N) - Omk (1N) - Mah (1N) - Idr</v>
      </c>
      <c r="DX356" t="str">
        <v>Khandwa - Omk (1N) - Mah (1N) - Ujj (1N) - Idr</v>
      </c>
      <c r="DY356" t="str">
        <v>Ex Idr | Idr - Ujj (1N) - Omk - Mah (1N) - Man - Idr (1N)</v>
      </c>
      <c r="DZ356" t="str">
        <v xml:space="preserve">Idr - Omk (1N) - Mah - Ujj (1N) San - Bho (1N) </v>
      </c>
      <c r="EA356" t="str">
        <v>Ex Idr | Idr - Man (1N) - Mah - Omk (1N) - Ujj (1N) - Idr</v>
      </c>
      <c r="EB356" t="str">
        <v>Khandwa - Omk (1N) - Mah - Ujj (2N)</v>
      </c>
      <c r="EC356" t="str">
        <v>Ex Jlr | Jlr (1N) - Amr (1N) - Ban (1N) - Jlr</v>
      </c>
      <c r="ED356" t="str">
        <v>Ex Jlr | Jlr - (1 N) Ban - (2 N) Amar</v>
      </c>
      <c r="EE356" t="str">
        <v>Jlr - Kan (1N) - Pch (2N)</v>
      </c>
      <c r="EF356" t="str">
        <v>Pi - Pch (2N)  - Kan (1N)</v>
      </c>
      <c r="EG356" t="str">
        <v>Ex Jlr | Jlr - Amr (1 N) - (1 N) Ban - (1 N) Jlr</v>
      </c>
      <c r="EH356" t="str">
        <v>Ppi - (2 N) Pch - (1 N) Pen</v>
      </c>
      <c r="EI356" t="str">
        <v>Bhp - Pch (2N) - Jlr (1N)</v>
      </c>
      <c r="EJ356" t="str">
        <v xml:space="preserve">Arr Jhn - Hjr (1N) - Orc - Gwl (2N) </v>
      </c>
      <c r="EK356" t="str">
        <v>(1 N) Ujj - (1 N) Mah - (1 N) Idr</v>
      </c>
      <c r="EL356" t="str">
        <v>Ex Bhp | Bhp - Bhoj - Bhim - Pch (3N) - Bhp</v>
      </c>
      <c r="EM356" t="str">
        <v>Ex Bhp | Bhp - Bhoj - Bhim - Pch (2N) - Mad (1N) - Bhp</v>
      </c>
      <c r="EN356" t="str">
        <v xml:space="preserve">Ex Nag - 3N Pch + Sat </v>
      </c>
      <c r="EO356" t="str">
        <v>1N Gwl - Son - Dat - 1N Hjr - 1N Orc - Jhn</v>
      </c>
    </row>
    <row r="357" spans="2:145" ht="15" customHeight="1">
      <c r="B357" s="34">
        <v>353</v>
      </c>
      <c r="C357" s="36" t="s">
        <v>2202</v>
      </c>
      <c r="D357" s="76">
        <v>46279</v>
      </c>
      <c r="E357" s="37" t="str">
        <f>IF(Table5[[#This Row],[Query Date]]&lt;&gt;"", TEXT(Table5[[#This Row],[Query Date]], "dddd"), "")</f>
        <v>Monday</v>
      </c>
      <c r="F357" s="37" t="str">
        <f>IF(Table5[[#This Row],[Query Date]]&lt;&gt;"", TEXT(Table5[[#This Row],[Query Date]], "mmmm"), "")</f>
        <v>September</v>
      </c>
      <c r="G357" s="28" t="s">
        <v>65</v>
      </c>
      <c r="H357" s="28" t="s">
        <v>66</v>
      </c>
      <c r="I357" s="28" t="s">
        <v>67</v>
      </c>
      <c r="J357" s="28" t="s">
        <v>145</v>
      </c>
      <c r="K357" s="28" t="s">
        <v>698</v>
      </c>
      <c r="L357" s="25"/>
      <c r="M357" s="112" t="s">
        <v>522</v>
      </c>
      <c r="N357" s="25" t="s">
        <v>699</v>
      </c>
      <c r="O357" s="130" t="s">
        <v>2203</v>
      </c>
      <c r="P357" s="46" t="s">
        <v>2204</v>
      </c>
      <c r="Q357" s="77">
        <v>46278</v>
      </c>
      <c r="R357" s="77" t="str">
        <f>IF(Table5[[#This Row],[Tour Starting Date]]&lt;&gt;"", TEXT(Table5[[#This Row],[Tour Starting Date]], "dddd"), "")</f>
        <v>Sunday</v>
      </c>
      <c r="S357" s="77">
        <v>46279</v>
      </c>
      <c r="T357" s="25" t="str">
        <f>IF(Table5[[#This Row],[Tour Ending Date]]&lt;&gt;"", TEXT(Table5[[#This Row],[Tour Ending Date]], "dddd"), "")</f>
        <v>Monday</v>
      </c>
      <c r="U35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1 Nights &amp; 2 Days</v>
      </c>
      <c r="V357" s="37" t="str">
        <f>IF(Table5[[#This Row],[Tour Starting Date]]&lt;&gt;"", TEXT(Table5[[#This Row],[Tour Starting Date]], "mmmm"), "")</f>
        <v>September</v>
      </c>
      <c r="W357" s="80" t="str" cm="1">
        <f t="array" ref="W357">IF(Q357&lt;&gt;"", INDEX(CI:CI, MATCH(1, (Q357&gt;=CG:CG)*(Q357&lt;=CH:CH), 0)), "")</f>
        <v>Regular Dates - Weekend</v>
      </c>
      <c r="X357" s="39">
        <v>2</v>
      </c>
      <c r="Y357" s="74">
        <v>5500</v>
      </c>
      <c r="Z357" s="74">
        <f>IF(OR(Table5[[#This Row],[Per Person Package Cost]]="", Table5[[#This Row],[No. of Pax]]=""), "", Table5[[#This Row],[Per Person Package Cost]] * Table5[[#This Row],[No. of Pax]])</f>
        <v>11000</v>
      </c>
      <c r="AA357" s="52" t="s">
        <v>75</v>
      </c>
      <c r="AB357" s="52" t="s">
        <v>75</v>
      </c>
      <c r="AC357" s="52" t="s">
        <v>76</v>
      </c>
      <c r="AD357" s="52"/>
      <c r="AE357" s="51" t="str">
        <f t="shared" si="45"/>
        <v/>
      </c>
      <c r="AF357" s="51" t="str">
        <f t="shared" si="46"/>
        <v/>
      </c>
      <c r="AG357" s="74" t="str">
        <f t="shared" si="47"/>
        <v/>
      </c>
      <c r="AH357" s="73" t="str">
        <f t="shared" si="48"/>
        <v/>
      </c>
      <c r="AI357" s="52" t="s">
        <v>162</v>
      </c>
      <c r="AJ357" s="56" t="s">
        <v>115</v>
      </c>
      <c r="AK357" s="59" t="s">
        <v>79</v>
      </c>
      <c r="AL357" s="60" t="s">
        <v>80</v>
      </c>
      <c r="AM357" s="54" t="s">
        <v>80</v>
      </c>
      <c r="AN357" s="14"/>
      <c r="AO357" s="15"/>
      <c r="AP357" s="91"/>
      <c r="AQ357" s="87"/>
      <c r="AR357" s="26"/>
      <c r="AS357" s="65"/>
      <c r="AT357" s="88" t="s">
        <v>85</v>
      </c>
      <c r="AU357" s="67"/>
      <c r="CN357" s="123" t="s">
        <v>819</v>
      </c>
      <c r="DA357" t="str" cm="1">
        <f t="array" ref="DA357">IF(U357&lt;&gt;"", TRANSPOSE(_xlfn._xlws.FILTER(CZ:CZ, CY:CY=U357, "")), "")</f>
        <v/>
      </c>
    </row>
    <row r="358" spans="2:145" ht="15" customHeight="1">
      <c r="B358" s="35">
        <v>354</v>
      </c>
      <c r="C358" s="36" t="s">
        <v>2205</v>
      </c>
      <c r="D358" s="76">
        <v>46279</v>
      </c>
      <c r="E358" s="37" t="str">
        <f>IF(Table5[[#This Row],[Query Date]]&lt;&gt;"", TEXT(Table5[[#This Row],[Query Date]], "dddd"), "")</f>
        <v>Monday</v>
      </c>
      <c r="F358" s="37" t="str">
        <f>IF(Table5[[#This Row],[Query Date]]&lt;&gt;"", TEXT(Table5[[#This Row],[Query Date]], "mmmm"), "")</f>
        <v>September</v>
      </c>
      <c r="G358" s="28" t="s">
        <v>65</v>
      </c>
      <c r="H358" s="28" t="s">
        <v>99</v>
      </c>
      <c r="I358" s="28" t="s">
        <v>67</v>
      </c>
      <c r="J358" s="28" t="s">
        <v>68</v>
      </c>
      <c r="K358" s="28" t="s">
        <v>69</v>
      </c>
      <c r="L358" s="25" t="s">
        <v>70</v>
      </c>
      <c r="M358" s="112" t="s">
        <v>2206</v>
      </c>
      <c r="N358" s="25" t="s">
        <v>2207</v>
      </c>
      <c r="O358" s="130" t="s">
        <v>2208</v>
      </c>
      <c r="P358" s="106" t="s">
        <v>2209</v>
      </c>
      <c r="Q358" s="77">
        <v>46314</v>
      </c>
      <c r="R358" s="77" t="str">
        <f>IF(Table5[[#This Row],[Tour Starting Date]]&lt;&gt;"", TEXT(Table5[[#This Row],[Tour Starting Date]], "dddd"), "")</f>
        <v>Monday</v>
      </c>
      <c r="S358" s="77">
        <v>46321</v>
      </c>
      <c r="T358" s="25" t="str">
        <f>IF(Table5[[#This Row],[Tour Ending Date]]&lt;&gt;"", TEXT(Table5[[#This Row],[Tour Ending Date]], "dddd"), "")</f>
        <v>Monday</v>
      </c>
      <c r="U35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7 Nights &amp; 8 Days</v>
      </c>
      <c r="V358" s="37" t="str">
        <f>IF(Table5[[#This Row],[Tour Starting Date]]&lt;&gt;"", TEXT(Table5[[#This Row],[Tour Starting Date]], "mmmm"), "")</f>
        <v>October</v>
      </c>
      <c r="W358" s="80" t="str" cm="1">
        <f t="array" ref="W358">IF(Q358&lt;&gt;"", INDEX(CI:CI, MATCH(1, (Q358&gt;=CG:CG)*(Q358&lt;=CH:CH), 0)), "")</f>
        <v>Regular Dates - Weekday</v>
      </c>
      <c r="X358" s="39">
        <v>3</v>
      </c>
      <c r="Y358" s="74">
        <v>49000</v>
      </c>
      <c r="Z358" s="74">
        <f>IF(OR(Table5[[#This Row],[Per Person Package Cost]]="", Table5[[#This Row],[No. of Pax]]=""), "", Table5[[#This Row],[Per Person Package Cost]] * Table5[[#This Row],[No. of Pax]])</f>
        <v>147000</v>
      </c>
      <c r="AA358" s="52" t="s">
        <v>520</v>
      </c>
      <c r="AB358" s="52" t="s">
        <v>75</v>
      </c>
      <c r="AC358" s="52" t="s">
        <v>134</v>
      </c>
      <c r="AD358" s="52" t="s">
        <v>633</v>
      </c>
      <c r="AE358" s="51" t="str">
        <f t="shared" si="45"/>
        <v>EXBHO10</v>
      </c>
      <c r="AF358" s="51" t="str">
        <f t="shared" si="46"/>
        <v>Heritage of Faith</v>
      </c>
      <c r="AG358" s="74" t="str">
        <f t="shared" si="47"/>
        <v>Quick Getaways</v>
      </c>
      <c r="AH358" s="73" t="str">
        <f t="shared" si="48"/>
        <v>South + West MP</v>
      </c>
      <c r="AI358" s="52" t="s">
        <v>77</v>
      </c>
      <c r="AJ358" s="56" t="s">
        <v>78</v>
      </c>
      <c r="AK358" s="59" t="s">
        <v>79</v>
      </c>
      <c r="AL358" s="60" t="s">
        <v>80</v>
      </c>
      <c r="AM358" s="54" t="s">
        <v>80</v>
      </c>
      <c r="AN358" s="14">
        <v>46282</v>
      </c>
      <c r="AO358" s="15"/>
      <c r="AP358" s="91"/>
      <c r="AQ358" s="87"/>
      <c r="AR358" s="26"/>
      <c r="AS358" s="65"/>
      <c r="AT358" s="88" t="s">
        <v>138</v>
      </c>
      <c r="AU358" s="67"/>
      <c r="CN358" t="s">
        <v>809</v>
      </c>
      <c r="DA358" t="str" cm="1">
        <f t="array" ref="DA358:DJ358">IF(U358&lt;&gt;"", TRANSPOSE(_xlfn._xlws.FILTER(CZ:CZ, CY:CY=U358, "")), "")</f>
        <v>Ex Idr | Idr (1N) - Ujj (1N) - Omk - Mah (1N) - Man (2N) - Bhp (2N) + Bhim + Bhoj + Sanchi - Idr</v>
      </c>
      <c r="DB358" t="str">
        <v>Bho (1N) + San + Udaygiri - Bhoj - Bhim - Tawa (1N) - Mad (1N) - Pch (2N) - Kan(1N) - Jlr (1N)</v>
      </c>
      <c r="DC358" t="str">
        <v>Bho (1N) + San + Udaygiri - Bhoj - Bhim - Pch (2N) - Kan(1N) - Amk (2N) - Jlr (1N)</v>
      </c>
      <c r="DD358" t="str">
        <v>Bho (2N) + San + Bhoj + Bhim - Ujj (1N) - Omk (1N) - Mah (1N) - Man (1N) - Idr (1N)</v>
      </c>
      <c r="DE358" t="str">
        <v>Gwl (2N) + Mor - Son - Dat - Orc (1N) - Hjr (2N) - San - Bho (2N) + Bhoj + Bhim</v>
      </c>
      <c r="DF358" t="str">
        <v>Idr - Man (2N) - Bho (2N) + San - Bhoj - Bhim - Pch (2N) - Tawa (1N) - Bho</v>
      </c>
      <c r="DG358" t="str">
        <v>Jlr (1N) - Amk (1N) - Myr (1N) - Ckt (1N) - Orc (1N) - Dat - Son - Gwl (2N) + Mor + Shanichara</v>
      </c>
      <c r="DH358" t="str">
        <v>Gwl (2N) + Mor + Sanchichara - Dat (Pitambara Peeth) - Orc (1N) - Ckt (2N) - Amk (1N) - Jlr (1N)</v>
      </c>
      <c r="DI358" t="str">
        <v>Jlr - (1 N) Kan - (2 N) Pch - Bhim - Bhoj - (1 N) Bho - (1 N) Ujj - (1 N) Mah - Man -  (1 N) Idr</v>
      </c>
      <c r="DJ358" t="str">
        <v>Ex Nag - 2N Tado - 2N Pen - 3N Nag</v>
      </c>
    </row>
    <row r="359" spans="2:145" ht="15" customHeight="1">
      <c r="B359" s="34">
        <v>355</v>
      </c>
      <c r="C359" s="36" t="s">
        <v>2210</v>
      </c>
      <c r="D359" s="76">
        <v>46280</v>
      </c>
      <c r="E359" s="37" t="str">
        <f>IF(Table5[[#This Row],[Query Date]]&lt;&gt;"", TEXT(Table5[[#This Row],[Query Date]], "dddd"), "")</f>
        <v>Tuesday</v>
      </c>
      <c r="F359" s="37" t="str">
        <f>IF(Table5[[#This Row],[Query Date]]&lt;&gt;"", TEXT(Table5[[#This Row],[Query Date]], "mmmm"), "")</f>
        <v>September</v>
      </c>
      <c r="G359" s="28" t="s">
        <v>65</v>
      </c>
      <c r="H359" s="28"/>
      <c r="I359" s="28" t="s">
        <v>67</v>
      </c>
      <c r="J359" s="28" t="s">
        <v>68</v>
      </c>
      <c r="K359" s="28"/>
      <c r="L359" s="25" t="s">
        <v>70</v>
      </c>
      <c r="M359" s="112" t="s">
        <v>2211</v>
      </c>
      <c r="N359" s="25"/>
      <c r="O359" s="130"/>
      <c r="P359" s="46" t="s">
        <v>2212</v>
      </c>
      <c r="Q359" s="77">
        <v>46327</v>
      </c>
      <c r="R359" s="77" t="str">
        <f>IF(Table5[[#This Row],[Tour Starting Date]]&lt;&gt;"", TEXT(Table5[[#This Row],[Tour Starting Date]], "dddd"), "")</f>
        <v>Sunday</v>
      </c>
      <c r="S359" s="77">
        <v>46333</v>
      </c>
      <c r="T359" s="25" t="str">
        <f>IF(Table5[[#This Row],[Tour Ending Date]]&lt;&gt;"", TEXT(Table5[[#This Row],[Tour Ending Date]], "dddd"), "")</f>
        <v>Saturday</v>
      </c>
      <c r="U35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6 Nights &amp; 7 Days</v>
      </c>
      <c r="V359" s="37" t="str">
        <f>IF(Table5[[#This Row],[Tour Starting Date]]&lt;&gt;"", TEXT(Table5[[#This Row],[Tour Starting Date]], "mmmm"), "")</f>
        <v>November</v>
      </c>
      <c r="W359" s="80" t="str" cm="1">
        <f t="array" ref="W359">IF(Q359&lt;&gt;"", INDEX(CI:CI, MATCH(1, (Q359&gt;=CG:CG)*(Q359&lt;=CH:CH), 0)), "")</f>
        <v>Regular Dates - Weekend</v>
      </c>
      <c r="X359" s="39">
        <v>3</v>
      </c>
      <c r="Y359" s="74">
        <v>21700</v>
      </c>
      <c r="Z359" s="74">
        <f>IF(OR(Table5[[#This Row],[Per Person Package Cost]]="", Table5[[#This Row],[No. of Pax]]=""), "", Table5[[#This Row],[Per Person Package Cost]] * Table5[[#This Row],[No. of Pax]])</f>
        <v>65100</v>
      </c>
      <c r="AA359" s="52" t="s">
        <v>205</v>
      </c>
      <c r="AB359" s="52" t="s">
        <v>75</v>
      </c>
      <c r="AC359" s="52" t="s">
        <v>105</v>
      </c>
      <c r="AD359" s="52" t="s">
        <v>106</v>
      </c>
      <c r="AE359" s="51" t="str">
        <f t="shared" si="45"/>
        <v>EXIDR04</v>
      </c>
      <c r="AF359" s="51" t="str">
        <f t="shared" si="46"/>
        <v>Heritage Pilgrimage</v>
      </c>
      <c r="AG359" s="74" t="str">
        <f t="shared" si="47"/>
        <v>Quick Getaways</v>
      </c>
      <c r="AH359" s="73" t="str">
        <f t="shared" si="48"/>
        <v>West MP</v>
      </c>
      <c r="AI359" s="52" t="s">
        <v>159</v>
      </c>
      <c r="AJ359" s="56" t="s">
        <v>78</v>
      </c>
      <c r="AK359" s="59" t="s">
        <v>79</v>
      </c>
      <c r="AL359" s="60" t="s">
        <v>80</v>
      </c>
      <c r="AM359" s="54" t="s">
        <v>80</v>
      </c>
      <c r="AN359" s="14">
        <v>46282</v>
      </c>
      <c r="AO359" s="15"/>
      <c r="AP359" s="91"/>
      <c r="AQ359" s="87"/>
      <c r="AR359" s="26"/>
      <c r="AS359" s="65"/>
      <c r="AT359" s="88" t="s">
        <v>138</v>
      </c>
      <c r="AU359" s="67"/>
      <c r="CN359" s="123" t="s">
        <v>749</v>
      </c>
      <c r="DA359" t="str" cm="1">
        <f t="array" ref="DA359:DZ359">IF(U359&lt;&gt;"", TRANSPOSE(_xlfn._xlws.FILTER(CZ:CZ, CY:CY=U359, "")), "")</f>
        <v>Ex Gwl | Gwl (2N) + Mor - Orc - Pan (2N) - Hjr (1N) - Dat - Son - Gwl (1N)</v>
      </c>
      <c r="DB359" t="str">
        <v>Ex Gwl | GWL (2N) + Mor - Shiv - Chan (2N) - Hjr (1N) - Orc (1N) - Dat - Gwl</v>
      </c>
      <c r="DC359" t="str">
        <v>Gwl (2N) + Mor - Son - Dat - Orc (1N) - Hjr (1N) - Ban (1N) - Jlr (1N)</v>
      </c>
      <c r="DD359" t="str">
        <v>Idr - Ujj (1N) - Omk - Mah (1N) - Man (2N) - Bhp (2N) + Bhim + Bhoj + San</v>
      </c>
      <c r="DE359" t="str">
        <v>Bhp (1N) + Bhim + Bhoj + San - Ujj (1N) - Man (2N) - Mah - Omk (1N) - Idr (1N)</v>
      </c>
      <c r="DF359" t="str">
        <v>Jlr (1N) - Ban (1N) - Hjr (1N) - Orc (1N) - Dat - Son - Gwl (2N) + Mor</v>
      </c>
      <c r="DG359" t="str">
        <v>Bho (1N) + San - Bhoj - Bhim - Tawa (1N) - Mad (1N) - Pch (2N) - Jlr (1N)</v>
      </c>
      <c r="DH359" t="str">
        <v>Bho (1N) + San + Udaygiri - Bhoj - Bhim - Pch (2N) - Kan(2N) - Jlr (1N)</v>
      </c>
      <c r="DI359" t="str">
        <v>Bho (1N) + Bhim + Bhoj - San - Ujj (1N) - Man (2N) - Mah - Omk (1N) - Idr (1N)</v>
      </c>
      <c r="DJ359" t="str">
        <v>Gwl (2N) + Mor - Son - Dat - Orc (1N) - Hjr (1N) - Jab (1N) - Kan (1N) - Nag</v>
      </c>
      <c r="DK359" t="str">
        <v>Bho (2N) + San + Bhoj + Bhim - Ujj (1N) - Omk - Mah (1N) - Man (1N) - Idr (1N)</v>
      </c>
      <c r="DL359" t="str">
        <v>Ex Nag | Nag - Pch (2N) - Bhim - Bhoj - Bho (2N) + San + Udaygiri - Jlr (1N) - Kan (1N) - Nag</v>
      </c>
      <c r="DM359" t="str">
        <v>Bho (1N) - Mad (2N) + Tawa Cruise Safari - Pch (2N) - Jlr (1N) - Nag</v>
      </c>
      <c r="DN359" t="str">
        <v>Idr - Man (2N) - Idr (1N) - Bho (1N) + San - Bhoj - Bhim - Pch (2N) - Bho</v>
      </c>
      <c r="DO359" t="str">
        <v>Rpr - kan (2N) - Ban (1N) - Jlr (1N) - Mad (2N) - Bhim - Bhoj - Bho</v>
      </c>
      <c r="DP359" t="str">
        <v>Jlr - Amar (1 N) - Ban (2 N) - Kan (1N) - Pch (2N) - Ppi</v>
      </c>
      <c r="DQ359" t="str">
        <v>Jlr - (2N) Kan - (1N) Jlr - Bhim - Bhoj - (2N) Bho  (Ex San &amp; Uda)  - (1N) Ujj - Idr</v>
      </c>
      <c r="DR359" t="str">
        <v>Ex Nag | Nag (2 N) Pach - Bhim - Bhij - (2 N) Bho (Ex San &amp; Uad) - (1 N) Jlr - (1 N) Kan - Nag</v>
      </c>
      <c r="DS359" t="str">
        <v>(2 N) Bho (Ex San, Bhoj &amp; Bhim) - (1 N) Ujj - Omk - (1 N) Mah - (1 N) Man - (1 N) Idr</v>
      </c>
      <c r="DT359" t="str">
        <v>(2 N) Gwl (Ex Mor) - Son - Dat - (1 N) Orc - (1 N) Hjr - (1 N) Jlr - (1 N) Kan - Nag</v>
      </c>
      <c r="DU359" t="str">
        <v>(1 N) Jlr - (2 N) Kanha - (2 N Pach) - (1 N) BHo</v>
      </c>
      <c r="DV359" t="str">
        <v>(2 N) Gwl - (1 N) Orc - (1 N) Hjr - (1 N) Ban - (1 N) Jlr</v>
      </c>
      <c r="DW359" t="str">
        <v>(2 N) BHo - (2 N) Madhai - (1 N) Pach - (1 N) Jlr</v>
      </c>
      <c r="DX359" t="str">
        <v>Ex Bhp | Bhp - Bhoj - Bhim - Pach (3N) - Tawa - Mad - Tawa (1N) - Mad (1N) - Bho (1N)</v>
      </c>
      <c r="DY359" t="str">
        <v>Ex Idr I Idr - 2N Ujj - 1N Man - 1N Mah - 1N Omk - 1N Idr</v>
      </c>
      <c r="DZ359" t="str">
        <v>1N Jlr - 1N Kan - 1N Ban - 1N Hjr -2N Gwl</v>
      </c>
    </row>
    <row r="360" spans="2:145" ht="15" customHeight="1">
      <c r="B360" s="35">
        <v>356</v>
      </c>
      <c r="C360" s="36" t="s">
        <v>2213</v>
      </c>
      <c r="D360" s="76">
        <v>46281</v>
      </c>
      <c r="E360" s="37" t="str">
        <f>IF(Table5[[#This Row],[Query Date]]&lt;&gt;"", TEXT(Table5[[#This Row],[Query Date]], "dddd"), "")</f>
        <v>Wednesday</v>
      </c>
      <c r="F360" s="37" t="str">
        <f>IF(Table5[[#This Row],[Query Date]]&lt;&gt;"", TEXT(Table5[[#This Row],[Query Date]], "mmmm"), "")</f>
        <v>September</v>
      </c>
      <c r="G360" s="28" t="s">
        <v>65</v>
      </c>
      <c r="H360" s="28" t="s">
        <v>99</v>
      </c>
      <c r="I360" s="28" t="s">
        <v>67</v>
      </c>
      <c r="J360" s="28" t="s">
        <v>68</v>
      </c>
      <c r="K360" s="28" t="s">
        <v>178</v>
      </c>
      <c r="L360" s="25" t="s">
        <v>70</v>
      </c>
      <c r="M360" s="112" t="s">
        <v>502</v>
      </c>
      <c r="N360" s="25" t="s">
        <v>507</v>
      </c>
      <c r="O360" s="130">
        <v>9036405090</v>
      </c>
      <c r="P360" s="46" t="s">
        <v>508</v>
      </c>
      <c r="Q360" s="77">
        <v>46300</v>
      </c>
      <c r="R360" s="77" t="str">
        <f>IF(Table5[[#This Row],[Tour Starting Date]]&lt;&gt;"", TEXT(Table5[[#This Row],[Tour Starting Date]], "dddd"), "")</f>
        <v>Monday</v>
      </c>
      <c r="S360" s="77">
        <v>46303</v>
      </c>
      <c r="T360" s="25" t="str">
        <f>IF(Table5[[#This Row],[Tour Ending Date]]&lt;&gt;"", TEXT(Table5[[#This Row],[Tour Ending Date]], "dddd"), "")</f>
        <v>Thursday</v>
      </c>
      <c r="U36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>3 Nights &amp; 4 Days</v>
      </c>
      <c r="V360" s="37" t="str">
        <f>IF(Table5[[#This Row],[Tour Starting Date]]&lt;&gt;"", TEXT(Table5[[#This Row],[Tour Starting Date]], "mmmm"), "")</f>
        <v>October</v>
      </c>
      <c r="W360" s="80" t="str" cm="1">
        <f t="array" ref="W360">IF(Q360&lt;&gt;"", INDEX(CI:CI, MATCH(1, (Q360&gt;=CG:CG)*(Q360&lt;=CH:CH), 0)), "")</f>
        <v>Regular Dates - Weekday</v>
      </c>
      <c r="X360" s="39">
        <v>4</v>
      </c>
      <c r="Y360" s="74">
        <v>11000</v>
      </c>
      <c r="Z360" s="74">
        <f>IF(OR(Table5[[#This Row],[Per Person Package Cost]]="", Table5[[#This Row],[No. of Pax]]=""), "", Table5[[#This Row],[Per Person Package Cost]] * Table5[[#This Row],[No. of Pax]])</f>
        <v>44000</v>
      </c>
      <c r="AA360" s="52" t="s">
        <v>75</v>
      </c>
      <c r="AB360" s="52" t="s">
        <v>75</v>
      </c>
      <c r="AC360" s="52" t="s">
        <v>76</v>
      </c>
      <c r="AD360" s="52"/>
      <c r="AE360" s="51" t="str">
        <f t="shared" si="45"/>
        <v/>
      </c>
      <c r="AF360" s="51" t="str">
        <f t="shared" si="46"/>
        <v/>
      </c>
      <c r="AG360" s="74" t="str">
        <f t="shared" si="47"/>
        <v/>
      </c>
      <c r="AH360" s="73" t="str">
        <f t="shared" si="48"/>
        <v/>
      </c>
      <c r="AI360" s="52" t="s">
        <v>107</v>
      </c>
      <c r="AJ360" s="56" t="s">
        <v>78</v>
      </c>
      <c r="AK360" s="59" t="s">
        <v>79</v>
      </c>
      <c r="AL360" s="60" t="s">
        <v>80</v>
      </c>
      <c r="AM360" s="54" t="s">
        <v>80</v>
      </c>
      <c r="AN360" s="14">
        <v>46284</v>
      </c>
      <c r="AO360" s="15"/>
      <c r="AP360" s="91"/>
      <c r="AQ360" s="87"/>
      <c r="AR360" s="26"/>
      <c r="AS360" s="65"/>
      <c r="AT360" s="88" t="s">
        <v>138</v>
      </c>
      <c r="AU360" s="67"/>
      <c r="CN360" s="123" t="s">
        <v>777</v>
      </c>
      <c r="DA360" t="str" cm="1">
        <f t="array" ref="DA360:EO360">IF(U360&lt;&gt;"", TRANSPOSE(_xlfn._xlws.FILTER(CZ:CZ, CY:CY=U360, "")), "")</f>
        <v>Gwl (3N) + Mor + Son + Dat + Orc</v>
      </c>
      <c r="DB360" t="str">
        <v>Ex Gwl | Gwl (1N) - Son - Dat - Orc (1N) - Gwl (1N)</v>
      </c>
      <c r="DC360" t="str">
        <v>Ex Idr | Idr - Ujj (1N) - Omk - Mah (1N) - Man (1N) - Idr</v>
      </c>
      <c r="DD360" t="str">
        <v>Ex Jlr | Jlr - Kan (2N) - Jlr (1N)</v>
      </c>
      <c r="DE360" t="str">
        <v>Ex Jlr | Jlr - Ban (2N) - Jlr (1N)</v>
      </c>
      <c r="DF360" t="str">
        <v>Ex Bho | Bho (1N) + San - Bhoj - Bhim - Pch (2N) - Bho</v>
      </c>
      <c r="DG360" t="str">
        <v>Ex Idr | Idr (1N) - Ujj (1N) - Omk (1N) - Mah - Idr</v>
      </c>
      <c r="DH360" t="str">
        <v>Gwl - Orc (1N) - Ckt (1N) - Myr (1N) - Jlr</v>
      </c>
      <c r="DI360" t="str">
        <v>Gwl - Orc (1N) - Ckt (2N) - Ixd</v>
      </c>
      <c r="DJ360" t="str">
        <v>Ex Idr | Idr - Ujj (1N) - Omk - Mah (1N) - Idr (1N)</v>
      </c>
      <c r="DK360" t="str">
        <v>Ex Jlr | Jlr - Kan (3N) - Jlr</v>
      </c>
      <c r="DL360" t="str">
        <v>Ex Bho | Bho (2N) + Bhim + Bhoj + San + Udaygiri + Vidisha + FDCT Bho</v>
      </c>
      <c r="DM360" t="str">
        <v>Bho (1N) + Bhim + Bhoj - HDCT  Bho + Sanchi - Ujj (2N)</v>
      </c>
      <c r="DN360" t="str">
        <v>Bho (1N) + Bhim + Bhoj - HDCT  Bho + Sanchi - Ujj (2N) - Idr</v>
      </c>
      <c r="DO360" t="str">
        <v>Ex Bho | Bho - Bhoj - Bhim - Mad (1N) - Pch (2N) - Bho</v>
      </c>
      <c r="DP360" t="str">
        <v>Ex Bho | Bho - Bhoj - Bhim - Mad (1N) - Pch (3N) - Bho</v>
      </c>
      <c r="DQ360" t="str">
        <v>Ex Bho | Bho - Bhoj - Bhim - Tawa (1N) - Mad (1N) - Bho (1N)</v>
      </c>
      <c r="DR360" t="str">
        <v>Bho (1N) - Bhim - Bhoj - San - Idr (2N) + Ujj</v>
      </c>
      <c r="DS360" t="str">
        <v>Bho (1N) - Bhoj - Bhim - Pch (2N) - Bho</v>
      </c>
      <c r="DT360" t="str">
        <v>Ujj (1N) - Omk - Mah (1N) - Idr (1N)</v>
      </c>
      <c r="DU360" t="str">
        <v>Ujj (1N) - Omk - Mah (1N) - Man (1N) - Idr</v>
      </c>
      <c r="DV360" t="str">
        <v>Ex Idr | Idr (1N) - Ujj (1N) - Omk - Mah (1N)</v>
      </c>
      <c r="DW360" t="str">
        <v>Ex Idr | Idr - Ujj (1N) - Omk (1N) - Mah (1N) - Idr</v>
      </c>
      <c r="DX360" t="str">
        <v>Khandwa - Omk (1N) - Mah (1N) - Ujj (1N) - Idr</v>
      </c>
      <c r="DY360" t="str">
        <v>Ex Idr | Idr - Ujj (1N) - Omk - Mah (1N) - Man - Idr (1N)</v>
      </c>
      <c r="DZ360" t="str">
        <v xml:space="preserve">Idr - Omk (1N) - Mah - Ujj (1N) San - Bho (1N) </v>
      </c>
      <c r="EA360" t="str">
        <v>Ex Idr | Idr - Man (1N) - Mah - Omk (1N) - Ujj (1N) - Idr</v>
      </c>
      <c r="EB360" t="str">
        <v>Khandwa - Omk (1N) - Mah - Ujj (2N)</v>
      </c>
      <c r="EC360" t="str">
        <v>Ex Jlr | Jlr (1N) - Amr (1N) - Ban (1N) - Jlr</v>
      </c>
      <c r="ED360" t="str">
        <v>Ex Jlr | Jlr - (1 N) Ban - (2 N) Amar</v>
      </c>
      <c r="EE360" t="str">
        <v>Jlr - Kan (1N) - Pch (2N)</v>
      </c>
      <c r="EF360" t="str">
        <v>Pi - Pch (2N)  - Kan (1N)</v>
      </c>
      <c r="EG360" t="str">
        <v>Ex Jlr | Jlr - Amr (1 N) - (1 N) Ban - (1 N) Jlr</v>
      </c>
      <c r="EH360" t="str">
        <v>Ppi - (2 N) Pch - (1 N) Pen</v>
      </c>
      <c r="EI360" t="str">
        <v>Bhp - Pch (2N) - Jlr (1N)</v>
      </c>
      <c r="EJ360" t="str">
        <v xml:space="preserve">Arr Jhn - Hjr (1N) - Orc - Gwl (2N) </v>
      </c>
      <c r="EK360" t="str">
        <v>(1 N) Ujj - (1 N) Mah - (1 N) Idr</v>
      </c>
      <c r="EL360" t="str">
        <v>Ex Bhp | Bhp - Bhoj - Bhim - Pch (3N) - Bhp</v>
      </c>
      <c r="EM360" t="str">
        <v>Ex Bhp | Bhp - Bhoj - Bhim - Pch (2N) - Mad (1N) - Bhp</v>
      </c>
      <c r="EN360" t="str">
        <v xml:space="preserve">Ex Nag - 3N Pch + Sat </v>
      </c>
      <c r="EO360" t="str">
        <v>1N Gwl - Son - Dat - 1N Hjr - 1N Orc - Jhn</v>
      </c>
    </row>
    <row r="361" spans="2:145" ht="15" customHeight="1">
      <c r="B361" s="34">
        <v>357</v>
      </c>
      <c r="C361" s="36" t="s">
        <v>2214</v>
      </c>
      <c r="D361" s="76"/>
      <c r="E361" s="37" t="str">
        <f>IF(Table5[[#This Row],[Query Date]]&lt;&gt;"", TEXT(Table5[[#This Row],[Query Date]], "dddd"), "")</f>
        <v/>
      </c>
      <c r="F361" s="37" t="str">
        <f>IF(Table5[[#This Row],[Query Date]]&lt;&gt;"", TEXT(Table5[[#This Row],[Query Date]], "mmmm"), "")</f>
        <v/>
      </c>
      <c r="G361" s="28"/>
      <c r="H361" s="28"/>
      <c r="I361" s="28"/>
      <c r="J361" s="28"/>
      <c r="K361" s="28"/>
      <c r="L361" s="25"/>
      <c r="M361" s="112"/>
      <c r="N361" s="25"/>
      <c r="O361" s="130"/>
      <c r="P361" s="46"/>
      <c r="Q361" s="77"/>
      <c r="R361" s="77" t="str">
        <f>IF(Table5[[#This Row],[Tour Starting Date]]&lt;&gt;"", TEXT(Table5[[#This Row],[Tour Starting Date]], "dddd"), "")</f>
        <v/>
      </c>
      <c r="S361" s="77"/>
      <c r="T361" s="25" t="str">
        <f>IF(Table5[[#This Row],[Tour Ending Date]]&lt;&gt;"", TEXT(Table5[[#This Row],[Tour Ending Date]], "dddd"), "")</f>
        <v/>
      </c>
      <c r="U36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361" s="37" t="str">
        <f>IF(Table5[[#This Row],[Tour Starting Date]]&lt;&gt;"", TEXT(Table5[[#This Row],[Tour Starting Date]], "mmmm"), "")</f>
        <v/>
      </c>
      <c r="W361" s="80" t="str" cm="1">
        <f t="array" ref="W361">IF(Q361&lt;&gt;"", INDEX(CI:CI, MATCH(1, (Q361&gt;=CG:CG)*(Q361&lt;=CH:CH), 0)), "")</f>
        <v/>
      </c>
      <c r="X361" s="39"/>
      <c r="Y361" s="74"/>
      <c r="Z361" s="74" t="str">
        <f>IF(OR(Table5[[#This Row],[Per Person Package Cost]]="", Table5[[#This Row],[No. of Pax]]=""), "", Table5[[#This Row],[Per Person Package Cost]] * Table5[[#This Row],[No. of Pax]])</f>
        <v/>
      </c>
      <c r="AA361" s="52"/>
      <c r="AB361" s="52"/>
      <c r="AC361" s="52"/>
      <c r="AD361" s="52"/>
      <c r="AE361" s="51" t="str">
        <f t="shared" si="45"/>
        <v/>
      </c>
      <c r="AF361" s="51" t="str">
        <f t="shared" si="46"/>
        <v/>
      </c>
      <c r="AG361" s="74" t="str">
        <f t="shared" si="47"/>
        <v/>
      </c>
      <c r="AH361" s="73" t="str">
        <f t="shared" si="48"/>
        <v/>
      </c>
      <c r="AI361" s="52"/>
      <c r="AJ361" s="56"/>
      <c r="AK361" s="59"/>
      <c r="AL361" s="60"/>
      <c r="AM361" s="54"/>
      <c r="AN361" s="14"/>
      <c r="AO361" s="15"/>
      <c r="AP361" s="91"/>
      <c r="AQ361" s="87"/>
      <c r="AR361" s="26"/>
      <c r="AS361" s="65"/>
      <c r="AT361" s="88"/>
      <c r="AU361" s="67"/>
      <c r="CN361" t="s">
        <v>793</v>
      </c>
      <c r="DA361" t="str" cm="1">
        <f t="array" ref="DA361">IF(U361&lt;&gt;"", TRANSPOSE(_xlfn._xlws.FILTER(CZ:CZ, CY:CY=U361, "")), "")</f>
        <v/>
      </c>
    </row>
    <row r="362" spans="2:145" ht="15" customHeight="1">
      <c r="B362" s="35">
        <v>358</v>
      </c>
      <c r="C362" s="36" t="s">
        <v>2215</v>
      </c>
      <c r="D362" s="76"/>
      <c r="E362" s="37" t="str">
        <f>IF(Table5[[#This Row],[Query Date]]&lt;&gt;"", TEXT(Table5[[#This Row],[Query Date]], "dddd"), "")</f>
        <v/>
      </c>
      <c r="F362" s="37" t="str">
        <f>IF(Table5[[#This Row],[Query Date]]&lt;&gt;"", TEXT(Table5[[#This Row],[Query Date]], "mmmm"), "")</f>
        <v/>
      </c>
      <c r="G362" s="28"/>
      <c r="H362" s="28"/>
      <c r="I362" s="28"/>
      <c r="J362" s="28"/>
      <c r="K362" s="28"/>
      <c r="L362" s="25"/>
      <c r="M362" s="112"/>
      <c r="N362" s="25"/>
      <c r="O362" s="130"/>
      <c r="P362" s="46"/>
      <c r="Q362" s="77"/>
      <c r="R362" s="77" t="str">
        <f>IF(Table5[[#This Row],[Tour Starting Date]]&lt;&gt;"", TEXT(Table5[[#This Row],[Tour Starting Date]], "dddd"), "")</f>
        <v/>
      </c>
      <c r="S362" s="77"/>
      <c r="T362" s="25" t="str">
        <f>IF(Table5[[#This Row],[Tour Ending Date]]&lt;&gt;"", TEXT(Table5[[#This Row],[Tour Ending Date]], "dddd"), "")</f>
        <v/>
      </c>
      <c r="U36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362" s="37" t="str">
        <f>IF(Table5[[#This Row],[Tour Starting Date]]&lt;&gt;"", TEXT(Table5[[#This Row],[Tour Starting Date]], "mmmm"), "")</f>
        <v/>
      </c>
      <c r="W362" s="80" t="str" cm="1">
        <f t="array" ref="W362">IF(Q362&lt;&gt;"", INDEX(CI:CI, MATCH(1, (Q362&gt;=CG:CG)*(Q362&lt;=CH:CH), 0)), "")</f>
        <v/>
      </c>
      <c r="X362" s="39"/>
      <c r="Y362" s="74"/>
      <c r="Z362" s="74" t="str">
        <f>IF(OR(Table5[[#This Row],[Per Person Package Cost]]="", Table5[[#This Row],[No. of Pax]]=""), "", Table5[[#This Row],[Per Person Package Cost]] * Table5[[#This Row],[No. of Pax]])</f>
        <v/>
      </c>
      <c r="AA362" s="52"/>
      <c r="AB362" s="52"/>
      <c r="AC362" s="52"/>
      <c r="AD362" s="52"/>
      <c r="AE362" s="51" t="str">
        <f t="shared" si="45"/>
        <v/>
      </c>
      <c r="AF362" s="51" t="str">
        <f t="shared" si="46"/>
        <v/>
      </c>
      <c r="AG362" s="74" t="str">
        <f t="shared" si="47"/>
        <v/>
      </c>
      <c r="AH362" s="73" t="str">
        <f t="shared" si="48"/>
        <v/>
      </c>
      <c r="AI362" s="52"/>
      <c r="AJ362" s="56"/>
      <c r="AK362" s="59"/>
      <c r="AL362" s="60"/>
      <c r="AM362" s="54"/>
      <c r="AN362" s="14"/>
      <c r="AO362" s="15"/>
      <c r="AP362" s="91"/>
      <c r="AQ362" s="87"/>
      <c r="AR362" s="26"/>
      <c r="AS362" s="65"/>
      <c r="AT362" s="88"/>
      <c r="AU362" s="67"/>
      <c r="CN362" t="s">
        <v>427</v>
      </c>
      <c r="DA362" t="str" cm="1">
        <f t="array" ref="DA362">IF(U362&lt;&gt;"", TRANSPOSE(_xlfn._xlws.FILTER(CZ:CZ, CY:CY=U362, "")), "")</f>
        <v/>
      </c>
    </row>
    <row r="363" spans="2:145" ht="15" customHeight="1">
      <c r="B363" s="34">
        <v>359</v>
      </c>
      <c r="C363" s="36" t="s">
        <v>2216</v>
      </c>
      <c r="D363" s="76"/>
      <c r="E363" s="37" t="str">
        <f>IF(Table5[[#This Row],[Query Date]]&lt;&gt;"", TEXT(Table5[[#This Row],[Query Date]], "dddd"), "")</f>
        <v/>
      </c>
      <c r="F363" s="37" t="str">
        <f>IF(Table5[[#This Row],[Query Date]]&lt;&gt;"", TEXT(Table5[[#This Row],[Query Date]], "mmmm"), "")</f>
        <v/>
      </c>
      <c r="G363" s="28"/>
      <c r="H363" s="28"/>
      <c r="I363" s="28"/>
      <c r="J363" s="28"/>
      <c r="K363" s="28"/>
      <c r="L363" s="25"/>
      <c r="M363" s="112"/>
      <c r="N363" s="25"/>
      <c r="O363" s="130"/>
      <c r="P363" s="46"/>
      <c r="Q363" s="77"/>
      <c r="R363" s="77" t="str">
        <f>IF(Table5[[#This Row],[Tour Starting Date]]&lt;&gt;"", TEXT(Table5[[#This Row],[Tour Starting Date]], "dddd"), "")</f>
        <v/>
      </c>
      <c r="S363" s="77"/>
      <c r="T363" s="25" t="str">
        <f>IF(Table5[[#This Row],[Tour Ending Date]]&lt;&gt;"", TEXT(Table5[[#This Row],[Tour Ending Date]], "dddd"), "")</f>
        <v/>
      </c>
      <c r="U36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363" s="37" t="str">
        <f>IF(Table5[[#This Row],[Tour Starting Date]]&lt;&gt;"", TEXT(Table5[[#This Row],[Tour Starting Date]], "mmmm"), "")</f>
        <v/>
      </c>
      <c r="W363" s="80" t="str" cm="1">
        <f t="array" ref="W363">IF(Q363&lt;&gt;"", INDEX(CI:CI, MATCH(1, (Q363&gt;=CG:CG)*(Q363&lt;=CH:CH), 0)), "")</f>
        <v/>
      </c>
      <c r="X363" s="39"/>
      <c r="Y363" s="74"/>
      <c r="Z363" s="74" t="str">
        <f>IF(OR(Table5[[#This Row],[Per Person Package Cost]]="", Table5[[#This Row],[No. of Pax]]=""), "", Table5[[#This Row],[Per Person Package Cost]] * Table5[[#This Row],[No. of Pax]])</f>
        <v/>
      </c>
      <c r="AA363" s="52"/>
      <c r="AB363" s="52"/>
      <c r="AC363" s="52"/>
      <c r="AD363" s="52"/>
      <c r="AE363" s="51" t="str">
        <f t="shared" si="45"/>
        <v/>
      </c>
      <c r="AF363" s="51" t="str">
        <f t="shared" si="46"/>
        <v/>
      </c>
      <c r="AG363" s="74" t="str">
        <f t="shared" si="47"/>
        <v/>
      </c>
      <c r="AH363" s="73" t="str">
        <f t="shared" si="48"/>
        <v/>
      </c>
      <c r="AI363" s="52"/>
      <c r="AJ363" s="56"/>
      <c r="AK363" s="59"/>
      <c r="AL363" s="60"/>
      <c r="AM363" s="54"/>
      <c r="AN363" s="14"/>
      <c r="AO363" s="15"/>
      <c r="AP363" s="91"/>
      <c r="AQ363" s="87"/>
      <c r="AR363" s="26"/>
      <c r="AS363" s="65"/>
      <c r="AT363" s="88"/>
      <c r="AU363" s="67"/>
      <c r="CN363" t="s">
        <v>554</v>
      </c>
      <c r="DA363" t="str" cm="1">
        <f t="array" ref="DA363">IF(U363&lt;&gt;"", TRANSPOSE(_xlfn._xlws.FILTER(CZ:CZ, CY:CY=U363, "")), "")</f>
        <v/>
      </c>
    </row>
    <row r="364" spans="2:145" ht="15" customHeight="1">
      <c r="B364" s="35">
        <v>360</v>
      </c>
      <c r="C364" s="36" t="s">
        <v>2217</v>
      </c>
      <c r="D364" s="76"/>
      <c r="E364" s="37" t="str">
        <f>IF(Table5[[#This Row],[Query Date]]&lt;&gt;"", TEXT(Table5[[#This Row],[Query Date]], "dddd"), "")</f>
        <v/>
      </c>
      <c r="F364" s="37" t="str">
        <f>IF(Table5[[#This Row],[Query Date]]&lt;&gt;"", TEXT(Table5[[#This Row],[Query Date]], "mmmm"), "")</f>
        <v/>
      </c>
      <c r="G364" s="28"/>
      <c r="H364" s="28"/>
      <c r="I364" s="28"/>
      <c r="J364" s="28"/>
      <c r="K364" s="28"/>
      <c r="L364" s="25"/>
      <c r="M364" s="112"/>
      <c r="N364" s="25"/>
      <c r="O364" s="130"/>
      <c r="P364" s="46"/>
      <c r="Q364" s="77"/>
      <c r="R364" s="77" t="str">
        <f>IF(Table5[[#This Row],[Tour Starting Date]]&lt;&gt;"", TEXT(Table5[[#This Row],[Tour Starting Date]], "dddd"), "")</f>
        <v/>
      </c>
      <c r="S364" s="77"/>
      <c r="T364" s="25" t="str">
        <f>IF(Table5[[#This Row],[Tour Ending Date]]&lt;&gt;"", TEXT(Table5[[#This Row],[Tour Ending Date]], "dddd"), "")</f>
        <v/>
      </c>
      <c r="U36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364" s="37" t="str">
        <f>IF(Table5[[#This Row],[Tour Starting Date]]&lt;&gt;"", TEXT(Table5[[#This Row],[Tour Starting Date]], "mmmm"), "")</f>
        <v/>
      </c>
      <c r="W364" s="80" t="str" cm="1">
        <f t="array" ref="W364">IF(Q364&lt;&gt;"", INDEX(CI:CI, MATCH(1, (Q364&gt;=CG:CG)*(Q364&lt;=CH:CH), 0)), "")</f>
        <v/>
      </c>
      <c r="X364" s="39"/>
      <c r="Y364" s="74"/>
      <c r="Z364" s="74" t="str">
        <f>IF(OR(Table5[[#This Row],[Per Person Package Cost]]="", Table5[[#This Row],[No. of Pax]]=""), "", Table5[[#This Row],[Per Person Package Cost]] * Table5[[#This Row],[No. of Pax]])</f>
        <v/>
      </c>
      <c r="AA364" s="52"/>
      <c r="AB364" s="52"/>
      <c r="AC364" s="52"/>
      <c r="AD364" s="52"/>
      <c r="AE364" s="51" t="str">
        <f t="shared" si="45"/>
        <v/>
      </c>
      <c r="AF364" s="51" t="str">
        <f t="shared" si="46"/>
        <v/>
      </c>
      <c r="AG364" s="74" t="str">
        <f t="shared" si="47"/>
        <v/>
      </c>
      <c r="AH364" s="73" t="str">
        <f t="shared" si="48"/>
        <v/>
      </c>
      <c r="AI364" s="52"/>
      <c r="AJ364" s="56"/>
      <c r="AK364" s="59"/>
      <c r="AL364" s="60"/>
      <c r="AM364" s="54"/>
      <c r="AN364" s="14"/>
      <c r="AO364" s="15"/>
      <c r="AP364" s="91"/>
      <c r="AQ364" s="87"/>
      <c r="AR364" s="26"/>
      <c r="AS364" s="65"/>
      <c r="AT364" s="88"/>
      <c r="AU364" s="67"/>
      <c r="CN364" t="s">
        <v>615</v>
      </c>
      <c r="DA364" t="str" cm="1">
        <f t="array" ref="DA364">IF(U364&lt;&gt;"", TRANSPOSE(_xlfn._xlws.FILTER(CZ:CZ, CY:CY=U364, "")), "")</f>
        <v/>
      </c>
    </row>
    <row r="365" spans="2:145" ht="15" customHeight="1">
      <c r="B365" s="34">
        <v>361</v>
      </c>
      <c r="C365" s="36" t="s">
        <v>2218</v>
      </c>
      <c r="D365" s="76"/>
      <c r="E365" s="37" t="str">
        <f>IF(Table5[[#This Row],[Query Date]]&lt;&gt;"", TEXT(Table5[[#This Row],[Query Date]], "dddd"), "")</f>
        <v/>
      </c>
      <c r="F365" s="37" t="str">
        <f>IF(Table5[[#This Row],[Query Date]]&lt;&gt;"", TEXT(Table5[[#This Row],[Query Date]], "mmmm"), "")</f>
        <v/>
      </c>
      <c r="G365" s="28"/>
      <c r="H365" s="28"/>
      <c r="I365" s="28"/>
      <c r="J365" s="28"/>
      <c r="K365" s="28"/>
      <c r="L365" s="25"/>
      <c r="M365" s="112"/>
      <c r="N365" s="25"/>
      <c r="O365" s="130"/>
      <c r="P365" s="46"/>
      <c r="Q365" s="77"/>
      <c r="R365" s="77" t="str">
        <f>IF(Table5[[#This Row],[Tour Starting Date]]&lt;&gt;"", TEXT(Table5[[#This Row],[Tour Starting Date]], "dddd"), "")</f>
        <v/>
      </c>
      <c r="S365" s="77"/>
      <c r="T365" s="25" t="str">
        <f>IF(Table5[[#This Row],[Tour Ending Date]]&lt;&gt;"", TEXT(Table5[[#This Row],[Tour Ending Date]], "dddd"), "")</f>
        <v/>
      </c>
      <c r="U36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365" s="37" t="str">
        <f>IF(Table5[[#This Row],[Tour Starting Date]]&lt;&gt;"", TEXT(Table5[[#This Row],[Tour Starting Date]], "mmmm"), "")</f>
        <v/>
      </c>
      <c r="W365" s="80" t="str" cm="1">
        <f t="array" ref="W365">IF(Q365&lt;&gt;"", INDEX(CI:CI, MATCH(1, (Q365&gt;=CG:CG)*(Q365&lt;=CH:CH), 0)), "")</f>
        <v/>
      </c>
      <c r="X365" s="39"/>
      <c r="Y365" s="74"/>
      <c r="Z365" s="74" t="str">
        <f>IF(OR(Table5[[#This Row],[Per Person Package Cost]]="", Table5[[#This Row],[No. of Pax]]=""), "", Table5[[#This Row],[Per Person Package Cost]] * Table5[[#This Row],[No. of Pax]])</f>
        <v/>
      </c>
      <c r="AA365" s="52"/>
      <c r="AB365" s="52"/>
      <c r="AC365" s="52"/>
      <c r="AD365" s="52"/>
      <c r="AE365" s="51" t="str">
        <f t="shared" si="45"/>
        <v/>
      </c>
      <c r="AF365" s="51" t="str">
        <f t="shared" si="46"/>
        <v/>
      </c>
      <c r="AG365" s="74" t="str">
        <f t="shared" si="47"/>
        <v/>
      </c>
      <c r="AH365" s="73" t="str">
        <f t="shared" si="48"/>
        <v/>
      </c>
      <c r="AI365" s="52"/>
      <c r="AJ365" s="56"/>
      <c r="AK365" s="59"/>
      <c r="AL365" s="60"/>
      <c r="AM365" s="54"/>
      <c r="AN365" s="14"/>
      <c r="AO365" s="15"/>
      <c r="AP365" s="91"/>
      <c r="AQ365" s="87"/>
      <c r="AR365" s="26"/>
      <c r="AS365" s="65"/>
      <c r="AT365" s="88"/>
      <c r="AU365" s="67"/>
      <c r="CN365" t="s">
        <v>841</v>
      </c>
      <c r="DA365" t="str" cm="1">
        <f t="array" ref="DA365">IF(U365&lt;&gt;"", TRANSPOSE(_xlfn._xlws.FILTER(CZ:CZ, CY:CY=U365, "")), "")</f>
        <v/>
      </c>
    </row>
    <row r="366" spans="2:145" ht="15" customHeight="1">
      <c r="B366" s="35">
        <v>362</v>
      </c>
      <c r="C366" s="36" t="s">
        <v>2219</v>
      </c>
      <c r="D366" s="76"/>
      <c r="E366" s="37" t="str">
        <f>IF(Table5[[#This Row],[Query Date]]&lt;&gt;"", TEXT(Table5[[#This Row],[Query Date]], "dddd"), "")</f>
        <v/>
      </c>
      <c r="F366" s="37" t="str">
        <f>IF(Table5[[#This Row],[Query Date]]&lt;&gt;"", TEXT(Table5[[#This Row],[Query Date]], "mmmm"), "")</f>
        <v/>
      </c>
      <c r="G366" s="28"/>
      <c r="H366" s="28"/>
      <c r="I366" s="28"/>
      <c r="J366" s="28"/>
      <c r="K366" s="28"/>
      <c r="L366" s="25"/>
      <c r="M366" s="112"/>
      <c r="N366" s="25"/>
      <c r="O366" s="130"/>
      <c r="P366" s="46"/>
      <c r="Q366" s="77"/>
      <c r="R366" s="77" t="str">
        <f>IF(Table5[[#This Row],[Tour Starting Date]]&lt;&gt;"", TEXT(Table5[[#This Row],[Tour Starting Date]], "dddd"), "")</f>
        <v/>
      </c>
      <c r="S366" s="77"/>
      <c r="T366" s="25" t="str">
        <f>IF(Table5[[#This Row],[Tour Ending Date]]&lt;&gt;"", TEXT(Table5[[#This Row],[Tour Ending Date]], "dddd"), "")</f>
        <v/>
      </c>
      <c r="U36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366" s="37" t="str">
        <f>IF(Table5[[#This Row],[Tour Starting Date]]&lt;&gt;"", TEXT(Table5[[#This Row],[Tour Starting Date]], "mmmm"), "")</f>
        <v/>
      </c>
      <c r="W366" s="80" t="str" cm="1">
        <f t="array" ref="W366">IF(Q366&lt;&gt;"", INDEX(CI:CI, MATCH(1, (Q366&gt;=CG:CG)*(Q366&lt;=CH:CH), 0)), "")</f>
        <v/>
      </c>
      <c r="X366" s="39"/>
      <c r="Y366" s="74"/>
      <c r="Z366" s="74" t="str">
        <f>IF(OR(Table5[[#This Row],[Per Person Package Cost]]="", Table5[[#This Row],[No. of Pax]]=""), "", Table5[[#This Row],[Per Person Package Cost]] * Table5[[#This Row],[No. of Pax]])</f>
        <v/>
      </c>
      <c r="AA366" s="52"/>
      <c r="AB366" s="52"/>
      <c r="AC366" s="52"/>
      <c r="AD366" s="52"/>
      <c r="AE366" s="51" t="str">
        <f t="shared" si="45"/>
        <v/>
      </c>
      <c r="AF366" s="51" t="str">
        <f t="shared" si="46"/>
        <v/>
      </c>
      <c r="AG366" s="74" t="str">
        <f t="shared" si="47"/>
        <v/>
      </c>
      <c r="AH366" s="73" t="str">
        <f t="shared" si="48"/>
        <v/>
      </c>
      <c r="AI366" s="52"/>
      <c r="AJ366" s="56"/>
      <c r="AK366" s="59"/>
      <c r="AL366" s="60"/>
      <c r="AM366" s="54"/>
      <c r="AN366" s="14"/>
      <c r="AO366" s="15"/>
      <c r="AP366" s="91"/>
      <c r="AQ366" s="87"/>
      <c r="AR366" s="26"/>
      <c r="AS366" s="65"/>
      <c r="AT366" s="88"/>
      <c r="AU366" s="67"/>
      <c r="CN366" t="s">
        <v>850</v>
      </c>
      <c r="DA366" t="str" cm="1">
        <f t="array" ref="DA366">IF(U366&lt;&gt;"", TRANSPOSE(_xlfn._xlws.FILTER(CZ:CZ, CY:CY=U366, "")), "")</f>
        <v/>
      </c>
    </row>
    <row r="367" spans="2:145" ht="15" customHeight="1">
      <c r="B367" s="34">
        <v>363</v>
      </c>
      <c r="C367" s="36" t="s">
        <v>2220</v>
      </c>
      <c r="D367" s="76"/>
      <c r="E367" s="37" t="str">
        <f>IF(Table5[[#This Row],[Query Date]]&lt;&gt;"", TEXT(Table5[[#This Row],[Query Date]], "dddd"), "")</f>
        <v/>
      </c>
      <c r="F367" s="37" t="str">
        <f>IF(Table5[[#This Row],[Query Date]]&lt;&gt;"", TEXT(Table5[[#This Row],[Query Date]], "mmmm"), "")</f>
        <v/>
      </c>
      <c r="G367" s="28"/>
      <c r="H367" s="28"/>
      <c r="I367" s="28"/>
      <c r="J367" s="28"/>
      <c r="K367" s="28"/>
      <c r="L367" s="25"/>
      <c r="M367" s="112"/>
      <c r="N367" s="25"/>
      <c r="O367" s="130"/>
      <c r="P367" s="46"/>
      <c r="Q367" s="77"/>
      <c r="R367" s="77" t="str">
        <f>IF(Table5[[#This Row],[Tour Starting Date]]&lt;&gt;"", TEXT(Table5[[#This Row],[Tour Starting Date]], "dddd"), "")</f>
        <v/>
      </c>
      <c r="S367" s="77"/>
      <c r="T367" s="25" t="str">
        <f>IF(Table5[[#This Row],[Tour Ending Date]]&lt;&gt;"", TEXT(Table5[[#This Row],[Tour Ending Date]], "dddd"), "")</f>
        <v/>
      </c>
      <c r="U36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367" s="37" t="str">
        <f>IF(Table5[[#This Row],[Tour Starting Date]]&lt;&gt;"", TEXT(Table5[[#This Row],[Tour Starting Date]], "mmmm"), "")</f>
        <v/>
      </c>
      <c r="W367" s="80" t="str" cm="1">
        <f t="array" ref="W367">IF(Q367&lt;&gt;"", INDEX(CI:CI, MATCH(1, (Q367&gt;=CG:CG)*(Q367&lt;=CH:CH), 0)), "")</f>
        <v/>
      </c>
      <c r="X367" s="39"/>
      <c r="Y367" s="74"/>
      <c r="Z367" s="74" t="str">
        <f>IF(OR(Table5[[#This Row],[Per Person Package Cost]]="", Table5[[#This Row],[No. of Pax]]=""), "", Table5[[#This Row],[Per Person Package Cost]] * Table5[[#This Row],[No. of Pax]])</f>
        <v/>
      </c>
      <c r="AA367" s="52"/>
      <c r="AB367" s="52"/>
      <c r="AC367" s="52"/>
      <c r="AD367" s="52"/>
      <c r="AE367" s="51" t="str">
        <f t="shared" si="45"/>
        <v/>
      </c>
      <c r="AF367" s="51" t="str">
        <f t="shared" si="46"/>
        <v/>
      </c>
      <c r="AG367" s="74" t="str">
        <f t="shared" si="47"/>
        <v/>
      </c>
      <c r="AH367" s="73" t="str">
        <f t="shared" si="48"/>
        <v/>
      </c>
      <c r="AI367" s="52"/>
      <c r="AJ367" s="56"/>
      <c r="AK367" s="59"/>
      <c r="AL367" s="60"/>
      <c r="AM367" s="54"/>
      <c r="AN367" s="14"/>
      <c r="AO367" s="15"/>
      <c r="AP367" s="91"/>
      <c r="AQ367" s="87"/>
      <c r="AR367" s="26"/>
      <c r="AS367" s="65"/>
      <c r="AT367" s="88"/>
      <c r="AU367" s="67"/>
      <c r="CN367" t="s">
        <v>871</v>
      </c>
      <c r="DA367" t="str" cm="1">
        <f t="array" ref="DA367">IF(U367&lt;&gt;"", TRANSPOSE(_xlfn._xlws.FILTER(CZ:CZ, CY:CY=U367, "")), "")</f>
        <v/>
      </c>
    </row>
    <row r="368" spans="2:145" ht="15" customHeight="1">
      <c r="B368" s="35">
        <v>364</v>
      </c>
      <c r="C368" s="36" t="s">
        <v>2221</v>
      </c>
      <c r="D368" s="76"/>
      <c r="E368" s="37" t="str">
        <f>IF(Table5[[#This Row],[Query Date]]&lt;&gt;"", TEXT(Table5[[#This Row],[Query Date]], "dddd"), "")</f>
        <v/>
      </c>
      <c r="F368" s="37" t="str">
        <f>IF(Table5[[#This Row],[Query Date]]&lt;&gt;"", TEXT(Table5[[#This Row],[Query Date]], "mmmm"), "")</f>
        <v/>
      </c>
      <c r="G368" s="28"/>
      <c r="H368" s="28"/>
      <c r="I368" s="28"/>
      <c r="J368" s="28"/>
      <c r="K368" s="28"/>
      <c r="L368" s="25"/>
      <c r="M368" s="112"/>
      <c r="N368" s="25"/>
      <c r="O368" s="130"/>
      <c r="P368" s="46"/>
      <c r="Q368" s="77"/>
      <c r="R368" s="77" t="str">
        <f>IF(Table5[[#This Row],[Tour Starting Date]]&lt;&gt;"", TEXT(Table5[[#This Row],[Tour Starting Date]], "dddd"), "")</f>
        <v/>
      </c>
      <c r="S368" s="77"/>
      <c r="T368" s="25" t="str">
        <f>IF(Table5[[#This Row],[Tour Ending Date]]&lt;&gt;"", TEXT(Table5[[#This Row],[Tour Ending Date]], "dddd"), "")</f>
        <v/>
      </c>
      <c r="U36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368" s="37" t="str">
        <f>IF(Table5[[#This Row],[Tour Starting Date]]&lt;&gt;"", TEXT(Table5[[#This Row],[Tour Starting Date]], "mmmm"), "")</f>
        <v/>
      </c>
      <c r="W368" s="80" t="str" cm="1">
        <f t="array" ref="W368">IF(Q368&lt;&gt;"", INDEX(CI:CI, MATCH(1, (Q368&gt;=CG:CG)*(Q368&lt;=CH:CH), 0)), "")</f>
        <v/>
      </c>
      <c r="X368" s="39"/>
      <c r="Y368" s="74"/>
      <c r="Z368" s="74" t="str">
        <f>IF(OR(Table5[[#This Row],[Per Person Package Cost]]="", Table5[[#This Row],[No. of Pax]]=""), "", Table5[[#This Row],[Per Person Package Cost]] * Table5[[#This Row],[No. of Pax]])</f>
        <v/>
      </c>
      <c r="AA368" s="52"/>
      <c r="AB368" s="52"/>
      <c r="AC368" s="52"/>
      <c r="AD368" s="52"/>
      <c r="AE368" s="51" t="str">
        <f t="shared" si="45"/>
        <v/>
      </c>
      <c r="AF368" s="51" t="str">
        <f t="shared" si="46"/>
        <v/>
      </c>
      <c r="AG368" s="74" t="str">
        <f t="shared" si="47"/>
        <v/>
      </c>
      <c r="AH368" s="73" t="str">
        <f t="shared" si="48"/>
        <v/>
      </c>
      <c r="AI368" s="52"/>
      <c r="AJ368" s="56"/>
      <c r="AK368" s="59"/>
      <c r="AL368" s="60"/>
      <c r="AM368" s="54"/>
      <c r="AN368" s="14"/>
      <c r="AO368" s="15"/>
      <c r="AP368" s="91"/>
      <c r="AQ368" s="87"/>
      <c r="AR368" s="26"/>
      <c r="AS368" s="65"/>
      <c r="AT368" s="88"/>
      <c r="AU368" s="67"/>
      <c r="CN368" t="s">
        <v>464</v>
      </c>
      <c r="DA368" t="str" cm="1">
        <f t="array" ref="DA368">IF(U368&lt;&gt;"", TRANSPOSE(_xlfn._xlws.FILTER(CZ:CZ, CY:CY=U368, "")), "")</f>
        <v/>
      </c>
    </row>
    <row r="369" spans="2:105" ht="15" customHeight="1">
      <c r="B369" s="34">
        <v>365</v>
      </c>
      <c r="C369" s="36" t="s">
        <v>2222</v>
      </c>
      <c r="D369" s="76"/>
      <c r="E369" s="37" t="str">
        <f>IF(Table5[[#This Row],[Query Date]]&lt;&gt;"", TEXT(Table5[[#This Row],[Query Date]], "dddd"), "")</f>
        <v/>
      </c>
      <c r="F369" s="37" t="str">
        <f>IF(Table5[[#This Row],[Query Date]]&lt;&gt;"", TEXT(Table5[[#This Row],[Query Date]], "mmmm"), "")</f>
        <v/>
      </c>
      <c r="G369" s="28"/>
      <c r="H369" s="28"/>
      <c r="I369" s="28"/>
      <c r="J369" s="28"/>
      <c r="K369" s="28"/>
      <c r="L369" s="25"/>
      <c r="M369" s="112"/>
      <c r="N369" s="25"/>
      <c r="O369" s="130"/>
      <c r="P369" s="46"/>
      <c r="Q369" s="77"/>
      <c r="R369" s="77" t="str">
        <f>IF(Table5[[#This Row],[Tour Starting Date]]&lt;&gt;"", TEXT(Table5[[#This Row],[Tour Starting Date]], "dddd"), "")</f>
        <v/>
      </c>
      <c r="S369" s="77"/>
      <c r="T369" s="25" t="str">
        <f>IF(Table5[[#This Row],[Tour Ending Date]]&lt;&gt;"", TEXT(Table5[[#This Row],[Tour Ending Date]], "dddd"), "")</f>
        <v/>
      </c>
      <c r="U36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369" s="37" t="str">
        <f>IF(Table5[[#This Row],[Tour Starting Date]]&lt;&gt;"", TEXT(Table5[[#This Row],[Tour Starting Date]], "mmmm"), "")</f>
        <v/>
      </c>
      <c r="W369" s="80" t="str" cm="1">
        <f t="array" ref="W369">IF(Q369&lt;&gt;"", INDEX(CI:CI, MATCH(1, (Q369&gt;=CG:CG)*(Q369&lt;=CH:CH), 0)), "")</f>
        <v/>
      </c>
      <c r="X369" s="39"/>
      <c r="Y369" s="74"/>
      <c r="Z369" s="74" t="str">
        <f>IF(OR(Table5[[#This Row],[Per Person Package Cost]]="", Table5[[#This Row],[No. of Pax]]=""), "", Table5[[#This Row],[Per Person Package Cost]] * Table5[[#This Row],[No. of Pax]])</f>
        <v/>
      </c>
      <c r="AA369" s="52"/>
      <c r="AB369" s="52"/>
      <c r="AC369" s="52"/>
      <c r="AD369" s="52"/>
      <c r="AE369" s="51" t="str">
        <f t="shared" si="45"/>
        <v/>
      </c>
      <c r="AF369" s="51" t="str">
        <f t="shared" si="46"/>
        <v/>
      </c>
      <c r="AG369" s="74" t="str">
        <f t="shared" si="47"/>
        <v/>
      </c>
      <c r="AH369" s="73" t="str">
        <f t="shared" si="48"/>
        <v/>
      </c>
      <c r="AI369" s="52"/>
      <c r="AJ369" s="56"/>
      <c r="AK369" s="59"/>
      <c r="AL369" s="60"/>
      <c r="AM369" s="54"/>
      <c r="AN369" s="14"/>
      <c r="AO369" s="15"/>
      <c r="AP369" s="91"/>
      <c r="AQ369" s="87"/>
      <c r="AR369" s="26"/>
      <c r="AS369" s="65"/>
      <c r="AT369" s="88"/>
      <c r="AU369" s="67"/>
      <c r="CN369" t="s">
        <v>295</v>
      </c>
      <c r="DA369" t="str" cm="1">
        <f t="array" ref="DA369">IF(U369&lt;&gt;"", TRANSPOSE(_xlfn._xlws.FILTER(CZ:CZ, CY:CY=U369, "")), "")</f>
        <v/>
      </c>
    </row>
    <row r="370" spans="2:105" ht="15" customHeight="1">
      <c r="B370" s="35">
        <v>366</v>
      </c>
      <c r="C370" s="36" t="s">
        <v>2223</v>
      </c>
      <c r="D370" s="76"/>
      <c r="E370" s="37" t="str">
        <f>IF(Table5[[#This Row],[Query Date]]&lt;&gt;"", TEXT(Table5[[#This Row],[Query Date]], "dddd"), "")</f>
        <v/>
      </c>
      <c r="F370" s="37" t="str">
        <f>IF(Table5[[#This Row],[Query Date]]&lt;&gt;"", TEXT(Table5[[#This Row],[Query Date]], "mmmm"), "")</f>
        <v/>
      </c>
      <c r="G370" s="28"/>
      <c r="H370" s="28"/>
      <c r="I370" s="28"/>
      <c r="J370" s="28"/>
      <c r="K370" s="28"/>
      <c r="L370" s="25"/>
      <c r="M370" s="112"/>
      <c r="N370" s="25"/>
      <c r="O370" s="130"/>
      <c r="P370" s="46"/>
      <c r="Q370" s="77"/>
      <c r="R370" s="77" t="str">
        <f>IF(Table5[[#This Row],[Tour Starting Date]]&lt;&gt;"", TEXT(Table5[[#This Row],[Tour Starting Date]], "dddd"), "")</f>
        <v/>
      </c>
      <c r="S370" s="77"/>
      <c r="T370" s="25" t="str">
        <f>IF(Table5[[#This Row],[Tour Ending Date]]&lt;&gt;"", TEXT(Table5[[#This Row],[Tour Ending Date]], "dddd"), "")</f>
        <v/>
      </c>
      <c r="U37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370" s="37" t="str">
        <f>IF(Table5[[#This Row],[Tour Starting Date]]&lt;&gt;"", TEXT(Table5[[#This Row],[Tour Starting Date]], "mmmm"), "")</f>
        <v/>
      </c>
      <c r="W370" s="80" t="str" cm="1">
        <f t="array" ref="W370">IF(Q370&lt;&gt;"", INDEX(CI:CI, MATCH(1, (Q370&gt;=CG:CG)*(Q370&lt;=CH:CH), 0)), "")</f>
        <v/>
      </c>
      <c r="X370" s="39"/>
      <c r="Y370" s="74"/>
      <c r="Z370" s="74" t="str">
        <f>IF(OR(Table5[[#This Row],[Per Person Package Cost]]="", Table5[[#This Row],[No. of Pax]]=""), "", Table5[[#This Row],[Per Person Package Cost]] * Table5[[#This Row],[No. of Pax]])</f>
        <v/>
      </c>
      <c r="AA370" s="52"/>
      <c r="AB370" s="52"/>
      <c r="AC370" s="52"/>
      <c r="AD370" s="52"/>
      <c r="AE370" s="51" t="str">
        <f t="shared" si="45"/>
        <v/>
      </c>
      <c r="AF370" s="51" t="str">
        <f t="shared" si="46"/>
        <v/>
      </c>
      <c r="AG370" s="74" t="str">
        <f t="shared" si="47"/>
        <v/>
      </c>
      <c r="AH370" s="73" t="str">
        <f t="shared" si="48"/>
        <v/>
      </c>
      <c r="AI370" s="52"/>
      <c r="AJ370" s="56"/>
      <c r="AK370" s="59"/>
      <c r="AL370" s="60"/>
      <c r="AM370" s="54"/>
      <c r="AN370" s="14"/>
      <c r="AO370" s="15"/>
      <c r="AP370" s="91"/>
      <c r="AQ370" s="87"/>
      <c r="AR370" s="26"/>
      <c r="AS370" s="65"/>
      <c r="AT370" s="88"/>
      <c r="AU370" s="67"/>
      <c r="CN370" t="s">
        <v>930</v>
      </c>
      <c r="DA370" t="str" cm="1">
        <f t="array" ref="DA370">IF(U370&lt;&gt;"", TRANSPOSE(_xlfn._xlws.FILTER(CZ:CZ, CY:CY=U370, "")), "")</f>
        <v/>
      </c>
    </row>
    <row r="371" spans="2:105" ht="15" customHeight="1">
      <c r="B371" s="34">
        <v>367</v>
      </c>
      <c r="C371" s="36" t="s">
        <v>2224</v>
      </c>
      <c r="D371" s="76"/>
      <c r="E371" s="37" t="str">
        <f>IF(Table5[[#This Row],[Query Date]]&lt;&gt;"", TEXT(Table5[[#This Row],[Query Date]], "dddd"), "")</f>
        <v/>
      </c>
      <c r="F371" s="37" t="str">
        <f>IF(Table5[[#This Row],[Query Date]]&lt;&gt;"", TEXT(Table5[[#This Row],[Query Date]], "mmmm"), "")</f>
        <v/>
      </c>
      <c r="G371" s="28"/>
      <c r="H371" s="28"/>
      <c r="I371" s="28"/>
      <c r="J371" s="28"/>
      <c r="K371" s="28"/>
      <c r="L371" s="25"/>
      <c r="M371" s="112"/>
      <c r="N371" s="25"/>
      <c r="O371" s="130"/>
      <c r="P371" s="46"/>
      <c r="Q371" s="77"/>
      <c r="R371" s="77" t="str">
        <f>IF(Table5[[#This Row],[Tour Starting Date]]&lt;&gt;"", TEXT(Table5[[#This Row],[Tour Starting Date]], "dddd"), "")</f>
        <v/>
      </c>
      <c r="S371" s="77"/>
      <c r="T371" s="25" t="str">
        <f>IF(Table5[[#This Row],[Tour Ending Date]]&lt;&gt;"", TEXT(Table5[[#This Row],[Tour Ending Date]], "dddd"), "")</f>
        <v/>
      </c>
      <c r="U37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371" s="37" t="str">
        <f>IF(Table5[[#This Row],[Tour Starting Date]]&lt;&gt;"", TEXT(Table5[[#This Row],[Tour Starting Date]], "mmmm"), "")</f>
        <v/>
      </c>
      <c r="W371" s="80" t="str" cm="1">
        <f t="array" ref="W371">IF(Q371&lt;&gt;"", INDEX(CI:CI, MATCH(1, (Q371&gt;=CG:CG)*(Q371&lt;=CH:CH), 0)), "")</f>
        <v/>
      </c>
      <c r="X371" s="39"/>
      <c r="Y371" s="74"/>
      <c r="Z371" s="74" t="str">
        <f>IF(OR(Table5[[#This Row],[Per Person Package Cost]]="", Table5[[#This Row],[No. of Pax]]=""), "", Table5[[#This Row],[Per Person Package Cost]] * Table5[[#This Row],[No. of Pax]])</f>
        <v/>
      </c>
      <c r="AA371" s="52"/>
      <c r="AB371" s="52"/>
      <c r="AC371" s="52"/>
      <c r="AD371" s="52"/>
      <c r="AE371" s="51" t="str">
        <f t="shared" si="45"/>
        <v/>
      </c>
      <c r="AF371" s="51" t="str">
        <f t="shared" si="46"/>
        <v/>
      </c>
      <c r="AG371" s="74" t="str">
        <f t="shared" si="47"/>
        <v/>
      </c>
      <c r="AH371" s="73" t="str">
        <f t="shared" si="48"/>
        <v/>
      </c>
      <c r="AI371" s="52"/>
      <c r="AJ371" s="56"/>
      <c r="AK371" s="59"/>
      <c r="AL371" s="60"/>
      <c r="AM371" s="54"/>
      <c r="AN371" s="14"/>
      <c r="AO371" s="15"/>
      <c r="AP371" s="91"/>
      <c r="AQ371" s="87"/>
      <c r="AR371" s="26"/>
      <c r="AS371" s="65"/>
      <c r="AT371" s="88"/>
      <c r="AU371" s="67"/>
      <c r="CN371" t="s">
        <v>956</v>
      </c>
      <c r="DA371" t="str" cm="1">
        <f t="array" ref="DA371">IF(U371&lt;&gt;"", TRANSPOSE(_xlfn._xlws.FILTER(CZ:CZ, CY:CY=U371, "")), "")</f>
        <v/>
      </c>
    </row>
    <row r="372" spans="2:105" ht="15" customHeight="1">
      <c r="B372" s="35">
        <v>368</v>
      </c>
      <c r="C372" s="36" t="s">
        <v>2225</v>
      </c>
      <c r="D372" s="76"/>
      <c r="E372" s="37" t="str">
        <f>IF(Table5[[#This Row],[Query Date]]&lt;&gt;"", TEXT(Table5[[#This Row],[Query Date]], "dddd"), "")</f>
        <v/>
      </c>
      <c r="F372" s="37" t="str">
        <f>IF(Table5[[#This Row],[Query Date]]&lt;&gt;"", TEXT(Table5[[#This Row],[Query Date]], "mmmm"), "")</f>
        <v/>
      </c>
      <c r="G372" s="28"/>
      <c r="H372" s="28"/>
      <c r="I372" s="28"/>
      <c r="J372" s="28"/>
      <c r="K372" s="28"/>
      <c r="L372" s="25"/>
      <c r="M372" s="112"/>
      <c r="N372" s="25"/>
      <c r="O372" s="130"/>
      <c r="P372" s="46"/>
      <c r="Q372" s="77"/>
      <c r="R372" s="77" t="str">
        <f>IF(Table5[[#This Row],[Tour Starting Date]]&lt;&gt;"", TEXT(Table5[[#This Row],[Tour Starting Date]], "dddd"), "")</f>
        <v/>
      </c>
      <c r="S372" s="77"/>
      <c r="T372" s="25" t="str">
        <f>IF(Table5[[#This Row],[Tour Ending Date]]&lt;&gt;"", TEXT(Table5[[#This Row],[Tour Ending Date]], "dddd"), "")</f>
        <v/>
      </c>
      <c r="U37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372" s="37" t="str">
        <f>IF(Table5[[#This Row],[Tour Starting Date]]&lt;&gt;"", TEXT(Table5[[#This Row],[Tour Starting Date]], "mmmm"), "")</f>
        <v/>
      </c>
      <c r="W372" s="80" t="str" cm="1">
        <f t="array" ref="W372">IF(Q372&lt;&gt;"", INDEX(CI:CI, MATCH(1, (Q372&gt;=CG:CG)*(Q372&lt;=CH:CH), 0)), "")</f>
        <v/>
      </c>
      <c r="X372" s="39"/>
      <c r="Y372" s="74"/>
      <c r="Z372" s="74" t="str">
        <f>IF(OR(Table5[[#This Row],[Per Person Package Cost]]="", Table5[[#This Row],[No. of Pax]]=""), "", Table5[[#This Row],[Per Person Package Cost]] * Table5[[#This Row],[No. of Pax]])</f>
        <v/>
      </c>
      <c r="AA372" s="52"/>
      <c r="AB372" s="52"/>
      <c r="AC372" s="52"/>
      <c r="AD372" s="52"/>
      <c r="AE372" s="51" t="str">
        <f t="shared" si="45"/>
        <v/>
      </c>
      <c r="AF372" s="51" t="str">
        <f t="shared" si="46"/>
        <v/>
      </c>
      <c r="AG372" s="74" t="str">
        <f t="shared" si="47"/>
        <v/>
      </c>
      <c r="AH372" s="73" t="str">
        <f t="shared" si="48"/>
        <v/>
      </c>
      <c r="AI372" s="52"/>
      <c r="AJ372" s="56"/>
      <c r="AK372" s="59"/>
      <c r="AL372" s="60"/>
      <c r="AM372" s="54"/>
      <c r="AN372" s="14"/>
      <c r="AO372" s="15"/>
      <c r="AP372" s="91"/>
      <c r="AQ372" s="87"/>
      <c r="AR372" s="26"/>
      <c r="AS372" s="65"/>
      <c r="AT372" s="88"/>
      <c r="AU372" s="67"/>
      <c r="CN372" t="s">
        <v>992</v>
      </c>
      <c r="DA372" t="str" cm="1">
        <f t="array" ref="DA372">IF(U372&lt;&gt;"", TRANSPOSE(_xlfn._xlws.FILTER(CZ:CZ, CY:CY=U372, "")), "")</f>
        <v/>
      </c>
    </row>
    <row r="373" spans="2:105" ht="15" customHeight="1">
      <c r="B373" s="34">
        <v>369</v>
      </c>
      <c r="C373" s="36" t="s">
        <v>2226</v>
      </c>
      <c r="D373" s="76"/>
      <c r="E373" s="37" t="str">
        <f>IF(Table5[[#This Row],[Query Date]]&lt;&gt;"", TEXT(Table5[[#This Row],[Query Date]], "dddd"), "")</f>
        <v/>
      </c>
      <c r="F373" s="37" t="str">
        <f>IF(Table5[[#This Row],[Query Date]]&lt;&gt;"", TEXT(Table5[[#This Row],[Query Date]], "mmmm"), "")</f>
        <v/>
      </c>
      <c r="G373" s="28"/>
      <c r="H373" s="28"/>
      <c r="I373" s="28"/>
      <c r="J373" s="28"/>
      <c r="K373" s="28"/>
      <c r="L373" s="25"/>
      <c r="M373" s="112"/>
      <c r="N373" s="25"/>
      <c r="O373" s="130"/>
      <c r="P373" s="46"/>
      <c r="Q373" s="77"/>
      <c r="R373" s="77" t="str">
        <f>IF(Table5[[#This Row],[Tour Starting Date]]&lt;&gt;"", TEXT(Table5[[#This Row],[Tour Starting Date]], "dddd"), "")</f>
        <v/>
      </c>
      <c r="S373" s="77"/>
      <c r="T373" s="25" t="str">
        <f>IF(Table5[[#This Row],[Tour Ending Date]]&lt;&gt;"", TEXT(Table5[[#This Row],[Tour Ending Date]], "dddd"), "")</f>
        <v/>
      </c>
      <c r="U37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373" s="37" t="str">
        <f>IF(Table5[[#This Row],[Tour Starting Date]]&lt;&gt;"", TEXT(Table5[[#This Row],[Tour Starting Date]], "mmmm"), "")</f>
        <v/>
      </c>
      <c r="W373" s="80" t="str" cm="1">
        <f t="array" ref="W373">IF(Q373&lt;&gt;"", INDEX(CI:CI, MATCH(1, (Q373&gt;=CG:CG)*(Q373&lt;=CH:CH), 0)), "")</f>
        <v/>
      </c>
      <c r="X373" s="39"/>
      <c r="Y373" s="74"/>
      <c r="Z373" s="74" t="str">
        <f>IF(OR(Table5[[#This Row],[Per Person Package Cost]]="", Table5[[#This Row],[No. of Pax]]=""), "", Table5[[#This Row],[Per Person Package Cost]] * Table5[[#This Row],[No. of Pax]])</f>
        <v/>
      </c>
      <c r="AA373" s="52"/>
      <c r="AB373" s="52"/>
      <c r="AC373" s="52"/>
      <c r="AD373" s="52"/>
      <c r="AE373" s="51" t="str">
        <f t="shared" si="45"/>
        <v/>
      </c>
      <c r="AF373" s="51" t="str">
        <f t="shared" si="46"/>
        <v/>
      </c>
      <c r="AG373" s="74" t="str">
        <f t="shared" si="47"/>
        <v/>
      </c>
      <c r="AH373" s="73" t="str">
        <f t="shared" si="48"/>
        <v/>
      </c>
      <c r="AI373" s="52"/>
      <c r="AJ373" s="56"/>
      <c r="AK373" s="59"/>
      <c r="AL373" s="60"/>
      <c r="AM373" s="54"/>
      <c r="AN373" s="14"/>
      <c r="AO373" s="15"/>
      <c r="AP373" s="91"/>
      <c r="AQ373" s="87"/>
      <c r="AR373" s="26"/>
      <c r="AS373" s="65"/>
      <c r="AT373" s="88"/>
      <c r="AU373" s="67"/>
      <c r="CN373" t="s">
        <v>1016</v>
      </c>
      <c r="DA373" t="str" cm="1">
        <f t="array" ref="DA373">IF(U373&lt;&gt;"", TRANSPOSE(_xlfn._xlws.FILTER(CZ:CZ, CY:CY=U373, "")), "")</f>
        <v/>
      </c>
    </row>
    <row r="374" spans="2:105" ht="15" customHeight="1">
      <c r="B374" s="35">
        <v>370</v>
      </c>
      <c r="C374" s="36" t="s">
        <v>2227</v>
      </c>
      <c r="D374" s="76"/>
      <c r="E374" s="37" t="str">
        <f>IF(Table5[[#This Row],[Query Date]]&lt;&gt;"", TEXT(Table5[[#This Row],[Query Date]], "dddd"), "")</f>
        <v/>
      </c>
      <c r="F374" s="37" t="str">
        <f>IF(Table5[[#This Row],[Query Date]]&lt;&gt;"", TEXT(Table5[[#This Row],[Query Date]], "mmmm"), "")</f>
        <v/>
      </c>
      <c r="G374" s="28"/>
      <c r="H374" s="28"/>
      <c r="I374" s="28"/>
      <c r="J374" s="28"/>
      <c r="K374" s="28"/>
      <c r="L374" s="25"/>
      <c r="M374" s="112"/>
      <c r="N374" s="25"/>
      <c r="O374" s="130"/>
      <c r="P374" s="46"/>
      <c r="Q374" s="77"/>
      <c r="R374" s="77" t="str">
        <f>IF(Table5[[#This Row],[Tour Starting Date]]&lt;&gt;"", TEXT(Table5[[#This Row],[Tour Starting Date]], "dddd"), "")</f>
        <v/>
      </c>
      <c r="S374" s="77"/>
      <c r="T374" s="25" t="str">
        <f>IF(Table5[[#This Row],[Tour Ending Date]]&lt;&gt;"", TEXT(Table5[[#This Row],[Tour Ending Date]], "dddd"), "")</f>
        <v/>
      </c>
      <c r="U37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374" s="37" t="str">
        <f>IF(Table5[[#This Row],[Tour Starting Date]]&lt;&gt;"", TEXT(Table5[[#This Row],[Tour Starting Date]], "mmmm"), "")</f>
        <v/>
      </c>
      <c r="W374" s="80" t="str" cm="1">
        <f t="array" ref="W374">IF(Q374&lt;&gt;"", INDEX(CI:CI, MATCH(1, (Q374&gt;=CG:CG)*(Q374&lt;=CH:CH), 0)), "")</f>
        <v/>
      </c>
      <c r="X374" s="39"/>
      <c r="Y374" s="74"/>
      <c r="Z374" s="74" t="str">
        <f>IF(OR(Table5[[#This Row],[Per Person Package Cost]]="", Table5[[#This Row],[No. of Pax]]=""), "", Table5[[#This Row],[Per Person Package Cost]] * Table5[[#This Row],[No. of Pax]])</f>
        <v/>
      </c>
      <c r="AA374" s="52"/>
      <c r="AB374" s="52"/>
      <c r="AC374" s="52"/>
      <c r="AD374" s="52"/>
      <c r="AE374" s="51" t="str">
        <f t="shared" si="45"/>
        <v/>
      </c>
      <c r="AF374" s="51" t="str">
        <f t="shared" si="46"/>
        <v/>
      </c>
      <c r="AG374" s="74" t="str">
        <f t="shared" si="47"/>
        <v/>
      </c>
      <c r="AH374" s="73" t="str">
        <f t="shared" si="48"/>
        <v/>
      </c>
      <c r="AI374" s="52"/>
      <c r="AJ374" s="56"/>
      <c r="AK374" s="59"/>
      <c r="AL374" s="60"/>
      <c r="AM374" s="54"/>
      <c r="AN374" s="14"/>
      <c r="AO374" s="15"/>
      <c r="AP374" s="91"/>
      <c r="AQ374" s="87"/>
      <c r="AR374" s="26"/>
      <c r="AS374" s="65"/>
      <c r="AT374" s="88"/>
      <c r="AU374" s="67"/>
      <c r="CN374" t="s">
        <v>1026</v>
      </c>
      <c r="DA374" t="str" cm="1">
        <f t="array" ref="DA374">IF(U374&lt;&gt;"", TRANSPOSE(_xlfn._xlws.FILTER(CZ:CZ, CY:CY=U374, "")), "")</f>
        <v/>
      </c>
    </row>
    <row r="375" spans="2:105" ht="15" customHeight="1">
      <c r="B375" s="34">
        <v>371</v>
      </c>
      <c r="C375" s="36" t="s">
        <v>2228</v>
      </c>
      <c r="D375" s="76"/>
      <c r="E375" s="37" t="str">
        <f>IF(Table5[[#This Row],[Query Date]]&lt;&gt;"", TEXT(Table5[[#This Row],[Query Date]], "dddd"), "")</f>
        <v/>
      </c>
      <c r="F375" s="37" t="str">
        <f>IF(Table5[[#This Row],[Query Date]]&lt;&gt;"", TEXT(Table5[[#This Row],[Query Date]], "mmmm"), "")</f>
        <v/>
      </c>
      <c r="G375" s="28"/>
      <c r="H375" s="28"/>
      <c r="I375" s="28"/>
      <c r="J375" s="28"/>
      <c r="K375" s="28"/>
      <c r="L375" s="25"/>
      <c r="M375" s="112"/>
      <c r="N375" s="25"/>
      <c r="O375" s="130"/>
      <c r="P375" s="46"/>
      <c r="Q375" s="77"/>
      <c r="R375" s="77" t="str">
        <f>IF(Table5[[#This Row],[Tour Starting Date]]&lt;&gt;"", TEXT(Table5[[#This Row],[Tour Starting Date]], "dddd"), "")</f>
        <v/>
      </c>
      <c r="S375" s="77"/>
      <c r="T375" s="25" t="str">
        <f>IF(Table5[[#This Row],[Tour Ending Date]]&lt;&gt;"", TEXT(Table5[[#This Row],[Tour Ending Date]], "dddd"), "")</f>
        <v/>
      </c>
      <c r="U37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375" s="37" t="str">
        <f>IF(Table5[[#This Row],[Tour Starting Date]]&lt;&gt;"", TEXT(Table5[[#This Row],[Tour Starting Date]], "mmmm"), "")</f>
        <v/>
      </c>
      <c r="W375" s="80" t="str" cm="1">
        <f t="array" ref="W375">IF(Q375&lt;&gt;"", INDEX(CI:CI, MATCH(1, (Q375&gt;=CG:CG)*(Q375&lt;=CH:CH), 0)), "")</f>
        <v/>
      </c>
      <c r="X375" s="39"/>
      <c r="Y375" s="74"/>
      <c r="Z375" s="74" t="str">
        <f>IF(OR(Table5[[#This Row],[Per Person Package Cost]]="", Table5[[#This Row],[No. of Pax]]=""), "", Table5[[#This Row],[Per Person Package Cost]] * Table5[[#This Row],[No. of Pax]])</f>
        <v/>
      </c>
      <c r="AA375" s="52"/>
      <c r="AB375" s="52"/>
      <c r="AC375" s="52"/>
      <c r="AD375" s="52"/>
      <c r="AE375" s="51" t="str">
        <f t="shared" si="45"/>
        <v/>
      </c>
      <c r="AF375" s="51" t="str">
        <f t="shared" si="46"/>
        <v/>
      </c>
      <c r="AG375" s="74" t="str">
        <f t="shared" si="47"/>
        <v/>
      </c>
      <c r="AH375" s="73" t="str">
        <f t="shared" si="48"/>
        <v/>
      </c>
      <c r="AI375" s="52"/>
      <c r="AJ375" s="56"/>
      <c r="AK375" s="59"/>
      <c r="AL375" s="60"/>
      <c r="AM375" s="54"/>
      <c r="AN375" s="14"/>
      <c r="AO375" s="15"/>
      <c r="AP375" s="91"/>
      <c r="AQ375" s="87"/>
      <c r="AR375" s="26"/>
      <c r="AS375" s="65"/>
      <c r="AT375" s="88"/>
      <c r="AU375" s="67"/>
      <c r="CN375" s="145" t="s">
        <v>1039</v>
      </c>
      <c r="DA375" t="str" cm="1">
        <f t="array" ref="DA375">IF(U375&lt;&gt;"", TRANSPOSE(_xlfn._xlws.FILTER(CZ:CZ, CY:CY=U375, "")), "")</f>
        <v/>
      </c>
    </row>
    <row r="376" spans="2:105" ht="15" customHeight="1">
      <c r="B376" s="35">
        <v>372</v>
      </c>
      <c r="C376" s="36" t="s">
        <v>2229</v>
      </c>
      <c r="D376" s="76"/>
      <c r="E376" s="37" t="str">
        <f>IF(Table5[[#This Row],[Query Date]]&lt;&gt;"", TEXT(Table5[[#This Row],[Query Date]], "dddd"), "")</f>
        <v/>
      </c>
      <c r="F376" s="37" t="str">
        <f>IF(Table5[[#This Row],[Query Date]]&lt;&gt;"", TEXT(Table5[[#This Row],[Query Date]], "mmmm"), "")</f>
        <v/>
      </c>
      <c r="G376" s="28"/>
      <c r="H376" s="28"/>
      <c r="I376" s="28"/>
      <c r="J376" s="28"/>
      <c r="K376" s="28"/>
      <c r="L376" s="25"/>
      <c r="M376" s="112"/>
      <c r="N376" s="25"/>
      <c r="O376" s="130"/>
      <c r="P376" s="47"/>
      <c r="Q376" s="77"/>
      <c r="R376" s="77" t="str">
        <f>IF(Table5[[#This Row],[Tour Starting Date]]&lt;&gt;"", TEXT(Table5[[#This Row],[Tour Starting Date]], "dddd"), "")</f>
        <v/>
      </c>
      <c r="S376" s="77"/>
      <c r="T376" s="25" t="str">
        <f>IF(Table5[[#This Row],[Tour Ending Date]]&lt;&gt;"", TEXT(Table5[[#This Row],[Tour Ending Date]], "dddd"), "")</f>
        <v/>
      </c>
      <c r="U37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376" s="37" t="str">
        <f>IF(Table5[[#This Row],[Tour Starting Date]]&lt;&gt;"", TEXT(Table5[[#This Row],[Tour Starting Date]], "mmmm"), "")</f>
        <v/>
      </c>
      <c r="W376" s="80" t="str" cm="1">
        <f t="array" ref="W376">IF(Q376&lt;&gt;"", INDEX(CI:CI, MATCH(1, (Q376&gt;=CG:CG)*(Q376&lt;=CH:CH), 0)), "")</f>
        <v/>
      </c>
      <c r="X376" s="39"/>
      <c r="Y376" s="74"/>
      <c r="Z376" s="74" t="str">
        <f>IF(OR(Table5[[#This Row],[Per Person Package Cost]]="", Table5[[#This Row],[No. of Pax]]=""), "", Table5[[#This Row],[Per Person Package Cost]] * Table5[[#This Row],[No. of Pax]])</f>
        <v/>
      </c>
      <c r="AA376" s="52"/>
      <c r="AB376" s="52"/>
      <c r="AC376" s="52"/>
      <c r="AD376" s="52"/>
      <c r="AE376" s="51" t="str">
        <f t="shared" si="45"/>
        <v/>
      </c>
      <c r="AF376" s="51" t="str">
        <f t="shared" si="46"/>
        <v/>
      </c>
      <c r="AG376" s="74" t="str">
        <f t="shared" si="47"/>
        <v/>
      </c>
      <c r="AH376" s="73" t="str">
        <f t="shared" si="48"/>
        <v/>
      </c>
      <c r="AI376" s="52"/>
      <c r="AJ376" s="56"/>
      <c r="AK376" s="59"/>
      <c r="AL376" s="60"/>
      <c r="AM376" s="54"/>
      <c r="AN376" s="14"/>
      <c r="AO376" s="15"/>
      <c r="AP376" s="91"/>
      <c r="AQ376" s="87"/>
      <c r="AR376" s="26"/>
      <c r="AS376" s="65"/>
      <c r="AT376" s="88"/>
      <c r="AU376" s="67"/>
      <c r="CN376" t="s">
        <v>1060</v>
      </c>
      <c r="DA376" t="str" cm="1">
        <f t="array" ref="DA376">IF(U376&lt;&gt;"", TRANSPOSE(_xlfn._xlws.FILTER(CZ:CZ, CY:CY=U376, "")), "")</f>
        <v/>
      </c>
    </row>
    <row r="377" spans="2:105" ht="15" customHeight="1">
      <c r="B377" s="34">
        <v>373</v>
      </c>
      <c r="C377" s="36" t="s">
        <v>2230</v>
      </c>
      <c r="D377" s="76"/>
      <c r="E377" s="37" t="str">
        <f>IF(Table5[[#This Row],[Query Date]]&lt;&gt;"", TEXT(Table5[[#This Row],[Query Date]], "dddd"), "")</f>
        <v/>
      </c>
      <c r="F377" s="37" t="str">
        <f>IF(Table5[[#This Row],[Query Date]]&lt;&gt;"", TEXT(Table5[[#This Row],[Query Date]], "mmmm"), "")</f>
        <v/>
      </c>
      <c r="G377" s="28"/>
      <c r="H377" s="28"/>
      <c r="I377" s="28"/>
      <c r="J377" s="28"/>
      <c r="K377" s="28"/>
      <c r="L377" s="25"/>
      <c r="M377" s="112"/>
      <c r="N377" s="25"/>
      <c r="O377" s="130"/>
      <c r="P377" s="46"/>
      <c r="Q377" s="77"/>
      <c r="R377" s="77" t="str">
        <f>IF(Table5[[#This Row],[Tour Starting Date]]&lt;&gt;"", TEXT(Table5[[#This Row],[Tour Starting Date]], "dddd"), "")</f>
        <v/>
      </c>
      <c r="S377" s="77"/>
      <c r="T377" s="25" t="str">
        <f>IF(Table5[[#This Row],[Tour Ending Date]]&lt;&gt;"", TEXT(Table5[[#This Row],[Tour Ending Date]], "dddd"), "")</f>
        <v/>
      </c>
      <c r="U37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377" s="37" t="str">
        <f>IF(Table5[[#This Row],[Tour Starting Date]]&lt;&gt;"", TEXT(Table5[[#This Row],[Tour Starting Date]], "mmmm"), "")</f>
        <v/>
      </c>
      <c r="W377" s="80" t="str" cm="1">
        <f t="array" ref="W377">IF(Q377&lt;&gt;"", INDEX(CI:CI, MATCH(1, (Q377&gt;=CG:CG)*(Q377&lt;=CH:CH), 0)), "")</f>
        <v/>
      </c>
      <c r="X377" s="39"/>
      <c r="Y377" s="74"/>
      <c r="Z377" s="74" t="str">
        <f>IF(OR(Table5[[#This Row],[Per Person Package Cost]]="", Table5[[#This Row],[No. of Pax]]=""), "", Table5[[#This Row],[Per Person Package Cost]] * Table5[[#This Row],[No. of Pax]])</f>
        <v/>
      </c>
      <c r="AA377" s="52"/>
      <c r="AB377" s="52"/>
      <c r="AC377" s="52"/>
      <c r="AD377" s="52"/>
      <c r="AE377" s="51" t="str">
        <f t="shared" si="45"/>
        <v/>
      </c>
      <c r="AF377" s="51" t="str">
        <f t="shared" si="46"/>
        <v/>
      </c>
      <c r="AG377" s="74" t="str">
        <f t="shared" si="47"/>
        <v/>
      </c>
      <c r="AH377" s="73" t="str">
        <f t="shared" si="48"/>
        <v/>
      </c>
      <c r="AI377" s="52"/>
      <c r="AJ377" s="56"/>
      <c r="AK377" s="59"/>
      <c r="AL377" s="60"/>
      <c r="AM377" s="54"/>
      <c r="AN377" s="14"/>
      <c r="AO377" s="15"/>
      <c r="AP377" s="91"/>
      <c r="AQ377" s="87"/>
      <c r="AR377" s="26"/>
      <c r="AS377" s="65"/>
      <c r="AT377" s="88"/>
      <c r="AU377" s="67"/>
      <c r="CN377" t="s">
        <v>690</v>
      </c>
      <c r="DA377" t="str" cm="1">
        <f t="array" ref="DA377">IF(U377&lt;&gt;"", TRANSPOSE(_xlfn._xlws.FILTER(CZ:CZ, CY:CY=U377, "")), "")</f>
        <v/>
      </c>
    </row>
    <row r="378" spans="2:105" ht="15" customHeight="1">
      <c r="B378" s="35">
        <v>374</v>
      </c>
      <c r="C378" s="36" t="s">
        <v>2231</v>
      </c>
      <c r="D378" s="76"/>
      <c r="E378" s="37" t="str">
        <f>IF(Table5[[#This Row],[Query Date]]&lt;&gt;"", TEXT(Table5[[#This Row],[Query Date]], "dddd"), "")</f>
        <v/>
      </c>
      <c r="F378" s="37" t="str">
        <f>IF(Table5[[#This Row],[Query Date]]&lt;&gt;"", TEXT(Table5[[#This Row],[Query Date]], "mmmm"), "")</f>
        <v/>
      </c>
      <c r="G378" s="28"/>
      <c r="H378" s="28"/>
      <c r="I378" s="28"/>
      <c r="J378" s="28"/>
      <c r="K378" s="28"/>
      <c r="L378" s="25"/>
      <c r="M378" s="112"/>
      <c r="N378" s="25"/>
      <c r="O378" s="130"/>
      <c r="P378" s="46"/>
      <c r="Q378" s="77"/>
      <c r="R378" s="77" t="str">
        <f>IF(Table5[[#This Row],[Tour Starting Date]]&lt;&gt;"", TEXT(Table5[[#This Row],[Tour Starting Date]], "dddd"), "")</f>
        <v/>
      </c>
      <c r="S378" s="77"/>
      <c r="T378" s="25" t="str">
        <f>IF(Table5[[#This Row],[Tour Ending Date]]&lt;&gt;"", TEXT(Table5[[#This Row],[Tour Ending Date]], "dddd"), "")</f>
        <v/>
      </c>
      <c r="U37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378" s="37" t="str">
        <f>IF(Table5[[#This Row],[Tour Starting Date]]&lt;&gt;"", TEXT(Table5[[#This Row],[Tour Starting Date]], "mmmm"), "")</f>
        <v/>
      </c>
      <c r="W378" s="80" t="str" cm="1">
        <f t="array" ref="W378">IF(Q378&lt;&gt;"", INDEX(CI:CI, MATCH(1, (Q378&gt;=CG:CG)*(Q378&lt;=CH:CH), 0)), "")</f>
        <v/>
      </c>
      <c r="X378" s="39"/>
      <c r="Y378" s="74"/>
      <c r="Z378" s="74" t="str">
        <f>IF(OR(Table5[[#This Row],[Per Person Package Cost]]="", Table5[[#This Row],[No. of Pax]]=""), "", Table5[[#This Row],[Per Person Package Cost]] * Table5[[#This Row],[No. of Pax]])</f>
        <v/>
      </c>
      <c r="AA378" s="52"/>
      <c r="AB378" s="52"/>
      <c r="AC378" s="52"/>
      <c r="AD378" s="52"/>
      <c r="AE378" s="51" t="str">
        <f t="shared" si="45"/>
        <v/>
      </c>
      <c r="AF378" s="51" t="str">
        <f t="shared" si="46"/>
        <v/>
      </c>
      <c r="AG378" s="74" t="str">
        <f t="shared" si="47"/>
        <v/>
      </c>
      <c r="AH378" s="73" t="str">
        <f t="shared" si="48"/>
        <v/>
      </c>
      <c r="AI378" s="52"/>
      <c r="AJ378" s="56"/>
      <c r="AK378" s="59"/>
      <c r="AL378" s="60"/>
      <c r="AM378" s="54"/>
      <c r="AN378" s="14"/>
      <c r="AO378" s="15"/>
      <c r="AP378" s="91"/>
      <c r="AQ378" s="87"/>
      <c r="AR378" s="26"/>
      <c r="AS378" s="65"/>
      <c r="AT378" s="88"/>
      <c r="AU378" s="67"/>
      <c r="CN378" t="s">
        <v>1089</v>
      </c>
      <c r="DA378" t="str" cm="1">
        <f t="array" ref="DA378">IF(U378&lt;&gt;"", TRANSPOSE(_xlfn._xlws.FILTER(CZ:CZ, CY:CY=U378, "")), "")</f>
        <v/>
      </c>
    </row>
    <row r="379" spans="2:105" ht="15" customHeight="1">
      <c r="B379" s="34">
        <v>375</v>
      </c>
      <c r="C379" s="36" t="s">
        <v>2232</v>
      </c>
      <c r="D379" s="76"/>
      <c r="E379" s="37" t="str">
        <f>IF(Table5[[#This Row],[Query Date]]&lt;&gt;"", TEXT(Table5[[#This Row],[Query Date]], "dddd"), "")</f>
        <v/>
      </c>
      <c r="F379" s="37" t="str">
        <f>IF(Table5[[#This Row],[Query Date]]&lt;&gt;"", TEXT(Table5[[#This Row],[Query Date]], "mmmm"), "")</f>
        <v/>
      </c>
      <c r="G379" s="28"/>
      <c r="H379" s="28"/>
      <c r="I379" s="28"/>
      <c r="J379" s="28"/>
      <c r="K379" s="28"/>
      <c r="L379" s="25"/>
      <c r="M379" s="112"/>
      <c r="N379" s="25"/>
      <c r="O379" s="130"/>
      <c r="P379" s="46"/>
      <c r="Q379" s="77"/>
      <c r="R379" s="77" t="str">
        <f>IF(Table5[[#This Row],[Tour Starting Date]]&lt;&gt;"", TEXT(Table5[[#This Row],[Tour Starting Date]], "dddd"), "")</f>
        <v/>
      </c>
      <c r="S379" s="77"/>
      <c r="T379" s="25" t="str">
        <f>IF(Table5[[#This Row],[Tour Ending Date]]&lt;&gt;"", TEXT(Table5[[#This Row],[Tour Ending Date]], "dddd"), "")</f>
        <v/>
      </c>
      <c r="U37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379" s="37" t="str">
        <f>IF(Table5[[#This Row],[Tour Starting Date]]&lt;&gt;"", TEXT(Table5[[#This Row],[Tour Starting Date]], "mmmm"), "")</f>
        <v/>
      </c>
      <c r="W379" s="80" t="str" cm="1">
        <f t="array" ref="W379">IF(Q379&lt;&gt;"", INDEX(CI:CI, MATCH(1, (Q379&gt;=CG:CG)*(Q379&lt;=CH:CH), 0)), "")</f>
        <v/>
      </c>
      <c r="X379" s="39"/>
      <c r="Y379" s="74"/>
      <c r="Z379" s="74" t="str">
        <f>IF(OR(Table5[[#This Row],[Per Person Package Cost]]="", Table5[[#This Row],[No. of Pax]]=""), "", Table5[[#This Row],[Per Person Package Cost]] * Table5[[#This Row],[No. of Pax]])</f>
        <v/>
      </c>
      <c r="AA379" s="52"/>
      <c r="AB379" s="52"/>
      <c r="AC379" s="52"/>
      <c r="AD379" s="52"/>
      <c r="AE379" s="51" t="str">
        <f t="shared" si="45"/>
        <v/>
      </c>
      <c r="AF379" s="51" t="str">
        <f t="shared" si="46"/>
        <v/>
      </c>
      <c r="AG379" s="74" t="str">
        <f t="shared" si="47"/>
        <v/>
      </c>
      <c r="AH379" s="73" t="str">
        <f t="shared" si="48"/>
        <v/>
      </c>
      <c r="AI379" s="52"/>
      <c r="AJ379" s="56"/>
      <c r="AK379" s="59"/>
      <c r="AL379" s="60"/>
      <c r="AM379" s="54"/>
      <c r="AN379" s="14"/>
      <c r="AO379" s="15"/>
      <c r="AP379" s="91"/>
      <c r="AQ379" s="87"/>
      <c r="AR379" s="26"/>
      <c r="AS379" s="65"/>
      <c r="AT379" s="88"/>
      <c r="AU379" s="67"/>
      <c r="CN379" t="s">
        <v>1097</v>
      </c>
      <c r="DA379" t="str" cm="1">
        <f t="array" ref="DA379">IF(U379&lt;&gt;"", TRANSPOSE(_xlfn._xlws.FILTER(CZ:CZ, CY:CY=U379, "")), "")</f>
        <v/>
      </c>
    </row>
    <row r="380" spans="2:105" ht="15" customHeight="1">
      <c r="B380" s="35">
        <v>376</v>
      </c>
      <c r="C380" s="36" t="s">
        <v>2233</v>
      </c>
      <c r="D380" s="76"/>
      <c r="E380" s="37" t="str">
        <f>IF(Table5[[#This Row],[Query Date]]&lt;&gt;"", TEXT(Table5[[#This Row],[Query Date]], "dddd"), "")</f>
        <v/>
      </c>
      <c r="F380" s="37" t="str">
        <f>IF(Table5[[#This Row],[Query Date]]&lt;&gt;"", TEXT(Table5[[#This Row],[Query Date]], "mmmm"), "")</f>
        <v/>
      </c>
      <c r="G380" s="28"/>
      <c r="H380" s="28"/>
      <c r="I380" s="28"/>
      <c r="J380" s="28"/>
      <c r="K380" s="28"/>
      <c r="L380" s="25"/>
      <c r="M380" s="112"/>
      <c r="N380" s="25"/>
      <c r="O380" s="130"/>
      <c r="P380" s="46"/>
      <c r="Q380" s="77"/>
      <c r="R380" s="77" t="str">
        <f>IF(Table5[[#This Row],[Tour Starting Date]]&lt;&gt;"", TEXT(Table5[[#This Row],[Tour Starting Date]], "dddd"), "")</f>
        <v/>
      </c>
      <c r="S380" s="77"/>
      <c r="T380" s="25" t="str">
        <f>IF(Table5[[#This Row],[Tour Ending Date]]&lt;&gt;"", TEXT(Table5[[#This Row],[Tour Ending Date]], "dddd"), "")</f>
        <v/>
      </c>
      <c r="U38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380" s="37" t="str">
        <f>IF(Table5[[#This Row],[Tour Starting Date]]&lt;&gt;"", TEXT(Table5[[#This Row],[Tour Starting Date]], "mmmm"), "")</f>
        <v/>
      </c>
      <c r="W380" s="80" t="str" cm="1">
        <f t="array" ref="W380">IF(Q380&lt;&gt;"", INDEX(CI:CI, MATCH(1, (Q380&gt;=CG:CG)*(Q380&lt;=CH:CH), 0)), "")</f>
        <v/>
      </c>
      <c r="X380" s="39"/>
      <c r="Y380" s="74"/>
      <c r="Z380" s="74" t="str">
        <f>IF(OR(Table5[[#This Row],[Per Person Package Cost]]="", Table5[[#This Row],[No. of Pax]]=""), "", Table5[[#This Row],[Per Person Package Cost]] * Table5[[#This Row],[No. of Pax]])</f>
        <v/>
      </c>
      <c r="AA380" s="52"/>
      <c r="AB380" s="52"/>
      <c r="AC380" s="52"/>
      <c r="AD380" s="52"/>
      <c r="AE380" s="51" t="str">
        <f t="shared" si="45"/>
        <v/>
      </c>
      <c r="AF380" s="51" t="str">
        <f t="shared" si="46"/>
        <v/>
      </c>
      <c r="AG380" s="74" t="str">
        <f t="shared" si="47"/>
        <v/>
      </c>
      <c r="AH380" s="73" t="str">
        <f t="shared" si="48"/>
        <v/>
      </c>
      <c r="AI380" s="52"/>
      <c r="AJ380" s="56"/>
      <c r="AK380" s="59"/>
      <c r="AL380" s="60"/>
      <c r="AM380" s="54"/>
      <c r="AN380" s="14"/>
      <c r="AO380" s="15"/>
      <c r="AP380" s="91"/>
      <c r="AQ380" s="87"/>
      <c r="AR380" s="26"/>
      <c r="AS380" s="65"/>
      <c r="AT380" s="88"/>
      <c r="AU380" s="67"/>
      <c r="CN380" s="123" t="s">
        <v>1111</v>
      </c>
      <c r="DA380" t="str" cm="1">
        <f t="array" ref="DA380">IF(U380&lt;&gt;"", TRANSPOSE(_xlfn._xlws.FILTER(CZ:CZ, CY:CY=U380, "")), "")</f>
        <v/>
      </c>
    </row>
    <row r="381" spans="2:105" ht="15" customHeight="1">
      <c r="B381" s="34">
        <v>377</v>
      </c>
      <c r="C381" s="36" t="s">
        <v>2234</v>
      </c>
      <c r="D381" s="76"/>
      <c r="E381" s="37" t="str">
        <f>IF(Table5[[#This Row],[Query Date]]&lt;&gt;"", TEXT(Table5[[#This Row],[Query Date]], "dddd"), "")</f>
        <v/>
      </c>
      <c r="F381" s="37" t="str">
        <f>IF(Table5[[#This Row],[Query Date]]&lt;&gt;"", TEXT(Table5[[#This Row],[Query Date]], "mmmm"), "")</f>
        <v/>
      </c>
      <c r="G381" s="28"/>
      <c r="H381" s="28"/>
      <c r="I381" s="28"/>
      <c r="J381" s="28"/>
      <c r="K381" s="28"/>
      <c r="L381" s="25"/>
      <c r="M381" s="112"/>
      <c r="N381" s="25"/>
      <c r="O381" s="130"/>
      <c r="P381" s="46"/>
      <c r="Q381" s="77"/>
      <c r="R381" s="77" t="str">
        <f>IF(Table5[[#This Row],[Tour Starting Date]]&lt;&gt;"", TEXT(Table5[[#This Row],[Tour Starting Date]], "dddd"), "")</f>
        <v/>
      </c>
      <c r="S381" s="77"/>
      <c r="T381" s="25" t="str">
        <f>IF(Table5[[#This Row],[Tour Ending Date]]&lt;&gt;"", TEXT(Table5[[#This Row],[Tour Ending Date]], "dddd"), "")</f>
        <v/>
      </c>
      <c r="U38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381" s="37" t="str">
        <f>IF(Table5[[#This Row],[Tour Starting Date]]&lt;&gt;"", TEXT(Table5[[#This Row],[Tour Starting Date]], "mmmm"), "")</f>
        <v/>
      </c>
      <c r="W381" s="80" t="str" cm="1">
        <f t="array" ref="W381">IF(Q381&lt;&gt;"", INDEX(CI:CI, MATCH(1, (Q381&gt;=CG:CG)*(Q381&lt;=CH:CH), 0)), "")</f>
        <v/>
      </c>
      <c r="X381" s="39"/>
      <c r="Y381" s="74"/>
      <c r="Z381" s="74" t="str">
        <f>IF(OR(Table5[[#This Row],[Per Person Package Cost]]="", Table5[[#This Row],[No. of Pax]]=""), "", Table5[[#This Row],[Per Person Package Cost]] * Table5[[#This Row],[No. of Pax]])</f>
        <v/>
      </c>
      <c r="AA381" s="52"/>
      <c r="AB381" s="52"/>
      <c r="AC381" s="52"/>
      <c r="AD381" s="52"/>
      <c r="AE381" s="51" t="str">
        <f t="shared" si="45"/>
        <v/>
      </c>
      <c r="AF381" s="51" t="str">
        <f t="shared" si="46"/>
        <v/>
      </c>
      <c r="AG381" s="74" t="str">
        <f t="shared" si="47"/>
        <v/>
      </c>
      <c r="AH381" s="73" t="str">
        <f t="shared" si="48"/>
        <v/>
      </c>
      <c r="AI381" s="52"/>
      <c r="AJ381" s="56"/>
      <c r="AK381" s="59"/>
      <c r="AL381" s="60"/>
      <c r="AM381" s="54"/>
      <c r="AN381" s="14"/>
      <c r="AO381" s="15"/>
      <c r="AP381" s="91"/>
      <c r="AQ381" s="87"/>
      <c r="AR381" s="26"/>
      <c r="AS381" s="65"/>
      <c r="AT381" s="88"/>
      <c r="AU381" s="67"/>
      <c r="CN381" t="s">
        <v>1168</v>
      </c>
      <c r="DA381" t="str" cm="1">
        <f t="array" ref="DA381">IF(U381&lt;&gt;"", TRANSPOSE(_xlfn._xlws.FILTER(CZ:CZ, CY:CY=U381, "")), "")</f>
        <v/>
      </c>
    </row>
    <row r="382" spans="2:105" ht="15" customHeight="1">
      <c r="B382" s="35">
        <v>378</v>
      </c>
      <c r="C382" s="36" t="s">
        <v>2235</v>
      </c>
      <c r="D382" s="76"/>
      <c r="E382" s="37" t="str">
        <f>IF(Table5[[#This Row],[Query Date]]&lt;&gt;"", TEXT(Table5[[#This Row],[Query Date]], "dddd"), "")</f>
        <v/>
      </c>
      <c r="F382" s="37" t="str">
        <f>IF(Table5[[#This Row],[Query Date]]&lt;&gt;"", TEXT(Table5[[#This Row],[Query Date]], "mmmm"), "")</f>
        <v/>
      </c>
      <c r="G382" s="28"/>
      <c r="H382" s="28"/>
      <c r="I382" s="28"/>
      <c r="J382" s="28"/>
      <c r="K382" s="28"/>
      <c r="L382" s="25"/>
      <c r="M382" s="112"/>
      <c r="N382" s="25"/>
      <c r="O382" s="130"/>
      <c r="P382" s="47"/>
      <c r="Q382" s="77"/>
      <c r="R382" s="77" t="str">
        <f>IF(Table5[[#This Row],[Tour Starting Date]]&lt;&gt;"", TEXT(Table5[[#This Row],[Tour Starting Date]], "dddd"), "")</f>
        <v/>
      </c>
      <c r="S382" s="77"/>
      <c r="T382" s="25" t="str">
        <f>IF(Table5[[#This Row],[Tour Ending Date]]&lt;&gt;"", TEXT(Table5[[#This Row],[Tour Ending Date]], "dddd"), "")</f>
        <v/>
      </c>
      <c r="U38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382" s="37" t="str">
        <f>IF(Table5[[#This Row],[Tour Starting Date]]&lt;&gt;"", TEXT(Table5[[#This Row],[Tour Starting Date]], "mmmm"), "")</f>
        <v/>
      </c>
      <c r="W382" s="80" t="str" cm="1">
        <f t="array" ref="W382">IF(Q382&lt;&gt;"", INDEX(CI:CI, MATCH(1, (Q382&gt;=CG:CG)*(Q382&lt;=CH:CH), 0)), "")</f>
        <v/>
      </c>
      <c r="X382" s="39"/>
      <c r="Y382" s="74"/>
      <c r="Z382" s="74" t="str">
        <f>IF(OR(Table5[[#This Row],[Per Person Package Cost]]="", Table5[[#This Row],[No. of Pax]]=""), "", Table5[[#This Row],[Per Person Package Cost]] * Table5[[#This Row],[No. of Pax]])</f>
        <v/>
      </c>
      <c r="AA382" s="52"/>
      <c r="AB382" s="52"/>
      <c r="AC382" s="52"/>
      <c r="AD382" s="52"/>
      <c r="AE382" s="51" t="str">
        <f t="shared" si="45"/>
        <v/>
      </c>
      <c r="AF382" s="51" t="str">
        <f t="shared" si="46"/>
        <v/>
      </c>
      <c r="AG382" s="74" t="str">
        <f t="shared" si="47"/>
        <v/>
      </c>
      <c r="AH382" s="73" t="str">
        <f t="shared" si="48"/>
        <v/>
      </c>
      <c r="AI382" s="52"/>
      <c r="AJ382" s="56"/>
      <c r="AK382" s="59"/>
      <c r="AL382" s="60"/>
      <c r="AM382" s="54"/>
      <c r="AN382" s="14"/>
      <c r="AO382" s="15"/>
      <c r="AP382" s="91"/>
      <c r="AQ382" s="87"/>
      <c r="AR382" s="26"/>
      <c r="AS382" s="65"/>
      <c r="AT382" s="88"/>
      <c r="AU382" s="67"/>
      <c r="CN382" t="s">
        <v>2236</v>
      </c>
      <c r="DA382" t="str" cm="1">
        <f t="array" ref="DA382">IF(U382&lt;&gt;"", TRANSPOSE(_xlfn._xlws.FILTER(CZ:CZ, CY:CY=U382, "")), "")</f>
        <v/>
      </c>
    </row>
    <row r="383" spans="2:105" ht="15" customHeight="1">
      <c r="B383" s="34">
        <v>379</v>
      </c>
      <c r="C383" s="36" t="s">
        <v>2237</v>
      </c>
      <c r="D383" s="76"/>
      <c r="E383" s="37" t="str">
        <f>IF(Table5[[#This Row],[Query Date]]&lt;&gt;"", TEXT(Table5[[#This Row],[Query Date]], "dddd"), "")</f>
        <v/>
      </c>
      <c r="F383" s="37" t="str">
        <f>IF(Table5[[#This Row],[Query Date]]&lt;&gt;"", TEXT(Table5[[#This Row],[Query Date]], "mmmm"), "")</f>
        <v/>
      </c>
      <c r="G383" s="28"/>
      <c r="H383" s="28"/>
      <c r="I383" s="28"/>
      <c r="J383" s="28"/>
      <c r="K383" s="28"/>
      <c r="L383" s="25"/>
      <c r="M383" s="112"/>
      <c r="N383" s="25"/>
      <c r="O383" s="130"/>
      <c r="P383" s="46"/>
      <c r="Q383" s="77"/>
      <c r="R383" s="77" t="str">
        <f>IF(Table5[[#This Row],[Tour Starting Date]]&lt;&gt;"", TEXT(Table5[[#This Row],[Tour Starting Date]], "dddd"), "")</f>
        <v/>
      </c>
      <c r="S383" s="77"/>
      <c r="T383" s="25" t="str">
        <f>IF(Table5[[#This Row],[Tour Ending Date]]&lt;&gt;"", TEXT(Table5[[#This Row],[Tour Ending Date]], "dddd"), "")</f>
        <v/>
      </c>
      <c r="U38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383" s="37" t="str">
        <f>IF(Table5[[#This Row],[Tour Starting Date]]&lt;&gt;"", TEXT(Table5[[#This Row],[Tour Starting Date]], "mmmm"), "")</f>
        <v/>
      </c>
      <c r="W383" s="80" t="str" cm="1">
        <f t="array" ref="W383">IF(Q383&lt;&gt;"", INDEX(CI:CI, MATCH(1, (Q383&gt;=CG:CG)*(Q383&lt;=CH:CH), 0)), "")</f>
        <v/>
      </c>
      <c r="X383" s="39"/>
      <c r="Y383" s="74"/>
      <c r="Z383" s="74" t="str">
        <f>IF(OR(Table5[[#This Row],[Per Person Package Cost]]="", Table5[[#This Row],[No. of Pax]]=""), "", Table5[[#This Row],[Per Person Package Cost]] * Table5[[#This Row],[No. of Pax]])</f>
        <v/>
      </c>
      <c r="AA383" s="52"/>
      <c r="AB383" s="52"/>
      <c r="AC383" s="52"/>
      <c r="AD383" s="52"/>
      <c r="AE383" s="51" t="str">
        <f t="shared" si="45"/>
        <v/>
      </c>
      <c r="AF383" s="51" t="str">
        <f t="shared" si="46"/>
        <v/>
      </c>
      <c r="AG383" s="74" t="str">
        <f t="shared" si="47"/>
        <v/>
      </c>
      <c r="AH383" s="73" t="str">
        <f t="shared" si="48"/>
        <v/>
      </c>
      <c r="AI383" s="52"/>
      <c r="AJ383" s="56"/>
      <c r="AK383" s="59"/>
      <c r="AL383" s="60"/>
      <c r="AM383" s="54"/>
      <c r="AN383" s="14"/>
      <c r="AO383" s="15"/>
      <c r="AP383" s="91"/>
      <c r="AQ383" s="87"/>
      <c r="AR383" s="26"/>
      <c r="AS383" s="65"/>
      <c r="AT383" s="88"/>
      <c r="AU383" s="67"/>
      <c r="CN383" t="s">
        <v>1214</v>
      </c>
      <c r="DA383" t="str" cm="1">
        <f t="array" ref="DA383">IF(U383&lt;&gt;"", TRANSPOSE(_xlfn._xlws.FILTER(CZ:CZ, CY:CY=U383, "")), "")</f>
        <v/>
      </c>
    </row>
    <row r="384" spans="2:105" ht="15" customHeight="1">
      <c r="B384" s="35">
        <v>380</v>
      </c>
      <c r="C384" s="36" t="s">
        <v>2238</v>
      </c>
      <c r="D384" s="76"/>
      <c r="E384" s="37" t="str">
        <f>IF(Table5[[#This Row],[Query Date]]&lt;&gt;"", TEXT(Table5[[#This Row],[Query Date]], "dddd"), "")</f>
        <v/>
      </c>
      <c r="F384" s="37" t="str">
        <f>IF(Table5[[#This Row],[Query Date]]&lt;&gt;"", TEXT(Table5[[#This Row],[Query Date]], "mmmm"), "")</f>
        <v/>
      </c>
      <c r="G384" s="28"/>
      <c r="H384" s="28"/>
      <c r="I384" s="28"/>
      <c r="J384" s="28"/>
      <c r="K384" s="28"/>
      <c r="L384" s="25"/>
      <c r="M384" s="112"/>
      <c r="N384" s="25"/>
      <c r="O384" s="130"/>
      <c r="P384" s="46"/>
      <c r="Q384" s="77"/>
      <c r="R384" s="77" t="str">
        <f>IF(Table5[[#This Row],[Tour Starting Date]]&lt;&gt;"", TEXT(Table5[[#This Row],[Tour Starting Date]], "dddd"), "")</f>
        <v/>
      </c>
      <c r="S384" s="77"/>
      <c r="T384" s="25" t="str">
        <f>IF(Table5[[#This Row],[Tour Ending Date]]&lt;&gt;"", TEXT(Table5[[#This Row],[Tour Ending Date]], "dddd"), "")</f>
        <v/>
      </c>
      <c r="U38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384" s="37" t="str">
        <f>IF(Table5[[#This Row],[Tour Starting Date]]&lt;&gt;"", TEXT(Table5[[#This Row],[Tour Starting Date]], "mmmm"), "")</f>
        <v/>
      </c>
      <c r="W384" s="80" t="str" cm="1">
        <f t="array" ref="W384">IF(Q384&lt;&gt;"", INDEX(CI:CI, MATCH(1, (Q384&gt;=CG:CG)*(Q384&lt;=CH:CH), 0)), "")</f>
        <v/>
      </c>
      <c r="X384" s="39"/>
      <c r="Y384" s="74"/>
      <c r="Z384" s="74" t="str">
        <f>IF(OR(Table5[[#This Row],[Per Person Package Cost]]="", Table5[[#This Row],[No. of Pax]]=""), "", Table5[[#This Row],[Per Person Package Cost]] * Table5[[#This Row],[No. of Pax]])</f>
        <v/>
      </c>
      <c r="AA384" s="52"/>
      <c r="AB384" s="52"/>
      <c r="AC384" s="52"/>
      <c r="AD384" s="52"/>
      <c r="AE384" s="51" t="str">
        <f t="shared" si="45"/>
        <v/>
      </c>
      <c r="AF384" s="51" t="str">
        <f t="shared" si="46"/>
        <v/>
      </c>
      <c r="AG384" s="74" t="str">
        <f t="shared" si="47"/>
        <v/>
      </c>
      <c r="AH384" s="73" t="str">
        <f t="shared" si="48"/>
        <v/>
      </c>
      <c r="AI384" s="52"/>
      <c r="AJ384" s="56"/>
      <c r="AK384" s="59"/>
      <c r="AL384" s="60"/>
      <c r="AM384" s="54"/>
      <c r="AN384" s="14"/>
      <c r="AO384" s="15"/>
      <c r="AP384" s="91"/>
      <c r="AQ384" s="87"/>
      <c r="AR384" s="26"/>
      <c r="AS384" s="65"/>
      <c r="AT384" s="88"/>
      <c r="AU384" s="67"/>
      <c r="CN384" t="s">
        <v>2239</v>
      </c>
      <c r="DA384" t="str" cm="1">
        <f t="array" ref="DA384">IF(U384&lt;&gt;"", TRANSPOSE(_xlfn._xlws.FILTER(CZ:CZ, CY:CY=U384, "")), "")</f>
        <v/>
      </c>
    </row>
    <row r="385" spans="2:105" ht="15" customHeight="1">
      <c r="B385" s="34">
        <v>381</v>
      </c>
      <c r="C385" s="36" t="s">
        <v>2240</v>
      </c>
      <c r="D385" s="76"/>
      <c r="E385" s="37" t="str">
        <f>IF(Table5[[#This Row],[Query Date]]&lt;&gt;"", TEXT(Table5[[#This Row],[Query Date]], "dddd"), "")</f>
        <v/>
      </c>
      <c r="F385" s="37" t="str">
        <f>IF(Table5[[#This Row],[Query Date]]&lt;&gt;"", TEXT(Table5[[#This Row],[Query Date]], "mmmm"), "")</f>
        <v/>
      </c>
      <c r="G385" s="28"/>
      <c r="H385" s="28"/>
      <c r="I385" s="28"/>
      <c r="J385" s="28"/>
      <c r="K385" s="28"/>
      <c r="L385" s="25"/>
      <c r="M385" s="112"/>
      <c r="N385" s="25"/>
      <c r="O385" s="130"/>
      <c r="P385" s="46"/>
      <c r="Q385" s="77"/>
      <c r="R385" s="77" t="str">
        <f>IF(Table5[[#This Row],[Tour Starting Date]]&lt;&gt;"", TEXT(Table5[[#This Row],[Tour Starting Date]], "dddd"), "")</f>
        <v/>
      </c>
      <c r="S385" s="77"/>
      <c r="T385" s="25" t="str">
        <f>IF(Table5[[#This Row],[Tour Ending Date]]&lt;&gt;"", TEXT(Table5[[#This Row],[Tour Ending Date]], "dddd"), "")</f>
        <v/>
      </c>
      <c r="U38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385" s="37" t="str">
        <f>IF(Table5[[#This Row],[Tour Starting Date]]&lt;&gt;"", TEXT(Table5[[#This Row],[Tour Starting Date]], "mmmm"), "")</f>
        <v/>
      </c>
      <c r="W385" s="80" t="str" cm="1">
        <f t="array" ref="W385">IF(Q385&lt;&gt;"", INDEX(CI:CI, MATCH(1, (Q385&gt;=CG:CG)*(Q385&lt;=CH:CH), 0)), "")</f>
        <v/>
      </c>
      <c r="X385" s="39"/>
      <c r="Y385" s="74"/>
      <c r="Z385" s="74" t="str">
        <f>IF(OR(Table5[[#This Row],[Per Person Package Cost]]="", Table5[[#This Row],[No. of Pax]]=""), "", Table5[[#This Row],[Per Person Package Cost]] * Table5[[#This Row],[No. of Pax]])</f>
        <v/>
      </c>
      <c r="AA385" s="52"/>
      <c r="AB385" s="52"/>
      <c r="AC385" s="52"/>
      <c r="AD385" s="52"/>
      <c r="AE385" s="51" t="str">
        <f t="shared" si="45"/>
        <v/>
      </c>
      <c r="AF385" s="51" t="str">
        <f t="shared" si="46"/>
        <v/>
      </c>
      <c r="AG385" s="74" t="str">
        <f t="shared" si="47"/>
        <v/>
      </c>
      <c r="AH385" s="73" t="str">
        <f t="shared" si="48"/>
        <v/>
      </c>
      <c r="AI385" s="52"/>
      <c r="AJ385" s="56"/>
      <c r="AK385" s="59"/>
      <c r="AL385" s="60"/>
      <c r="AM385" s="54"/>
      <c r="AN385" s="14"/>
      <c r="AO385" s="15"/>
      <c r="AP385" s="91"/>
      <c r="AQ385" s="87"/>
      <c r="AR385" s="26"/>
      <c r="AS385" s="65"/>
      <c r="AT385" s="88"/>
      <c r="AU385" s="67"/>
      <c r="CN385" t="s">
        <v>2241</v>
      </c>
      <c r="DA385" t="str" cm="1">
        <f t="array" ref="DA385">IF(U385&lt;&gt;"", TRANSPOSE(_xlfn._xlws.FILTER(CZ:CZ, CY:CY=U385, "")), "")</f>
        <v/>
      </c>
    </row>
    <row r="386" spans="2:105" ht="15" customHeight="1">
      <c r="B386" s="35">
        <v>382</v>
      </c>
      <c r="C386" s="36" t="s">
        <v>2242</v>
      </c>
      <c r="D386" s="76"/>
      <c r="E386" s="37" t="str">
        <f>IF(Table5[[#This Row],[Query Date]]&lt;&gt;"", TEXT(Table5[[#This Row],[Query Date]], "dddd"), "")</f>
        <v/>
      </c>
      <c r="F386" s="37" t="str">
        <f>IF(Table5[[#This Row],[Query Date]]&lt;&gt;"", TEXT(Table5[[#This Row],[Query Date]], "mmmm"), "")</f>
        <v/>
      </c>
      <c r="G386" s="28"/>
      <c r="H386" s="28"/>
      <c r="I386" s="28"/>
      <c r="J386" s="28"/>
      <c r="K386" s="28"/>
      <c r="L386" s="25"/>
      <c r="M386" s="112"/>
      <c r="N386" s="25"/>
      <c r="O386" s="130"/>
      <c r="P386" s="46"/>
      <c r="Q386" s="77"/>
      <c r="R386" s="77" t="str">
        <f>IF(Table5[[#This Row],[Tour Starting Date]]&lt;&gt;"", TEXT(Table5[[#This Row],[Tour Starting Date]], "dddd"), "")</f>
        <v/>
      </c>
      <c r="S386" s="77"/>
      <c r="T386" s="25" t="str">
        <f>IF(Table5[[#This Row],[Tour Ending Date]]&lt;&gt;"", TEXT(Table5[[#This Row],[Tour Ending Date]], "dddd"), "")</f>
        <v/>
      </c>
      <c r="U38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386" s="37" t="str">
        <f>IF(Table5[[#This Row],[Tour Starting Date]]&lt;&gt;"", TEXT(Table5[[#This Row],[Tour Starting Date]], "mmmm"), "")</f>
        <v/>
      </c>
      <c r="W386" s="80" t="str" cm="1">
        <f t="array" ref="W386">IF(Q386&lt;&gt;"", INDEX(CI:CI, MATCH(1, (Q386&gt;=CG:CG)*(Q386&lt;=CH:CH), 0)), "")</f>
        <v/>
      </c>
      <c r="X386" s="39"/>
      <c r="Y386" s="74"/>
      <c r="Z386" s="74" t="str">
        <f>IF(OR(Table5[[#This Row],[Per Person Package Cost]]="", Table5[[#This Row],[No. of Pax]]=""), "", Table5[[#This Row],[Per Person Package Cost]] * Table5[[#This Row],[No. of Pax]])</f>
        <v/>
      </c>
      <c r="AA386" s="52"/>
      <c r="AB386" s="52"/>
      <c r="AC386" s="52"/>
      <c r="AD386" s="52"/>
      <c r="AE386" s="51" t="str">
        <f t="shared" si="45"/>
        <v/>
      </c>
      <c r="AF386" s="51" t="str">
        <f t="shared" si="46"/>
        <v/>
      </c>
      <c r="AG386" s="74" t="str">
        <f t="shared" si="47"/>
        <v/>
      </c>
      <c r="AH386" s="73" t="str">
        <f t="shared" si="48"/>
        <v/>
      </c>
      <c r="AI386" s="52"/>
      <c r="AJ386" s="56"/>
      <c r="AK386" s="59"/>
      <c r="AL386" s="60"/>
      <c r="AM386" s="54"/>
      <c r="AN386" s="14"/>
      <c r="AO386" s="15"/>
      <c r="AP386" s="91"/>
      <c r="AQ386" s="87"/>
      <c r="AR386" s="26"/>
      <c r="AS386" s="65"/>
      <c r="AT386" s="88"/>
      <c r="AU386" s="67"/>
      <c r="CN386" t="s">
        <v>2243</v>
      </c>
      <c r="DA386" t="str" cm="1">
        <f t="array" ref="DA386">IF(U386&lt;&gt;"", TRANSPOSE(_xlfn._xlws.FILTER(CZ:CZ, CY:CY=U386, "")), "")</f>
        <v/>
      </c>
    </row>
    <row r="387" spans="2:105" ht="15" customHeight="1">
      <c r="B387" s="34">
        <v>383</v>
      </c>
      <c r="C387" s="36" t="s">
        <v>2244</v>
      </c>
      <c r="D387" s="76"/>
      <c r="E387" s="37" t="str">
        <f>IF(Table5[[#This Row],[Query Date]]&lt;&gt;"", TEXT(Table5[[#This Row],[Query Date]], "dddd"), "")</f>
        <v/>
      </c>
      <c r="F387" s="37" t="str">
        <f>IF(Table5[[#This Row],[Query Date]]&lt;&gt;"", TEXT(Table5[[#This Row],[Query Date]], "mmmm"), "")</f>
        <v/>
      </c>
      <c r="G387" s="28"/>
      <c r="H387" s="28"/>
      <c r="I387" s="28"/>
      <c r="J387" s="28"/>
      <c r="K387" s="28"/>
      <c r="L387" s="25"/>
      <c r="M387" s="112"/>
      <c r="N387" s="25"/>
      <c r="O387" s="130"/>
      <c r="P387" s="46"/>
      <c r="Q387" s="77"/>
      <c r="R387" s="77" t="str">
        <f>IF(Table5[[#This Row],[Tour Starting Date]]&lt;&gt;"", TEXT(Table5[[#This Row],[Tour Starting Date]], "dddd"), "")</f>
        <v/>
      </c>
      <c r="S387" s="77"/>
      <c r="T387" s="25" t="str">
        <f>IF(Table5[[#This Row],[Tour Ending Date]]&lt;&gt;"", TEXT(Table5[[#This Row],[Tour Ending Date]], "dddd"), "")</f>
        <v/>
      </c>
      <c r="U38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387" s="37" t="str">
        <f>IF(Table5[[#This Row],[Tour Starting Date]]&lt;&gt;"", TEXT(Table5[[#This Row],[Tour Starting Date]], "mmmm"), "")</f>
        <v/>
      </c>
      <c r="W387" s="80" t="str" cm="1">
        <f t="array" ref="W387">IF(Q387&lt;&gt;"", INDEX(CI:CI, MATCH(1, (Q387&gt;=CG:CG)*(Q387&lt;=CH:CH), 0)), "")</f>
        <v/>
      </c>
      <c r="X387" s="39"/>
      <c r="Y387" s="74"/>
      <c r="Z387" s="74" t="str">
        <f>IF(OR(Table5[[#This Row],[Per Person Package Cost]]="", Table5[[#This Row],[No. of Pax]]=""), "", Table5[[#This Row],[Per Person Package Cost]] * Table5[[#This Row],[No. of Pax]])</f>
        <v/>
      </c>
      <c r="AA387" s="52"/>
      <c r="AB387" s="52"/>
      <c r="AC387" s="52"/>
      <c r="AD387" s="52"/>
      <c r="AE387" s="51" t="str">
        <f t="shared" si="45"/>
        <v/>
      </c>
      <c r="AF387" s="51" t="str">
        <f t="shared" si="46"/>
        <v/>
      </c>
      <c r="AG387" s="74" t="str">
        <f t="shared" si="47"/>
        <v/>
      </c>
      <c r="AH387" s="73" t="str">
        <f t="shared" si="48"/>
        <v/>
      </c>
      <c r="AI387" s="52"/>
      <c r="AJ387" s="56"/>
      <c r="AK387" s="59"/>
      <c r="AL387" s="60"/>
      <c r="AM387" s="54"/>
      <c r="AN387" s="14"/>
      <c r="AO387" s="15"/>
      <c r="AP387" s="91"/>
      <c r="AQ387" s="87"/>
      <c r="AR387" s="26"/>
      <c r="AS387" s="65"/>
      <c r="AT387" s="88"/>
      <c r="AU387" s="67"/>
      <c r="CN387" t="s">
        <v>2245</v>
      </c>
      <c r="DA387" t="str" cm="1">
        <f t="array" ref="DA387">IF(U387&lt;&gt;"", TRANSPOSE(_xlfn._xlws.FILTER(CZ:CZ, CY:CY=U387, "")), "")</f>
        <v/>
      </c>
    </row>
    <row r="388" spans="2:105" ht="15" customHeight="1">
      <c r="B388" s="35">
        <v>384</v>
      </c>
      <c r="C388" s="36" t="s">
        <v>2246</v>
      </c>
      <c r="D388" s="76"/>
      <c r="E388" s="37" t="str">
        <f>IF(Table5[[#This Row],[Query Date]]&lt;&gt;"", TEXT(Table5[[#This Row],[Query Date]], "dddd"), "")</f>
        <v/>
      </c>
      <c r="F388" s="37" t="str">
        <f>IF(Table5[[#This Row],[Query Date]]&lt;&gt;"", TEXT(Table5[[#This Row],[Query Date]], "mmmm"), "")</f>
        <v/>
      </c>
      <c r="G388" s="28"/>
      <c r="H388" s="28"/>
      <c r="I388" s="28"/>
      <c r="J388" s="28"/>
      <c r="K388" s="28"/>
      <c r="L388" s="25"/>
      <c r="M388" s="112"/>
      <c r="N388" s="25"/>
      <c r="O388" s="130"/>
      <c r="P388" s="46"/>
      <c r="Q388" s="77"/>
      <c r="R388" s="77" t="str">
        <f>IF(Table5[[#This Row],[Tour Starting Date]]&lt;&gt;"", TEXT(Table5[[#This Row],[Tour Starting Date]], "dddd"), "")</f>
        <v/>
      </c>
      <c r="S388" s="77"/>
      <c r="T388" s="25" t="str">
        <f>IF(Table5[[#This Row],[Tour Ending Date]]&lt;&gt;"", TEXT(Table5[[#This Row],[Tour Ending Date]], "dddd"), "")</f>
        <v/>
      </c>
      <c r="U38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388" s="37" t="str">
        <f>IF(Table5[[#This Row],[Tour Starting Date]]&lt;&gt;"", TEXT(Table5[[#This Row],[Tour Starting Date]], "mmmm"), "")</f>
        <v/>
      </c>
      <c r="W388" s="80" t="str" cm="1">
        <f t="array" ref="W388">IF(Q388&lt;&gt;"", INDEX(CI:CI, MATCH(1, (Q388&gt;=CG:CG)*(Q388&lt;=CH:CH), 0)), "")</f>
        <v/>
      </c>
      <c r="X388" s="39"/>
      <c r="Y388" s="74"/>
      <c r="Z388" s="74" t="str">
        <f>IF(OR(Table5[[#This Row],[Per Person Package Cost]]="", Table5[[#This Row],[No. of Pax]]=""), "", Table5[[#This Row],[Per Person Package Cost]] * Table5[[#This Row],[No. of Pax]])</f>
        <v/>
      </c>
      <c r="AA388" s="52"/>
      <c r="AB388" s="52"/>
      <c r="AC388" s="52"/>
      <c r="AD388" s="52"/>
      <c r="AE388" s="51" t="str">
        <f t="shared" si="45"/>
        <v/>
      </c>
      <c r="AF388" s="51" t="str">
        <f t="shared" si="46"/>
        <v/>
      </c>
      <c r="AG388" s="74" t="str">
        <f t="shared" si="47"/>
        <v/>
      </c>
      <c r="AH388" s="73" t="str">
        <f t="shared" si="48"/>
        <v/>
      </c>
      <c r="AI388" s="52"/>
      <c r="AJ388" s="56"/>
      <c r="AK388" s="59"/>
      <c r="AL388" s="60"/>
      <c r="AM388" s="54"/>
      <c r="AN388" s="14"/>
      <c r="AO388" s="15"/>
      <c r="AP388" s="91"/>
      <c r="AQ388" s="87"/>
      <c r="AR388" s="26"/>
      <c r="AS388" s="65"/>
      <c r="AT388" s="88"/>
      <c r="AU388" s="67"/>
      <c r="CN388" t="s">
        <v>2247</v>
      </c>
      <c r="DA388" t="str" cm="1">
        <f t="array" ref="DA388">IF(U388&lt;&gt;"", TRANSPOSE(_xlfn._xlws.FILTER(CZ:CZ, CY:CY=U388, "")), "")</f>
        <v/>
      </c>
    </row>
    <row r="389" spans="2:105" ht="15" customHeight="1">
      <c r="B389" s="34">
        <v>385</v>
      </c>
      <c r="C389" s="36" t="s">
        <v>2248</v>
      </c>
      <c r="D389" s="76"/>
      <c r="E389" s="37" t="str">
        <f>IF(Table5[[#This Row],[Query Date]]&lt;&gt;"", TEXT(Table5[[#This Row],[Query Date]], "dddd"), "")</f>
        <v/>
      </c>
      <c r="F389" s="37" t="str">
        <f>IF(Table5[[#This Row],[Query Date]]&lt;&gt;"", TEXT(Table5[[#This Row],[Query Date]], "mmmm"), "")</f>
        <v/>
      </c>
      <c r="G389" s="28"/>
      <c r="H389" s="28"/>
      <c r="I389" s="28"/>
      <c r="J389" s="28"/>
      <c r="K389" s="28"/>
      <c r="L389" s="25"/>
      <c r="M389" s="112"/>
      <c r="N389" s="25"/>
      <c r="O389" s="130"/>
      <c r="P389" s="48"/>
      <c r="Q389" s="77"/>
      <c r="R389" s="77" t="str">
        <f>IF(Table5[[#This Row],[Tour Starting Date]]&lt;&gt;"", TEXT(Table5[[#This Row],[Tour Starting Date]], "dddd"), "")</f>
        <v/>
      </c>
      <c r="S389" s="77"/>
      <c r="T389" s="25" t="str">
        <f>IF(Table5[[#This Row],[Tour Ending Date]]&lt;&gt;"", TEXT(Table5[[#This Row],[Tour Ending Date]], "dddd"), "")</f>
        <v/>
      </c>
      <c r="U38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389" s="37" t="str">
        <f>IF(Table5[[#This Row],[Tour Starting Date]]&lt;&gt;"", TEXT(Table5[[#This Row],[Tour Starting Date]], "mmmm"), "")</f>
        <v/>
      </c>
      <c r="W389" s="80" t="str" cm="1">
        <f t="array" ref="W389">IF(Q389&lt;&gt;"", INDEX(CI:CI, MATCH(1, (Q389&gt;=CG:CG)*(Q389&lt;=CH:CH), 0)), "")</f>
        <v/>
      </c>
      <c r="X389" s="39"/>
      <c r="Y389" s="74"/>
      <c r="Z389" s="74" t="str">
        <f>IF(OR(Table5[[#This Row],[Per Person Package Cost]]="", Table5[[#This Row],[No. of Pax]]=""), "", Table5[[#This Row],[Per Person Package Cost]] * Table5[[#This Row],[No. of Pax]])</f>
        <v/>
      </c>
      <c r="AA389" s="52"/>
      <c r="AB389" s="52"/>
      <c r="AC389" s="52"/>
      <c r="AD389" s="52"/>
      <c r="AE389" s="51" t="str">
        <f t="shared" ref="AE389:AE452" si="49">IF(AD389&lt;&gt;"", INDEX(CW:CW, MATCH(AD389, CZ:CZ, 0)), "")</f>
        <v/>
      </c>
      <c r="AF389" s="51" t="str">
        <f t="shared" ref="AF389:AF452" si="50">IF(AD389&lt;&gt;"", INDEX(CX:CX, MATCH(AD389, CZ:CZ, 0)), "")</f>
        <v/>
      </c>
      <c r="AG389" s="74" t="str">
        <f t="shared" ref="AG389:AG452" si="51">IF(AE389&lt;&gt;"", INDEX(CU:CU, MATCH(AE389, CW:CW, 0)), "")</f>
        <v/>
      </c>
      <c r="AH389" s="73" t="str">
        <f t="shared" si="48"/>
        <v/>
      </c>
      <c r="AI389" s="52"/>
      <c r="AJ389" s="56"/>
      <c r="AK389" s="59"/>
      <c r="AL389" s="60"/>
      <c r="AM389" s="54"/>
      <c r="AN389" s="14"/>
      <c r="AO389" s="15"/>
      <c r="AP389" s="91"/>
      <c r="AQ389" s="87"/>
      <c r="AR389" s="26"/>
      <c r="AS389" s="65"/>
      <c r="AT389" s="88"/>
      <c r="AU389" s="67"/>
      <c r="CN389" t="s">
        <v>2249</v>
      </c>
      <c r="DA389" t="str" cm="1">
        <f t="array" ref="DA389">IF(U389&lt;&gt;"", TRANSPOSE(_xlfn._xlws.FILTER(CZ:CZ, CY:CY=U389, "")), "")</f>
        <v/>
      </c>
    </row>
    <row r="390" spans="2:105" ht="15" customHeight="1">
      <c r="B390" s="35">
        <v>386</v>
      </c>
      <c r="C390" s="36" t="s">
        <v>2250</v>
      </c>
      <c r="D390" s="76"/>
      <c r="E390" s="37" t="str">
        <f>IF(Table5[[#This Row],[Query Date]]&lt;&gt;"", TEXT(Table5[[#This Row],[Query Date]], "dddd"), "")</f>
        <v/>
      </c>
      <c r="F390" s="37" t="str">
        <f>IF(Table5[[#This Row],[Query Date]]&lt;&gt;"", TEXT(Table5[[#This Row],[Query Date]], "mmmm"), "")</f>
        <v/>
      </c>
      <c r="G390" s="28"/>
      <c r="H390" s="28"/>
      <c r="I390" s="28"/>
      <c r="J390" s="28"/>
      <c r="K390" s="28"/>
      <c r="L390" s="25"/>
      <c r="M390" s="112"/>
      <c r="N390" s="25"/>
      <c r="O390" s="130"/>
      <c r="P390" s="48"/>
      <c r="Q390" s="77"/>
      <c r="R390" s="77" t="str">
        <f>IF(Table5[[#This Row],[Tour Starting Date]]&lt;&gt;"", TEXT(Table5[[#This Row],[Tour Starting Date]], "dddd"), "")</f>
        <v/>
      </c>
      <c r="S390" s="77"/>
      <c r="T390" s="25" t="str">
        <f>IF(Table5[[#This Row],[Tour Ending Date]]&lt;&gt;"", TEXT(Table5[[#This Row],[Tour Ending Date]], "dddd"), "")</f>
        <v/>
      </c>
      <c r="U39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390" s="37" t="str">
        <f>IF(Table5[[#This Row],[Tour Starting Date]]&lt;&gt;"", TEXT(Table5[[#This Row],[Tour Starting Date]], "mmmm"), "")</f>
        <v/>
      </c>
      <c r="W390" s="80" t="str" cm="1">
        <f t="array" ref="W390">IF(Q390&lt;&gt;"", INDEX(CI:CI, MATCH(1, (Q390&gt;=CG:CG)*(Q390&lt;=CH:CH), 0)), "")</f>
        <v/>
      </c>
      <c r="X390" s="39"/>
      <c r="Y390" s="74"/>
      <c r="Z390" s="74" t="str">
        <f>IF(OR(Table5[[#This Row],[Per Person Package Cost]]="", Table5[[#This Row],[No. of Pax]]=""), "", Table5[[#This Row],[Per Person Package Cost]] * Table5[[#This Row],[No. of Pax]])</f>
        <v/>
      </c>
      <c r="AA390" s="52"/>
      <c r="AB390" s="52"/>
      <c r="AC390" s="52"/>
      <c r="AD390" s="52"/>
      <c r="AE390" s="51" t="str">
        <f t="shared" si="49"/>
        <v/>
      </c>
      <c r="AF390" s="51" t="str">
        <f t="shared" si="50"/>
        <v/>
      </c>
      <c r="AG390" s="74" t="str">
        <f t="shared" si="51"/>
        <v/>
      </c>
      <c r="AH390" s="73" t="str">
        <f t="shared" si="48"/>
        <v/>
      </c>
      <c r="AI390" s="52"/>
      <c r="AJ390" s="56"/>
      <c r="AK390" s="59"/>
      <c r="AL390" s="60"/>
      <c r="AM390" s="54"/>
      <c r="AN390" s="14"/>
      <c r="AO390" s="15"/>
      <c r="AP390" s="91"/>
      <c r="AQ390" s="87"/>
      <c r="AR390" s="26"/>
      <c r="AS390" s="65"/>
      <c r="AT390" s="88"/>
      <c r="AU390" s="67"/>
      <c r="CN390" t="s">
        <v>2251</v>
      </c>
      <c r="DA390" t="str" cm="1">
        <f t="array" ref="DA390">IF(U390&lt;&gt;"", TRANSPOSE(_xlfn._xlws.FILTER(CZ:CZ, CY:CY=U390, "")), "")</f>
        <v/>
      </c>
    </row>
    <row r="391" spans="2:105" ht="15" customHeight="1">
      <c r="B391" s="34">
        <v>387</v>
      </c>
      <c r="C391" s="36" t="s">
        <v>2252</v>
      </c>
      <c r="D391" s="76"/>
      <c r="E391" s="37" t="str">
        <f>IF(Table5[[#This Row],[Query Date]]&lt;&gt;"", TEXT(Table5[[#This Row],[Query Date]], "dddd"), "")</f>
        <v/>
      </c>
      <c r="F391" s="37" t="str">
        <f>IF(Table5[[#This Row],[Query Date]]&lt;&gt;"", TEXT(Table5[[#This Row],[Query Date]], "mmmm"), "")</f>
        <v/>
      </c>
      <c r="G391" s="28"/>
      <c r="H391" s="28"/>
      <c r="I391" s="28"/>
      <c r="J391" s="28"/>
      <c r="K391" s="28"/>
      <c r="L391" s="25"/>
      <c r="M391" s="112"/>
      <c r="N391" s="25"/>
      <c r="O391" s="130"/>
      <c r="P391" s="46"/>
      <c r="Q391" s="77"/>
      <c r="R391" s="77" t="str">
        <f>IF(Table5[[#This Row],[Tour Starting Date]]&lt;&gt;"", TEXT(Table5[[#This Row],[Tour Starting Date]], "dddd"), "")</f>
        <v/>
      </c>
      <c r="S391" s="77"/>
      <c r="T391" s="25" t="str">
        <f>IF(Table5[[#This Row],[Tour Ending Date]]&lt;&gt;"", TEXT(Table5[[#This Row],[Tour Ending Date]], "dddd"), "")</f>
        <v/>
      </c>
      <c r="U39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391" s="37" t="str">
        <f>IF(Table5[[#This Row],[Tour Starting Date]]&lt;&gt;"", TEXT(Table5[[#This Row],[Tour Starting Date]], "mmmm"), "")</f>
        <v/>
      </c>
      <c r="W391" s="80" t="str" cm="1">
        <f t="array" ref="W391">IF(Q391&lt;&gt;"", INDEX(CI:CI, MATCH(1, (Q391&gt;=CG:CG)*(Q391&lt;=CH:CH), 0)), "")</f>
        <v/>
      </c>
      <c r="X391" s="39"/>
      <c r="Y391" s="74"/>
      <c r="Z391" s="74" t="str">
        <f>IF(OR(Table5[[#This Row],[Per Person Package Cost]]="", Table5[[#This Row],[No. of Pax]]=""), "", Table5[[#This Row],[Per Person Package Cost]] * Table5[[#This Row],[No. of Pax]])</f>
        <v/>
      </c>
      <c r="AA391" s="52"/>
      <c r="AB391" s="52"/>
      <c r="AC391" s="52"/>
      <c r="AD391" s="52"/>
      <c r="AE391" s="51" t="str">
        <f t="shared" si="49"/>
        <v/>
      </c>
      <c r="AF391" s="51" t="str">
        <f t="shared" si="50"/>
        <v/>
      </c>
      <c r="AG391" s="74" t="str">
        <f t="shared" si="51"/>
        <v/>
      </c>
      <c r="AH391" s="73" t="str">
        <f t="shared" si="48"/>
        <v/>
      </c>
      <c r="AI391" s="52"/>
      <c r="AJ391" s="56"/>
      <c r="AK391" s="59"/>
      <c r="AL391" s="60"/>
      <c r="AM391" s="54"/>
      <c r="AN391" s="14"/>
      <c r="AO391" s="15"/>
      <c r="AP391" s="91"/>
      <c r="AQ391" s="87"/>
      <c r="AR391" s="26"/>
      <c r="AS391" s="65"/>
      <c r="AT391" s="88"/>
      <c r="AU391" s="67"/>
      <c r="CN391" t="s">
        <v>1629</v>
      </c>
      <c r="DA391" t="str" cm="1">
        <f t="array" ref="DA391">IF(U391&lt;&gt;"", TRANSPOSE(_xlfn._xlws.FILTER(CZ:CZ, CY:CY=U391, "")), "")</f>
        <v/>
      </c>
    </row>
    <row r="392" spans="2:105" ht="15" customHeight="1">
      <c r="B392" s="35">
        <v>388</v>
      </c>
      <c r="C392" s="36" t="s">
        <v>2253</v>
      </c>
      <c r="D392" s="76"/>
      <c r="E392" s="37" t="str">
        <f>IF(Table5[[#This Row],[Query Date]]&lt;&gt;"", TEXT(Table5[[#This Row],[Query Date]], "dddd"), "")</f>
        <v/>
      </c>
      <c r="F392" s="37" t="str">
        <f>IF(Table5[[#This Row],[Query Date]]&lt;&gt;"", TEXT(Table5[[#This Row],[Query Date]], "mmmm"), "")</f>
        <v/>
      </c>
      <c r="G392" s="28"/>
      <c r="H392" s="28"/>
      <c r="I392" s="28"/>
      <c r="J392" s="28"/>
      <c r="K392" s="28"/>
      <c r="L392" s="25"/>
      <c r="M392" s="25"/>
      <c r="N392" s="25"/>
      <c r="O392" s="130"/>
      <c r="P392" s="46"/>
      <c r="Q392" s="77"/>
      <c r="R392" s="77" t="str">
        <f>IF(Table5[[#This Row],[Tour Starting Date]]&lt;&gt;"", TEXT(Table5[[#This Row],[Tour Starting Date]], "dddd"), "")</f>
        <v/>
      </c>
      <c r="S392" s="77"/>
      <c r="T392" s="25" t="str">
        <f>IF(Table5[[#This Row],[Tour Ending Date]]&lt;&gt;"", TEXT(Table5[[#This Row],[Tour Ending Date]], "dddd"), "")</f>
        <v/>
      </c>
      <c r="U39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392" s="37" t="str">
        <f>IF(Table5[[#This Row],[Tour Starting Date]]&lt;&gt;"", TEXT(Table5[[#This Row],[Tour Starting Date]], "mmmm"), "")</f>
        <v/>
      </c>
      <c r="W392" s="80" t="str" cm="1">
        <f t="array" ref="W392">IF(Q392&lt;&gt;"", INDEX(CI:CI, MATCH(1, (Q392&gt;=CG:CG)*(Q392&lt;=CH:CH), 0)), "")</f>
        <v/>
      </c>
      <c r="X392" s="39"/>
      <c r="Y392" s="74"/>
      <c r="Z392" s="74" t="str">
        <f>IF(OR(Table5[[#This Row],[Per Person Package Cost]]="", Table5[[#This Row],[No. of Pax]]=""), "", Table5[[#This Row],[Per Person Package Cost]] * Table5[[#This Row],[No. of Pax]])</f>
        <v/>
      </c>
      <c r="AA392" s="52"/>
      <c r="AB392" s="52"/>
      <c r="AC392" s="52"/>
      <c r="AD392" s="52"/>
      <c r="AE392" s="51" t="str">
        <f t="shared" si="49"/>
        <v/>
      </c>
      <c r="AF392" s="51" t="str">
        <f t="shared" si="50"/>
        <v/>
      </c>
      <c r="AG392" s="74" t="str">
        <f t="shared" si="51"/>
        <v/>
      </c>
      <c r="AH392" s="73" t="str">
        <f t="shared" si="48"/>
        <v/>
      </c>
      <c r="AI392" s="52"/>
      <c r="AJ392" s="56"/>
      <c r="AK392" s="59"/>
      <c r="AL392" s="60"/>
      <c r="AM392" s="54"/>
      <c r="AN392" s="14"/>
      <c r="AO392" s="15"/>
      <c r="AP392" s="91"/>
      <c r="AQ392" s="87"/>
      <c r="AR392" s="26"/>
      <c r="AS392" s="65"/>
      <c r="AT392" s="88"/>
      <c r="AU392" s="67"/>
      <c r="CN392" s="147" t="s">
        <v>2254</v>
      </c>
      <c r="DA392" t="str" cm="1">
        <f t="array" ref="DA392">IF(U392&lt;&gt;"", TRANSPOSE(_xlfn._xlws.FILTER(CZ:CZ, CY:CY=U392, "")), "")</f>
        <v/>
      </c>
    </row>
    <row r="393" spans="2:105" ht="15" customHeight="1">
      <c r="B393" s="34">
        <v>389</v>
      </c>
      <c r="C393" s="36" t="s">
        <v>2255</v>
      </c>
      <c r="D393" s="76"/>
      <c r="E393" s="37" t="str">
        <f>IF(Table5[[#This Row],[Query Date]]&lt;&gt;"", TEXT(Table5[[#This Row],[Query Date]], "dddd"), "")</f>
        <v/>
      </c>
      <c r="F393" s="37" t="str">
        <f>IF(Table5[[#This Row],[Query Date]]&lt;&gt;"", TEXT(Table5[[#This Row],[Query Date]], "mmmm"), "")</f>
        <v/>
      </c>
      <c r="G393" s="28"/>
      <c r="H393" s="28"/>
      <c r="I393" s="28"/>
      <c r="J393" s="28"/>
      <c r="K393" s="28"/>
      <c r="L393" s="25"/>
      <c r="M393" s="25"/>
      <c r="N393" s="25"/>
      <c r="O393" s="130"/>
      <c r="P393" s="46"/>
      <c r="Q393" s="77"/>
      <c r="R393" s="77" t="str">
        <f>IF(Table5[[#This Row],[Tour Starting Date]]&lt;&gt;"", TEXT(Table5[[#This Row],[Tour Starting Date]], "dddd"), "")</f>
        <v/>
      </c>
      <c r="S393" s="77"/>
      <c r="T393" s="25" t="str">
        <f>IF(Table5[[#This Row],[Tour Ending Date]]&lt;&gt;"", TEXT(Table5[[#This Row],[Tour Ending Date]], "dddd"), "")</f>
        <v/>
      </c>
      <c r="U39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393" s="37" t="str">
        <f>IF(Table5[[#This Row],[Tour Starting Date]]&lt;&gt;"", TEXT(Table5[[#This Row],[Tour Starting Date]], "mmmm"), "")</f>
        <v/>
      </c>
      <c r="W393" s="80" t="str" cm="1">
        <f t="array" ref="W393">IF(Q393&lt;&gt;"", INDEX(CI:CI, MATCH(1, (Q393&gt;=CG:CG)*(Q393&lt;=CH:CH), 0)), "")</f>
        <v/>
      </c>
      <c r="X393" s="39"/>
      <c r="Y393" s="74"/>
      <c r="Z393" s="74" t="str">
        <f>IF(OR(Table5[[#This Row],[Per Person Package Cost]]="", Table5[[#This Row],[No. of Pax]]=""), "", Table5[[#This Row],[Per Person Package Cost]] * Table5[[#This Row],[No. of Pax]])</f>
        <v/>
      </c>
      <c r="AA393" s="52"/>
      <c r="AB393" s="52"/>
      <c r="AC393" s="52"/>
      <c r="AD393" s="52"/>
      <c r="AE393" s="51" t="str">
        <f t="shared" si="49"/>
        <v/>
      </c>
      <c r="AF393" s="51" t="str">
        <f t="shared" si="50"/>
        <v/>
      </c>
      <c r="AG393" s="74" t="str">
        <f t="shared" si="51"/>
        <v/>
      </c>
      <c r="AH393" s="73" t="str">
        <f t="shared" si="48"/>
        <v/>
      </c>
      <c r="AI393" s="52"/>
      <c r="AJ393" s="56"/>
      <c r="AK393" s="59"/>
      <c r="AL393" s="60"/>
      <c r="AM393" s="54"/>
      <c r="AN393" s="14"/>
      <c r="AO393" s="15"/>
      <c r="AP393" s="91"/>
      <c r="AQ393" s="87"/>
      <c r="AR393" s="26"/>
      <c r="AS393" s="65"/>
      <c r="AT393" s="88"/>
      <c r="AU393" s="67"/>
      <c r="CN393" t="s">
        <v>2256</v>
      </c>
      <c r="DA393" t="str" cm="1">
        <f t="array" ref="DA393">IF(U393&lt;&gt;"", TRANSPOSE(_xlfn._xlws.FILTER(CZ:CZ, CY:CY=U393, "")), "")</f>
        <v/>
      </c>
    </row>
    <row r="394" spans="2:105" ht="15" customHeight="1">
      <c r="B394" s="35">
        <v>390</v>
      </c>
      <c r="C394" s="36" t="s">
        <v>2257</v>
      </c>
      <c r="D394" s="76"/>
      <c r="E394" s="37" t="str">
        <f>IF(Table5[[#This Row],[Query Date]]&lt;&gt;"", TEXT(Table5[[#This Row],[Query Date]], "dddd"), "")</f>
        <v/>
      </c>
      <c r="F394" s="37" t="str">
        <f>IF(Table5[[#This Row],[Query Date]]&lt;&gt;"", TEXT(Table5[[#This Row],[Query Date]], "mmmm"), "")</f>
        <v/>
      </c>
      <c r="G394" s="28"/>
      <c r="H394" s="28"/>
      <c r="I394" s="28"/>
      <c r="J394" s="28"/>
      <c r="K394" s="28"/>
      <c r="L394" s="25"/>
      <c r="M394" s="112"/>
      <c r="N394" s="25"/>
      <c r="O394" s="130"/>
      <c r="P394" s="48"/>
      <c r="Q394" s="77"/>
      <c r="R394" s="77" t="str">
        <f>IF(Table5[[#This Row],[Tour Starting Date]]&lt;&gt;"", TEXT(Table5[[#This Row],[Tour Starting Date]], "dddd"), "")</f>
        <v/>
      </c>
      <c r="S394" s="77"/>
      <c r="T394" s="25" t="str">
        <f>IF(Table5[[#This Row],[Tour Ending Date]]&lt;&gt;"", TEXT(Table5[[#This Row],[Tour Ending Date]], "dddd"), "")</f>
        <v/>
      </c>
      <c r="U39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394" s="37" t="str">
        <f>IF(Table5[[#This Row],[Tour Starting Date]]&lt;&gt;"", TEXT(Table5[[#This Row],[Tour Starting Date]], "mmmm"), "")</f>
        <v/>
      </c>
      <c r="W394" s="80" t="str" cm="1">
        <f t="array" ref="W394">IF(Q394&lt;&gt;"", INDEX(CI:CI, MATCH(1, (Q394&gt;=CG:CG)*(Q394&lt;=CH:CH), 0)), "")</f>
        <v/>
      </c>
      <c r="X394" s="39"/>
      <c r="Y394" s="74"/>
      <c r="Z394" s="74" t="str">
        <f>IF(OR(Table5[[#This Row],[Per Person Package Cost]]="", Table5[[#This Row],[No. of Pax]]=""), "", Table5[[#This Row],[Per Person Package Cost]] * Table5[[#This Row],[No. of Pax]])</f>
        <v/>
      </c>
      <c r="AA394" s="52"/>
      <c r="AB394" s="52"/>
      <c r="AC394" s="52"/>
      <c r="AD394" s="52"/>
      <c r="AE394" s="51" t="str">
        <f t="shared" si="49"/>
        <v/>
      </c>
      <c r="AF394" s="51" t="str">
        <f t="shared" si="50"/>
        <v/>
      </c>
      <c r="AG394" s="74" t="str">
        <f t="shared" si="51"/>
        <v/>
      </c>
      <c r="AH394" s="73" t="str">
        <f t="shared" si="48"/>
        <v/>
      </c>
      <c r="AI394" s="54"/>
      <c r="AJ394" s="56"/>
      <c r="AK394" s="59"/>
      <c r="AL394" s="60"/>
      <c r="AM394" s="54"/>
      <c r="AN394" s="14"/>
      <c r="AO394" s="15"/>
      <c r="AP394" s="91"/>
      <c r="AQ394" s="87"/>
      <c r="AR394" s="26"/>
      <c r="AS394" s="65"/>
      <c r="AT394" s="88"/>
      <c r="AU394" s="67"/>
      <c r="CN394" t="s">
        <v>2258</v>
      </c>
      <c r="DA394" t="str" cm="1">
        <f t="array" ref="DA394">IF(U394&lt;&gt;"", TRANSPOSE(_xlfn._xlws.FILTER(CZ:CZ, CY:CY=U394, "")), "")</f>
        <v/>
      </c>
    </row>
    <row r="395" spans="2:105" ht="15" customHeight="1">
      <c r="B395" s="34">
        <v>391</v>
      </c>
      <c r="C395" s="36" t="s">
        <v>2259</v>
      </c>
      <c r="D395" s="76"/>
      <c r="E395" s="37" t="str">
        <f>IF(Table5[[#This Row],[Query Date]]&lt;&gt;"", TEXT(Table5[[#This Row],[Query Date]], "dddd"), "")</f>
        <v/>
      </c>
      <c r="F395" s="37" t="str">
        <f>IF(Table5[[#This Row],[Query Date]]&lt;&gt;"", TEXT(Table5[[#This Row],[Query Date]], "mmmm"), "")</f>
        <v/>
      </c>
      <c r="G395" s="28"/>
      <c r="H395" s="28"/>
      <c r="I395" s="28"/>
      <c r="J395" s="28"/>
      <c r="K395" s="28"/>
      <c r="L395" s="25"/>
      <c r="M395" s="25"/>
      <c r="N395" s="25"/>
      <c r="O395" s="130"/>
      <c r="P395" s="47"/>
      <c r="Q395" s="77"/>
      <c r="R395" s="77" t="str">
        <f>IF(Table5[[#This Row],[Tour Starting Date]]&lt;&gt;"", TEXT(Table5[[#This Row],[Tour Starting Date]], "dddd"), "")</f>
        <v/>
      </c>
      <c r="S395" s="77"/>
      <c r="T395" s="25" t="str">
        <f>IF(Table5[[#This Row],[Tour Ending Date]]&lt;&gt;"", TEXT(Table5[[#This Row],[Tour Ending Date]], "dddd"), "")</f>
        <v/>
      </c>
      <c r="U39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395" s="37" t="str">
        <f>IF(Table5[[#This Row],[Tour Starting Date]]&lt;&gt;"", TEXT(Table5[[#This Row],[Tour Starting Date]], "mmmm"), "")</f>
        <v/>
      </c>
      <c r="W395" s="80" t="str" cm="1">
        <f t="array" ref="W395">IF(Q395&lt;&gt;"", INDEX(CI:CI, MATCH(1, (Q395&gt;=CG:CG)*(Q395&lt;=CH:CH), 0)), "")</f>
        <v/>
      </c>
      <c r="X395" s="39"/>
      <c r="Y395" s="74"/>
      <c r="Z395" s="74" t="str">
        <f>IF(OR(Table5[[#This Row],[Per Person Package Cost]]="", Table5[[#This Row],[No. of Pax]]=""), "", Table5[[#This Row],[Per Person Package Cost]] * Table5[[#This Row],[No. of Pax]])</f>
        <v/>
      </c>
      <c r="AA395" s="52"/>
      <c r="AB395" s="52"/>
      <c r="AC395" s="52"/>
      <c r="AD395" s="52"/>
      <c r="AE395" s="51" t="str">
        <f t="shared" si="49"/>
        <v/>
      </c>
      <c r="AF395" s="51" t="str">
        <f t="shared" si="50"/>
        <v/>
      </c>
      <c r="AG395" s="74" t="str">
        <f t="shared" si="51"/>
        <v/>
      </c>
      <c r="AH395" s="73" t="str">
        <f t="shared" si="48"/>
        <v/>
      </c>
      <c r="AI395" s="52"/>
      <c r="AJ395" s="56"/>
      <c r="AK395" s="59"/>
      <c r="AL395" s="60"/>
      <c r="AM395" s="54"/>
      <c r="AN395" s="14"/>
      <c r="AO395" s="15"/>
      <c r="AP395" s="91"/>
      <c r="AQ395" s="87"/>
      <c r="AR395" s="26"/>
      <c r="AS395" s="65"/>
      <c r="AT395" s="88"/>
      <c r="AU395" s="67"/>
      <c r="CN395" t="s">
        <v>1709</v>
      </c>
      <c r="DA395" t="str" cm="1">
        <f t="array" ref="DA395">IF(U395&lt;&gt;"", TRANSPOSE(_xlfn._xlws.FILTER(CZ:CZ, CY:CY=U395, "")), "")</f>
        <v/>
      </c>
    </row>
    <row r="396" spans="2:105" ht="15" customHeight="1">
      <c r="B396" s="35">
        <v>392</v>
      </c>
      <c r="C396" s="36" t="s">
        <v>2260</v>
      </c>
      <c r="D396" s="76"/>
      <c r="E396" s="37" t="str">
        <f>IF(Table5[[#This Row],[Query Date]]&lt;&gt;"", TEXT(Table5[[#This Row],[Query Date]], "dddd"), "")</f>
        <v/>
      </c>
      <c r="F396" s="37" t="str">
        <f>IF(Table5[[#This Row],[Query Date]]&lt;&gt;"", TEXT(Table5[[#This Row],[Query Date]], "mmmm"), "")</f>
        <v/>
      </c>
      <c r="G396" s="28"/>
      <c r="H396" s="28"/>
      <c r="I396" s="28"/>
      <c r="J396" s="28"/>
      <c r="K396" s="28"/>
      <c r="L396" s="25"/>
      <c r="M396" s="112"/>
      <c r="N396" s="25"/>
      <c r="O396" s="130"/>
      <c r="P396" s="46"/>
      <c r="Q396" s="77"/>
      <c r="R396" s="77" t="str">
        <f>IF(Table5[[#This Row],[Tour Starting Date]]&lt;&gt;"", TEXT(Table5[[#This Row],[Tour Starting Date]], "dddd"), "")</f>
        <v/>
      </c>
      <c r="S396" s="77"/>
      <c r="T396" s="25" t="str">
        <f>IF(Table5[[#This Row],[Tour Ending Date]]&lt;&gt;"", TEXT(Table5[[#This Row],[Tour Ending Date]], "dddd"), "")</f>
        <v/>
      </c>
      <c r="U39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396" s="37" t="str">
        <f>IF(Table5[[#This Row],[Tour Starting Date]]&lt;&gt;"", TEXT(Table5[[#This Row],[Tour Starting Date]], "mmmm"), "")</f>
        <v/>
      </c>
      <c r="W396" s="80" t="str" cm="1">
        <f t="array" ref="W396">IF(Q396&lt;&gt;"", INDEX(CI:CI, MATCH(1, (Q396&gt;=CG:CG)*(Q396&lt;=CH:CH), 0)), "")</f>
        <v/>
      </c>
      <c r="X396" s="39"/>
      <c r="Y396" s="74"/>
      <c r="Z396" s="74" t="str">
        <f>IF(OR(Table5[[#This Row],[Per Person Package Cost]]="", Table5[[#This Row],[No. of Pax]]=""), "", Table5[[#This Row],[Per Person Package Cost]] * Table5[[#This Row],[No. of Pax]])</f>
        <v/>
      </c>
      <c r="AA396" s="52"/>
      <c r="AB396" s="52"/>
      <c r="AC396" s="52"/>
      <c r="AD396" s="52"/>
      <c r="AE396" s="51" t="str">
        <f t="shared" si="49"/>
        <v/>
      </c>
      <c r="AF396" s="51" t="str">
        <f t="shared" si="50"/>
        <v/>
      </c>
      <c r="AG396" s="74" t="str">
        <f t="shared" si="51"/>
        <v/>
      </c>
      <c r="AH396" s="73" t="str">
        <f t="shared" si="48"/>
        <v/>
      </c>
      <c r="AI396" s="52"/>
      <c r="AJ396" s="56"/>
      <c r="AK396" s="59"/>
      <c r="AL396" s="60"/>
      <c r="AM396" s="54"/>
      <c r="AN396" s="14"/>
      <c r="AO396" s="15"/>
      <c r="AP396" s="91"/>
      <c r="AQ396" s="87"/>
      <c r="AR396" s="26"/>
      <c r="AS396" s="65"/>
      <c r="AT396" s="88"/>
      <c r="AU396" s="67"/>
      <c r="CN396" t="s">
        <v>1725</v>
      </c>
      <c r="DA396" t="str" cm="1">
        <f t="array" ref="DA396">IF(U396&lt;&gt;"", TRANSPOSE(_xlfn._xlws.FILTER(CZ:CZ, CY:CY=U396, "")), "")</f>
        <v/>
      </c>
    </row>
    <row r="397" spans="2:105" ht="15" customHeight="1">
      <c r="B397" s="34">
        <v>393</v>
      </c>
      <c r="C397" s="36" t="s">
        <v>2261</v>
      </c>
      <c r="D397" s="76"/>
      <c r="E397" s="37" t="str">
        <f>IF(Table5[[#This Row],[Query Date]]&lt;&gt;"", TEXT(Table5[[#This Row],[Query Date]], "dddd"), "")</f>
        <v/>
      </c>
      <c r="F397" s="37" t="str">
        <f>IF(Table5[[#This Row],[Query Date]]&lt;&gt;"", TEXT(Table5[[#This Row],[Query Date]], "mmmm"), "")</f>
        <v/>
      </c>
      <c r="G397" s="28"/>
      <c r="H397" s="28"/>
      <c r="I397" s="28"/>
      <c r="J397" s="28"/>
      <c r="K397" s="28"/>
      <c r="L397" s="25"/>
      <c r="M397" s="25"/>
      <c r="N397" s="25"/>
      <c r="O397" s="130"/>
      <c r="P397" s="46"/>
      <c r="Q397" s="77"/>
      <c r="R397" s="77" t="str">
        <f>IF(Table5[[#This Row],[Tour Starting Date]]&lt;&gt;"", TEXT(Table5[[#This Row],[Tour Starting Date]], "dddd"), "")</f>
        <v/>
      </c>
      <c r="S397" s="77"/>
      <c r="T397" s="25" t="str">
        <f>IF(Table5[[#This Row],[Tour Ending Date]]&lt;&gt;"", TEXT(Table5[[#This Row],[Tour Ending Date]], "dddd"), "")</f>
        <v/>
      </c>
      <c r="U39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397" s="37" t="str">
        <f>IF(Table5[[#This Row],[Tour Starting Date]]&lt;&gt;"", TEXT(Table5[[#This Row],[Tour Starting Date]], "mmmm"), "")</f>
        <v/>
      </c>
      <c r="W397" s="80" t="str" cm="1">
        <f t="array" ref="W397">IF(Q397&lt;&gt;"", INDEX(CI:CI, MATCH(1, (Q397&gt;=CG:CG)*(Q397&lt;=CH:CH), 0)), "")</f>
        <v/>
      </c>
      <c r="X397" s="39"/>
      <c r="Y397" s="74"/>
      <c r="Z397" s="74" t="str">
        <f>IF(OR(Table5[[#This Row],[Per Person Package Cost]]="", Table5[[#This Row],[No. of Pax]]=""), "", Table5[[#This Row],[Per Person Package Cost]] * Table5[[#This Row],[No. of Pax]])</f>
        <v/>
      </c>
      <c r="AA397" s="52"/>
      <c r="AB397" s="52"/>
      <c r="AC397" s="52"/>
      <c r="AD397" s="52"/>
      <c r="AE397" s="51" t="str">
        <f t="shared" si="49"/>
        <v/>
      </c>
      <c r="AF397" s="51" t="str">
        <f t="shared" si="50"/>
        <v/>
      </c>
      <c r="AG397" s="74" t="str">
        <f t="shared" si="51"/>
        <v/>
      </c>
      <c r="AH397" s="73" t="str">
        <f t="shared" si="48"/>
        <v/>
      </c>
      <c r="AI397" s="52"/>
      <c r="AJ397" s="56"/>
      <c r="AK397" s="59"/>
      <c r="AL397" s="60"/>
      <c r="AM397" s="54"/>
      <c r="AN397" s="14"/>
      <c r="AO397" s="15"/>
      <c r="AP397" s="91"/>
      <c r="AQ397" s="87"/>
      <c r="AR397" s="26"/>
      <c r="AS397" s="65"/>
      <c r="AT397" s="88"/>
      <c r="AU397" s="67"/>
      <c r="CN397" t="s">
        <v>1739</v>
      </c>
      <c r="DA397" t="str" cm="1">
        <f t="array" ref="DA397">IF(U397&lt;&gt;"", TRANSPOSE(_xlfn._xlws.FILTER(CZ:CZ, CY:CY=U397, "")), "")</f>
        <v/>
      </c>
    </row>
    <row r="398" spans="2:105" ht="15" customHeight="1">
      <c r="B398" s="35">
        <v>394</v>
      </c>
      <c r="C398" s="36" t="s">
        <v>2262</v>
      </c>
      <c r="D398" s="76"/>
      <c r="E398" s="37" t="str">
        <f>IF(Table5[[#This Row],[Query Date]]&lt;&gt;"", TEXT(Table5[[#This Row],[Query Date]], "dddd"), "")</f>
        <v/>
      </c>
      <c r="F398" s="37" t="str">
        <f>IF(Table5[[#This Row],[Query Date]]&lt;&gt;"", TEXT(Table5[[#This Row],[Query Date]], "mmmm"), "")</f>
        <v/>
      </c>
      <c r="G398" s="28"/>
      <c r="H398" s="28"/>
      <c r="I398" s="28"/>
      <c r="J398" s="28"/>
      <c r="K398" s="28"/>
      <c r="L398" s="25"/>
      <c r="M398" s="112"/>
      <c r="N398" s="25"/>
      <c r="O398" s="130"/>
      <c r="P398" s="48"/>
      <c r="Q398" s="77"/>
      <c r="R398" s="77" t="str">
        <f>IF(Table5[[#This Row],[Tour Starting Date]]&lt;&gt;"", TEXT(Table5[[#This Row],[Tour Starting Date]], "dddd"), "")</f>
        <v/>
      </c>
      <c r="S398" s="77"/>
      <c r="T398" s="25" t="str">
        <f>IF(Table5[[#This Row],[Tour Ending Date]]&lt;&gt;"", TEXT(Table5[[#This Row],[Tour Ending Date]], "dddd"), "")</f>
        <v/>
      </c>
      <c r="U39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398" s="37" t="str">
        <f>IF(Table5[[#This Row],[Tour Starting Date]]&lt;&gt;"", TEXT(Table5[[#This Row],[Tour Starting Date]], "mmmm"), "")</f>
        <v/>
      </c>
      <c r="W398" s="80" t="str" cm="1">
        <f t="array" ref="W398">IF(Q398&lt;&gt;"", INDEX(CI:CI, MATCH(1, (Q398&gt;=CG:CG)*(Q398&lt;=CH:CH), 0)), "")</f>
        <v/>
      </c>
      <c r="X398" s="39"/>
      <c r="Y398" s="74"/>
      <c r="Z398" s="74" t="str">
        <f>IF(OR(Table5[[#This Row],[Per Person Package Cost]]="", Table5[[#This Row],[No. of Pax]]=""), "", Table5[[#This Row],[Per Person Package Cost]] * Table5[[#This Row],[No. of Pax]])</f>
        <v/>
      </c>
      <c r="AA398" s="52"/>
      <c r="AB398" s="52"/>
      <c r="AC398" s="52"/>
      <c r="AD398" s="52"/>
      <c r="AE398" s="51" t="str">
        <f t="shared" si="49"/>
        <v/>
      </c>
      <c r="AF398" s="51" t="str">
        <f t="shared" si="50"/>
        <v/>
      </c>
      <c r="AG398" s="74" t="str">
        <f t="shared" si="51"/>
        <v/>
      </c>
      <c r="AH398" s="73" t="str">
        <f t="shared" si="48"/>
        <v/>
      </c>
      <c r="AI398" s="52"/>
      <c r="AJ398" s="56"/>
      <c r="AK398" s="59"/>
      <c r="AL398" s="60"/>
      <c r="AM398" s="54"/>
      <c r="AN398" s="14"/>
      <c r="AO398" s="15"/>
      <c r="AP398" s="91"/>
      <c r="AQ398" s="87"/>
      <c r="AR398" s="26"/>
      <c r="AS398" s="65"/>
      <c r="AT398" s="88"/>
      <c r="AU398" s="67"/>
      <c r="CN398" t="s">
        <v>1073</v>
      </c>
      <c r="DA398" t="str" cm="1">
        <f t="array" ref="DA398">IF(U398&lt;&gt;"", TRANSPOSE(_xlfn._xlws.FILTER(CZ:CZ, CY:CY=U398, "")), "")</f>
        <v/>
      </c>
    </row>
    <row r="399" spans="2:105" ht="15" customHeight="1">
      <c r="B399" s="34">
        <v>395</v>
      </c>
      <c r="C399" s="36" t="s">
        <v>2263</v>
      </c>
      <c r="D399" s="76"/>
      <c r="E399" s="37" t="str">
        <f>IF(Table5[[#This Row],[Query Date]]&lt;&gt;"", TEXT(Table5[[#This Row],[Query Date]], "dddd"), "")</f>
        <v/>
      </c>
      <c r="F399" s="37" t="str">
        <f>IF(Table5[[#This Row],[Query Date]]&lt;&gt;"", TEXT(Table5[[#This Row],[Query Date]], "mmmm"), "")</f>
        <v/>
      </c>
      <c r="G399" s="28"/>
      <c r="H399" s="28"/>
      <c r="I399" s="28"/>
      <c r="J399" s="28"/>
      <c r="K399" s="28"/>
      <c r="L399" s="25"/>
      <c r="M399" s="112"/>
      <c r="N399" s="25"/>
      <c r="O399" s="130"/>
      <c r="P399" s="46"/>
      <c r="Q399" s="77"/>
      <c r="R399" s="77" t="str">
        <f>IF(Table5[[#This Row],[Tour Starting Date]]&lt;&gt;"", TEXT(Table5[[#This Row],[Tour Starting Date]], "dddd"), "")</f>
        <v/>
      </c>
      <c r="S399" s="77"/>
      <c r="T399" s="25" t="str">
        <f>IF(Table5[[#This Row],[Tour Ending Date]]&lt;&gt;"", TEXT(Table5[[#This Row],[Tour Ending Date]], "dddd"), "")</f>
        <v/>
      </c>
      <c r="U39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399" s="37" t="str">
        <f>IF(Table5[[#This Row],[Tour Starting Date]]&lt;&gt;"", TEXT(Table5[[#This Row],[Tour Starting Date]], "mmmm"), "")</f>
        <v/>
      </c>
      <c r="W399" s="80" t="str" cm="1">
        <f t="array" ref="W399">IF(Q399&lt;&gt;"", INDEX(CI:CI, MATCH(1, (Q399&gt;=CG:CG)*(Q399&lt;=CH:CH), 0)), "")</f>
        <v/>
      </c>
      <c r="X399" s="39"/>
      <c r="Y399" s="74"/>
      <c r="Z399" s="74" t="str">
        <f>IF(OR(Table5[[#This Row],[Per Person Package Cost]]="", Table5[[#This Row],[No. of Pax]]=""), "", Table5[[#This Row],[Per Person Package Cost]] * Table5[[#This Row],[No. of Pax]])</f>
        <v/>
      </c>
      <c r="AA399" s="52"/>
      <c r="AB399" s="52"/>
      <c r="AC399" s="52"/>
      <c r="AD399" s="52"/>
      <c r="AE399" s="51" t="str">
        <f t="shared" si="49"/>
        <v/>
      </c>
      <c r="AF399" s="51" t="str">
        <f t="shared" si="50"/>
        <v/>
      </c>
      <c r="AG399" s="74" t="str">
        <f t="shared" si="51"/>
        <v/>
      </c>
      <c r="AH399" s="73" t="str">
        <f t="shared" si="48"/>
        <v/>
      </c>
      <c r="AI399" s="52"/>
      <c r="AJ399" s="56"/>
      <c r="AK399" s="59"/>
      <c r="AL399" s="60"/>
      <c r="AM399" s="54"/>
      <c r="AN399" s="14"/>
      <c r="AO399" s="15"/>
      <c r="AP399" s="91"/>
      <c r="AQ399" s="87"/>
      <c r="AR399" s="26"/>
      <c r="AS399" s="65"/>
      <c r="AT399" s="88"/>
      <c r="AU399" s="67"/>
      <c r="CN399" t="s">
        <v>1850</v>
      </c>
      <c r="DA399" t="str" cm="1">
        <f t="array" ref="DA399">IF(U399&lt;&gt;"", TRANSPOSE(_xlfn._xlws.FILTER(CZ:CZ, CY:CY=U399, "")), "")</f>
        <v/>
      </c>
    </row>
    <row r="400" spans="2:105" ht="15" customHeight="1">
      <c r="B400" s="35">
        <v>396</v>
      </c>
      <c r="C400" s="36" t="s">
        <v>2264</v>
      </c>
      <c r="D400" s="76"/>
      <c r="E400" s="37" t="str">
        <f>IF(Table5[[#This Row],[Query Date]]&lt;&gt;"", TEXT(Table5[[#This Row],[Query Date]], "dddd"), "")</f>
        <v/>
      </c>
      <c r="F400" s="37" t="str">
        <f>IF(Table5[[#This Row],[Query Date]]&lt;&gt;"", TEXT(Table5[[#This Row],[Query Date]], "mmmm"), "")</f>
        <v/>
      </c>
      <c r="G400" s="28"/>
      <c r="H400" s="28"/>
      <c r="I400" s="28"/>
      <c r="J400" s="28"/>
      <c r="K400" s="28"/>
      <c r="L400" s="25"/>
      <c r="M400" s="25"/>
      <c r="N400" s="25"/>
      <c r="O400" s="130"/>
      <c r="P400" s="46"/>
      <c r="Q400" s="77"/>
      <c r="R400" s="77" t="str">
        <f>IF(Table5[[#This Row],[Tour Starting Date]]&lt;&gt;"", TEXT(Table5[[#This Row],[Tour Starting Date]], "dddd"), "")</f>
        <v/>
      </c>
      <c r="S400" s="77"/>
      <c r="T400" s="25" t="str">
        <f>IF(Table5[[#This Row],[Tour Ending Date]]&lt;&gt;"", TEXT(Table5[[#This Row],[Tour Ending Date]], "dddd"), "")</f>
        <v/>
      </c>
      <c r="U40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00" s="37" t="str">
        <f>IF(Table5[[#This Row],[Tour Starting Date]]&lt;&gt;"", TEXT(Table5[[#This Row],[Tour Starting Date]], "mmmm"), "")</f>
        <v/>
      </c>
      <c r="W400" s="80" t="str" cm="1">
        <f t="array" ref="W400">IF(Q400&lt;&gt;"", INDEX(CI:CI, MATCH(1, (Q400&gt;=CG:CG)*(Q400&lt;=CH:CH), 0)), "")</f>
        <v/>
      </c>
      <c r="X400" s="39"/>
      <c r="Y400" s="74"/>
      <c r="Z400" s="74" t="str">
        <f>IF(OR(Table5[[#This Row],[Per Person Package Cost]]="", Table5[[#This Row],[No. of Pax]]=""), "", Table5[[#This Row],[Per Person Package Cost]] * Table5[[#This Row],[No. of Pax]])</f>
        <v/>
      </c>
      <c r="AA400" s="52"/>
      <c r="AB400" s="52"/>
      <c r="AC400" s="52"/>
      <c r="AD400" s="52"/>
      <c r="AE400" s="51" t="str">
        <f t="shared" si="49"/>
        <v/>
      </c>
      <c r="AF400" s="51" t="str">
        <f t="shared" si="50"/>
        <v/>
      </c>
      <c r="AG400" s="74" t="str">
        <f t="shared" si="51"/>
        <v/>
      </c>
      <c r="AH400" s="73" t="str">
        <f t="shared" si="48"/>
        <v/>
      </c>
      <c r="AI400" s="52"/>
      <c r="AJ400" s="56"/>
      <c r="AK400" s="59"/>
      <c r="AL400" s="60"/>
      <c r="AM400" s="54"/>
      <c r="AN400" s="14"/>
      <c r="AO400" s="15"/>
      <c r="AP400" s="91"/>
      <c r="AQ400" s="87"/>
      <c r="AR400" s="26"/>
      <c r="AS400" s="65"/>
      <c r="AT400" s="88"/>
      <c r="AU400" s="67"/>
      <c r="CN400" t="s">
        <v>1874</v>
      </c>
      <c r="DA400" t="str" cm="1">
        <f t="array" ref="DA400">IF(U400&lt;&gt;"", TRANSPOSE(_xlfn._xlws.FILTER(CZ:CZ, CY:CY=U400, "")), "")</f>
        <v/>
      </c>
    </row>
    <row r="401" spans="2:105" ht="15" customHeight="1">
      <c r="B401" s="34">
        <v>397</v>
      </c>
      <c r="C401" s="36" t="s">
        <v>2265</v>
      </c>
      <c r="D401" s="76"/>
      <c r="E401" s="37" t="str">
        <f>IF(Table5[[#This Row],[Query Date]]&lt;&gt;"", TEXT(Table5[[#This Row],[Query Date]], "dddd"), "")</f>
        <v/>
      </c>
      <c r="F401" s="37" t="str">
        <f>IF(Table5[[#This Row],[Query Date]]&lt;&gt;"", TEXT(Table5[[#This Row],[Query Date]], "mmmm"), "")</f>
        <v/>
      </c>
      <c r="G401" s="28"/>
      <c r="H401" s="28"/>
      <c r="I401" s="28"/>
      <c r="J401" s="28"/>
      <c r="K401" s="28"/>
      <c r="L401" s="25"/>
      <c r="M401" s="25"/>
      <c r="N401" s="25"/>
      <c r="O401" s="130"/>
      <c r="P401" s="46"/>
      <c r="Q401" s="77"/>
      <c r="R401" s="77" t="str">
        <f>IF(Table5[[#This Row],[Tour Starting Date]]&lt;&gt;"", TEXT(Table5[[#This Row],[Tour Starting Date]], "dddd"), "")</f>
        <v/>
      </c>
      <c r="S401" s="77"/>
      <c r="T401" s="25" t="str">
        <f>IF(Table5[[#This Row],[Tour Ending Date]]&lt;&gt;"", TEXT(Table5[[#This Row],[Tour Ending Date]], "dddd"), "")</f>
        <v/>
      </c>
      <c r="U40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01" s="37" t="str">
        <f>IF(Table5[[#This Row],[Tour Starting Date]]&lt;&gt;"", TEXT(Table5[[#This Row],[Tour Starting Date]], "mmmm"), "")</f>
        <v/>
      </c>
      <c r="W401" s="80" t="str" cm="1">
        <f t="array" ref="W401">IF(Q401&lt;&gt;"", INDEX(CI:CI, MATCH(1, (Q401&gt;=CG:CG)*(Q401&lt;=CH:CH), 0)), "")</f>
        <v/>
      </c>
      <c r="X401" s="39"/>
      <c r="Y401" s="74"/>
      <c r="Z401" s="74" t="str">
        <f>IF(OR(Table5[[#This Row],[Per Person Package Cost]]="", Table5[[#This Row],[No. of Pax]]=""), "", Table5[[#This Row],[Per Person Package Cost]] * Table5[[#This Row],[No. of Pax]])</f>
        <v/>
      </c>
      <c r="AA401" s="52"/>
      <c r="AB401" s="52"/>
      <c r="AC401" s="52"/>
      <c r="AD401" s="52"/>
      <c r="AE401" s="51" t="str">
        <f t="shared" si="49"/>
        <v/>
      </c>
      <c r="AF401" s="51" t="str">
        <f t="shared" si="50"/>
        <v/>
      </c>
      <c r="AG401" s="74" t="str">
        <f t="shared" si="51"/>
        <v/>
      </c>
      <c r="AH401" s="73" t="str">
        <f t="shared" si="48"/>
        <v/>
      </c>
      <c r="AI401" s="52"/>
      <c r="AJ401" s="56"/>
      <c r="AK401" s="59"/>
      <c r="AL401" s="60"/>
      <c r="AM401" s="54"/>
      <c r="AN401" s="14"/>
      <c r="AO401" s="15"/>
      <c r="AP401" s="91"/>
      <c r="AQ401" s="87"/>
      <c r="AR401" s="26"/>
      <c r="AS401" s="65"/>
      <c r="AT401" s="88"/>
      <c r="AU401" s="67"/>
      <c r="CN401" t="s">
        <v>1910</v>
      </c>
      <c r="DA401" t="str" cm="1">
        <f t="array" ref="DA401">IF(U401&lt;&gt;"", TRANSPOSE(_xlfn._xlws.FILTER(CZ:CZ, CY:CY=U401, "")), "")</f>
        <v/>
      </c>
    </row>
    <row r="402" spans="2:105" ht="15" customHeight="1">
      <c r="B402" s="35">
        <v>398</v>
      </c>
      <c r="C402" s="36" t="s">
        <v>2266</v>
      </c>
      <c r="D402" s="76"/>
      <c r="E402" s="37" t="str">
        <f>IF(Table5[[#This Row],[Query Date]]&lt;&gt;"", TEXT(Table5[[#This Row],[Query Date]], "dddd"), "")</f>
        <v/>
      </c>
      <c r="F402" s="37" t="str">
        <f>IF(Table5[[#This Row],[Query Date]]&lt;&gt;"", TEXT(Table5[[#This Row],[Query Date]], "mmmm"), "")</f>
        <v/>
      </c>
      <c r="G402" s="28"/>
      <c r="H402" s="28"/>
      <c r="I402" s="28"/>
      <c r="J402" s="28"/>
      <c r="K402" s="28"/>
      <c r="L402" s="25"/>
      <c r="M402" s="25"/>
      <c r="N402" s="25"/>
      <c r="O402" s="130"/>
      <c r="P402" s="46"/>
      <c r="Q402" s="77"/>
      <c r="R402" s="77" t="str">
        <f>IF(Table5[[#This Row],[Tour Starting Date]]&lt;&gt;"", TEXT(Table5[[#This Row],[Tour Starting Date]], "dddd"), "")</f>
        <v/>
      </c>
      <c r="S402" s="77"/>
      <c r="T402" s="25" t="str">
        <f>IF(Table5[[#This Row],[Tour Ending Date]]&lt;&gt;"", TEXT(Table5[[#This Row],[Tour Ending Date]], "dddd"), "")</f>
        <v/>
      </c>
      <c r="U40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02" s="37" t="str">
        <f>IF(Table5[[#This Row],[Tour Starting Date]]&lt;&gt;"", TEXT(Table5[[#This Row],[Tour Starting Date]], "mmmm"), "")</f>
        <v/>
      </c>
      <c r="W402" s="80" t="str" cm="1">
        <f t="array" ref="W402">IF(Q402&lt;&gt;"", INDEX(CI:CI, MATCH(1, (Q402&gt;=CG:CG)*(Q402&lt;=CH:CH), 0)), "")</f>
        <v/>
      </c>
      <c r="X402" s="39"/>
      <c r="Y402" s="74"/>
      <c r="Z402" s="74" t="str">
        <f>IF(OR(Table5[[#This Row],[Per Person Package Cost]]="", Table5[[#This Row],[No. of Pax]]=""), "", Table5[[#This Row],[Per Person Package Cost]] * Table5[[#This Row],[No. of Pax]])</f>
        <v/>
      </c>
      <c r="AA402" s="52"/>
      <c r="AB402" s="52"/>
      <c r="AC402" s="52"/>
      <c r="AD402" s="52"/>
      <c r="AE402" s="51" t="str">
        <f t="shared" si="49"/>
        <v/>
      </c>
      <c r="AF402" s="51" t="str">
        <f t="shared" si="50"/>
        <v/>
      </c>
      <c r="AG402" s="74" t="str">
        <f t="shared" si="51"/>
        <v/>
      </c>
      <c r="AH402" s="73" t="str">
        <f t="shared" si="48"/>
        <v/>
      </c>
      <c r="AI402" s="52"/>
      <c r="AJ402" s="56"/>
      <c r="AK402" s="59"/>
      <c r="AL402" s="60"/>
      <c r="AM402" s="54"/>
      <c r="AN402" s="14"/>
      <c r="AO402" s="15"/>
      <c r="AP402" s="91"/>
      <c r="AQ402" s="87"/>
      <c r="AR402" s="26"/>
      <c r="AS402" s="65"/>
      <c r="AT402" s="88"/>
      <c r="AU402" s="67"/>
      <c r="CN402" t="s">
        <v>1917</v>
      </c>
      <c r="DA402" t="str" cm="1">
        <f t="array" ref="DA402">IF(U402&lt;&gt;"", TRANSPOSE(_xlfn._xlws.FILTER(CZ:CZ, CY:CY=U402, "")), "")</f>
        <v/>
      </c>
    </row>
    <row r="403" spans="2:105" ht="15" customHeight="1">
      <c r="B403" s="34">
        <v>399</v>
      </c>
      <c r="C403" s="36" t="s">
        <v>2267</v>
      </c>
      <c r="D403" s="76"/>
      <c r="E403" s="37" t="str">
        <f>IF(Table5[[#This Row],[Query Date]]&lt;&gt;"", TEXT(Table5[[#This Row],[Query Date]], "dddd"), "")</f>
        <v/>
      </c>
      <c r="F403" s="37" t="str">
        <f>IF(Table5[[#This Row],[Query Date]]&lt;&gt;"", TEXT(Table5[[#This Row],[Query Date]], "mmmm"), "")</f>
        <v/>
      </c>
      <c r="G403" s="28"/>
      <c r="H403" s="28"/>
      <c r="I403" s="28"/>
      <c r="J403" s="28"/>
      <c r="K403" s="28"/>
      <c r="L403" s="25"/>
      <c r="M403" s="112"/>
      <c r="N403" s="25"/>
      <c r="O403" s="130"/>
      <c r="P403" s="46"/>
      <c r="Q403" s="77"/>
      <c r="R403" s="77" t="str">
        <f>IF(Table5[[#This Row],[Tour Starting Date]]&lt;&gt;"", TEXT(Table5[[#This Row],[Tour Starting Date]], "dddd"), "")</f>
        <v/>
      </c>
      <c r="S403" s="77"/>
      <c r="T403" s="25" t="str">
        <f>IF(Table5[[#This Row],[Tour Ending Date]]&lt;&gt;"", TEXT(Table5[[#This Row],[Tour Ending Date]], "dddd"), "")</f>
        <v/>
      </c>
      <c r="U40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03" s="37" t="str">
        <f>IF(Table5[[#This Row],[Tour Starting Date]]&lt;&gt;"", TEXT(Table5[[#This Row],[Tour Starting Date]], "mmmm"), "")</f>
        <v/>
      </c>
      <c r="W403" s="80" t="str" cm="1">
        <f t="array" ref="W403">IF(Q403&lt;&gt;"", INDEX(CI:CI, MATCH(1, (Q403&gt;=CG:CG)*(Q403&lt;=CH:CH), 0)), "")</f>
        <v/>
      </c>
      <c r="X403" s="39"/>
      <c r="Y403" s="74"/>
      <c r="Z403" s="74" t="str">
        <f>IF(OR(Table5[[#This Row],[Per Person Package Cost]]="", Table5[[#This Row],[No. of Pax]]=""), "", Table5[[#This Row],[Per Person Package Cost]] * Table5[[#This Row],[No. of Pax]])</f>
        <v/>
      </c>
      <c r="AA403" s="52"/>
      <c r="AB403" s="52"/>
      <c r="AC403" s="52"/>
      <c r="AD403" s="52"/>
      <c r="AE403" s="51" t="str">
        <f t="shared" si="49"/>
        <v/>
      </c>
      <c r="AF403" s="51" t="str">
        <f t="shared" si="50"/>
        <v/>
      </c>
      <c r="AG403" s="74" t="str">
        <f t="shared" si="51"/>
        <v/>
      </c>
      <c r="AH403" s="73" t="str">
        <f t="shared" si="48"/>
        <v/>
      </c>
      <c r="AI403" s="52"/>
      <c r="AJ403" s="56"/>
      <c r="AK403" s="59"/>
      <c r="AL403" s="60"/>
      <c r="AM403" s="54"/>
      <c r="AN403" s="14"/>
      <c r="AO403" s="15"/>
      <c r="AP403" s="91"/>
      <c r="AQ403" s="87"/>
      <c r="AR403" s="26"/>
      <c r="AS403" s="65"/>
      <c r="AT403" s="88"/>
      <c r="AU403" s="67"/>
      <c r="CN403" t="s">
        <v>1938</v>
      </c>
      <c r="DA403" t="str" cm="1">
        <f t="array" ref="DA403">IF(U403&lt;&gt;"", TRANSPOSE(_xlfn._xlws.FILTER(CZ:CZ, CY:CY=U403, "")), "")</f>
        <v/>
      </c>
    </row>
    <row r="404" spans="2:105" ht="15" customHeight="1">
      <c r="B404" s="35">
        <v>400</v>
      </c>
      <c r="C404" s="36" t="s">
        <v>2268</v>
      </c>
      <c r="D404" s="76"/>
      <c r="E404" s="37" t="str">
        <f>IF(Table5[[#This Row],[Query Date]]&lt;&gt;"", TEXT(Table5[[#This Row],[Query Date]], "dddd"), "")</f>
        <v/>
      </c>
      <c r="F404" s="37" t="str">
        <f>IF(Table5[[#This Row],[Query Date]]&lt;&gt;"", TEXT(Table5[[#This Row],[Query Date]], "mmmm"), "")</f>
        <v/>
      </c>
      <c r="G404" s="28"/>
      <c r="H404" s="28"/>
      <c r="I404" s="28"/>
      <c r="J404" s="28"/>
      <c r="K404" s="28"/>
      <c r="L404" s="25"/>
      <c r="M404" s="25"/>
      <c r="N404" s="25"/>
      <c r="O404" s="130"/>
      <c r="P404" s="46"/>
      <c r="Q404" s="77"/>
      <c r="R404" s="77" t="str">
        <f>IF(Table5[[#This Row],[Tour Starting Date]]&lt;&gt;"", TEXT(Table5[[#This Row],[Tour Starting Date]], "dddd"), "")</f>
        <v/>
      </c>
      <c r="S404" s="77"/>
      <c r="T404" s="25" t="str">
        <f>IF(Table5[[#This Row],[Tour Ending Date]]&lt;&gt;"", TEXT(Table5[[#This Row],[Tour Ending Date]], "dddd"), "")</f>
        <v/>
      </c>
      <c r="U40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04" s="37" t="str">
        <f>IF(Table5[[#This Row],[Tour Starting Date]]&lt;&gt;"", TEXT(Table5[[#This Row],[Tour Starting Date]], "mmmm"), "")</f>
        <v/>
      </c>
      <c r="W404" s="80" t="str" cm="1">
        <f t="array" ref="W404">IF(Q404&lt;&gt;"", INDEX(CI:CI, MATCH(1, (Q404&gt;=CG:CG)*(Q404&lt;=CH:CH), 0)), "")</f>
        <v/>
      </c>
      <c r="X404" s="39"/>
      <c r="Y404" s="74"/>
      <c r="Z404" s="74" t="str">
        <f>IF(OR(Table5[[#This Row],[Per Person Package Cost]]="", Table5[[#This Row],[No. of Pax]]=""), "", Table5[[#This Row],[Per Person Package Cost]] * Table5[[#This Row],[No. of Pax]])</f>
        <v/>
      </c>
      <c r="AA404" s="52"/>
      <c r="AB404" s="52"/>
      <c r="AC404" s="52"/>
      <c r="AD404" s="52"/>
      <c r="AE404" s="51" t="str">
        <f t="shared" si="49"/>
        <v/>
      </c>
      <c r="AF404" s="51" t="str">
        <f t="shared" si="50"/>
        <v/>
      </c>
      <c r="AG404" s="74" t="str">
        <f t="shared" si="51"/>
        <v/>
      </c>
      <c r="AH404" s="73" t="str">
        <f t="shared" ref="AH404:AH467" si="52">IF(AD404&lt;&gt;"", INDEX(CV:CV, MATCH(AD404, CZ:CZ, 0)), "")</f>
        <v/>
      </c>
      <c r="AI404" s="52"/>
      <c r="AJ404" s="56"/>
      <c r="AK404" s="59"/>
      <c r="AL404" s="60"/>
      <c r="AM404" s="54"/>
      <c r="AN404" s="14"/>
      <c r="AO404" s="15"/>
      <c r="AP404" s="91"/>
      <c r="AQ404" s="87"/>
      <c r="AR404" s="26"/>
      <c r="AS404" s="65"/>
      <c r="AT404" s="88"/>
      <c r="AU404" s="67"/>
      <c r="CN404" t="s">
        <v>1944</v>
      </c>
      <c r="DA404" t="str" cm="1">
        <f t="array" ref="DA404">IF(U404&lt;&gt;"", TRANSPOSE(_xlfn._xlws.FILTER(CZ:CZ, CY:CY=U404, "")), "")</f>
        <v/>
      </c>
    </row>
    <row r="405" spans="2:105" ht="15" customHeight="1">
      <c r="B405" s="34">
        <v>401</v>
      </c>
      <c r="C405" s="36" t="s">
        <v>2269</v>
      </c>
      <c r="D405" s="76"/>
      <c r="E405" s="37" t="str">
        <f>IF(Table5[[#This Row],[Query Date]]&lt;&gt;"", TEXT(Table5[[#This Row],[Query Date]], "dddd"), "")</f>
        <v/>
      </c>
      <c r="F405" s="37" t="str">
        <f>IF(Table5[[#This Row],[Query Date]]&lt;&gt;"", TEXT(Table5[[#This Row],[Query Date]], "mmmm"), "")</f>
        <v/>
      </c>
      <c r="G405" s="28"/>
      <c r="H405" s="28"/>
      <c r="I405" s="28"/>
      <c r="J405" s="28"/>
      <c r="K405" s="28"/>
      <c r="L405" s="25"/>
      <c r="M405" s="25"/>
      <c r="N405" s="25"/>
      <c r="O405" s="130"/>
      <c r="P405" s="46"/>
      <c r="Q405" s="77"/>
      <c r="R405" s="77" t="str">
        <f>IF(Table5[[#This Row],[Tour Starting Date]]&lt;&gt;"", TEXT(Table5[[#This Row],[Tour Starting Date]], "dddd"), "")</f>
        <v/>
      </c>
      <c r="S405" s="77"/>
      <c r="T405" s="25" t="str">
        <f>IF(Table5[[#This Row],[Tour Ending Date]]&lt;&gt;"", TEXT(Table5[[#This Row],[Tour Ending Date]], "dddd"), "")</f>
        <v/>
      </c>
      <c r="U40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05" s="37" t="str">
        <f>IF(Table5[[#This Row],[Tour Starting Date]]&lt;&gt;"", TEXT(Table5[[#This Row],[Tour Starting Date]], "mmmm"), "")</f>
        <v/>
      </c>
      <c r="W405" s="80" t="str" cm="1">
        <f t="array" ref="W405">IF(Q405&lt;&gt;"", INDEX(CI:CI, MATCH(1, (Q405&gt;=CG:CG)*(Q405&lt;=CH:CH), 0)), "")</f>
        <v/>
      </c>
      <c r="X405" s="39"/>
      <c r="Y405" s="74"/>
      <c r="Z405" s="74" t="str">
        <f>IF(OR(Table5[[#This Row],[Per Person Package Cost]]="", Table5[[#This Row],[No. of Pax]]=""), "", Table5[[#This Row],[Per Person Package Cost]] * Table5[[#This Row],[No. of Pax]])</f>
        <v/>
      </c>
      <c r="AA405" s="52"/>
      <c r="AB405" s="52"/>
      <c r="AC405" s="52"/>
      <c r="AD405" s="52"/>
      <c r="AE405" s="51" t="str">
        <f t="shared" si="49"/>
        <v/>
      </c>
      <c r="AF405" s="51" t="str">
        <f t="shared" si="50"/>
        <v/>
      </c>
      <c r="AG405" s="74" t="str">
        <f t="shared" si="51"/>
        <v/>
      </c>
      <c r="AH405" s="73" t="str">
        <f t="shared" si="52"/>
        <v/>
      </c>
      <c r="AI405" s="52"/>
      <c r="AJ405" s="56"/>
      <c r="AK405" s="59"/>
      <c r="AL405" s="60"/>
      <c r="AM405" s="54"/>
      <c r="AN405" s="14"/>
      <c r="AO405" s="15"/>
      <c r="AP405" s="91"/>
      <c r="AQ405" s="87"/>
      <c r="AR405" s="26"/>
      <c r="AS405" s="65"/>
      <c r="AT405" s="88"/>
      <c r="AU405" s="67"/>
      <c r="CN405" t="s">
        <v>1952</v>
      </c>
      <c r="DA405" t="str" cm="1">
        <f t="array" ref="DA405">IF(U405&lt;&gt;"", TRANSPOSE(_xlfn._xlws.FILTER(CZ:CZ, CY:CY=U405, "")), "")</f>
        <v/>
      </c>
    </row>
    <row r="406" spans="2:105" ht="15" customHeight="1">
      <c r="B406" s="35">
        <v>402</v>
      </c>
      <c r="C406" s="36" t="s">
        <v>2270</v>
      </c>
      <c r="D406" s="76"/>
      <c r="E406" s="37" t="str">
        <f>IF(Table5[[#This Row],[Query Date]]&lt;&gt;"", TEXT(Table5[[#This Row],[Query Date]], "dddd"), "")</f>
        <v/>
      </c>
      <c r="F406" s="37" t="str">
        <f>IF(Table5[[#This Row],[Query Date]]&lt;&gt;"", TEXT(Table5[[#This Row],[Query Date]], "mmmm"), "")</f>
        <v/>
      </c>
      <c r="G406" s="28"/>
      <c r="H406" s="28"/>
      <c r="I406" s="28"/>
      <c r="J406" s="28"/>
      <c r="K406" s="28"/>
      <c r="L406" s="25"/>
      <c r="M406" s="25"/>
      <c r="N406" s="25"/>
      <c r="O406" s="130"/>
      <c r="P406" s="47"/>
      <c r="Q406" s="77"/>
      <c r="R406" s="77" t="str">
        <f>IF(Table5[[#This Row],[Tour Starting Date]]&lt;&gt;"", TEXT(Table5[[#This Row],[Tour Starting Date]], "dddd"), "")</f>
        <v/>
      </c>
      <c r="S406" s="77"/>
      <c r="T406" s="25" t="str">
        <f>IF(Table5[[#This Row],[Tour Ending Date]]&lt;&gt;"", TEXT(Table5[[#This Row],[Tour Ending Date]], "dddd"), "")</f>
        <v/>
      </c>
      <c r="U40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06" s="37" t="str">
        <f>IF(Table5[[#This Row],[Tour Starting Date]]&lt;&gt;"", TEXT(Table5[[#This Row],[Tour Starting Date]], "mmmm"), "")</f>
        <v/>
      </c>
      <c r="W406" s="80" t="str" cm="1">
        <f t="array" ref="W406">IF(Q406&lt;&gt;"", INDEX(CI:CI, MATCH(1, (Q406&gt;=CG:CG)*(Q406&lt;=CH:CH), 0)), "")</f>
        <v/>
      </c>
      <c r="X406" s="39"/>
      <c r="Y406" s="74"/>
      <c r="Z406" s="74" t="str">
        <f>IF(OR(Table5[[#This Row],[Per Person Package Cost]]="", Table5[[#This Row],[No. of Pax]]=""), "", Table5[[#This Row],[Per Person Package Cost]] * Table5[[#This Row],[No. of Pax]])</f>
        <v/>
      </c>
      <c r="AA406" s="52"/>
      <c r="AB406" s="52"/>
      <c r="AC406" s="52"/>
      <c r="AD406" s="52"/>
      <c r="AE406" s="51" t="str">
        <f t="shared" si="49"/>
        <v/>
      </c>
      <c r="AF406" s="51" t="str">
        <f t="shared" si="50"/>
        <v/>
      </c>
      <c r="AG406" s="74" t="str">
        <f t="shared" si="51"/>
        <v/>
      </c>
      <c r="AH406" s="73" t="str">
        <f t="shared" si="52"/>
        <v/>
      </c>
      <c r="AI406" s="52"/>
      <c r="AJ406" s="56"/>
      <c r="AK406" s="59"/>
      <c r="AL406" s="60"/>
      <c r="AM406" s="54"/>
      <c r="AN406" s="14"/>
      <c r="AO406" s="15"/>
      <c r="AP406" s="91"/>
      <c r="AQ406" s="87"/>
      <c r="AR406" s="26"/>
      <c r="AS406" s="65"/>
      <c r="AT406" s="88"/>
      <c r="AU406" s="67"/>
      <c r="CN406" t="s">
        <v>1957</v>
      </c>
      <c r="DA406" t="str" cm="1">
        <f t="array" ref="DA406">IF(U406&lt;&gt;"", TRANSPOSE(_xlfn._xlws.FILTER(CZ:CZ, CY:CY=U406, "")), "")</f>
        <v/>
      </c>
    </row>
    <row r="407" spans="2:105" ht="15" customHeight="1">
      <c r="B407" s="34">
        <v>403</v>
      </c>
      <c r="C407" s="36" t="s">
        <v>2271</v>
      </c>
      <c r="D407" s="76"/>
      <c r="E407" s="37" t="str">
        <f>IF(Table5[[#This Row],[Query Date]]&lt;&gt;"", TEXT(Table5[[#This Row],[Query Date]], "dddd"), "")</f>
        <v/>
      </c>
      <c r="F407" s="37" t="str">
        <f>IF(Table5[[#This Row],[Query Date]]&lt;&gt;"", TEXT(Table5[[#This Row],[Query Date]], "mmmm"), "")</f>
        <v/>
      </c>
      <c r="G407" s="28"/>
      <c r="H407" s="28"/>
      <c r="I407" s="28"/>
      <c r="J407" s="28"/>
      <c r="K407" s="28"/>
      <c r="L407" s="25"/>
      <c r="M407" s="49"/>
      <c r="N407" s="50"/>
      <c r="O407" s="130"/>
      <c r="P407" s="46"/>
      <c r="Q407" s="77"/>
      <c r="R407" s="77" t="str">
        <f>IF(Table5[[#This Row],[Tour Starting Date]]&lt;&gt;"", TEXT(Table5[[#This Row],[Tour Starting Date]], "dddd"), "")</f>
        <v/>
      </c>
      <c r="S407" s="77"/>
      <c r="T407" s="25" t="str">
        <f>IF(Table5[[#This Row],[Tour Ending Date]]&lt;&gt;"", TEXT(Table5[[#This Row],[Tour Ending Date]], "dddd"), "")</f>
        <v/>
      </c>
      <c r="U40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07" s="37" t="str">
        <f>IF(Table5[[#This Row],[Tour Starting Date]]&lt;&gt;"", TEXT(Table5[[#This Row],[Tour Starting Date]], "mmmm"), "")</f>
        <v/>
      </c>
      <c r="W407" s="80" t="str" cm="1">
        <f t="array" ref="W407">IF(Q407&lt;&gt;"", INDEX(CI:CI, MATCH(1, (Q407&gt;=CG:CG)*(Q407&lt;=CH:CH), 0)), "")</f>
        <v/>
      </c>
      <c r="X407" s="39"/>
      <c r="Y407" s="74"/>
      <c r="Z407" s="74" t="str">
        <f>IF(OR(Table5[[#This Row],[Per Person Package Cost]]="", Table5[[#This Row],[No. of Pax]]=""), "", Table5[[#This Row],[Per Person Package Cost]] * Table5[[#This Row],[No. of Pax]])</f>
        <v/>
      </c>
      <c r="AA407" s="52"/>
      <c r="AB407" s="52"/>
      <c r="AC407" s="52"/>
      <c r="AD407" s="52"/>
      <c r="AE407" s="51" t="str">
        <f t="shared" si="49"/>
        <v/>
      </c>
      <c r="AF407" s="51" t="str">
        <f t="shared" si="50"/>
        <v/>
      </c>
      <c r="AG407" s="74" t="str">
        <f t="shared" si="51"/>
        <v/>
      </c>
      <c r="AH407" s="73" t="str">
        <f t="shared" si="52"/>
        <v/>
      </c>
      <c r="AI407" s="52"/>
      <c r="AJ407" s="56"/>
      <c r="AK407" s="59"/>
      <c r="AL407" s="60"/>
      <c r="AM407" s="54"/>
      <c r="AN407" s="14"/>
      <c r="AO407" s="15"/>
      <c r="AP407" s="91"/>
      <c r="AQ407" s="87"/>
      <c r="AR407" s="26"/>
      <c r="AS407" s="65"/>
      <c r="AT407" s="88"/>
      <c r="AU407" s="67"/>
      <c r="CN407" t="s">
        <v>1248</v>
      </c>
      <c r="DA407" t="str" cm="1">
        <f t="array" ref="DA407">IF(U407&lt;&gt;"", TRANSPOSE(_xlfn._xlws.FILTER(CZ:CZ, CY:CY=U407, "")), "")</f>
        <v/>
      </c>
    </row>
    <row r="408" spans="2:105" ht="15" customHeight="1">
      <c r="B408" s="35">
        <v>404</v>
      </c>
      <c r="C408" s="36" t="s">
        <v>2272</v>
      </c>
      <c r="D408" s="76"/>
      <c r="E408" s="37" t="str">
        <f>IF(Table5[[#This Row],[Query Date]]&lt;&gt;"", TEXT(Table5[[#This Row],[Query Date]], "dddd"), "")</f>
        <v/>
      </c>
      <c r="F408" s="37" t="str">
        <f>IF(Table5[[#This Row],[Query Date]]&lt;&gt;"", TEXT(Table5[[#This Row],[Query Date]], "mmmm"), "")</f>
        <v/>
      </c>
      <c r="G408" s="28"/>
      <c r="H408" s="28"/>
      <c r="I408" s="28"/>
      <c r="J408" s="28"/>
      <c r="K408" s="28"/>
      <c r="L408" s="25"/>
      <c r="M408" s="25"/>
      <c r="N408" s="25"/>
      <c r="O408" s="130"/>
      <c r="P408" s="46"/>
      <c r="Q408" s="77"/>
      <c r="R408" s="77" t="str">
        <f>IF(Table5[[#This Row],[Tour Starting Date]]&lt;&gt;"", TEXT(Table5[[#This Row],[Tour Starting Date]], "dddd"), "")</f>
        <v/>
      </c>
      <c r="S408" s="77"/>
      <c r="T408" s="25" t="str">
        <f>IF(Table5[[#This Row],[Tour Ending Date]]&lt;&gt;"", TEXT(Table5[[#This Row],[Tour Ending Date]], "dddd"), "")</f>
        <v/>
      </c>
      <c r="U40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08" s="37" t="str">
        <f>IF(Table5[[#This Row],[Tour Starting Date]]&lt;&gt;"", TEXT(Table5[[#This Row],[Tour Starting Date]], "mmmm"), "")</f>
        <v/>
      </c>
      <c r="W408" s="80" t="str" cm="1">
        <f t="array" ref="W408">IF(Q408&lt;&gt;"", INDEX(CI:CI, MATCH(1, (Q408&gt;=CG:CG)*(Q408&lt;=CH:CH), 0)), "")</f>
        <v/>
      </c>
      <c r="X408" s="39"/>
      <c r="Y408" s="74"/>
      <c r="Z408" s="74" t="str">
        <f>IF(OR(Table5[[#This Row],[Per Person Package Cost]]="", Table5[[#This Row],[No. of Pax]]=""), "", Table5[[#This Row],[Per Person Package Cost]] * Table5[[#This Row],[No. of Pax]])</f>
        <v/>
      </c>
      <c r="AA408" s="52"/>
      <c r="AB408" s="52"/>
      <c r="AC408" s="52"/>
      <c r="AD408" s="52"/>
      <c r="AE408" s="51" t="str">
        <f t="shared" si="49"/>
        <v/>
      </c>
      <c r="AF408" s="51" t="str">
        <f t="shared" si="50"/>
        <v/>
      </c>
      <c r="AG408" s="74" t="str">
        <f t="shared" si="51"/>
        <v/>
      </c>
      <c r="AH408" s="73" t="str">
        <f t="shared" si="52"/>
        <v/>
      </c>
      <c r="AI408" s="52"/>
      <c r="AJ408" s="56"/>
      <c r="AK408" s="59"/>
      <c r="AL408" s="60"/>
      <c r="AM408" s="54"/>
      <c r="AN408" s="14"/>
      <c r="AO408" s="15"/>
      <c r="AP408" s="91"/>
      <c r="AQ408" s="87"/>
      <c r="AR408" s="26"/>
      <c r="AS408" s="65"/>
      <c r="AT408" s="88"/>
      <c r="AU408" s="67"/>
      <c r="CN408" t="s">
        <v>1985</v>
      </c>
      <c r="DA408" t="str" cm="1">
        <f t="array" ref="DA408">IF(U408&lt;&gt;"", TRANSPOSE(_xlfn._xlws.FILTER(CZ:CZ, CY:CY=U408, "")), "")</f>
        <v/>
      </c>
    </row>
    <row r="409" spans="2:105" ht="15" customHeight="1">
      <c r="B409" s="34">
        <v>405</v>
      </c>
      <c r="C409" s="36" t="s">
        <v>2273</v>
      </c>
      <c r="D409" s="76"/>
      <c r="E409" s="37" t="str">
        <f>IF(Table5[[#This Row],[Query Date]]&lt;&gt;"", TEXT(Table5[[#This Row],[Query Date]], "dddd"), "")</f>
        <v/>
      </c>
      <c r="F409" s="37" t="str">
        <f>IF(Table5[[#This Row],[Query Date]]&lt;&gt;"", TEXT(Table5[[#This Row],[Query Date]], "mmmm"), "")</f>
        <v/>
      </c>
      <c r="G409" s="28"/>
      <c r="H409" s="28"/>
      <c r="I409" s="28"/>
      <c r="J409" s="28"/>
      <c r="K409" s="28"/>
      <c r="L409" s="25"/>
      <c r="M409" s="25"/>
      <c r="N409" s="25"/>
      <c r="O409" s="130"/>
      <c r="P409" s="46"/>
      <c r="Q409" s="77"/>
      <c r="R409" s="77" t="str">
        <f>IF(Table5[[#This Row],[Tour Starting Date]]&lt;&gt;"", TEXT(Table5[[#This Row],[Tour Starting Date]], "dddd"), "")</f>
        <v/>
      </c>
      <c r="S409" s="77"/>
      <c r="T409" s="25" t="str">
        <f>IF(Table5[[#This Row],[Tour Ending Date]]&lt;&gt;"", TEXT(Table5[[#This Row],[Tour Ending Date]], "dddd"), "")</f>
        <v/>
      </c>
      <c r="U40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09" s="37" t="str">
        <f>IF(Table5[[#This Row],[Tour Starting Date]]&lt;&gt;"", TEXT(Table5[[#This Row],[Tour Starting Date]], "mmmm"), "")</f>
        <v/>
      </c>
      <c r="W409" s="80" t="str" cm="1">
        <f t="array" ref="W409">IF(Q409&lt;&gt;"", INDEX(CI:CI, MATCH(1, (Q409&gt;=CG:CG)*(Q409&lt;=CH:CH), 0)), "")</f>
        <v/>
      </c>
      <c r="X409" s="39"/>
      <c r="Y409" s="74"/>
      <c r="Z409" s="74" t="str">
        <f>IF(OR(Table5[[#This Row],[Per Person Package Cost]]="", Table5[[#This Row],[No. of Pax]]=""), "", Table5[[#This Row],[Per Person Package Cost]] * Table5[[#This Row],[No. of Pax]])</f>
        <v/>
      </c>
      <c r="AA409" s="52"/>
      <c r="AB409" s="52"/>
      <c r="AC409" s="52"/>
      <c r="AD409" s="52"/>
      <c r="AE409" s="51" t="str">
        <f t="shared" si="49"/>
        <v/>
      </c>
      <c r="AF409" s="51" t="str">
        <f t="shared" si="50"/>
        <v/>
      </c>
      <c r="AG409" s="74" t="str">
        <f t="shared" si="51"/>
        <v/>
      </c>
      <c r="AH409" s="73" t="str">
        <f t="shared" si="52"/>
        <v/>
      </c>
      <c r="AI409" s="52"/>
      <c r="AJ409" s="56"/>
      <c r="AK409" s="59"/>
      <c r="AL409" s="60"/>
      <c r="AM409" s="54"/>
      <c r="AN409" s="14"/>
      <c r="AO409" s="15"/>
      <c r="AP409" s="91"/>
      <c r="AQ409" s="87"/>
      <c r="AR409" s="26"/>
      <c r="AS409" s="65"/>
      <c r="AT409" s="88"/>
      <c r="AU409" s="67"/>
      <c r="CN409" t="s">
        <v>2001</v>
      </c>
      <c r="DA409" t="str" cm="1">
        <f t="array" ref="DA409">IF(U409&lt;&gt;"", TRANSPOSE(_xlfn._xlws.FILTER(CZ:CZ, CY:CY=U409, "")), "")</f>
        <v/>
      </c>
    </row>
    <row r="410" spans="2:105" ht="15" customHeight="1">
      <c r="B410" s="35">
        <v>406</v>
      </c>
      <c r="C410" s="36" t="s">
        <v>2274</v>
      </c>
      <c r="D410" s="76"/>
      <c r="E410" s="37" t="str">
        <f>IF(Table5[[#This Row],[Query Date]]&lt;&gt;"", TEXT(Table5[[#This Row],[Query Date]], "dddd"), "")</f>
        <v/>
      </c>
      <c r="F410" s="37" t="str">
        <f>IF(Table5[[#This Row],[Query Date]]&lt;&gt;"", TEXT(Table5[[#This Row],[Query Date]], "mmmm"), "")</f>
        <v/>
      </c>
      <c r="G410" s="28"/>
      <c r="H410" s="28"/>
      <c r="I410" s="28"/>
      <c r="J410" s="28"/>
      <c r="K410" s="28"/>
      <c r="L410" s="25"/>
      <c r="M410" s="25"/>
      <c r="N410" s="25"/>
      <c r="O410" s="130"/>
      <c r="P410" s="46"/>
      <c r="Q410" s="77"/>
      <c r="R410" s="77" t="str">
        <f>IF(Table5[[#This Row],[Tour Starting Date]]&lt;&gt;"", TEXT(Table5[[#This Row],[Tour Starting Date]], "dddd"), "")</f>
        <v/>
      </c>
      <c r="S410" s="77"/>
      <c r="T410" s="25" t="str">
        <f>IF(Table5[[#This Row],[Tour Ending Date]]&lt;&gt;"", TEXT(Table5[[#This Row],[Tour Ending Date]], "dddd"), "")</f>
        <v/>
      </c>
      <c r="U41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10" s="37" t="str">
        <f>IF(Table5[[#This Row],[Tour Starting Date]]&lt;&gt;"", TEXT(Table5[[#This Row],[Tour Starting Date]], "mmmm"), "")</f>
        <v/>
      </c>
      <c r="W410" s="80" t="str" cm="1">
        <f t="array" ref="W410">IF(Q410&lt;&gt;"", INDEX(CI:CI, MATCH(1, (Q410&gt;=CG:CG)*(Q410&lt;=CH:CH), 0)), "")</f>
        <v/>
      </c>
      <c r="X410" s="39"/>
      <c r="Y410" s="74"/>
      <c r="Z410" s="74" t="str">
        <f>IF(OR(Table5[[#This Row],[Per Person Package Cost]]="", Table5[[#This Row],[No. of Pax]]=""), "", Table5[[#This Row],[Per Person Package Cost]] * Table5[[#This Row],[No. of Pax]])</f>
        <v/>
      </c>
      <c r="AA410" s="52"/>
      <c r="AB410" s="52"/>
      <c r="AC410" s="52"/>
      <c r="AD410" s="52"/>
      <c r="AE410" s="51" t="str">
        <f t="shared" si="49"/>
        <v/>
      </c>
      <c r="AF410" s="51" t="str">
        <f t="shared" si="50"/>
        <v/>
      </c>
      <c r="AG410" s="74" t="str">
        <f t="shared" si="51"/>
        <v/>
      </c>
      <c r="AH410" s="73" t="str">
        <f t="shared" si="52"/>
        <v/>
      </c>
      <c r="AI410" s="52"/>
      <c r="AJ410" s="56"/>
      <c r="AK410" s="59"/>
      <c r="AL410" s="60"/>
      <c r="AM410" s="54"/>
      <c r="AN410" s="14"/>
      <c r="AO410" s="15"/>
      <c r="AP410" s="91"/>
      <c r="AQ410" s="87"/>
      <c r="AR410" s="26"/>
      <c r="AS410" s="65"/>
      <c r="AT410" s="88"/>
      <c r="AU410" s="67"/>
      <c r="CN410" t="s">
        <v>2011</v>
      </c>
      <c r="DA410" t="str" cm="1">
        <f t="array" ref="DA410">IF(U410&lt;&gt;"", TRANSPOSE(_xlfn._xlws.FILTER(CZ:CZ, CY:CY=U410, "")), "")</f>
        <v/>
      </c>
    </row>
    <row r="411" spans="2:105" ht="15" customHeight="1">
      <c r="B411" s="34">
        <v>407</v>
      </c>
      <c r="C411" s="36" t="s">
        <v>2275</v>
      </c>
      <c r="D411" s="76"/>
      <c r="E411" s="37" t="str">
        <f>IF(Table5[[#This Row],[Query Date]]&lt;&gt;"", TEXT(Table5[[#This Row],[Query Date]], "dddd"), "")</f>
        <v/>
      </c>
      <c r="F411" s="37" t="str">
        <f>IF(Table5[[#This Row],[Query Date]]&lt;&gt;"", TEXT(Table5[[#This Row],[Query Date]], "mmmm"), "")</f>
        <v/>
      </c>
      <c r="G411" s="28"/>
      <c r="H411" s="28"/>
      <c r="I411" s="28"/>
      <c r="J411" s="28"/>
      <c r="K411" s="28"/>
      <c r="L411" s="25"/>
      <c r="M411" s="112"/>
      <c r="N411" s="25"/>
      <c r="O411" s="130"/>
      <c r="P411" s="46"/>
      <c r="Q411" s="77"/>
      <c r="R411" s="77" t="str">
        <f>IF(Table5[[#This Row],[Tour Starting Date]]&lt;&gt;"", TEXT(Table5[[#This Row],[Tour Starting Date]], "dddd"), "")</f>
        <v/>
      </c>
      <c r="S411" s="77"/>
      <c r="T411" s="25" t="str">
        <f>IF(Table5[[#This Row],[Tour Ending Date]]&lt;&gt;"", TEXT(Table5[[#This Row],[Tour Ending Date]], "dddd"), "")</f>
        <v/>
      </c>
      <c r="U41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11" s="37" t="str">
        <f>IF(Table5[[#This Row],[Tour Starting Date]]&lt;&gt;"", TEXT(Table5[[#This Row],[Tour Starting Date]], "mmmm"), "")</f>
        <v/>
      </c>
      <c r="W411" s="80" t="str" cm="1">
        <f t="array" ref="W411">IF(Q411&lt;&gt;"", INDEX(CI:CI, MATCH(1, (Q411&gt;=CG:CG)*(Q411&lt;=CH:CH), 0)), "")</f>
        <v/>
      </c>
      <c r="X411" s="39"/>
      <c r="Y411" s="74"/>
      <c r="Z411" s="74" t="str">
        <f>IF(OR(Table5[[#This Row],[Per Person Package Cost]]="", Table5[[#This Row],[No. of Pax]]=""), "", Table5[[#This Row],[Per Person Package Cost]] * Table5[[#This Row],[No. of Pax]])</f>
        <v/>
      </c>
      <c r="AA411" s="52"/>
      <c r="AB411" s="52"/>
      <c r="AC411" s="52"/>
      <c r="AD411" s="52"/>
      <c r="AE411" s="51" t="str">
        <f t="shared" si="49"/>
        <v/>
      </c>
      <c r="AF411" s="51" t="str">
        <f t="shared" si="50"/>
        <v/>
      </c>
      <c r="AG411" s="74" t="str">
        <f t="shared" si="51"/>
        <v/>
      </c>
      <c r="AH411" s="73" t="str">
        <f t="shared" si="52"/>
        <v/>
      </c>
      <c r="AI411" s="52"/>
      <c r="AJ411" s="56"/>
      <c r="AK411" s="59"/>
      <c r="AL411" s="60"/>
      <c r="AM411" s="54"/>
      <c r="AN411" s="14"/>
      <c r="AO411" s="15"/>
      <c r="AP411" s="91"/>
      <c r="AQ411" s="87"/>
      <c r="AR411" s="26"/>
      <c r="AS411" s="65"/>
      <c r="AT411" s="88"/>
      <c r="AU411" s="67"/>
      <c r="CN411" t="s">
        <v>2018</v>
      </c>
      <c r="DA411" t="str" cm="1">
        <f t="array" ref="DA411">IF(U411&lt;&gt;"", TRANSPOSE(_xlfn._xlws.FILTER(CZ:CZ, CY:CY=U411, "")), "")</f>
        <v/>
      </c>
    </row>
    <row r="412" spans="2:105" ht="15" customHeight="1">
      <c r="B412" s="35">
        <v>408</v>
      </c>
      <c r="C412" s="36" t="s">
        <v>2276</v>
      </c>
      <c r="D412" s="76"/>
      <c r="E412" s="37" t="str">
        <f>IF(Table5[[#This Row],[Query Date]]&lt;&gt;"", TEXT(Table5[[#This Row],[Query Date]], "dddd"), "")</f>
        <v/>
      </c>
      <c r="F412" s="37" t="str">
        <f>IF(Table5[[#This Row],[Query Date]]&lt;&gt;"", TEXT(Table5[[#This Row],[Query Date]], "mmmm"), "")</f>
        <v/>
      </c>
      <c r="G412" s="28"/>
      <c r="H412" s="28"/>
      <c r="I412" s="28"/>
      <c r="J412" s="28"/>
      <c r="K412" s="28"/>
      <c r="L412" s="25"/>
      <c r="M412" s="112"/>
      <c r="N412" s="25"/>
      <c r="O412" s="130"/>
      <c r="P412" s="46"/>
      <c r="Q412" s="77"/>
      <c r="R412" s="77" t="str">
        <f>IF(Table5[[#This Row],[Tour Starting Date]]&lt;&gt;"", TEXT(Table5[[#This Row],[Tour Starting Date]], "dddd"), "")</f>
        <v/>
      </c>
      <c r="S412" s="77"/>
      <c r="T412" s="25" t="str">
        <f>IF(Table5[[#This Row],[Tour Ending Date]]&lt;&gt;"", TEXT(Table5[[#This Row],[Tour Ending Date]], "dddd"), "")</f>
        <v/>
      </c>
      <c r="U41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12" s="37" t="str">
        <f>IF(Table5[[#This Row],[Tour Starting Date]]&lt;&gt;"", TEXT(Table5[[#This Row],[Tour Starting Date]], "mmmm"), "")</f>
        <v/>
      </c>
      <c r="W412" s="80" t="str" cm="1">
        <f t="array" ref="W412">IF(Q412&lt;&gt;"", INDEX(CI:CI, MATCH(1, (Q412&gt;=CG:CG)*(Q412&lt;=CH:CH), 0)), "")</f>
        <v/>
      </c>
      <c r="X412" s="39"/>
      <c r="Y412" s="74"/>
      <c r="Z412" s="74" t="str">
        <f>IF(OR(Table5[[#This Row],[Per Person Package Cost]]="", Table5[[#This Row],[No. of Pax]]=""), "", Table5[[#This Row],[Per Person Package Cost]] * Table5[[#This Row],[No. of Pax]])</f>
        <v/>
      </c>
      <c r="AA412" s="52"/>
      <c r="AB412" s="52"/>
      <c r="AC412" s="52"/>
      <c r="AD412" s="52"/>
      <c r="AE412" s="51" t="str">
        <f t="shared" si="49"/>
        <v/>
      </c>
      <c r="AF412" s="51" t="str">
        <f t="shared" si="50"/>
        <v/>
      </c>
      <c r="AG412" s="74" t="str">
        <f t="shared" si="51"/>
        <v/>
      </c>
      <c r="AH412" s="73" t="str">
        <f t="shared" si="52"/>
        <v/>
      </c>
      <c r="AI412" s="52"/>
      <c r="AJ412" s="56"/>
      <c r="AK412" s="59"/>
      <c r="AL412" s="60"/>
      <c r="AM412" s="54"/>
      <c r="AN412" s="14"/>
      <c r="AO412" s="15"/>
      <c r="AP412" s="91"/>
      <c r="AQ412" s="87"/>
      <c r="AR412" s="26"/>
      <c r="AS412" s="65"/>
      <c r="AT412" s="88"/>
      <c r="AU412" s="67"/>
      <c r="CN412" t="s">
        <v>2032</v>
      </c>
      <c r="DA412" t="str" cm="1">
        <f t="array" ref="DA412">IF(U412&lt;&gt;"", TRANSPOSE(_xlfn._xlws.FILTER(CZ:CZ, CY:CY=U412, "")), "")</f>
        <v/>
      </c>
    </row>
    <row r="413" spans="2:105" ht="15" customHeight="1">
      <c r="B413" s="34">
        <v>409</v>
      </c>
      <c r="C413" s="36" t="s">
        <v>2277</v>
      </c>
      <c r="D413" s="76"/>
      <c r="E413" s="37" t="str">
        <f>IF(Table5[[#This Row],[Query Date]]&lt;&gt;"", TEXT(Table5[[#This Row],[Query Date]], "dddd"), "")</f>
        <v/>
      </c>
      <c r="F413" s="37" t="str">
        <f>IF(Table5[[#This Row],[Query Date]]&lt;&gt;"", TEXT(Table5[[#This Row],[Query Date]], "mmmm"), "")</f>
        <v/>
      </c>
      <c r="G413" s="28"/>
      <c r="H413" s="28"/>
      <c r="I413" s="28"/>
      <c r="J413" s="28"/>
      <c r="K413" s="28"/>
      <c r="L413" s="25"/>
      <c r="M413" s="25"/>
      <c r="N413" s="25"/>
      <c r="O413" s="130"/>
      <c r="P413" s="46"/>
      <c r="Q413" s="77"/>
      <c r="R413" s="77" t="str">
        <f>IF(Table5[[#This Row],[Tour Starting Date]]&lt;&gt;"", TEXT(Table5[[#This Row],[Tour Starting Date]], "dddd"), "")</f>
        <v/>
      </c>
      <c r="S413" s="77"/>
      <c r="T413" s="25" t="str">
        <f>IF(Table5[[#This Row],[Tour Ending Date]]&lt;&gt;"", TEXT(Table5[[#This Row],[Tour Ending Date]], "dddd"), "")</f>
        <v/>
      </c>
      <c r="U41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13" s="37" t="str">
        <f>IF(Table5[[#This Row],[Tour Starting Date]]&lt;&gt;"", TEXT(Table5[[#This Row],[Tour Starting Date]], "mmmm"), "")</f>
        <v/>
      </c>
      <c r="W413" s="80" t="str" cm="1">
        <f t="array" ref="W413">IF(Q413&lt;&gt;"", INDEX(CI:CI, MATCH(1, (Q413&gt;=CG:CG)*(Q413&lt;=CH:CH), 0)), "")</f>
        <v/>
      </c>
      <c r="X413" s="39"/>
      <c r="Y413" s="74"/>
      <c r="Z413" s="74" t="str">
        <f>IF(OR(Table5[[#This Row],[Per Person Package Cost]]="", Table5[[#This Row],[No. of Pax]]=""), "", Table5[[#This Row],[Per Person Package Cost]] * Table5[[#This Row],[No. of Pax]])</f>
        <v/>
      </c>
      <c r="AA413" s="52"/>
      <c r="AB413" s="52"/>
      <c r="AC413" s="52"/>
      <c r="AD413" s="52"/>
      <c r="AE413" s="51" t="str">
        <f t="shared" si="49"/>
        <v/>
      </c>
      <c r="AF413" s="51" t="str">
        <f t="shared" si="50"/>
        <v/>
      </c>
      <c r="AG413" s="74" t="str">
        <f t="shared" si="51"/>
        <v/>
      </c>
      <c r="AH413" s="73" t="str">
        <f t="shared" si="52"/>
        <v/>
      </c>
      <c r="AI413" s="52"/>
      <c r="AJ413" s="56"/>
      <c r="AK413" s="59"/>
      <c r="AL413" s="60"/>
      <c r="AM413" s="54"/>
      <c r="AN413" s="14"/>
      <c r="AO413" s="15"/>
      <c r="AP413" s="91"/>
      <c r="AQ413" s="87"/>
      <c r="AR413" s="26"/>
      <c r="AS413" s="65"/>
      <c r="AT413" s="88"/>
      <c r="AU413" s="67"/>
      <c r="CN413" t="s">
        <v>2038</v>
      </c>
      <c r="DA413" t="str" cm="1">
        <f t="array" ref="DA413">IF(U413&lt;&gt;"", TRANSPOSE(_xlfn._xlws.FILTER(CZ:CZ, CY:CY=U413, "")), "")</f>
        <v/>
      </c>
    </row>
    <row r="414" spans="2:105" ht="15" customHeight="1">
      <c r="B414" s="35">
        <v>410</v>
      </c>
      <c r="C414" s="36" t="s">
        <v>2278</v>
      </c>
      <c r="D414" s="76"/>
      <c r="E414" s="37" t="str">
        <f>IF(Table5[[#This Row],[Query Date]]&lt;&gt;"", TEXT(Table5[[#This Row],[Query Date]], "dddd"), "")</f>
        <v/>
      </c>
      <c r="F414" s="37" t="str">
        <f>IF(Table5[[#This Row],[Query Date]]&lt;&gt;"", TEXT(Table5[[#This Row],[Query Date]], "mmmm"), "")</f>
        <v/>
      </c>
      <c r="G414" s="28"/>
      <c r="H414" s="28"/>
      <c r="I414" s="28"/>
      <c r="J414" s="28"/>
      <c r="K414" s="28"/>
      <c r="L414" s="25"/>
      <c r="M414" s="112"/>
      <c r="N414" s="25"/>
      <c r="O414" s="130"/>
      <c r="P414" s="46"/>
      <c r="Q414" s="77"/>
      <c r="R414" s="77" t="str">
        <f>IF(Table5[[#This Row],[Tour Starting Date]]&lt;&gt;"", TEXT(Table5[[#This Row],[Tour Starting Date]], "dddd"), "")</f>
        <v/>
      </c>
      <c r="S414" s="77"/>
      <c r="T414" s="25" t="str">
        <f>IF(Table5[[#This Row],[Tour Ending Date]]&lt;&gt;"", TEXT(Table5[[#This Row],[Tour Ending Date]], "dddd"), "")</f>
        <v/>
      </c>
      <c r="U41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14" s="37" t="str">
        <f>IF(Table5[[#This Row],[Tour Starting Date]]&lt;&gt;"", TEXT(Table5[[#This Row],[Tour Starting Date]], "mmmm"), "")</f>
        <v/>
      </c>
      <c r="W414" s="80" t="str" cm="1">
        <f t="array" ref="W414">IF(Q414&lt;&gt;"", INDEX(CI:CI, MATCH(1, (Q414&gt;=CG:CG)*(Q414&lt;=CH:CH), 0)), "")</f>
        <v/>
      </c>
      <c r="X414" s="39"/>
      <c r="Y414" s="74"/>
      <c r="Z414" s="74" t="str">
        <f>IF(OR(Table5[[#This Row],[Per Person Package Cost]]="", Table5[[#This Row],[No. of Pax]]=""), "", Table5[[#This Row],[Per Person Package Cost]] * Table5[[#This Row],[No. of Pax]])</f>
        <v/>
      </c>
      <c r="AA414" s="52"/>
      <c r="AB414" s="52"/>
      <c r="AC414" s="52"/>
      <c r="AD414" s="52"/>
      <c r="AE414" s="51" t="str">
        <f t="shared" si="49"/>
        <v/>
      </c>
      <c r="AF414" s="51" t="str">
        <f t="shared" si="50"/>
        <v/>
      </c>
      <c r="AG414" s="74" t="str">
        <f t="shared" si="51"/>
        <v/>
      </c>
      <c r="AH414" s="73" t="str">
        <f t="shared" si="52"/>
        <v/>
      </c>
      <c r="AI414" s="52"/>
      <c r="AJ414" s="56"/>
      <c r="AK414" s="59"/>
      <c r="AL414" s="60"/>
      <c r="AM414" s="54"/>
      <c r="AN414" s="14"/>
      <c r="AO414" s="15"/>
      <c r="AP414" s="91"/>
      <c r="AQ414" s="87"/>
      <c r="AR414" s="26"/>
      <c r="AS414" s="65"/>
      <c r="AT414" s="88"/>
      <c r="AU414" s="67"/>
      <c r="CN414" t="s">
        <v>2058</v>
      </c>
      <c r="DA414" t="str" cm="1">
        <f t="array" ref="DA414">IF(U414&lt;&gt;"", TRANSPOSE(_xlfn._xlws.FILTER(CZ:CZ, CY:CY=U414, "")), "")</f>
        <v/>
      </c>
    </row>
    <row r="415" spans="2:105" ht="15" customHeight="1">
      <c r="B415" s="34">
        <v>411</v>
      </c>
      <c r="C415" s="36" t="s">
        <v>2279</v>
      </c>
      <c r="D415" s="76"/>
      <c r="E415" s="37" t="str">
        <f>IF(Table5[[#This Row],[Query Date]]&lt;&gt;"", TEXT(Table5[[#This Row],[Query Date]], "dddd"), "")</f>
        <v/>
      </c>
      <c r="F415" s="37" t="str">
        <f>IF(Table5[[#This Row],[Query Date]]&lt;&gt;"", TEXT(Table5[[#This Row],[Query Date]], "mmmm"), "")</f>
        <v/>
      </c>
      <c r="G415" s="28"/>
      <c r="H415" s="28"/>
      <c r="I415" s="28"/>
      <c r="J415" s="28"/>
      <c r="K415" s="28"/>
      <c r="L415" s="25"/>
      <c r="M415" s="25"/>
      <c r="N415" s="25"/>
      <c r="O415" s="130"/>
      <c r="P415" s="46"/>
      <c r="Q415" s="77"/>
      <c r="R415" s="77" t="str">
        <f>IF(Table5[[#This Row],[Tour Starting Date]]&lt;&gt;"", TEXT(Table5[[#This Row],[Tour Starting Date]], "dddd"), "")</f>
        <v/>
      </c>
      <c r="S415" s="77"/>
      <c r="T415" s="25" t="str">
        <f>IF(Table5[[#This Row],[Tour Ending Date]]&lt;&gt;"", TEXT(Table5[[#This Row],[Tour Ending Date]], "dddd"), "")</f>
        <v/>
      </c>
      <c r="U41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15" s="37" t="str">
        <f>IF(Table5[[#This Row],[Tour Starting Date]]&lt;&gt;"", TEXT(Table5[[#This Row],[Tour Starting Date]], "mmmm"), "")</f>
        <v/>
      </c>
      <c r="W415" s="80" t="str" cm="1">
        <f t="array" ref="W415">IF(Q415&lt;&gt;"", INDEX(CI:CI, MATCH(1, (Q415&gt;=CG:CG)*(Q415&lt;=CH:CH), 0)), "")</f>
        <v/>
      </c>
      <c r="X415" s="39"/>
      <c r="Y415" s="74"/>
      <c r="Z415" s="74" t="str">
        <f>IF(OR(Table5[[#This Row],[Per Person Package Cost]]="", Table5[[#This Row],[No. of Pax]]=""), "", Table5[[#This Row],[Per Person Package Cost]] * Table5[[#This Row],[No. of Pax]])</f>
        <v/>
      </c>
      <c r="AA415" s="52"/>
      <c r="AB415" s="52"/>
      <c r="AC415" s="52"/>
      <c r="AD415" s="52"/>
      <c r="AE415" s="51" t="str">
        <f t="shared" si="49"/>
        <v/>
      </c>
      <c r="AF415" s="51" t="str">
        <f t="shared" si="50"/>
        <v/>
      </c>
      <c r="AG415" s="74" t="str">
        <f t="shared" si="51"/>
        <v/>
      </c>
      <c r="AH415" s="73" t="str">
        <f t="shared" si="52"/>
        <v/>
      </c>
      <c r="AI415" s="52"/>
      <c r="AJ415" s="56"/>
      <c r="AK415" s="59"/>
      <c r="AL415" s="60"/>
      <c r="AM415" s="54"/>
      <c r="AN415" s="14"/>
      <c r="AO415" s="15"/>
      <c r="AP415" s="91"/>
      <c r="AQ415" s="87"/>
      <c r="AR415" s="26"/>
      <c r="AS415" s="65"/>
      <c r="AT415" s="88"/>
      <c r="AU415" s="67"/>
      <c r="CN415" t="s">
        <v>2064</v>
      </c>
      <c r="DA415" t="str" cm="1">
        <f t="array" ref="DA415">IF(U415&lt;&gt;"", TRANSPOSE(_xlfn._xlws.FILTER(CZ:CZ, CY:CY=U415, "")), "")</f>
        <v/>
      </c>
    </row>
    <row r="416" spans="2:105" ht="15" customHeight="1">
      <c r="B416" s="35">
        <v>412</v>
      </c>
      <c r="C416" s="36" t="s">
        <v>2280</v>
      </c>
      <c r="D416" s="76"/>
      <c r="E416" s="37" t="str">
        <f>IF(Table5[[#This Row],[Query Date]]&lt;&gt;"", TEXT(Table5[[#This Row],[Query Date]], "dddd"), "")</f>
        <v/>
      </c>
      <c r="F416" s="37" t="str">
        <f>IF(Table5[[#This Row],[Query Date]]&lt;&gt;"", TEXT(Table5[[#This Row],[Query Date]], "mmmm"), "")</f>
        <v/>
      </c>
      <c r="G416" s="28"/>
      <c r="H416" s="28"/>
      <c r="I416" s="28"/>
      <c r="J416" s="28"/>
      <c r="K416" s="28"/>
      <c r="L416" s="25"/>
      <c r="M416" s="25"/>
      <c r="N416" s="25"/>
      <c r="O416" s="130"/>
      <c r="P416" s="46"/>
      <c r="Q416" s="77"/>
      <c r="R416" s="77" t="str">
        <f>IF(Table5[[#This Row],[Tour Starting Date]]&lt;&gt;"", TEXT(Table5[[#This Row],[Tour Starting Date]], "dddd"), "")</f>
        <v/>
      </c>
      <c r="S416" s="77"/>
      <c r="T416" s="25" t="str">
        <f>IF(Table5[[#This Row],[Tour Ending Date]]&lt;&gt;"", TEXT(Table5[[#This Row],[Tour Ending Date]], "dddd"), "")</f>
        <v/>
      </c>
      <c r="U41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16" s="37" t="str">
        <f>IF(Table5[[#This Row],[Tour Starting Date]]&lt;&gt;"", TEXT(Table5[[#This Row],[Tour Starting Date]], "mmmm"), "")</f>
        <v/>
      </c>
      <c r="W416" s="80" t="str" cm="1">
        <f t="array" ref="W416">IF(Q416&lt;&gt;"", INDEX(CI:CI, MATCH(1, (Q416&gt;=CG:CG)*(Q416&lt;=CH:CH), 0)), "")</f>
        <v/>
      </c>
      <c r="X416" s="39"/>
      <c r="Y416" s="74"/>
      <c r="Z416" s="74" t="str">
        <f>IF(OR(Table5[[#This Row],[Per Person Package Cost]]="", Table5[[#This Row],[No. of Pax]]=""), "", Table5[[#This Row],[Per Person Package Cost]] * Table5[[#This Row],[No. of Pax]])</f>
        <v/>
      </c>
      <c r="AA416" s="52"/>
      <c r="AB416" s="52"/>
      <c r="AC416" s="52"/>
      <c r="AD416" s="52"/>
      <c r="AE416" s="51" t="str">
        <f t="shared" si="49"/>
        <v/>
      </c>
      <c r="AF416" s="51" t="str">
        <f t="shared" si="50"/>
        <v/>
      </c>
      <c r="AG416" s="74" t="str">
        <f t="shared" si="51"/>
        <v/>
      </c>
      <c r="AH416" s="73" t="str">
        <f t="shared" si="52"/>
        <v/>
      </c>
      <c r="AI416" s="52"/>
      <c r="AJ416" s="56"/>
      <c r="AK416" s="59"/>
      <c r="AL416" s="60"/>
      <c r="AM416" s="54"/>
      <c r="AN416" s="14"/>
      <c r="AO416" s="15"/>
      <c r="AP416" s="91"/>
      <c r="AQ416" s="87"/>
      <c r="AR416" s="26"/>
      <c r="AS416" s="65"/>
      <c r="AT416" s="88"/>
      <c r="AU416" s="67"/>
      <c r="CN416" t="s">
        <v>2071</v>
      </c>
      <c r="DA416" t="str" cm="1">
        <f t="array" ref="DA416">IF(U416&lt;&gt;"", TRANSPOSE(_xlfn._xlws.FILTER(CZ:CZ, CY:CY=U416, "")), "")</f>
        <v/>
      </c>
    </row>
    <row r="417" spans="2:105" ht="15" customHeight="1">
      <c r="B417" s="34">
        <v>413</v>
      </c>
      <c r="C417" s="36" t="s">
        <v>2281</v>
      </c>
      <c r="D417" s="76"/>
      <c r="E417" s="37" t="str">
        <f>IF(Table5[[#This Row],[Query Date]]&lt;&gt;"", TEXT(Table5[[#This Row],[Query Date]], "dddd"), "")</f>
        <v/>
      </c>
      <c r="F417" s="37" t="str">
        <f>IF(Table5[[#This Row],[Query Date]]&lt;&gt;"", TEXT(Table5[[#This Row],[Query Date]], "mmmm"), "")</f>
        <v/>
      </c>
      <c r="G417" s="28"/>
      <c r="H417" s="28"/>
      <c r="I417" s="28"/>
      <c r="J417" s="28"/>
      <c r="K417" s="28"/>
      <c r="L417" s="25"/>
      <c r="M417" s="25"/>
      <c r="N417" s="25"/>
      <c r="O417" s="130"/>
      <c r="P417" s="46"/>
      <c r="Q417" s="77"/>
      <c r="R417" s="77" t="str">
        <f>IF(Table5[[#This Row],[Tour Starting Date]]&lt;&gt;"", TEXT(Table5[[#This Row],[Tour Starting Date]], "dddd"), "")</f>
        <v/>
      </c>
      <c r="S417" s="77"/>
      <c r="T417" s="25" t="str">
        <f>IF(Table5[[#This Row],[Tour Ending Date]]&lt;&gt;"", TEXT(Table5[[#This Row],[Tour Ending Date]], "dddd"), "")</f>
        <v/>
      </c>
      <c r="U41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17" s="37" t="str">
        <f>IF(Table5[[#This Row],[Tour Starting Date]]&lt;&gt;"", TEXT(Table5[[#This Row],[Tour Starting Date]], "mmmm"), "")</f>
        <v/>
      </c>
      <c r="W417" s="80" t="str" cm="1">
        <f t="array" ref="W417">IF(Q417&lt;&gt;"", INDEX(CI:CI, MATCH(1, (Q417&gt;=CG:CG)*(Q417&lt;=CH:CH), 0)), "")</f>
        <v/>
      </c>
      <c r="X417" s="39"/>
      <c r="Y417" s="74"/>
      <c r="Z417" s="74" t="str">
        <f>IF(OR(Table5[[#This Row],[Per Person Package Cost]]="", Table5[[#This Row],[No. of Pax]]=""), "", Table5[[#This Row],[Per Person Package Cost]] * Table5[[#This Row],[No. of Pax]])</f>
        <v/>
      </c>
      <c r="AA417" s="52"/>
      <c r="AB417" s="52"/>
      <c r="AC417" s="52"/>
      <c r="AD417" s="52"/>
      <c r="AE417" s="51" t="str">
        <f t="shared" si="49"/>
        <v/>
      </c>
      <c r="AF417" s="51" t="str">
        <f t="shared" si="50"/>
        <v/>
      </c>
      <c r="AG417" s="74" t="str">
        <f t="shared" si="51"/>
        <v/>
      </c>
      <c r="AH417" s="73" t="str">
        <f t="shared" si="52"/>
        <v/>
      </c>
      <c r="AI417" s="52"/>
      <c r="AJ417" s="56"/>
      <c r="AK417" s="59"/>
      <c r="AL417" s="60"/>
      <c r="AM417" s="54"/>
      <c r="AN417" s="14"/>
      <c r="AO417" s="15"/>
      <c r="AP417" s="91"/>
      <c r="AQ417" s="87"/>
      <c r="AR417" s="26"/>
      <c r="AS417" s="65"/>
      <c r="AT417" s="88"/>
      <c r="AU417" s="67"/>
      <c r="CN417" t="s">
        <v>2282</v>
      </c>
      <c r="DA417" t="str" cm="1">
        <f t="array" ref="DA417">IF(U417&lt;&gt;"", TRANSPOSE(_xlfn._xlws.FILTER(CZ:CZ, CY:CY=U417, "")), "")</f>
        <v/>
      </c>
    </row>
    <row r="418" spans="2:105" ht="15" customHeight="1">
      <c r="B418" s="35">
        <v>414</v>
      </c>
      <c r="C418" s="36" t="s">
        <v>2283</v>
      </c>
      <c r="D418" s="76"/>
      <c r="E418" s="37" t="str">
        <f>IF(Table5[[#This Row],[Query Date]]&lt;&gt;"", TEXT(Table5[[#This Row],[Query Date]], "dddd"), "")</f>
        <v/>
      </c>
      <c r="F418" s="37" t="str">
        <f>IF(Table5[[#This Row],[Query Date]]&lt;&gt;"", TEXT(Table5[[#This Row],[Query Date]], "mmmm"), "")</f>
        <v/>
      </c>
      <c r="G418" s="28"/>
      <c r="H418" s="28"/>
      <c r="I418" s="28"/>
      <c r="J418" s="28"/>
      <c r="K418" s="28"/>
      <c r="L418" s="25"/>
      <c r="M418" s="25"/>
      <c r="N418" s="25"/>
      <c r="O418" s="130"/>
      <c r="P418" s="46"/>
      <c r="Q418" s="77"/>
      <c r="R418" s="77" t="str">
        <f>IF(Table5[[#This Row],[Tour Starting Date]]&lt;&gt;"", TEXT(Table5[[#This Row],[Tour Starting Date]], "dddd"), "")</f>
        <v/>
      </c>
      <c r="S418" s="77"/>
      <c r="T418" s="25" t="str">
        <f>IF(Table5[[#This Row],[Tour Ending Date]]&lt;&gt;"", TEXT(Table5[[#This Row],[Tour Ending Date]], "dddd"), "")</f>
        <v/>
      </c>
      <c r="U41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18" s="37" t="str">
        <f>IF(Table5[[#This Row],[Tour Starting Date]]&lt;&gt;"", TEXT(Table5[[#This Row],[Tour Starting Date]], "mmmm"), "")</f>
        <v/>
      </c>
      <c r="W418" s="80" t="str" cm="1">
        <f t="array" ref="W418">IF(Q418&lt;&gt;"", INDEX(CI:CI, MATCH(1, (Q418&gt;=CG:CG)*(Q418&lt;=CH:CH), 0)), "")</f>
        <v/>
      </c>
      <c r="X418" s="39"/>
      <c r="Y418" s="74"/>
      <c r="Z418" s="74" t="str">
        <f>IF(OR(Table5[[#This Row],[Per Person Package Cost]]="", Table5[[#This Row],[No. of Pax]]=""), "", Table5[[#This Row],[Per Person Package Cost]] * Table5[[#This Row],[No. of Pax]])</f>
        <v/>
      </c>
      <c r="AA418" s="52"/>
      <c r="AB418" s="52"/>
      <c r="AC418" s="52"/>
      <c r="AD418" s="52"/>
      <c r="AE418" s="51" t="str">
        <f t="shared" si="49"/>
        <v/>
      </c>
      <c r="AF418" s="51" t="str">
        <f t="shared" si="50"/>
        <v/>
      </c>
      <c r="AG418" s="74" t="str">
        <f t="shared" si="51"/>
        <v/>
      </c>
      <c r="AH418" s="73" t="str">
        <f t="shared" si="52"/>
        <v/>
      </c>
      <c r="AI418" s="52"/>
      <c r="AJ418" s="56"/>
      <c r="AK418" s="59"/>
      <c r="AL418" s="60"/>
      <c r="AM418" s="54"/>
      <c r="AN418" s="14"/>
      <c r="AO418" s="15"/>
      <c r="AP418" s="91"/>
      <c r="AQ418" s="87"/>
      <c r="AR418" s="26"/>
      <c r="AS418" s="65"/>
      <c r="AT418" s="88"/>
      <c r="AU418" s="67"/>
      <c r="CN418" s="123" t="s">
        <v>2126</v>
      </c>
      <c r="DA418" t="str" cm="1">
        <f t="array" ref="DA418">IF(U418&lt;&gt;"", TRANSPOSE(_xlfn._xlws.FILTER(CZ:CZ, CY:CY=U418, "")), "")</f>
        <v/>
      </c>
    </row>
    <row r="419" spans="2:105" ht="15" customHeight="1">
      <c r="B419" s="34">
        <v>415</v>
      </c>
      <c r="C419" s="36" t="s">
        <v>2284</v>
      </c>
      <c r="D419" s="76"/>
      <c r="E419" s="37" t="str">
        <f>IF(Table5[[#This Row],[Query Date]]&lt;&gt;"", TEXT(Table5[[#This Row],[Query Date]], "dddd"), "")</f>
        <v/>
      </c>
      <c r="F419" s="37" t="str">
        <f>IF(Table5[[#This Row],[Query Date]]&lt;&gt;"", TEXT(Table5[[#This Row],[Query Date]], "mmmm"), "")</f>
        <v/>
      </c>
      <c r="G419" s="28"/>
      <c r="H419" s="28"/>
      <c r="I419" s="28"/>
      <c r="J419" s="28"/>
      <c r="K419" s="28"/>
      <c r="L419" s="25"/>
      <c r="M419" s="112"/>
      <c r="N419" s="25"/>
      <c r="O419" s="130"/>
      <c r="P419" s="46"/>
      <c r="Q419" s="77"/>
      <c r="R419" s="77" t="str">
        <f>IF(Table5[[#This Row],[Tour Starting Date]]&lt;&gt;"", TEXT(Table5[[#This Row],[Tour Starting Date]], "dddd"), "")</f>
        <v/>
      </c>
      <c r="S419" s="77"/>
      <c r="T419" s="25" t="str">
        <f>IF(Table5[[#This Row],[Tour Ending Date]]&lt;&gt;"", TEXT(Table5[[#This Row],[Tour Ending Date]], "dddd"), "")</f>
        <v/>
      </c>
      <c r="U41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19" s="37" t="str">
        <f>IF(Table5[[#This Row],[Tour Starting Date]]&lt;&gt;"", TEXT(Table5[[#This Row],[Tour Starting Date]], "mmmm"), "")</f>
        <v/>
      </c>
      <c r="W419" s="80" t="str" cm="1">
        <f t="array" ref="W419">IF(Q419&lt;&gt;"", INDEX(CI:CI, MATCH(1, (Q419&gt;=CG:CG)*(Q419&lt;=CH:CH), 0)), "")</f>
        <v/>
      </c>
      <c r="X419" s="39"/>
      <c r="Y419" s="74"/>
      <c r="Z419" s="74" t="str">
        <f>IF(OR(Table5[[#This Row],[Per Person Package Cost]]="", Table5[[#This Row],[No. of Pax]]=""), "", Table5[[#This Row],[Per Person Package Cost]] * Table5[[#This Row],[No. of Pax]])</f>
        <v/>
      </c>
      <c r="AA419" s="52"/>
      <c r="AB419" s="52"/>
      <c r="AC419" s="52"/>
      <c r="AD419" s="52"/>
      <c r="AE419" s="51" t="str">
        <f t="shared" si="49"/>
        <v/>
      </c>
      <c r="AF419" s="51" t="str">
        <f t="shared" si="50"/>
        <v/>
      </c>
      <c r="AG419" s="74" t="str">
        <f t="shared" si="51"/>
        <v/>
      </c>
      <c r="AH419" s="73" t="str">
        <f t="shared" si="52"/>
        <v/>
      </c>
      <c r="AI419" s="52"/>
      <c r="AJ419" s="56"/>
      <c r="AK419" s="59"/>
      <c r="AL419" s="60"/>
      <c r="AM419" s="54"/>
      <c r="AN419" s="14"/>
      <c r="AO419" s="15"/>
      <c r="AP419" s="91"/>
      <c r="AQ419" s="87"/>
      <c r="AR419" s="26"/>
      <c r="AS419" s="65"/>
      <c r="AT419" s="88"/>
      <c r="AU419" s="67"/>
      <c r="CN419" t="s">
        <v>2151</v>
      </c>
      <c r="DA419" t="str" cm="1">
        <f t="array" ref="DA419">IF(U419&lt;&gt;"", TRANSPOSE(_xlfn._xlws.FILTER(CZ:CZ, CY:CY=U419, "")), "")</f>
        <v/>
      </c>
    </row>
    <row r="420" spans="2:105" ht="15" customHeight="1">
      <c r="B420" s="35">
        <v>416</v>
      </c>
      <c r="C420" s="36" t="s">
        <v>2285</v>
      </c>
      <c r="D420" s="76"/>
      <c r="E420" s="37" t="str">
        <f>IF(Table5[[#This Row],[Query Date]]&lt;&gt;"", TEXT(Table5[[#This Row],[Query Date]], "dddd"), "")</f>
        <v/>
      </c>
      <c r="F420" s="37" t="str">
        <f>IF(Table5[[#This Row],[Query Date]]&lt;&gt;"", TEXT(Table5[[#This Row],[Query Date]], "mmmm"), "")</f>
        <v/>
      </c>
      <c r="G420" s="28"/>
      <c r="H420" s="28"/>
      <c r="I420" s="28"/>
      <c r="J420" s="28"/>
      <c r="K420" s="28"/>
      <c r="L420" s="25"/>
      <c r="M420" s="25"/>
      <c r="N420" s="25"/>
      <c r="O420" s="130"/>
      <c r="P420" s="46"/>
      <c r="Q420" s="77"/>
      <c r="R420" s="77" t="str">
        <f>IF(Table5[[#This Row],[Tour Starting Date]]&lt;&gt;"", TEXT(Table5[[#This Row],[Tour Starting Date]], "dddd"), "")</f>
        <v/>
      </c>
      <c r="S420" s="77"/>
      <c r="T420" s="25" t="str">
        <f>IF(Table5[[#This Row],[Tour Ending Date]]&lt;&gt;"", TEXT(Table5[[#This Row],[Tour Ending Date]], "dddd"), "")</f>
        <v/>
      </c>
      <c r="U42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20" s="37" t="str">
        <f>IF(Table5[[#This Row],[Tour Starting Date]]&lt;&gt;"", TEXT(Table5[[#This Row],[Tour Starting Date]], "mmmm"), "")</f>
        <v/>
      </c>
      <c r="W420" s="80" t="str" cm="1">
        <f t="array" ref="W420">IF(Q420&lt;&gt;"", INDEX(CI:CI, MATCH(1, (Q420&gt;=CG:CG)*(Q420&lt;=CH:CH), 0)), "")</f>
        <v/>
      </c>
      <c r="X420" s="39"/>
      <c r="Y420" s="74"/>
      <c r="Z420" s="74" t="str">
        <f>IF(OR(Table5[[#This Row],[Per Person Package Cost]]="", Table5[[#This Row],[No. of Pax]]=""), "", Table5[[#This Row],[Per Person Package Cost]] * Table5[[#This Row],[No. of Pax]])</f>
        <v/>
      </c>
      <c r="AA420" s="52"/>
      <c r="AB420" s="52"/>
      <c r="AC420" s="52"/>
      <c r="AD420" s="52"/>
      <c r="AE420" s="51" t="str">
        <f t="shared" si="49"/>
        <v/>
      </c>
      <c r="AF420" s="51" t="str">
        <f t="shared" si="50"/>
        <v/>
      </c>
      <c r="AG420" s="74" t="str">
        <f t="shared" si="51"/>
        <v/>
      </c>
      <c r="AH420" s="73" t="str">
        <f t="shared" si="52"/>
        <v/>
      </c>
      <c r="AI420" s="52"/>
      <c r="AJ420" s="56"/>
      <c r="AK420" s="59"/>
      <c r="AL420" s="60"/>
      <c r="AM420" s="54"/>
      <c r="AN420" s="14"/>
      <c r="AO420" s="15"/>
      <c r="AP420" s="91"/>
      <c r="AQ420" s="87"/>
      <c r="AR420" s="26"/>
      <c r="AS420" s="65"/>
      <c r="AT420" s="88"/>
      <c r="AU420" s="67"/>
      <c r="CN420" t="s">
        <v>2162</v>
      </c>
      <c r="DA420" t="str" cm="1">
        <f t="array" ref="DA420">IF(U420&lt;&gt;"", TRANSPOSE(_xlfn._xlws.FILTER(CZ:CZ, CY:CY=U420, "")), "")</f>
        <v/>
      </c>
    </row>
    <row r="421" spans="2:105" ht="15" customHeight="1">
      <c r="B421" s="34">
        <v>417</v>
      </c>
      <c r="C421" s="36" t="s">
        <v>2286</v>
      </c>
      <c r="D421" s="76"/>
      <c r="E421" s="37" t="str">
        <f>IF(Table5[[#This Row],[Query Date]]&lt;&gt;"", TEXT(Table5[[#This Row],[Query Date]], "dddd"), "")</f>
        <v/>
      </c>
      <c r="F421" s="37" t="str">
        <f>IF(Table5[[#This Row],[Query Date]]&lt;&gt;"", TEXT(Table5[[#This Row],[Query Date]], "mmmm"), "")</f>
        <v/>
      </c>
      <c r="G421" s="28"/>
      <c r="H421" s="28"/>
      <c r="I421" s="28"/>
      <c r="J421" s="28"/>
      <c r="K421" s="28"/>
      <c r="L421" s="25"/>
      <c r="M421" s="25"/>
      <c r="N421" s="25"/>
      <c r="O421" s="130"/>
      <c r="P421" s="46"/>
      <c r="Q421" s="77"/>
      <c r="R421" s="77" t="str">
        <f>IF(Table5[[#This Row],[Tour Starting Date]]&lt;&gt;"", TEXT(Table5[[#This Row],[Tour Starting Date]], "dddd"), "")</f>
        <v/>
      </c>
      <c r="S421" s="77"/>
      <c r="T421" s="25" t="str">
        <f>IF(Table5[[#This Row],[Tour Ending Date]]&lt;&gt;"", TEXT(Table5[[#This Row],[Tour Ending Date]], "dddd"), "")</f>
        <v/>
      </c>
      <c r="U42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21" s="37" t="str">
        <f>IF(Table5[[#This Row],[Tour Starting Date]]&lt;&gt;"", TEXT(Table5[[#This Row],[Tour Starting Date]], "mmmm"), "")</f>
        <v/>
      </c>
      <c r="W421" s="80" t="str" cm="1">
        <f t="array" ref="W421">IF(Q421&lt;&gt;"", INDEX(CI:CI, MATCH(1, (Q421&gt;=CG:CG)*(Q421&lt;=CH:CH), 0)), "")</f>
        <v/>
      </c>
      <c r="X421" s="39"/>
      <c r="Y421" s="74"/>
      <c r="Z421" s="74" t="str">
        <f>IF(OR(Table5[[#This Row],[Per Person Package Cost]]="", Table5[[#This Row],[No. of Pax]]=""), "", Table5[[#This Row],[Per Person Package Cost]] * Table5[[#This Row],[No. of Pax]])</f>
        <v/>
      </c>
      <c r="AA421" s="52"/>
      <c r="AB421" s="52"/>
      <c r="AC421" s="52"/>
      <c r="AD421" s="52"/>
      <c r="AE421" s="51" t="str">
        <f t="shared" si="49"/>
        <v/>
      </c>
      <c r="AF421" s="51" t="str">
        <f t="shared" si="50"/>
        <v/>
      </c>
      <c r="AG421" s="74" t="str">
        <f t="shared" si="51"/>
        <v/>
      </c>
      <c r="AH421" s="73" t="str">
        <f t="shared" si="52"/>
        <v/>
      </c>
      <c r="AI421" s="52"/>
      <c r="AJ421" s="56"/>
      <c r="AK421" s="59"/>
      <c r="AL421" s="60"/>
      <c r="AM421" s="54"/>
      <c r="AN421" s="14"/>
      <c r="AO421" s="15"/>
      <c r="AP421" s="91"/>
      <c r="AQ421" s="87"/>
      <c r="AR421" s="26"/>
      <c r="AS421" s="65"/>
      <c r="AT421" s="88"/>
      <c r="AU421" s="67"/>
      <c r="CN421" t="s">
        <v>2206</v>
      </c>
      <c r="DA421" t="str" cm="1">
        <f t="array" ref="DA421">IF(U421&lt;&gt;"", TRANSPOSE(_xlfn._xlws.FILTER(CZ:CZ, CY:CY=U421, "")), "")</f>
        <v/>
      </c>
    </row>
    <row r="422" spans="2:105" ht="15" customHeight="1">
      <c r="B422" s="35">
        <v>418</v>
      </c>
      <c r="C422" s="36" t="s">
        <v>2287</v>
      </c>
      <c r="D422" s="76"/>
      <c r="E422" s="37" t="str">
        <f>IF(Table5[[#This Row],[Query Date]]&lt;&gt;"", TEXT(Table5[[#This Row],[Query Date]], "dddd"), "")</f>
        <v/>
      </c>
      <c r="F422" s="37" t="str">
        <f>IF(Table5[[#This Row],[Query Date]]&lt;&gt;"", TEXT(Table5[[#This Row],[Query Date]], "mmmm"), "")</f>
        <v/>
      </c>
      <c r="G422" s="28"/>
      <c r="H422" s="28"/>
      <c r="I422" s="28"/>
      <c r="J422" s="28"/>
      <c r="K422" s="28"/>
      <c r="L422" s="25"/>
      <c r="M422" s="25"/>
      <c r="N422" s="25"/>
      <c r="O422" s="130"/>
      <c r="P422" s="47"/>
      <c r="Q422" s="77"/>
      <c r="R422" s="77" t="str">
        <f>IF(Table5[[#This Row],[Tour Starting Date]]&lt;&gt;"", TEXT(Table5[[#This Row],[Tour Starting Date]], "dddd"), "")</f>
        <v/>
      </c>
      <c r="S422" s="77"/>
      <c r="T422" s="25" t="str">
        <f>IF(Table5[[#This Row],[Tour Ending Date]]&lt;&gt;"", TEXT(Table5[[#This Row],[Tour Ending Date]], "dddd"), "")</f>
        <v/>
      </c>
      <c r="U42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22" s="37" t="str">
        <f>IF(Table5[[#This Row],[Tour Starting Date]]&lt;&gt;"", TEXT(Table5[[#This Row],[Tour Starting Date]], "mmmm"), "")</f>
        <v/>
      </c>
      <c r="W422" s="80" t="str" cm="1">
        <f t="array" ref="W422">IF(Q422&lt;&gt;"", INDEX(CI:CI, MATCH(1, (Q422&gt;=CG:CG)*(Q422&lt;=CH:CH), 0)), "")</f>
        <v/>
      </c>
      <c r="X422" s="39"/>
      <c r="Y422" s="74"/>
      <c r="Z422" s="74" t="str">
        <f>IF(OR(Table5[[#This Row],[Per Person Package Cost]]="", Table5[[#This Row],[No. of Pax]]=""), "", Table5[[#This Row],[Per Person Package Cost]] * Table5[[#This Row],[No. of Pax]])</f>
        <v/>
      </c>
      <c r="AA422" s="52"/>
      <c r="AB422" s="52"/>
      <c r="AC422" s="52"/>
      <c r="AD422" s="52"/>
      <c r="AE422" s="51" t="str">
        <f t="shared" si="49"/>
        <v/>
      </c>
      <c r="AF422" s="51" t="str">
        <f t="shared" si="50"/>
        <v/>
      </c>
      <c r="AG422" s="74" t="str">
        <f t="shared" si="51"/>
        <v/>
      </c>
      <c r="AH422" s="73" t="str">
        <f t="shared" si="52"/>
        <v/>
      </c>
      <c r="AI422" s="52"/>
      <c r="AJ422" s="56"/>
      <c r="AK422" s="59"/>
      <c r="AL422" s="60"/>
      <c r="AM422" s="54"/>
      <c r="AN422" s="14"/>
      <c r="AO422" s="15"/>
      <c r="AP422" s="91"/>
      <c r="AQ422" s="87"/>
      <c r="AR422" s="26"/>
      <c r="AS422" s="65"/>
      <c r="AT422" s="88"/>
      <c r="AU422" s="67"/>
      <c r="CN422" s="150" t="s">
        <v>2211</v>
      </c>
      <c r="DA422" t="str" cm="1">
        <f t="array" ref="DA422">IF(U422&lt;&gt;"", TRANSPOSE(_xlfn._xlws.FILTER(CZ:CZ, CY:CY=U422, "")), "")</f>
        <v/>
      </c>
    </row>
    <row r="423" spans="2:105" ht="15" customHeight="1">
      <c r="B423" s="34">
        <v>419</v>
      </c>
      <c r="C423" s="36" t="s">
        <v>2288</v>
      </c>
      <c r="D423" s="76"/>
      <c r="E423" s="37" t="str">
        <f>IF(Table5[[#This Row],[Query Date]]&lt;&gt;"", TEXT(Table5[[#This Row],[Query Date]], "dddd"), "")</f>
        <v/>
      </c>
      <c r="F423" s="37" t="str">
        <f>IF(Table5[[#This Row],[Query Date]]&lt;&gt;"", TEXT(Table5[[#This Row],[Query Date]], "mmmm"), "")</f>
        <v/>
      </c>
      <c r="G423" s="28"/>
      <c r="H423" s="28"/>
      <c r="I423" s="28"/>
      <c r="J423" s="28"/>
      <c r="K423" s="28"/>
      <c r="L423" s="25"/>
      <c r="M423" s="25"/>
      <c r="N423" s="25"/>
      <c r="O423" s="130"/>
      <c r="P423" s="46"/>
      <c r="Q423" s="77"/>
      <c r="R423" s="77" t="str">
        <f>IF(Table5[[#This Row],[Tour Starting Date]]&lt;&gt;"", TEXT(Table5[[#This Row],[Tour Starting Date]], "dddd"), "")</f>
        <v/>
      </c>
      <c r="S423" s="77"/>
      <c r="T423" s="25" t="str">
        <f>IF(Table5[[#This Row],[Tour Ending Date]]&lt;&gt;"", TEXT(Table5[[#This Row],[Tour Ending Date]], "dddd"), "")</f>
        <v/>
      </c>
      <c r="U42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23" s="37" t="str">
        <f>IF(Table5[[#This Row],[Tour Starting Date]]&lt;&gt;"", TEXT(Table5[[#This Row],[Tour Starting Date]], "mmmm"), "")</f>
        <v/>
      </c>
      <c r="W423" s="80" t="str" cm="1">
        <f t="array" ref="W423">IF(Q423&lt;&gt;"", INDEX(CI:CI, MATCH(1, (Q423&gt;=CG:CG)*(Q423&lt;=CH:CH), 0)), "")</f>
        <v/>
      </c>
      <c r="X423" s="39"/>
      <c r="Y423" s="74"/>
      <c r="Z423" s="74" t="str">
        <f>IF(OR(Table5[[#This Row],[Per Person Package Cost]]="", Table5[[#This Row],[No. of Pax]]=""), "", Table5[[#This Row],[Per Person Package Cost]] * Table5[[#This Row],[No. of Pax]])</f>
        <v/>
      </c>
      <c r="AA423" s="52"/>
      <c r="AB423" s="52"/>
      <c r="AC423" s="52"/>
      <c r="AD423" s="52"/>
      <c r="AE423" s="51" t="str">
        <f t="shared" si="49"/>
        <v/>
      </c>
      <c r="AF423" s="51" t="str">
        <f t="shared" si="50"/>
        <v/>
      </c>
      <c r="AG423" s="74" t="str">
        <f t="shared" si="51"/>
        <v/>
      </c>
      <c r="AH423" s="73" t="str">
        <f t="shared" si="52"/>
        <v/>
      </c>
      <c r="AI423" s="52"/>
      <c r="AJ423" s="56"/>
      <c r="AK423" s="59"/>
      <c r="AL423" s="60"/>
      <c r="AM423" s="54"/>
      <c r="AN423" s="14"/>
      <c r="AO423" s="15"/>
      <c r="AP423" s="91"/>
      <c r="AQ423" s="87"/>
      <c r="AR423" s="26"/>
      <c r="AS423" s="65"/>
      <c r="AT423" s="88"/>
      <c r="AU423" s="67"/>
      <c r="DA423" t="str" cm="1">
        <f t="array" ref="DA423">IF(U423&lt;&gt;"", TRANSPOSE(_xlfn._xlws.FILTER(CZ:CZ, CY:CY=U423, "")), "")</f>
        <v/>
      </c>
    </row>
    <row r="424" spans="2:105" ht="15" customHeight="1">
      <c r="B424" s="35">
        <v>420</v>
      </c>
      <c r="C424" s="36" t="s">
        <v>2289</v>
      </c>
      <c r="D424" s="76"/>
      <c r="E424" s="37" t="str">
        <f>IF(Table5[[#This Row],[Query Date]]&lt;&gt;"", TEXT(Table5[[#This Row],[Query Date]], "dddd"), "")</f>
        <v/>
      </c>
      <c r="F424" s="37" t="str">
        <f>IF(Table5[[#This Row],[Query Date]]&lt;&gt;"", TEXT(Table5[[#This Row],[Query Date]], "mmmm"), "")</f>
        <v/>
      </c>
      <c r="G424" s="28"/>
      <c r="H424" s="28"/>
      <c r="I424" s="28"/>
      <c r="J424" s="28"/>
      <c r="K424" s="28"/>
      <c r="L424" s="25"/>
      <c r="M424" s="25"/>
      <c r="N424" s="25"/>
      <c r="O424" s="130"/>
      <c r="P424" s="46"/>
      <c r="Q424" s="77"/>
      <c r="R424" s="77" t="str">
        <f>IF(Table5[[#This Row],[Tour Starting Date]]&lt;&gt;"", TEXT(Table5[[#This Row],[Tour Starting Date]], "dddd"), "")</f>
        <v/>
      </c>
      <c r="S424" s="77"/>
      <c r="T424" s="25" t="str">
        <f>IF(Table5[[#This Row],[Tour Ending Date]]&lt;&gt;"", TEXT(Table5[[#This Row],[Tour Ending Date]], "dddd"), "")</f>
        <v/>
      </c>
      <c r="U42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24" s="37" t="str">
        <f>IF(Table5[[#This Row],[Tour Starting Date]]&lt;&gt;"", TEXT(Table5[[#This Row],[Tour Starting Date]], "mmmm"), "")</f>
        <v/>
      </c>
      <c r="W424" s="80" t="str" cm="1">
        <f t="array" ref="W424">IF(Q424&lt;&gt;"", INDEX(CI:CI, MATCH(1, (Q424&gt;=CG:CG)*(Q424&lt;=CH:CH), 0)), "")</f>
        <v/>
      </c>
      <c r="X424" s="39"/>
      <c r="Y424" s="74"/>
      <c r="Z424" s="74" t="str">
        <f>IF(OR(Table5[[#This Row],[Per Person Package Cost]]="", Table5[[#This Row],[No. of Pax]]=""), "", Table5[[#This Row],[Per Person Package Cost]] * Table5[[#This Row],[No. of Pax]])</f>
        <v/>
      </c>
      <c r="AA424" s="52"/>
      <c r="AB424" s="52"/>
      <c r="AC424" s="52"/>
      <c r="AD424" s="52"/>
      <c r="AE424" s="51" t="str">
        <f t="shared" si="49"/>
        <v/>
      </c>
      <c r="AF424" s="51" t="str">
        <f t="shared" si="50"/>
        <v/>
      </c>
      <c r="AG424" s="74" t="str">
        <f t="shared" si="51"/>
        <v/>
      </c>
      <c r="AH424" s="73" t="str">
        <f t="shared" si="52"/>
        <v/>
      </c>
      <c r="AI424" s="52"/>
      <c r="AJ424" s="56"/>
      <c r="AK424" s="59"/>
      <c r="AL424" s="60"/>
      <c r="AM424" s="54"/>
      <c r="AN424" s="14"/>
      <c r="AO424" s="15"/>
      <c r="AP424" s="91"/>
      <c r="AQ424" s="87"/>
      <c r="AR424" s="26"/>
      <c r="AS424" s="65"/>
      <c r="AT424" s="88"/>
      <c r="AU424" s="67"/>
      <c r="DA424" t="str" cm="1">
        <f t="array" ref="DA424">IF(U424&lt;&gt;"", TRANSPOSE(_xlfn._xlws.FILTER(CZ:CZ, CY:CY=U424, "")), "")</f>
        <v/>
      </c>
    </row>
    <row r="425" spans="2:105" ht="15" customHeight="1">
      <c r="B425" s="34">
        <v>421</v>
      </c>
      <c r="C425" s="36" t="s">
        <v>2290</v>
      </c>
      <c r="D425" s="76"/>
      <c r="E425" s="37" t="str">
        <f>IF(Table5[[#This Row],[Query Date]]&lt;&gt;"", TEXT(Table5[[#This Row],[Query Date]], "dddd"), "")</f>
        <v/>
      </c>
      <c r="F425" s="37" t="str">
        <f>IF(Table5[[#This Row],[Query Date]]&lt;&gt;"", TEXT(Table5[[#This Row],[Query Date]], "mmmm"), "")</f>
        <v/>
      </c>
      <c r="G425" s="28"/>
      <c r="H425" s="28"/>
      <c r="I425" s="28"/>
      <c r="J425" s="28"/>
      <c r="K425" s="28"/>
      <c r="L425" s="25"/>
      <c r="M425" s="112"/>
      <c r="N425" s="25"/>
      <c r="O425" s="130"/>
      <c r="P425" s="46"/>
      <c r="Q425" s="77"/>
      <c r="R425" s="77" t="str">
        <f>IF(Table5[[#This Row],[Tour Starting Date]]&lt;&gt;"", TEXT(Table5[[#This Row],[Tour Starting Date]], "dddd"), "")</f>
        <v/>
      </c>
      <c r="S425" s="77"/>
      <c r="T425" s="25" t="str">
        <f>IF(Table5[[#This Row],[Tour Ending Date]]&lt;&gt;"", TEXT(Table5[[#This Row],[Tour Ending Date]], "dddd"), "")</f>
        <v/>
      </c>
      <c r="U42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25" s="37" t="str">
        <f>IF(Table5[[#This Row],[Tour Starting Date]]&lt;&gt;"", TEXT(Table5[[#This Row],[Tour Starting Date]], "mmmm"), "")</f>
        <v/>
      </c>
      <c r="W425" s="80" t="str" cm="1">
        <f t="array" ref="W425">IF(Q425&lt;&gt;"", INDEX(CI:CI, MATCH(1, (Q425&gt;=CG:CG)*(Q425&lt;=CH:CH), 0)), "")</f>
        <v/>
      </c>
      <c r="X425" s="39"/>
      <c r="Y425" s="74"/>
      <c r="Z425" s="74" t="str">
        <f>IF(OR(Table5[[#This Row],[Per Person Package Cost]]="", Table5[[#This Row],[No. of Pax]]=""), "", Table5[[#This Row],[Per Person Package Cost]] * Table5[[#This Row],[No. of Pax]])</f>
        <v/>
      </c>
      <c r="AA425" s="52"/>
      <c r="AB425" s="52"/>
      <c r="AC425" s="52"/>
      <c r="AD425" s="52"/>
      <c r="AE425" s="51" t="str">
        <f t="shared" si="49"/>
        <v/>
      </c>
      <c r="AF425" s="51" t="str">
        <f t="shared" si="50"/>
        <v/>
      </c>
      <c r="AG425" s="74" t="str">
        <f t="shared" si="51"/>
        <v/>
      </c>
      <c r="AH425" s="73" t="str">
        <f t="shared" si="52"/>
        <v/>
      </c>
      <c r="AI425" s="52"/>
      <c r="AJ425" s="56"/>
      <c r="AK425" s="59"/>
      <c r="AL425" s="60"/>
      <c r="AM425" s="54"/>
      <c r="AN425" s="14"/>
      <c r="AO425" s="15"/>
      <c r="AP425" s="91"/>
      <c r="AQ425" s="87"/>
      <c r="AR425" s="26"/>
      <c r="AS425" s="65"/>
      <c r="AT425" s="88"/>
      <c r="AU425" s="67"/>
      <c r="DA425" t="str" cm="1">
        <f t="array" ref="DA425">IF(U425&lt;&gt;"", TRANSPOSE(_xlfn._xlws.FILTER(CZ:CZ, CY:CY=U425, "")), "")</f>
        <v/>
      </c>
    </row>
    <row r="426" spans="2:105" ht="15" customHeight="1">
      <c r="B426" s="35">
        <v>422</v>
      </c>
      <c r="C426" s="36" t="s">
        <v>2291</v>
      </c>
      <c r="D426" s="76"/>
      <c r="E426" s="37" t="str">
        <f>IF(Table5[[#This Row],[Query Date]]&lt;&gt;"", TEXT(Table5[[#This Row],[Query Date]], "dddd"), "")</f>
        <v/>
      </c>
      <c r="F426" s="37" t="str">
        <f>IF(Table5[[#This Row],[Query Date]]&lt;&gt;"", TEXT(Table5[[#This Row],[Query Date]], "mmmm"), "")</f>
        <v/>
      </c>
      <c r="G426" s="28"/>
      <c r="H426" s="28"/>
      <c r="I426" s="28"/>
      <c r="J426" s="28"/>
      <c r="K426" s="28"/>
      <c r="L426" s="25"/>
      <c r="M426" s="25"/>
      <c r="N426" s="25"/>
      <c r="O426" s="130"/>
      <c r="P426" s="46"/>
      <c r="Q426" s="77"/>
      <c r="R426" s="77" t="str">
        <f>IF(Table5[[#This Row],[Tour Starting Date]]&lt;&gt;"", TEXT(Table5[[#This Row],[Tour Starting Date]], "dddd"), "")</f>
        <v/>
      </c>
      <c r="S426" s="77"/>
      <c r="T426" s="25" t="str">
        <f>IF(Table5[[#This Row],[Tour Ending Date]]&lt;&gt;"", TEXT(Table5[[#This Row],[Tour Ending Date]], "dddd"), "")</f>
        <v/>
      </c>
      <c r="U42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26" s="37" t="str">
        <f>IF(Table5[[#This Row],[Tour Starting Date]]&lt;&gt;"", TEXT(Table5[[#This Row],[Tour Starting Date]], "mmmm"), "")</f>
        <v/>
      </c>
      <c r="W426" s="80" t="str" cm="1">
        <f t="array" ref="W426">IF(Q426&lt;&gt;"", INDEX(CI:CI, MATCH(1, (Q426&gt;=CG:CG)*(Q426&lt;=CH:CH), 0)), "")</f>
        <v/>
      </c>
      <c r="X426" s="39"/>
      <c r="Y426" s="74"/>
      <c r="Z426" s="74" t="str">
        <f>IF(OR(Table5[[#This Row],[Per Person Package Cost]]="", Table5[[#This Row],[No. of Pax]]=""), "", Table5[[#This Row],[Per Person Package Cost]] * Table5[[#This Row],[No. of Pax]])</f>
        <v/>
      </c>
      <c r="AA426" s="52"/>
      <c r="AB426" s="52"/>
      <c r="AC426" s="52"/>
      <c r="AD426" s="52"/>
      <c r="AE426" s="51" t="str">
        <f t="shared" si="49"/>
        <v/>
      </c>
      <c r="AF426" s="51" t="str">
        <f t="shared" si="50"/>
        <v/>
      </c>
      <c r="AG426" s="74" t="str">
        <f t="shared" si="51"/>
        <v/>
      </c>
      <c r="AH426" s="73" t="str">
        <f t="shared" si="52"/>
        <v/>
      </c>
      <c r="AI426" s="52"/>
      <c r="AJ426" s="56"/>
      <c r="AK426" s="59"/>
      <c r="AL426" s="60"/>
      <c r="AM426" s="54"/>
      <c r="AN426" s="14"/>
      <c r="AO426" s="15"/>
      <c r="AP426" s="91"/>
      <c r="AQ426" s="87"/>
      <c r="AR426" s="26"/>
      <c r="AS426" s="65"/>
      <c r="AT426" s="88"/>
      <c r="AU426" s="67"/>
      <c r="DA426" t="str" cm="1">
        <f t="array" ref="DA426">IF(U426&lt;&gt;"", TRANSPOSE(_xlfn._xlws.FILTER(CZ:CZ, CY:CY=U426, "")), "")</f>
        <v/>
      </c>
    </row>
    <row r="427" spans="2:105" ht="15" customHeight="1">
      <c r="B427" s="34">
        <v>423</v>
      </c>
      <c r="C427" s="36" t="s">
        <v>2292</v>
      </c>
      <c r="D427" s="76"/>
      <c r="E427" s="37" t="str">
        <f>IF(Table5[[#This Row],[Query Date]]&lt;&gt;"", TEXT(Table5[[#This Row],[Query Date]], "dddd"), "")</f>
        <v/>
      </c>
      <c r="F427" s="37" t="str">
        <f>IF(Table5[[#This Row],[Query Date]]&lt;&gt;"", TEXT(Table5[[#This Row],[Query Date]], "mmmm"), "")</f>
        <v/>
      </c>
      <c r="G427" s="28"/>
      <c r="H427" s="28"/>
      <c r="I427" s="28"/>
      <c r="J427" s="28"/>
      <c r="K427" s="28"/>
      <c r="L427" s="25"/>
      <c r="M427" s="25"/>
      <c r="N427" s="25"/>
      <c r="O427" s="130"/>
      <c r="P427" s="46"/>
      <c r="Q427" s="77"/>
      <c r="R427" s="77" t="str">
        <f>IF(Table5[[#This Row],[Tour Starting Date]]&lt;&gt;"", TEXT(Table5[[#This Row],[Tour Starting Date]], "dddd"), "")</f>
        <v/>
      </c>
      <c r="S427" s="77"/>
      <c r="T427" s="25" t="str">
        <f>IF(Table5[[#This Row],[Tour Ending Date]]&lt;&gt;"", TEXT(Table5[[#This Row],[Tour Ending Date]], "dddd"), "")</f>
        <v/>
      </c>
      <c r="U42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27" s="37" t="str">
        <f>IF(Table5[[#This Row],[Tour Starting Date]]&lt;&gt;"", TEXT(Table5[[#This Row],[Tour Starting Date]], "mmmm"), "")</f>
        <v/>
      </c>
      <c r="W427" s="80" t="str" cm="1">
        <f t="array" ref="W427">IF(Q427&lt;&gt;"", INDEX(CI:CI, MATCH(1, (Q427&gt;=CG:CG)*(Q427&lt;=CH:CH), 0)), "")</f>
        <v/>
      </c>
      <c r="X427" s="39"/>
      <c r="Y427" s="74"/>
      <c r="Z427" s="74" t="str">
        <f>IF(OR(Table5[[#This Row],[Per Person Package Cost]]="", Table5[[#This Row],[No. of Pax]]=""), "", Table5[[#This Row],[Per Person Package Cost]] * Table5[[#This Row],[No. of Pax]])</f>
        <v/>
      </c>
      <c r="AA427" s="52"/>
      <c r="AB427" s="52"/>
      <c r="AC427" s="52"/>
      <c r="AD427" s="52"/>
      <c r="AE427" s="51" t="str">
        <f t="shared" si="49"/>
        <v/>
      </c>
      <c r="AF427" s="51" t="str">
        <f t="shared" si="50"/>
        <v/>
      </c>
      <c r="AG427" s="74" t="str">
        <f t="shared" si="51"/>
        <v/>
      </c>
      <c r="AH427" s="73" t="str">
        <f t="shared" si="52"/>
        <v/>
      </c>
      <c r="AI427" s="52"/>
      <c r="AJ427" s="56"/>
      <c r="AK427" s="59"/>
      <c r="AL427" s="60"/>
      <c r="AM427" s="54"/>
      <c r="AN427" s="14"/>
      <c r="AO427" s="15"/>
      <c r="AP427" s="91"/>
      <c r="AQ427" s="87"/>
      <c r="AR427" s="26"/>
      <c r="AS427" s="65"/>
      <c r="AT427" s="88"/>
      <c r="AU427" s="67"/>
      <c r="DA427" t="str" cm="1">
        <f t="array" ref="DA427">IF(U427&lt;&gt;"", TRANSPOSE(_xlfn._xlws.FILTER(CZ:CZ, CY:CY=U427, "")), "")</f>
        <v/>
      </c>
    </row>
    <row r="428" spans="2:105" ht="15" customHeight="1">
      <c r="B428" s="35">
        <v>424</v>
      </c>
      <c r="C428" s="36" t="s">
        <v>2293</v>
      </c>
      <c r="D428" s="76"/>
      <c r="E428" s="37" t="str">
        <f>IF(Table5[[#This Row],[Query Date]]&lt;&gt;"", TEXT(Table5[[#This Row],[Query Date]], "dddd"), "")</f>
        <v/>
      </c>
      <c r="F428" s="37" t="str">
        <f>IF(Table5[[#This Row],[Query Date]]&lt;&gt;"", TEXT(Table5[[#This Row],[Query Date]], "mmmm"), "")</f>
        <v/>
      </c>
      <c r="G428" s="28"/>
      <c r="H428" s="28"/>
      <c r="I428" s="28"/>
      <c r="J428" s="28"/>
      <c r="K428" s="28"/>
      <c r="L428" s="25"/>
      <c r="M428" s="25"/>
      <c r="N428" s="25"/>
      <c r="O428" s="130"/>
      <c r="P428" s="46"/>
      <c r="Q428" s="77"/>
      <c r="R428" s="77" t="str">
        <f>IF(Table5[[#This Row],[Tour Starting Date]]&lt;&gt;"", TEXT(Table5[[#This Row],[Tour Starting Date]], "dddd"), "")</f>
        <v/>
      </c>
      <c r="S428" s="77"/>
      <c r="T428" s="25" t="str">
        <f>IF(Table5[[#This Row],[Tour Ending Date]]&lt;&gt;"", TEXT(Table5[[#This Row],[Tour Ending Date]], "dddd"), "")</f>
        <v/>
      </c>
      <c r="U42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28" s="37" t="str">
        <f>IF(Table5[[#This Row],[Tour Starting Date]]&lt;&gt;"", TEXT(Table5[[#This Row],[Tour Starting Date]], "mmmm"), "")</f>
        <v/>
      </c>
      <c r="W428" s="80" t="str" cm="1">
        <f t="array" ref="W428">IF(Q428&lt;&gt;"", INDEX(CI:CI, MATCH(1, (Q428&gt;=CG:CG)*(Q428&lt;=CH:CH), 0)), "")</f>
        <v/>
      </c>
      <c r="X428" s="39"/>
      <c r="Y428" s="74"/>
      <c r="Z428" s="74" t="str">
        <f>IF(OR(Table5[[#This Row],[Per Person Package Cost]]="", Table5[[#This Row],[No. of Pax]]=""), "", Table5[[#This Row],[Per Person Package Cost]] * Table5[[#This Row],[No. of Pax]])</f>
        <v/>
      </c>
      <c r="AA428" s="52"/>
      <c r="AB428" s="52"/>
      <c r="AC428" s="52"/>
      <c r="AD428" s="52"/>
      <c r="AE428" s="51" t="str">
        <f t="shared" si="49"/>
        <v/>
      </c>
      <c r="AF428" s="51" t="str">
        <f t="shared" si="50"/>
        <v/>
      </c>
      <c r="AG428" s="74" t="str">
        <f t="shared" si="51"/>
        <v/>
      </c>
      <c r="AH428" s="73" t="str">
        <f t="shared" si="52"/>
        <v/>
      </c>
      <c r="AI428" s="52"/>
      <c r="AJ428" s="56"/>
      <c r="AK428" s="59"/>
      <c r="AL428" s="60"/>
      <c r="AM428" s="54"/>
      <c r="AN428" s="14"/>
      <c r="AO428" s="15"/>
      <c r="AP428" s="91"/>
      <c r="AQ428" s="87"/>
      <c r="AR428" s="26"/>
      <c r="AS428" s="65"/>
      <c r="AT428" s="88"/>
      <c r="AU428" s="67"/>
      <c r="DA428" t="str" cm="1">
        <f t="array" ref="DA428">IF(U428&lt;&gt;"", TRANSPOSE(_xlfn._xlws.FILTER(CZ:CZ, CY:CY=U428, "")), "")</f>
        <v/>
      </c>
    </row>
    <row r="429" spans="2:105" ht="15" customHeight="1">
      <c r="B429" s="34">
        <v>425</v>
      </c>
      <c r="C429" s="36" t="s">
        <v>2294</v>
      </c>
      <c r="D429" s="76"/>
      <c r="E429" s="37" t="str">
        <f>IF(Table5[[#This Row],[Query Date]]&lt;&gt;"", TEXT(Table5[[#This Row],[Query Date]], "dddd"), "")</f>
        <v/>
      </c>
      <c r="F429" s="37" t="str">
        <f>IF(Table5[[#This Row],[Query Date]]&lt;&gt;"", TEXT(Table5[[#This Row],[Query Date]], "mmmm"), "")</f>
        <v/>
      </c>
      <c r="G429" s="28"/>
      <c r="H429" s="28"/>
      <c r="I429" s="28"/>
      <c r="J429" s="28"/>
      <c r="K429" s="28"/>
      <c r="L429" s="25"/>
      <c r="M429" s="112"/>
      <c r="N429" s="25"/>
      <c r="O429" s="130"/>
      <c r="P429" s="46"/>
      <c r="Q429" s="77"/>
      <c r="R429" s="77" t="str">
        <f>IF(Table5[[#This Row],[Tour Starting Date]]&lt;&gt;"", TEXT(Table5[[#This Row],[Tour Starting Date]], "dddd"), "")</f>
        <v/>
      </c>
      <c r="S429" s="77"/>
      <c r="T429" s="25" t="str">
        <f>IF(Table5[[#This Row],[Tour Ending Date]]&lt;&gt;"", TEXT(Table5[[#This Row],[Tour Ending Date]], "dddd"), "")</f>
        <v/>
      </c>
      <c r="U42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29" s="37" t="str">
        <f>IF(Table5[[#This Row],[Tour Starting Date]]&lt;&gt;"", TEXT(Table5[[#This Row],[Tour Starting Date]], "mmmm"), "")</f>
        <v/>
      </c>
      <c r="W429" s="80" t="str" cm="1">
        <f t="array" ref="W429">IF(Q429&lt;&gt;"", INDEX(CI:CI, MATCH(1, (Q429&gt;=CG:CG)*(Q429&lt;=CH:CH), 0)), "")</f>
        <v/>
      </c>
      <c r="X429" s="39"/>
      <c r="Y429" s="74"/>
      <c r="Z429" s="74" t="str">
        <f>IF(OR(Table5[[#This Row],[Per Person Package Cost]]="", Table5[[#This Row],[No. of Pax]]=""), "", Table5[[#This Row],[Per Person Package Cost]] * Table5[[#This Row],[No. of Pax]])</f>
        <v/>
      </c>
      <c r="AA429" s="52"/>
      <c r="AB429" s="52"/>
      <c r="AC429" s="52"/>
      <c r="AD429" s="52"/>
      <c r="AE429" s="51" t="str">
        <f t="shared" si="49"/>
        <v/>
      </c>
      <c r="AF429" s="51" t="str">
        <f t="shared" si="50"/>
        <v/>
      </c>
      <c r="AG429" s="74" t="str">
        <f t="shared" si="51"/>
        <v/>
      </c>
      <c r="AH429" s="73" t="str">
        <f t="shared" si="52"/>
        <v/>
      </c>
      <c r="AI429" s="52"/>
      <c r="AJ429" s="56"/>
      <c r="AK429" s="59"/>
      <c r="AL429" s="60"/>
      <c r="AM429" s="54"/>
      <c r="AN429" s="14"/>
      <c r="AO429" s="15"/>
      <c r="AP429" s="91"/>
      <c r="AQ429" s="87"/>
      <c r="AR429" s="26"/>
      <c r="AS429" s="65"/>
      <c r="AT429" s="88"/>
      <c r="AU429" s="67"/>
      <c r="DA429" t="str" cm="1">
        <f t="array" ref="DA429">IF(U429&lt;&gt;"", TRANSPOSE(_xlfn._xlws.FILTER(CZ:CZ, CY:CY=U429, "")), "")</f>
        <v/>
      </c>
    </row>
    <row r="430" spans="2:105" ht="15" customHeight="1">
      <c r="B430" s="35">
        <v>426</v>
      </c>
      <c r="C430" s="36" t="s">
        <v>2295</v>
      </c>
      <c r="D430" s="76"/>
      <c r="E430" s="37" t="str">
        <f>IF(Table5[[#This Row],[Query Date]]&lt;&gt;"", TEXT(Table5[[#This Row],[Query Date]], "dddd"), "")</f>
        <v/>
      </c>
      <c r="F430" s="37" t="str">
        <f>IF(Table5[[#This Row],[Query Date]]&lt;&gt;"", TEXT(Table5[[#This Row],[Query Date]], "mmmm"), "")</f>
        <v/>
      </c>
      <c r="G430" s="28"/>
      <c r="H430" s="28"/>
      <c r="I430" s="28"/>
      <c r="J430" s="28"/>
      <c r="K430" s="28"/>
      <c r="L430" s="25"/>
      <c r="M430" s="25"/>
      <c r="N430" s="25"/>
      <c r="O430" s="130"/>
      <c r="P430" s="46"/>
      <c r="Q430" s="77"/>
      <c r="R430" s="77" t="str">
        <f>IF(Table5[[#This Row],[Tour Starting Date]]&lt;&gt;"", TEXT(Table5[[#This Row],[Tour Starting Date]], "dddd"), "")</f>
        <v/>
      </c>
      <c r="S430" s="77"/>
      <c r="T430" s="25" t="str">
        <f>IF(Table5[[#This Row],[Tour Ending Date]]&lt;&gt;"", TEXT(Table5[[#This Row],[Tour Ending Date]], "dddd"), "")</f>
        <v/>
      </c>
      <c r="U43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30" s="37" t="str">
        <f>IF(Table5[[#This Row],[Tour Starting Date]]&lt;&gt;"", TEXT(Table5[[#This Row],[Tour Starting Date]], "mmmm"), "")</f>
        <v/>
      </c>
      <c r="W430" s="80" t="str" cm="1">
        <f t="array" ref="W430">IF(Q430&lt;&gt;"", INDEX(CI:CI, MATCH(1, (Q430&gt;=CG:CG)*(Q430&lt;=CH:CH), 0)), "")</f>
        <v/>
      </c>
      <c r="X430" s="39"/>
      <c r="Y430" s="74"/>
      <c r="Z430" s="74" t="str">
        <f>IF(OR(Table5[[#This Row],[Per Person Package Cost]]="", Table5[[#This Row],[No. of Pax]]=""), "", Table5[[#This Row],[Per Person Package Cost]] * Table5[[#This Row],[No. of Pax]])</f>
        <v/>
      </c>
      <c r="AA430" s="52"/>
      <c r="AB430" s="52"/>
      <c r="AC430" s="52"/>
      <c r="AD430" s="52"/>
      <c r="AE430" s="51" t="str">
        <f t="shared" si="49"/>
        <v/>
      </c>
      <c r="AF430" s="51" t="str">
        <f t="shared" si="50"/>
        <v/>
      </c>
      <c r="AG430" s="74" t="str">
        <f t="shared" si="51"/>
        <v/>
      </c>
      <c r="AH430" s="73" t="str">
        <f t="shared" si="52"/>
        <v/>
      </c>
      <c r="AI430" s="52"/>
      <c r="AJ430" s="56"/>
      <c r="AK430" s="59"/>
      <c r="AL430" s="60"/>
      <c r="AM430" s="54"/>
      <c r="AN430" s="14"/>
      <c r="AO430" s="15"/>
      <c r="AP430" s="91"/>
      <c r="AQ430" s="87"/>
      <c r="AR430" s="26"/>
      <c r="AS430" s="65"/>
      <c r="AT430" s="88"/>
      <c r="AU430" s="67"/>
      <c r="DA430" t="str" cm="1">
        <f t="array" ref="DA430">IF(U430&lt;&gt;"", TRANSPOSE(_xlfn._xlws.FILTER(CZ:CZ, CY:CY=U430, "")), "")</f>
        <v/>
      </c>
    </row>
    <row r="431" spans="2:105" ht="15" customHeight="1">
      <c r="B431" s="34">
        <v>427</v>
      </c>
      <c r="C431" s="36" t="s">
        <v>2296</v>
      </c>
      <c r="D431" s="76"/>
      <c r="E431" s="37" t="str">
        <f>IF(Table5[[#This Row],[Query Date]]&lt;&gt;"", TEXT(Table5[[#This Row],[Query Date]], "dddd"), "")</f>
        <v/>
      </c>
      <c r="F431" s="37" t="str">
        <f>IF(Table5[[#This Row],[Query Date]]&lt;&gt;"", TEXT(Table5[[#This Row],[Query Date]], "mmmm"), "")</f>
        <v/>
      </c>
      <c r="G431" s="28"/>
      <c r="H431" s="28"/>
      <c r="I431" s="28"/>
      <c r="J431" s="28"/>
      <c r="K431" s="28"/>
      <c r="L431" s="25"/>
      <c r="M431" s="25"/>
      <c r="N431" s="25"/>
      <c r="O431" s="130"/>
      <c r="P431" s="46"/>
      <c r="Q431" s="77"/>
      <c r="R431" s="77" t="str">
        <f>IF(Table5[[#This Row],[Tour Starting Date]]&lt;&gt;"", TEXT(Table5[[#This Row],[Tour Starting Date]], "dddd"), "")</f>
        <v/>
      </c>
      <c r="S431" s="77"/>
      <c r="T431" s="25" t="str">
        <f>IF(Table5[[#This Row],[Tour Ending Date]]&lt;&gt;"", TEXT(Table5[[#This Row],[Tour Ending Date]], "dddd"), "")</f>
        <v/>
      </c>
      <c r="U43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31" s="37" t="str">
        <f>IF(Table5[[#This Row],[Tour Starting Date]]&lt;&gt;"", TEXT(Table5[[#This Row],[Tour Starting Date]], "mmmm"), "")</f>
        <v/>
      </c>
      <c r="W431" s="80" t="str" cm="1">
        <f t="array" ref="W431">IF(Q431&lt;&gt;"", INDEX(CI:CI, MATCH(1, (Q431&gt;=CG:CG)*(Q431&lt;=CH:CH), 0)), "")</f>
        <v/>
      </c>
      <c r="X431" s="39"/>
      <c r="Y431" s="74"/>
      <c r="Z431" s="74" t="str">
        <f>IF(OR(Table5[[#This Row],[Per Person Package Cost]]="", Table5[[#This Row],[No. of Pax]]=""), "", Table5[[#This Row],[Per Person Package Cost]] * Table5[[#This Row],[No. of Pax]])</f>
        <v/>
      </c>
      <c r="AA431" s="52"/>
      <c r="AB431" s="52"/>
      <c r="AC431" s="52"/>
      <c r="AD431" s="52"/>
      <c r="AE431" s="51" t="str">
        <f t="shared" si="49"/>
        <v/>
      </c>
      <c r="AF431" s="51" t="str">
        <f t="shared" si="50"/>
        <v/>
      </c>
      <c r="AG431" s="74" t="str">
        <f t="shared" si="51"/>
        <v/>
      </c>
      <c r="AH431" s="73" t="str">
        <f t="shared" si="52"/>
        <v/>
      </c>
      <c r="AI431" s="52"/>
      <c r="AJ431" s="56"/>
      <c r="AK431" s="59"/>
      <c r="AL431" s="60"/>
      <c r="AM431" s="54"/>
      <c r="AN431" s="14"/>
      <c r="AO431" s="15"/>
      <c r="AP431" s="91"/>
      <c r="AQ431" s="87"/>
      <c r="AR431" s="26"/>
      <c r="AS431" s="65"/>
      <c r="AT431" s="88"/>
      <c r="AU431" s="67"/>
      <c r="DA431" t="str" cm="1">
        <f t="array" ref="DA431">IF(U431&lt;&gt;"", TRANSPOSE(_xlfn._xlws.FILTER(CZ:CZ, CY:CY=U431, "")), "")</f>
        <v/>
      </c>
    </row>
    <row r="432" spans="2:105" ht="15" customHeight="1">
      <c r="B432" s="35">
        <v>428</v>
      </c>
      <c r="C432" s="36" t="s">
        <v>2297</v>
      </c>
      <c r="D432" s="76"/>
      <c r="E432" s="37" t="str">
        <f>IF(Table5[[#This Row],[Query Date]]&lt;&gt;"", TEXT(Table5[[#This Row],[Query Date]], "dddd"), "")</f>
        <v/>
      </c>
      <c r="F432" s="37" t="str">
        <f>IF(Table5[[#This Row],[Query Date]]&lt;&gt;"", TEXT(Table5[[#This Row],[Query Date]], "mmmm"), "")</f>
        <v/>
      </c>
      <c r="G432" s="28"/>
      <c r="H432" s="28"/>
      <c r="I432" s="28"/>
      <c r="J432" s="28"/>
      <c r="K432" s="28"/>
      <c r="L432" s="25"/>
      <c r="M432" s="25"/>
      <c r="N432" s="25"/>
      <c r="O432" s="130"/>
      <c r="P432" s="47"/>
      <c r="Q432" s="77"/>
      <c r="R432" s="77" t="str">
        <f>IF(Table5[[#This Row],[Tour Starting Date]]&lt;&gt;"", TEXT(Table5[[#This Row],[Tour Starting Date]], "dddd"), "")</f>
        <v/>
      </c>
      <c r="S432" s="77"/>
      <c r="T432" s="25" t="str">
        <f>IF(Table5[[#This Row],[Tour Ending Date]]&lt;&gt;"", TEXT(Table5[[#This Row],[Tour Ending Date]], "dddd"), "")</f>
        <v/>
      </c>
      <c r="U43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32" s="37" t="str">
        <f>IF(Table5[[#This Row],[Tour Starting Date]]&lt;&gt;"", TEXT(Table5[[#This Row],[Tour Starting Date]], "mmmm"), "")</f>
        <v/>
      </c>
      <c r="W432" s="80" t="str" cm="1">
        <f t="array" ref="W432">IF(Q432&lt;&gt;"", INDEX(CI:CI, MATCH(1, (Q432&gt;=CG:CG)*(Q432&lt;=CH:CH), 0)), "")</f>
        <v/>
      </c>
      <c r="X432" s="39"/>
      <c r="Y432" s="74"/>
      <c r="Z432" s="74" t="str">
        <f>IF(OR(Table5[[#This Row],[Per Person Package Cost]]="", Table5[[#This Row],[No. of Pax]]=""), "", Table5[[#This Row],[Per Person Package Cost]] * Table5[[#This Row],[No. of Pax]])</f>
        <v/>
      </c>
      <c r="AA432" s="52"/>
      <c r="AB432" s="52"/>
      <c r="AC432" s="52"/>
      <c r="AD432" s="52"/>
      <c r="AE432" s="51" t="str">
        <f t="shared" si="49"/>
        <v/>
      </c>
      <c r="AF432" s="51" t="str">
        <f t="shared" si="50"/>
        <v/>
      </c>
      <c r="AG432" s="74" t="str">
        <f t="shared" si="51"/>
        <v/>
      </c>
      <c r="AH432" s="73" t="str">
        <f t="shared" si="52"/>
        <v/>
      </c>
      <c r="AI432" s="52"/>
      <c r="AJ432" s="56"/>
      <c r="AK432" s="59"/>
      <c r="AL432" s="60"/>
      <c r="AM432" s="54"/>
      <c r="AN432" s="14"/>
      <c r="AO432" s="15"/>
      <c r="AP432" s="91"/>
      <c r="AQ432" s="87"/>
      <c r="AR432" s="26"/>
      <c r="AS432" s="65"/>
      <c r="AT432" s="88"/>
      <c r="AU432" s="67"/>
      <c r="DA432" t="str" cm="1">
        <f t="array" ref="DA432">IF(U432&lt;&gt;"", TRANSPOSE(_xlfn._xlws.FILTER(CZ:CZ, CY:CY=U432, "")), "")</f>
        <v/>
      </c>
    </row>
    <row r="433" spans="2:105" ht="15" customHeight="1">
      <c r="B433" s="34">
        <v>429</v>
      </c>
      <c r="C433" s="36" t="s">
        <v>2298</v>
      </c>
      <c r="D433" s="76"/>
      <c r="E433" s="37" t="str">
        <f>IF(Table5[[#This Row],[Query Date]]&lt;&gt;"", TEXT(Table5[[#This Row],[Query Date]], "dddd"), "")</f>
        <v/>
      </c>
      <c r="F433" s="37" t="str">
        <f>IF(Table5[[#This Row],[Query Date]]&lt;&gt;"", TEXT(Table5[[#This Row],[Query Date]], "mmmm"), "")</f>
        <v/>
      </c>
      <c r="G433" s="28"/>
      <c r="H433" s="28"/>
      <c r="I433" s="28"/>
      <c r="J433" s="28"/>
      <c r="K433" s="28"/>
      <c r="L433" s="25"/>
      <c r="M433" s="25"/>
      <c r="N433" s="25"/>
      <c r="O433" s="130"/>
      <c r="P433" s="47"/>
      <c r="Q433" s="77"/>
      <c r="R433" s="77" t="str">
        <f>IF(Table5[[#This Row],[Tour Starting Date]]&lt;&gt;"", TEXT(Table5[[#This Row],[Tour Starting Date]], "dddd"), "")</f>
        <v/>
      </c>
      <c r="S433" s="77"/>
      <c r="T433" s="25" t="str">
        <f>IF(Table5[[#This Row],[Tour Ending Date]]&lt;&gt;"", TEXT(Table5[[#This Row],[Tour Ending Date]], "dddd"), "")</f>
        <v/>
      </c>
      <c r="U43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33" s="37" t="str">
        <f>IF(Table5[[#This Row],[Tour Starting Date]]&lt;&gt;"", TEXT(Table5[[#This Row],[Tour Starting Date]], "mmmm"), "")</f>
        <v/>
      </c>
      <c r="W433" s="80" t="str" cm="1">
        <f t="array" ref="W433">IF(Q433&lt;&gt;"", INDEX(CI:CI, MATCH(1, (Q433&gt;=CG:CG)*(Q433&lt;=CH:CH), 0)), "")</f>
        <v/>
      </c>
      <c r="X433" s="39"/>
      <c r="Y433" s="74"/>
      <c r="Z433" s="74" t="str">
        <f>IF(OR(Table5[[#This Row],[Per Person Package Cost]]="", Table5[[#This Row],[No. of Pax]]=""), "", Table5[[#This Row],[Per Person Package Cost]] * Table5[[#This Row],[No. of Pax]])</f>
        <v/>
      </c>
      <c r="AA433" s="52"/>
      <c r="AB433" s="52"/>
      <c r="AC433" s="52"/>
      <c r="AD433" s="52"/>
      <c r="AE433" s="51" t="str">
        <f t="shared" si="49"/>
        <v/>
      </c>
      <c r="AF433" s="51" t="str">
        <f t="shared" si="50"/>
        <v/>
      </c>
      <c r="AG433" s="74" t="str">
        <f t="shared" si="51"/>
        <v/>
      </c>
      <c r="AH433" s="73" t="str">
        <f t="shared" si="52"/>
        <v/>
      </c>
      <c r="AI433" s="52"/>
      <c r="AJ433" s="56"/>
      <c r="AK433" s="59"/>
      <c r="AL433" s="60"/>
      <c r="AM433" s="54"/>
      <c r="AN433" s="14"/>
      <c r="AO433" s="15"/>
      <c r="AP433" s="91"/>
      <c r="AQ433" s="87"/>
      <c r="AR433" s="26"/>
      <c r="AS433" s="65"/>
      <c r="AT433" s="88"/>
      <c r="AU433" s="67"/>
      <c r="DA433" t="str" cm="1">
        <f t="array" ref="DA433">IF(U433&lt;&gt;"", TRANSPOSE(_xlfn._xlws.FILTER(CZ:CZ, CY:CY=U433, "")), "")</f>
        <v/>
      </c>
    </row>
    <row r="434" spans="2:105" ht="15" customHeight="1">
      <c r="B434" s="35">
        <v>430</v>
      </c>
      <c r="C434" s="36" t="s">
        <v>2299</v>
      </c>
      <c r="D434" s="76"/>
      <c r="E434" s="37" t="str">
        <f>IF(Table5[[#This Row],[Query Date]]&lt;&gt;"", TEXT(Table5[[#This Row],[Query Date]], "dddd"), "")</f>
        <v/>
      </c>
      <c r="F434" s="37" t="str">
        <f>IF(Table5[[#This Row],[Query Date]]&lt;&gt;"", TEXT(Table5[[#This Row],[Query Date]], "mmmm"), "")</f>
        <v/>
      </c>
      <c r="G434" s="28"/>
      <c r="H434" s="28"/>
      <c r="I434" s="28"/>
      <c r="J434" s="28"/>
      <c r="K434" s="28"/>
      <c r="L434" s="25"/>
      <c r="M434" s="25"/>
      <c r="N434" s="25"/>
      <c r="O434" s="130"/>
      <c r="P434" s="47"/>
      <c r="Q434" s="77"/>
      <c r="R434" s="77" t="str">
        <f>IF(Table5[[#This Row],[Tour Starting Date]]&lt;&gt;"", TEXT(Table5[[#This Row],[Tour Starting Date]], "dddd"), "")</f>
        <v/>
      </c>
      <c r="S434" s="77"/>
      <c r="T434" s="25" t="str">
        <f>IF(Table5[[#This Row],[Tour Ending Date]]&lt;&gt;"", TEXT(Table5[[#This Row],[Tour Ending Date]], "dddd"), "")</f>
        <v/>
      </c>
      <c r="U43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34" s="37" t="str">
        <f>IF(Table5[[#This Row],[Tour Starting Date]]&lt;&gt;"", TEXT(Table5[[#This Row],[Tour Starting Date]], "mmmm"), "")</f>
        <v/>
      </c>
      <c r="W434" s="80" t="str" cm="1">
        <f t="array" ref="W434">IF(Q434&lt;&gt;"", INDEX(CI:CI, MATCH(1, (Q434&gt;=CG:CG)*(Q434&lt;=CH:CH), 0)), "")</f>
        <v/>
      </c>
      <c r="X434" s="39"/>
      <c r="Y434" s="74"/>
      <c r="Z434" s="74" t="str">
        <f>IF(OR(Table5[[#This Row],[Per Person Package Cost]]="", Table5[[#This Row],[No. of Pax]]=""), "", Table5[[#This Row],[Per Person Package Cost]] * Table5[[#This Row],[No. of Pax]])</f>
        <v/>
      </c>
      <c r="AA434" s="52"/>
      <c r="AB434" s="52"/>
      <c r="AC434" s="52"/>
      <c r="AD434" s="52"/>
      <c r="AE434" s="51" t="str">
        <f t="shared" si="49"/>
        <v/>
      </c>
      <c r="AF434" s="51" t="str">
        <f t="shared" si="50"/>
        <v/>
      </c>
      <c r="AG434" s="74" t="str">
        <f t="shared" si="51"/>
        <v/>
      </c>
      <c r="AH434" s="73" t="str">
        <f t="shared" si="52"/>
        <v/>
      </c>
      <c r="AI434" s="52"/>
      <c r="AJ434" s="56"/>
      <c r="AK434" s="59"/>
      <c r="AL434" s="60"/>
      <c r="AM434" s="54"/>
      <c r="AN434" s="14"/>
      <c r="AO434" s="15"/>
      <c r="AP434" s="91"/>
      <c r="AQ434" s="87"/>
      <c r="AR434" s="26"/>
      <c r="AS434" s="65"/>
      <c r="AT434" s="88"/>
      <c r="AU434" s="67"/>
      <c r="DA434" t="str" cm="1">
        <f t="array" ref="DA434">IF(U434&lt;&gt;"", TRANSPOSE(_xlfn._xlws.FILTER(CZ:CZ, CY:CY=U434, "")), "")</f>
        <v/>
      </c>
    </row>
    <row r="435" spans="2:105" ht="15" customHeight="1">
      <c r="B435" s="34">
        <v>431</v>
      </c>
      <c r="C435" s="36" t="s">
        <v>2300</v>
      </c>
      <c r="D435" s="76"/>
      <c r="E435" s="37" t="str">
        <f>IF(Table5[[#This Row],[Query Date]]&lt;&gt;"", TEXT(Table5[[#This Row],[Query Date]], "dddd"), "")</f>
        <v/>
      </c>
      <c r="F435" s="37" t="str">
        <f>IF(Table5[[#This Row],[Query Date]]&lt;&gt;"", TEXT(Table5[[#This Row],[Query Date]], "mmmm"), "")</f>
        <v/>
      </c>
      <c r="G435" s="28"/>
      <c r="H435" s="28"/>
      <c r="I435" s="28"/>
      <c r="J435" s="28"/>
      <c r="K435" s="28"/>
      <c r="L435" s="25"/>
      <c r="M435" s="25"/>
      <c r="N435" s="25"/>
      <c r="O435" s="130"/>
      <c r="P435" s="47"/>
      <c r="Q435" s="77"/>
      <c r="R435" s="77" t="str">
        <f>IF(Table5[[#This Row],[Tour Starting Date]]&lt;&gt;"", TEXT(Table5[[#This Row],[Tour Starting Date]], "dddd"), "")</f>
        <v/>
      </c>
      <c r="S435" s="77"/>
      <c r="T435" s="25" t="str">
        <f>IF(Table5[[#This Row],[Tour Ending Date]]&lt;&gt;"", TEXT(Table5[[#This Row],[Tour Ending Date]], "dddd"), "")</f>
        <v/>
      </c>
      <c r="U43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35" s="37" t="str">
        <f>IF(Table5[[#This Row],[Tour Starting Date]]&lt;&gt;"", TEXT(Table5[[#This Row],[Tour Starting Date]], "mmmm"), "")</f>
        <v/>
      </c>
      <c r="W435" s="80" t="str" cm="1">
        <f t="array" ref="W435">IF(Q435&lt;&gt;"", INDEX(CI:CI, MATCH(1, (Q435&gt;=CG:CG)*(Q435&lt;=CH:CH), 0)), "")</f>
        <v/>
      </c>
      <c r="X435" s="39"/>
      <c r="Y435" s="74"/>
      <c r="Z435" s="74" t="str">
        <f>IF(OR(Table5[[#This Row],[Per Person Package Cost]]="", Table5[[#This Row],[No. of Pax]]=""), "", Table5[[#This Row],[Per Person Package Cost]] * Table5[[#This Row],[No. of Pax]])</f>
        <v/>
      </c>
      <c r="AA435" s="52"/>
      <c r="AB435" s="52"/>
      <c r="AC435" s="52"/>
      <c r="AD435" s="52"/>
      <c r="AE435" s="51" t="str">
        <f t="shared" si="49"/>
        <v/>
      </c>
      <c r="AF435" s="51" t="str">
        <f t="shared" si="50"/>
        <v/>
      </c>
      <c r="AG435" s="74" t="str">
        <f t="shared" si="51"/>
        <v/>
      </c>
      <c r="AH435" s="73" t="str">
        <f t="shared" si="52"/>
        <v/>
      </c>
      <c r="AI435" s="52"/>
      <c r="AJ435" s="56"/>
      <c r="AK435" s="59"/>
      <c r="AL435" s="60"/>
      <c r="AM435" s="54"/>
      <c r="AN435" s="14"/>
      <c r="AO435" s="15"/>
      <c r="AP435" s="91"/>
      <c r="AQ435" s="87"/>
      <c r="AR435" s="26"/>
      <c r="AS435" s="65"/>
      <c r="AT435" s="88"/>
      <c r="AU435" s="67"/>
      <c r="DA435" t="str" cm="1">
        <f t="array" ref="DA435">IF(U435&lt;&gt;"", TRANSPOSE(_xlfn._xlws.FILTER(CZ:CZ, CY:CY=U435, "")), "")</f>
        <v/>
      </c>
    </row>
    <row r="436" spans="2:105" ht="15" customHeight="1">
      <c r="B436" s="35">
        <v>432</v>
      </c>
      <c r="C436" s="36" t="s">
        <v>2301</v>
      </c>
      <c r="D436" s="76"/>
      <c r="E436" s="37" t="str">
        <f>IF(Table5[[#This Row],[Query Date]]&lt;&gt;"", TEXT(Table5[[#This Row],[Query Date]], "dddd"), "")</f>
        <v/>
      </c>
      <c r="F436" s="37" t="str">
        <f>IF(Table5[[#This Row],[Query Date]]&lt;&gt;"", TEXT(Table5[[#This Row],[Query Date]], "mmmm"), "")</f>
        <v/>
      </c>
      <c r="G436" s="28"/>
      <c r="H436" s="28"/>
      <c r="I436" s="28"/>
      <c r="J436" s="28"/>
      <c r="K436" s="28"/>
      <c r="L436" s="25"/>
      <c r="M436" s="25"/>
      <c r="N436" s="25"/>
      <c r="O436" s="130"/>
      <c r="P436" s="47"/>
      <c r="Q436" s="77"/>
      <c r="R436" s="77" t="str">
        <f>IF(Table5[[#This Row],[Tour Starting Date]]&lt;&gt;"", TEXT(Table5[[#This Row],[Tour Starting Date]], "dddd"), "")</f>
        <v/>
      </c>
      <c r="S436" s="77"/>
      <c r="T436" s="25" t="str">
        <f>IF(Table5[[#This Row],[Tour Ending Date]]&lt;&gt;"", TEXT(Table5[[#This Row],[Tour Ending Date]], "dddd"), "")</f>
        <v/>
      </c>
      <c r="U43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36" s="37" t="str">
        <f>IF(Table5[[#This Row],[Tour Starting Date]]&lt;&gt;"", TEXT(Table5[[#This Row],[Tour Starting Date]], "mmmm"), "")</f>
        <v/>
      </c>
      <c r="W436" s="80" t="str" cm="1">
        <f t="array" ref="W436">IF(Q436&lt;&gt;"", INDEX(CI:CI, MATCH(1, (Q436&gt;=CG:CG)*(Q436&lt;=CH:CH), 0)), "")</f>
        <v/>
      </c>
      <c r="X436" s="39"/>
      <c r="Y436" s="74"/>
      <c r="Z436" s="74" t="str">
        <f>IF(OR(Table5[[#This Row],[Per Person Package Cost]]="", Table5[[#This Row],[No. of Pax]]=""), "", Table5[[#This Row],[Per Person Package Cost]] * Table5[[#This Row],[No. of Pax]])</f>
        <v/>
      </c>
      <c r="AA436" s="52"/>
      <c r="AB436" s="52"/>
      <c r="AC436" s="52"/>
      <c r="AD436" s="52"/>
      <c r="AE436" s="51" t="str">
        <f t="shared" si="49"/>
        <v/>
      </c>
      <c r="AF436" s="51" t="str">
        <f t="shared" si="50"/>
        <v/>
      </c>
      <c r="AG436" s="74" t="str">
        <f t="shared" si="51"/>
        <v/>
      </c>
      <c r="AH436" s="73" t="str">
        <f t="shared" si="52"/>
        <v/>
      </c>
      <c r="AI436" s="52"/>
      <c r="AJ436" s="56"/>
      <c r="AK436" s="59"/>
      <c r="AL436" s="60"/>
      <c r="AM436" s="54"/>
      <c r="AN436" s="14"/>
      <c r="AO436" s="15"/>
      <c r="AP436" s="91"/>
      <c r="AQ436" s="87"/>
      <c r="AR436" s="26"/>
      <c r="AS436" s="65"/>
      <c r="AT436" s="88"/>
      <c r="AU436" s="67"/>
      <c r="DA436" t="str" cm="1">
        <f t="array" ref="DA436">IF(U436&lt;&gt;"", TRANSPOSE(_xlfn._xlws.FILTER(CZ:CZ, CY:CY=U436, "")), "")</f>
        <v/>
      </c>
    </row>
    <row r="437" spans="2:105" ht="15" customHeight="1">
      <c r="B437" s="34">
        <v>433</v>
      </c>
      <c r="C437" s="36" t="s">
        <v>2302</v>
      </c>
      <c r="D437" s="76"/>
      <c r="E437" s="37" t="str">
        <f>IF(Table5[[#This Row],[Query Date]]&lt;&gt;"", TEXT(Table5[[#This Row],[Query Date]], "dddd"), "")</f>
        <v/>
      </c>
      <c r="F437" s="37" t="str">
        <f>IF(Table5[[#This Row],[Query Date]]&lt;&gt;"", TEXT(Table5[[#This Row],[Query Date]], "mmmm"), "")</f>
        <v/>
      </c>
      <c r="G437" s="28"/>
      <c r="H437" s="28"/>
      <c r="I437" s="28"/>
      <c r="J437" s="28"/>
      <c r="K437" s="28"/>
      <c r="L437" s="25"/>
      <c r="M437" s="25"/>
      <c r="N437" s="25"/>
      <c r="O437" s="130"/>
      <c r="P437" s="47"/>
      <c r="Q437" s="77"/>
      <c r="R437" s="77" t="str">
        <f>IF(Table5[[#This Row],[Tour Starting Date]]&lt;&gt;"", TEXT(Table5[[#This Row],[Tour Starting Date]], "dddd"), "")</f>
        <v/>
      </c>
      <c r="S437" s="77"/>
      <c r="T437" s="25" t="str">
        <f>IF(Table5[[#This Row],[Tour Ending Date]]&lt;&gt;"", TEXT(Table5[[#This Row],[Tour Ending Date]], "dddd"), "")</f>
        <v/>
      </c>
      <c r="U43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37" s="37" t="str">
        <f>IF(Table5[[#This Row],[Tour Starting Date]]&lt;&gt;"", TEXT(Table5[[#This Row],[Tour Starting Date]], "mmmm"), "")</f>
        <v/>
      </c>
      <c r="W437" s="80" t="str" cm="1">
        <f t="array" ref="W437">IF(Q437&lt;&gt;"", INDEX(CI:CI, MATCH(1, (Q437&gt;=CG:CG)*(Q437&lt;=CH:CH), 0)), "")</f>
        <v/>
      </c>
      <c r="X437" s="39"/>
      <c r="Y437" s="74"/>
      <c r="Z437" s="74" t="str">
        <f>IF(OR(Table5[[#This Row],[Per Person Package Cost]]="", Table5[[#This Row],[No. of Pax]]=""), "", Table5[[#This Row],[Per Person Package Cost]] * Table5[[#This Row],[No. of Pax]])</f>
        <v/>
      </c>
      <c r="AA437" s="52"/>
      <c r="AB437" s="52"/>
      <c r="AC437" s="52"/>
      <c r="AD437" s="52"/>
      <c r="AE437" s="51" t="str">
        <f t="shared" si="49"/>
        <v/>
      </c>
      <c r="AF437" s="51" t="str">
        <f t="shared" si="50"/>
        <v/>
      </c>
      <c r="AG437" s="74" t="str">
        <f t="shared" si="51"/>
        <v/>
      </c>
      <c r="AH437" s="73" t="str">
        <f t="shared" si="52"/>
        <v/>
      </c>
      <c r="AI437" s="52"/>
      <c r="AJ437" s="56"/>
      <c r="AK437" s="59"/>
      <c r="AL437" s="60"/>
      <c r="AM437" s="54"/>
      <c r="AN437" s="14"/>
      <c r="AO437" s="15"/>
      <c r="AP437" s="91"/>
      <c r="AQ437" s="87"/>
      <c r="AR437" s="26"/>
      <c r="AS437" s="65"/>
      <c r="AT437" s="88"/>
      <c r="AU437" s="67"/>
      <c r="DA437" t="str" cm="1">
        <f t="array" ref="DA437">IF(U437&lt;&gt;"", TRANSPOSE(_xlfn._xlws.FILTER(CZ:CZ, CY:CY=U437, "")), "")</f>
        <v/>
      </c>
    </row>
    <row r="438" spans="2:105" ht="15" customHeight="1">
      <c r="B438" s="35">
        <v>434</v>
      </c>
      <c r="C438" s="36" t="s">
        <v>2303</v>
      </c>
      <c r="D438" s="76"/>
      <c r="E438" s="37" t="str">
        <f>IF(Table5[[#This Row],[Query Date]]&lt;&gt;"", TEXT(Table5[[#This Row],[Query Date]], "dddd"), "")</f>
        <v/>
      </c>
      <c r="F438" s="37" t="str">
        <f>IF(Table5[[#This Row],[Query Date]]&lt;&gt;"", TEXT(Table5[[#This Row],[Query Date]], "mmmm"), "")</f>
        <v/>
      </c>
      <c r="G438" s="28"/>
      <c r="H438" s="28"/>
      <c r="I438" s="28"/>
      <c r="J438" s="28"/>
      <c r="K438" s="28"/>
      <c r="L438" s="25"/>
      <c r="M438" s="25"/>
      <c r="N438" s="25"/>
      <c r="O438" s="130"/>
      <c r="P438" s="47"/>
      <c r="Q438" s="77"/>
      <c r="R438" s="77" t="str">
        <f>IF(Table5[[#This Row],[Tour Starting Date]]&lt;&gt;"", TEXT(Table5[[#This Row],[Tour Starting Date]], "dddd"), "")</f>
        <v/>
      </c>
      <c r="S438" s="77"/>
      <c r="T438" s="25" t="str">
        <f>IF(Table5[[#This Row],[Tour Ending Date]]&lt;&gt;"", TEXT(Table5[[#This Row],[Tour Ending Date]], "dddd"), "")</f>
        <v/>
      </c>
      <c r="U43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38" s="37" t="str">
        <f>IF(Table5[[#This Row],[Tour Starting Date]]&lt;&gt;"", TEXT(Table5[[#This Row],[Tour Starting Date]], "mmmm"), "")</f>
        <v/>
      </c>
      <c r="W438" s="80" t="str" cm="1">
        <f t="array" ref="W438">IF(Q438&lt;&gt;"", INDEX(CI:CI, MATCH(1, (Q438&gt;=CG:CG)*(Q438&lt;=CH:CH), 0)), "")</f>
        <v/>
      </c>
      <c r="X438" s="39"/>
      <c r="Y438" s="74"/>
      <c r="Z438" s="74" t="str">
        <f>IF(OR(Table5[[#This Row],[Per Person Package Cost]]="", Table5[[#This Row],[No. of Pax]]=""), "", Table5[[#This Row],[Per Person Package Cost]] * Table5[[#This Row],[No. of Pax]])</f>
        <v/>
      </c>
      <c r="AA438" s="52"/>
      <c r="AB438" s="52"/>
      <c r="AC438" s="52"/>
      <c r="AD438" s="52"/>
      <c r="AE438" s="51" t="str">
        <f t="shared" si="49"/>
        <v/>
      </c>
      <c r="AF438" s="51" t="str">
        <f t="shared" si="50"/>
        <v/>
      </c>
      <c r="AG438" s="74" t="str">
        <f t="shared" si="51"/>
        <v/>
      </c>
      <c r="AH438" s="73" t="str">
        <f t="shared" si="52"/>
        <v/>
      </c>
      <c r="AI438" s="52"/>
      <c r="AJ438" s="56"/>
      <c r="AK438" s="59"/>
      <c r="AL438" s="60"/>
      <c r="AM438" s="54"/>
      <c r="AN438" s="14"/>
      <c r="AO438" s="15"/>
      <c r="AP438" s="91"/>
      <c r="AQ438" s="87"/>
      <c r="AR438" s="26"/>
      <c r="AS438" s="65"/>
      <c r="AT438" s="88"/>
      <c r="AU438" s="67"/>
      <c r="DA438" t="str" cm="1">
        <f t="array" ref="DA438">IF(U438&lt;&gt;"", TRANSPOSE(_xlfn._xlws.FILTER(CZ:CZ, CY:CY=U438, "")), "")</f>
        <v/>
      </c>
    </row>
    <row r="439" spans="2:105" ht="15" customHeight="1">
      <c r="B439" s="34">
        <v>435</v>
      </c>
      <c r="C439" s="36" t="s">
        <v>2304</v>
      </c>
      <c r="D439" s="76"/>
      <c r="E439" s="37" t="str">
        <f>IF(Table5[[#This Row],[Query Date]]&lt;&gt;"", TEXT(Table5[[#This Row],[Query Date]], "dddd"), "")</f>
        <v/>
      </c>
      <c r="F439" s="37" t="str">
        <f>IF(Table5[[#This Row],[Query Date]]&lt;&gt;"", TEXT(Table5[[#This Row],[Query Date]], "mmmm"), "")</f>
        <v/>
      </c>
      <c r="G439" s="28"/>
      <c r="H439" s="28"/>
      <c r="I439" s="28"/>
      <c r="J439" s="28"/>
      <c r="K439" s="28"/>
      <c r="L439" s="25"/>
      <c r="M439" s="25"/>
      <c r="N439" s="25"/>
      <c r="O439" s="130"/>
      <c r="P439" s="47"/>
      <c r="Q439" s="77"/>
      <c r="R439" s="77" t="str">
        <f>IF(Table5[[#This Row],[Tour Starting Date]]&lt;&gt;"", TEXT(Table5[[#This Row],[Tour Starting Date]], "dddd"), "")</f>
        <v/>
      </c>
      <c r="S439" s="77"/>
      <c r="T439" s="25" t="str">
        <f>IF(Table5[[#This Row],[Tour Ending Date]]&lt;&gt;"", TEXT(Table5[[#This Row],[Tour Ending Date]], "dddd"), "")</f>
        <v/>
      </c>
      <c r="U43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39" s="37" t="str">
        <f>IF(Table5[[#This Row],[Tour Starting Date]]&lt;&gt;"", TEXT(Table5[[#This Row],[Tour Starting Date]], "mmmm"), "")</f>
        <v/>
      </c>
      <c r="W439" s="80" t="str" cm="1">
        <f t="array" ref="W439">IF(Q439&lt;&gt;"", INDEX(CI:CI, MATCH(1, (Q439&gt;=CG:CG)*(Q439&lt;=CH:CH), 0)), "")</f>
        <v/>
      </c>
      <c r="X439" s="39"/>
      <c r="Y439" s="74"/>
      <c r="Z439" s="74" t="str">
        <f>IF(OR(Table5[[#This Row],[Per Person Package Cost]]="", Table5[[#This Row],[No. of Pax]]=""), "", Table5[[#This Row],[Per Person Package Cost]] * Table5[[#This Row],[No. of Pax]])</f>
        <v/>
      </c>
      <c r="AA439" s="52"/>
      <c r="AB439" s="52"/>
      <c r="AC439" s="52"/>
      <c r="AD439" s="52"/>
      <c r="AE439" s="51" t="str">
        <f t="shared" si="49"/>
        <v/>
      </c>
      <c r="AF439" s="51" t="str">
        <f t="shared" si="50"/>
        <v/>
      </c>
      <c r="AG439" s="74" t="str">
        <f t="shared" si="51"/>
        <v/>
      </c>
      <c r="AH439" s="73" t="str">
        <f t="shared" si="52"/>
        <v/>
      </c>
      <c r="AI439" s="52"/>
      <c r="AJ439" s="56"/>
      <c r="AK439" s="59"/>
      <c r="AL439" s="60"/>
      <c r="AM439" s="54"/>
      <c r="AN439" s="14"/>
      <c r="AO439" s="15"/>
      <c r="AP439" s="91"/>
      <c r="AQ439" s="87"/>
      <c r="AR439" s="26"/>
      <c r="AS439" s="65"/>
      <c r="AT439" s="88"/>
      <c r="AU439" s="67"/>
      <c r="DA439" t="str" cm="1">
        <f t="array" ref="DA439">IF(U439&lt;&gt;"", TRANSPOSE(_xlfn._xlws.FILTER(CZ:CZ, CY:CY=U439, "")), "")</f>
        <v/>
      </c>
    </row>
    <row r="440" spans="2:105" ht="15" customHeight="1">
      <c r="B440" s="35">
        <v>436</v>
      </c>
      <c r="C440" s="36" t="s">
        <v>2305</v>
      </c>
      <c r="D440" s="76"/>
      <c r="E440" s="37" t="str">
        <f>IF(Table5[[#This Row],[Query Date]]&lt;&gt;"", TEXT(Table5[[#This Row],[Query Date]], "dddd"), "")</f>
        <v/>
      </c>
      <c r="F440" s="37" t="str">
        <f>IF(Table5[[#This Row],[Query Date]]&lt;&gt;"", TEXT(Table5[[#This Row],[Query Date]], "mmmm"), "")</f>
        <v/>
      </c>
      <c r="G440" s="28"/>
      <c r="H440" s="28"/>
      <c r="I440" s="28"/>
      <c r="J440" s="28"/>
      <c r="K440" s="28"/>
      <c r="L440" s="25"/>
      <c r="M440" s="25"/>
      <c r="N440" s="25"/>
      <c r="O440" s="130"/>
      <c r="P440" s="47"/>
      <c r="Q440" s="77"/>
      <c r="R440" s="77" t="str">
        <f>IF(Table5[[#This Row],[Tour Starting Date]]&lt;&gt;"", TEXT(Table5[[#This Row],[Tour Starting Date]], "dddd"), "")</f>
        <v/>
      </c>
      <c r="S440" s="77"/>
      <c r="T440" s="25" t="str">
        <f>IF(Table5[[#This Row],[Tour Ending Date]]&lt;&gt;"", TEXT(Table5[[#This Row],[Tour Ending Date]], "dddd"), "")</f>
        <v/>
      </c>
      <c r="U44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40" s="37" t="str">
        <f>IF(Table5[[#This Row],[Tour Starting Date]]&lt;&gt;"", TEXT(Table5[[#This Row],[Tour Starting Date]], "mmmm"), "")</f>
        <v/>
      </c>
      <c r="W440" s="80" t="str" cm="1">
        <f t="array" ref="W440">IF(Q440&lt;&gt;"", INDEX(CI:CI, MATCH(1, (Q440&gt;=CG:CG)*(Q440&lt;=CH:CH), 0)), "")</f>
        <v/>
      </c>
      <c r="X440" s="39"/>
      <c r="Y440" s="74"/>
      <c r="Z440" s="74" t="str">
        <f>IF(OR(Table5[[#This Row],[Per Person Package Cost]]="", Table5[[#This Row],[No. of Pax]]=""), "", Table5[[#This Row],[Per Person Package Cost]] * Table5[[#This Row],[No. of Pax]])</f>
        <v/>
      </c>
      <c r="AA440" s="52"/>
      <c r="AB440" s="52"/>
      <c r="AC440" s="52"/>
      <c r="AD440" s="52"/>
      <c r="AE440" s="51" t="str">
        <f t="shared" si="49"/>
        <v/>
      </c>
      <c r="AF440" s="51" t="str">
        <f t="shared" si="50"/>
        <v/>
      </c>
      <c r="AG440" s="74" t="str">
        <f t="shared" si="51"/>
        <v/>
      </c>
      <c r="AH440" s="73" t="str">
        <f t="shared" si="52"/>
        <v/>
      </c>
      <c r="AI440" s="52"/>
      <c r="AJ440" s="56"/>
      <c r="AK440" s="59"/>
      <c r="AL440" s="60"/>
      <c r="AM440" s="54"/>
      <c r="AN440" s="14"/>
      <c r="AO440" s="15"/>
      <c r="AP440" s="91"/>
      <c r="AQ440" s="87"/>
      <c r="AR440" s="26"/>
      <c r="AS440" s="65"/>
      <c r="AT440" s="88"/>
      <c r="AU440" s="67"/>
      <c r="DA440" t="str" cm="1">
        <f t="array" ref="DA440">IF(U440&lt;&gt;"", TRANSPOSE(_xlfn._xlws.FILTER(CZ:CZ, CY:CY=U440, "")), "")</f>
        <v/>
      </c>
    </row>
    <row r="441" spans="2:105" ht="15" customHeight="1">
      <c r="B441" s="34">
        <v>437</v>
      </c>
      <c r="C441" s="36" t="s">
        <v>2306</v>
      </c>
      <c r="D441" s="76"/>
      <c r="E441" s="37" t="str">
        <f>IF(Table5[[#This Row],[Query Date]]&lt;&gt;"", TEXT(Table5[[#This Row],[Query Date]], "dddd"), "")</f>
        <v/>
      </c>
      <c r="F441" s="37" t="str">
        <f>IF(Table5[[#This Row],[Query Date]]&lt;&gt;"", TEXT(Table5[[#This Row],[Query Date]], "mmmm"), "")</f>
        <v/>
      </c>
      <c r="G441" s="28"/>
      <c r="H441" s="28"/>
      <c r="I441" s="28"/>
      <c r="J441" s="28"/>
      <c r="K441" s="28"/>
      <c r="L441" s="25"/>
      <c r="M441" s="25"/>
      <c r="N441" s="25"/>
      <c r="O441" s="130"/>
      <c r="P441" s="47"/>
      <c r="Q441" s="77"/>
      <c r="R441" s="77" t="str">
        <f>IF(Table5[[#This Row],[Tour Starting Date]]&lt;&gt;"", TEXT(Table5[[#This Row],[Tour Starting Date]], "dddd"), "")</f>
        <v/>
      </c>
      <c r="S441" s="77"/>
      <c r="T441" s="25" t="str">
        <f>IF(Table5[[#This Row],[Tour Ending Date]]&lt;&gt;"", TEXT(Table5[[#This Row],[Tour Ending Date]], "dddd"), "")</f>
        <v/>
      </c>
      <c r="U44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41" s="37" t="str">
        <f>IF(Table5[[#This Row],[Tour Starting Date]]&lt;&gt;"", TEXT(Table5[[#This Row],[Tour Starting Date]], "mmmm"), "")</f>
        <v/>
      </c>
      <c r="W441" s="80" t="str" cm="1">
        <f t="array" ref="W441">IF(Q441&lt;&gt;"", INDEX(CI:CI, MATCH(1, (Q441&gt;=CG:CG)*(Q441&lt;=CH:CH), 0)), "")</f>
        <v/>
      </c>
      <c r="X441" s="39"/>
      <c r="Y441" s="74"/>
      <c r="Z441" s="74" t="str">
        <f>IF(OR(Table5[[#This Row],[Per Person Package Cost]]="", Table5[[#This Row],[No. of Pax]]=""), "", Table5[[#This Row],[Per Person Package Cost]] * Table5[[#This Row],[No. of Pax]])</f>
        <v/>
      </c>
      <c r="AA441" s="52"/>
      <c r="AB441" s="52"/>
      <c r="AC441" s="52"/>
      <c r="AD441" s="52"/>
      <c r="AE441" s="51" t="str">
        <f t="shared" si="49"/>
        <v/>
      </c>
      <c r="AF441" s="51" t="str">
        <f t="shared" si="50"/>
        <v/>
      </c>
      <c r="AG441" s="74" t="str">
        <f t="shared" si="51"/>
        <v/>
      </c>
      <c r="AH441" s="73" t="str">
        <f t="shared" si="52"/>
        <v/>
      </c>
      <c r="AI441" s="52"/>
      <c r="AJ441" s="56"/>
      <c r="AK441" s="59"/>
      <c r="AL441" s="60"/>
      <c r="AM441" s="54"/>
      <c r="AN441" s="14"/>
      <c r="AO441" s="15"/>
      <c r="AP441" s="91"/>
      <c r="AQ441" s="87"/>
      <c r="AR441" s="26"/>
      <c r="AS441" s="65"/>
      <c r="AT441" s="88"/>
      <c r="AU441" s="67"/>
      <c r="DA441" t="str" cm="1">
        <f t="array" ref="DA441">IF(U441&lt;&gt;"", TRANSPOSE(_xlfn._xlws.FILTER(CZ:CZ, CY:CY=U441, "")), "")</f>
        <v/>
      </c>
    </row>
    <row r="442" spans="2:105" ht="15" customHeight="1">
      <c r="B442" s="35">
        <v>438</v>
      </c>
      <c r="C442" s="36" t="s">
        <v>2307</v>
      </c>
      <c r="D442" s="76"/>
      <c r="E442" s="37" t="str">
        <f>IF(Table5[[#This Row],[Query Date]]&lt;&gt;"", TEXT(Table5[[#This Row],[Query Date]], "dddd"), "")</f>
        <v/>
      </c>
      <c r="F442" s="37" t="str">
        <f>IF(Table5[[#This Row],[Query Date]]&lt;&gt;"", TEXT(Table5[[#This Row],[Query Date]], "mmmm"), "")</f>
        <v/>
      </c>
      <c r="G442" s="28"/>
      <c r="H442" s="28"/>
      <c r="I442" s="28"/>
      <c r="J442" s="28"/>
      <c r="K442" s="28"/>
      <c r="L442" s="25"/>
      <c r="M442" s="25"/>
      <c r="N442" s="25"/>
      <c r="O442" s="130"/>
      <c r="P442" s="47"/>
      <c r="Q442" s="77"/>
      <c r="R442" s="77" t="str">
        <f>IF(Table5[[#This Row],[Tour Starting Date]]&lt;&gt;"", TEXT(Table5[[#This Row],[Tour Starting Date]], "dddd"), "")</f>
        <v/>
      </c>
      <c r="S442" s="77"/>
      <c r="T442" s="25" t="str">
        <f>IF(Table5[[#This Row],[Tour Ending Date]]&lt;&gt;"", TEXT(Table5[[#This Row],[Tour Ending Date]], "dddd"), "")</f>
        <v/>
      </c>
      <c r="U44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42" s="37" t="str">
        <f>IF(Table5[[#This Row],[Tour Starting Date]]&lt;&gt;"", TEXT(Table5[[#This Row],[Tour Starting Date]], "mmmm"), "")</f>
        <v/>
      </c>
      <c r="W442" s="80" t="str" cm="1">
        <f t="array" ref="W442">IF(Q442&lt;&gt;"", INDEX(CI:CI, MATCH(1, (Q442&gt;=CG:CG)*(Q442&lt;=CH:CH), 0)), "")</f>
        <v/>
      </c>
      <c r="X442" s="39"/>
      <c r="Y442" s="74"/>
      <c r="Z442" s="74" t="str">
        <f>IF(OR(Table5[[#This Row],[Per Person Package Cost]]="", Table5[[#This Row],[No. of Pax]]=""), "", Table5[[#This Row],[Per Person Package Cost]] * Table5[[#This Row],[No. of Pax]])</f>
        <v/>
      </c>
      <c r="AA442" s="52"/>
      <c r="AB442" s="52"/>
      <c r="AC442" s="52"/>
      <c r="AD442" s="52"/>
      <c r="AE442" s="51" t="str">
        <f t="shared" si="49"/>
        <v/>
      </c>
      <c r="AF442" s="51" t="str">
        <f t="shared" si="50"/>
        <v/>
      </c>
      <c r="AG442" s="74" t="str">
        <f t="shared" si="51"/>
        <v/>
      </c>
      <c r="AH442" s="73" t="str">
        <f t="shared" si="52"/>
        <v/>
      </c>
      <c r="AI442" s="52"/>
      <c r="AJ442" s="56"/>
      <c r="AK442" s="59"/>
      <c r="AL442" s="60"/>
      <c r="AM442" s="54"/>
      <c r="AN442" s="14"/>
      <c r="AO442" s="15"/>
      <c r="AP442" s="91"/>
      <c r="AQ442" s="87"/>
      <c r="AR442" s="26"/>
      <c r="AS442" s="65"/>
      <c r="AT442" s="88"/>
      <c r="AU442" s="67"/>
      <c r="DA442" t="str" cm="1">
        <f t="array" ref="DA442">IF(U442&lt;&gt;"", TRANSPOSE(_xlfn._xlws.FILTER(CZ:CZ, CY:CY=U442, "")), "")</f>
        <v/>
      </c>
    </row>
    <row r="443" spans="2:105" ht="15" customHeight="1">
      <c r="B443" s="34">
        <v>439</v>
      </c>
      <c r="C443" s="36" t="s">
        <v>2308</v>
      </c>
      <c r="D443" s="76"/>
      <c r="E443" s="37" t="str">
        <f>IF(Table5[[#This Row],[Query Date]]&lt;&gt;"", TEXT(Table5[[#This Row],[Query Date]], "dddd"), "")</f>
        <v/>
      </c>
      <c r="F443" s="37" t="str">
        <f>IF(Table5[[#This Row],[Query Date]]&lt;&gt;"", TEXT(Table5[[#This Row],[Query Date]], "mmmm"), "")</f>
        <v/>
      </c>
      <c r="G443" s="28"/>
      <c r="H443" s="28"/>
      <c r="I443" s="28"/>
      <c r="J443" s="28"/>
      <c r="K443" s="28"/>
      <c r="L443" s="25"/>
      <c r="M443" s="25"/>
      <c r="N443" s="25"/>
      <c r="O443" s="130"/>
      <c r="P443" s="47"/>
      <c r="Q443" s="77"/>
      <c r="R443" s="77" t="str">
        <f>IF(Table5[[#This Row],[Tour Starting Date]]&lt;&gt;"", TEXT(Table5[[#This Row],[Tour Starting Date]], "dddd"), "")</f>
        <v/>
      </c>
      <c r="S443" s="77"/>
      <c r="T443" s="25" t="str">
        <f>IF(Table5[[#This Row],[Tour Ending Date]]&lt;&gt;"", TEXT(Table5[[#This Row],[Tour Ending Date]], "dddd"), "")</f>
        <v/>
      </c>
      <c r="U44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43" s="37" t="str">
        <f>IF(Table5[[#This Row],[Tour Starting Date]]&lt;&gt;"", TEXT(Table5[[#This Row],[Tour Starting Date]], "mmmm"), "")</f>
        <v/>
      </c>
      <c r="W443" s="80" t="str" cm="1">
        <f t="array" ref="W443">IF(Q443&lt;&gt;"", INDEX(CI:CI, MATCH(1, (Q443&gt;=CG:CG)*(Q443&lt;=CH:CH), 0)), "")</f>
        <v/>
      </c>
      <c r="X443" s="39"/>
      <c r="Y443" s="74"/>
      <c r="Z443" s="74" t="str">
        <f>IF(OR(Table5[[#This Row],[Per Person Package Cost]]="", Table5[[#This Row],[No. of Pax]]=""), "", Table5[[#This Row],[Per Person Package Cost]] * Table5[[#This Row],[No. of Pax]])</f>
        <v/>
      </c>
      <c r="AA443" s="52"/>
      <c r="AB443" s="52"/>
      <c r="AC443" s="52"/>
      <c r="AD443" s="52"/>
      <c r="AE443" s="51" t="str">
        <f t="shared" si="49"/>
        <v/>
      </c>
      <c r="AF443" s="51" t="str">
        <f t="shared" si="50"/>
        <v/>
      </c>
      <c r="AG443" s="74" t="str">
        <f t="shared" si="51"/>
        <v/>
      </c>
      <c r="AH443" s="73" t="str">
        <f t="shared" si="52"/>
        <v/>
      </c>
      <c r="AI443" s="52"/>
      <c r="AJ443" s="56"/>
      <c r="AK443" s="59"/>
      <c r="AL443" s="60"/>
      <c r="AM443" s="54"/>
      <c r="AN443" s="14"/>
      <c r="AO443" s="15"/>
      <c r="AP443" s="91"/>
      <c r="AQ443" s="87"/>
      <c r="AR443" s="26"/>
      <c r="AS443" s="65"/>
      <c r="AT443" s="88"/>
      <c r="AU443" s="67"/>
      <c r="DA443" t="str" cm="1">
        <f t="array" ref="DA443">IF(U443&lt;&gt;"", TRANSPOSE(_xlfn._xlws.FILTER(CZ:CZ, CY:CY=U443, "")), "")</f>
        <v/>
      </c>
    </row>
    <row r="444" spans="2:105" ht="15" customHeight="1">
      <c r="B444" s="35">
        <v>440</v>
      </c>
      <c r="C444" s="36" t="s">
        <v>2309</v>
      </c>
      <c r="D444" s="76"/>
      <c r="E444" s="37" t="str">
        <f>IF(Table5[[#This Row],[Query Date]]&lt;&gt;"", TEXT(Table5[[#This Row],[Query Date]], "dddd"), "")</f>
        <v/>
      </c>
      <c r="F444" s="37" t="str">
        <f>IF(Table5[[#This Row],[Query Date]]&lt;&gt;"", TEXT(Table5[[#This Row],[Query Date]], "mmmm"), "")</f>
        <v/>
      </c>
      <c r="G444" s="28"/>
      <c r="H444" s="28"/>
      <c r="I444" s="28"/>
      <c r="J444" s="28"/>
      <c r="K444" s="28"/>
      <c r="L444" s="25"/>
      <c r="M444" s="25"/>
      <c r="N444" s="25"/>
      <c r="O444" s="130"/>
      <c r="P444" s="47"/>
      <c r="Q444" s="77"/>
      <c r="R444" s="77" t="str">
        <f>IF(Table5[[#This Row],[Tour Starting Date]]&lt;&gt;"", TEXT(Table5[[#This Row],[Tour Starting Date]], "dddd"), "")</f>
        <v/>
      </c>
      <c r="S444" s="77"/>
      <c r="T444" s="25" t="str">
        <f>IF(Table5[[#This Row],[Tour Ending Date]]&lt;&gt;"", TEXT(Table5[[#This Row],[Tour Ending Date]], "dddd"), "")</f>
        <v/>
      </c>
      <c r="U44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44" s="37" t="str">
        <f>IF(Table5[[#This Row],[Tour Starting Date]]&lt;&gt;"", TEXT(Table5[[#This Row],[Tour Starting Date]], "mmmm"), "")</f>
        <v/>
      </c>
      <c r="W444" s="80" t="str" cm="1">
        <f t="array" ref="W444">IF(Q444&lt;&gt;"", INDEX(CI:CI, MATCH(1, (Q444&gt;=CG:CG)*(Q444&lt;=CH:CH), 0)), "")</f>
        <v/>
      </c>
      <c r="X444" s="39"/>
      <c r="Y444" s="74"/>
      <c r="Z444" s="74" t="str">
        <f>IF(OR(Table5[[#This Row],[Per Person Package Cost]]="", Table5[[#This Row],[No. of Pax]]=""), "", Table5[[#This Row],[Per Person Package Cost]] * Table5[[#This Row],[No. of Pax]])</f>
        <v/>
      </c>
      <c r="AA444" s="52"/>
      <c r="AB444" s="52"/>
      <c r="AC444" s="52"/>
      <c r="AD444" s="52"/>
      <c r="AE444" s="51" t="str">
        <f t="shared" si="49"/>
        <v/>
      </c>
      <c r="AF444" s="51" t="str">
        <f t="shared" si="50"/>
        <v/>
      </c>
      <c r="AG444" s="74" t="str">
        <f t="shared" si="51"/>
        <v/>
      </c>
      <c r="AH444" s="73" t="str">
        <f t="shared" si="52"/>
        <v/>
      </c>
      <c r="AI444" s="52"/>
      <c r="AJ444" s="56"/>
      <c r="AK444" s="59"/>
      <c r="AL444" s="60"/>
      <c r="AM444" s="54"/>
      <c r="AN444" s="14"/>
      <c r="AO444" s="15"/>
      <c r="AP444" s="91"/>
      <c r="AQ444" s="87"/>
      <c r="AR444" s="26"/>
      <c r="AS444" s="65"/>
      <c r="AT444" s="88"/>
      <c r="AU444" s="67"/>
      <c r="DA444" t="str" cm="1">
        <f t="array" ref="DA444">IF(U444&lt;&gt;"", TRANSPOSE(_xlfn._xlws.FILTER(CZ:CZ, CY:CY=U444, "")), "")</f>
        <v/>
      </c>
    </row>
    <row r="445" spans="2:105" ht="15" customHeight="1">
      <c r="B445" s="34">
        <v>441</v>
      </c>
      <c r="C445" s="36" t="s">
        <v>2310</v>
      </c>
      <c r="D445" s="76"/>
      <c r="E445" s="37" t="str">
        <f>IF(Table5[[#This Row],[Query Date]]&lt;&gt;"", TEXT(Table5[[#This Row],[Query Date]], "dddd"), "")</f>
        <v/>
      </c>
      <c r="F445" s="37" t="str">
        <f>IF(Table5[[#This Row],[Query Date]]&lt;&gt;"", TEXT(Table5[[#This Row],[Query Date]], "mmmm"), "")</f>
        <v/>
      </c>
      <c r="G445" s="28"/>
      <c r="H445" s="28"/>
      <c r="I445" s="28"/>
      <c r="J445" s="28"/>
      <c r="K445" s="28"/>
      <c r="L445" s="25"/>
      <c r="M445" s="25"/>
      <c r="N445" s="25"/>
      <c r="O445" s="130"/>
      <c r="P445" s="47"/>
      <c r="Q445" s="77"/>
      <c r="R445" s="77" t="str">
        <f>IF(Table5[[#This Row],[Tour Starting Date]]&lt;&gt;"", TEXT(Table5[[#This Row],[Tour Starting Date]], "dddd"), "")</f>
        <v/>
      </c>
      <c r="S445" s="77"/>
      <c r="T445" s="25" t="str">
        <f>IF(Table5[[#This Row],[Tour Ending Date]]&lt;&gt;"", TEXT(Table5[[#This Row],[Tour Ending Date]], "dddd"), "")</f>
        <v/>
      </c>
      <c r="U44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45" s="37" t="str">
        <f>IF(Table5[[#This Row],[Tour Starting Date]]&lt;&gt;"", TEXT(Table5[[#This Row],[Tour Starting Date]], "mmmm"), "")</f>
        <v/>
      </c>
      <c r="W445" s="80" t="str" cm="1">
        <f t="array" ref="W445">IF(Q445&lt;&gt;"", INDEX(CI:CI, MATCH(1, (Q445&gt;=CG:CG)*(Q445&lt;=CH:CH), 0)), "")</f>
        <v/>
      </c>
      <c r="X445" s="39"/>
      <c r="Y445" s="74"/>
      <c r="Z445" s="74" t="str">
        <f>IF(OR(Table5[[#This Row],[Per Person Package Cost]]="", Table5[[#This Row],[No. of Pax]]=""), "", Table5[[#This Row],[Per Person Package Cost]] * Table5[[#This Row],[No. of Pax]])</f>
        <v/>
      </c>
      <c r="AA445" s="52"/>
      <c r="AB445" s="52"/>
      <c r="AC445" s="52"/>
      <c r="AD445" s="52"/>
      <c r="AE445" s="51" t="str">
        <f t="shared" si="49"/>
        <v/>
      </c>
      <c r="AF445" s="51" t="str">
        <f t="shared" si="50"/>
        <v/>
      </c>
      <c r="AG445" s="74" t="str">
        <f t="shared" si="51"/>
        <v/>
      </c>
      <c r="AH445" s="73" t="str">
        <f t="shared" si="52"/>
        <v/>
      </c>
      <c r="AI445" s="52"/>
      <c r="AJ445" s="56"/>
      <c r="AK445" s="59"/>
      <c r="AL445" s="60"/>
      <c r="AM445" s="54"/>
      <c r="AN445" s="14"/>
      <c r="AO445" s="15"/>
      <c r="AP445" s="91"/>
      <c r="AQ445" s="87"/>
      <c r="AR445" s="26"/>
      <c r="AS445" s="65"/>
      <c r="AT445" s="88"/>
      <c r="AU445" s="67"/>
      <c r="DA445" t="str" cm="1">
        <f t="array" ref="DA445">IF(U445&lt;&gt;"", TRANSPOSE(_xlfn._xlws.FILTER(CZ:CZ, CY:CY=U445, "")), "")</f>
        <v/>
      </c>
    </row>
    <row r="446" spans="2:105" ht="15" customHeight="1">
      <c r="B446" s="35">
        <v>442</v>
      </c>
      <c r="C446" s="36" t="s">
        <v>2311</v>
      </c>
      <c r="D446" s="76"/>
      <c r="E446" s="37" t="str">
        <f>IF(Table5[[#This Row],[Query Date]]&lt;&gt;"", TEXT(Table5[[#This Row],[Query Date]], "dddd"), "")</f>
        <v/>
      </c>
      <c r="F446" s="37" t="str">
        <f>IF(Table5[[#This Row],[Query Date]]&lt;&gt;"", TEXT(Table5[[#This Row],[Query Date]], "mmmm"), "")</f>
        <v/>
      </c>
      <c r="G446" s="28"/>
      <c r="H446" s="28"/>
      <c r="I446" s="28"/>
      <c r="J446" s="28"/>
      <c r="K446" s="28"/>
      <c r="L446" s="25"/>
      <c r="M446" s="25"/>
      <c r="N446" s="25"/>
      <c r="O446" s="130"/>
      <c r="P446" s="108"/>
      <c r="Q446" s="77"/>
      <c r="R446" s="77" t="str">
        <f>IF(Table5[[#This Row],[Tour Starting Date]]&lt;&gt;"", TEXT(Table5[[#This Row],[Tour Starting Date]], "dddd"), "")</f>
        <v/>
      </c>
      <c r="S446" s="77"/>
      <c r="T446" s="25" t="str">
        <f>IF(Table5[[#This Row],[Tour Ending Date]]&lt;&gt;"", TEXT(Table5[[#This Row],[Tour Ending Date]], "dddd"), "")</f>
        <v/>
      </c>
      <c r="U44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46" s="37" t="str">
        <f>IF(Table5[[#This Row],[Tour Starting Date]]&lt;&gt;"", TEXT(Table5[[#This Row],[Tour Starting Date]], "mmmm"), "")</f>
        <v/>
      </c>
      <c r="W446" s="80" t="str" cm="1">
        <f t="array" ref="W446">IF(Q446&lt;&gt;"", INDEX(CI:CI, MATCH(1, (Q446&gt;=CG:CG)*(Q446&lt;=CH:CH), 0)), "")</f>
        <v/>
      </c>
      <c r="X446" s="39"/>
      <c r="Y446" s="74"/>
      <c r="Z446" s="74" t="str">
        <f>IF(OR(Table5[[#This Row],[Per Person Package Cost]]="", Table5[[#This Row],[No. of Pax]]=""), "", Table5[[#This Row],[Per Person Package Cost]] * Table5[[#This Row],[No. of Pax]])</f>
        <v/>
      </c>
      <c r="AA446" s="52"/>
      <c r="AB446" s="52"/>
      <c r="AC446" s="52"/>
      <c r="AD446" s="52"/>
      <c r="AE446" s="51" t="str">
        <f t="shared" si="49"/>
        <v/>
      </c>
      <c r="AF446" s="51" t="str">
        <f t="shared" si="50"/>
        <v/>
      </c>
      <c r="AG446" s="74" t="str">
        <f t="shared" si="51"/>
        <v/>
      </c>
      <c r="AH446" s="73" t="str">
        <f t="shared" si="52"/>
        <v/>
      </c>
      <c r="AI446" s="52"/>
      <c r="AJ446" s="56"/>
      <c r="AK446" s="59"/>
      <c r="AL446" s="60"/>
      <c r="AM446" s="54"/>
      <c r="AN446" s="14"/>
      <c r="AO446" s="15"/>
      <c r="AP446" s="91"/>
      <c r="AQ446" s="87"/>
      <c r="AR446" s="26"/>
      <c r="AS446" s="65"/>
      <c r="AT446" s="88"/>
      <c r="AU446" s="67"/>
      <c r="DA446" t="str" cm="1">
        <f t="array" ref="DA446">IF(U446&lt;&gt;"", TRANSPOSE(_xlfn._xlws.FILTER(CZ:CZ, CY:CY=U446, "")), "")</f>
        <v/>
      </c>
    </row>
    <row r="447" spans="2:105" ht="15" customHeight="1">
      <c r="B447" s="34">
        <v>443</v>
      </c>
      <c r="C447" s="36" t="s">
        <v>2312</v>
      </c>
      <c r="D447" s="76"/>
      <c r="E447" s="37" t="str">
        <f>IF(Table5[[#This Row],[Query Date]]&lt;&gt;"", TEXT(Table5[[#This Row],[Query Date]], "dddd"), "")</f>
        <v/>
      </c>
      <c r="F447" s="37" t="str">
        <f>IF(Table5[[#This Row],[Query Date]]&lt;&gt;"", TEXT(Table5[[#This Row],[Query Date]], "mmmm"), "")</f>
        <v/>
      </c>
      <c r="G447" s="28"/>
      <c r="H447" s="28"/>
      <c r="I447" s="28"/>
      <c r="J447" s="28"/>
      <c r="K447" s="28"/>
      <c r="L447" s="25"/>
      <c r="M447" s="25"/>
      <c r="N447" s="25"/>
      <c r="O447" s="130"/>
      <c r="P447" s="47"/>
      <c r="Q447" s="77"/>
      <c r="R447" s="77" t="str">
        <f>IF(Table5[[#This Row],[Tour Starting Date]]&lt;&gt;"", TEXT(Table5[[#This Row],[Tour Starting Date]], "dddd"), "")</f>
        <v/>
      </c>
      <c r="S447" s="77"/>
      <c r="T447" s="25" t="str">
        <f>IF(Table5[[#This Row],[Tour Ending Date]]&lt;&gt;"", TEXT(Table5[[#This Row],[Tour Ending Date]], "dddd"), "")</f>
        <v/>
      </c>
      <c r="U44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47" s="37" t="str">
        <f>IF(Table5[[#This Row],[Tour Starting Date]]&lt;&gt;"", TEXT(Table5[[#This Row],[Tour Starting Date]], "mmmm"), "")</f>
        <v/>
      </c>
      <c r="W447" s="80" t="str" cm="1">
        <f t="array" ref="W447">IF(Q447&lt;&gt;"", INDEX(CI:CI, MATCH(1, (Q447&gt;=CG:CG)*(Q447&lt;=CH:CH), 0)), "")</f>
        <v/>
      </c>
      <c r="X447" s="39"/>
      <c r="Y447" s="74"/>
      <c r="Z447" s="74" t="str">
        <f>IF(OR(Table5[[#This Row],[Per Person Package Cost]]="", Table5[[#This Row],[No. of Pax]]=""), "", Table5[[#This Row],[Per Person Package Cost]] * Table5[[#This Row],[No. of Pax]])</f>
        <v/>
      </c>
      <c r="AA447" s="52"/>
      <c r="AB447" s="52"/>
      <c r="AC447" s="52"/>
      <c r="AD447" s="52"/>
      <c r="AE447" s="51" t="str">
        <f t="shared" si="49"/>
        <v/>
      </c>
      <c r="AF447" s="51" t="str">
        <f t="shared" si="50"/>
        <v/>
      </c>
      <c r="AG447" s="74" t="str">
        <f t="shared" si="51"/>
        <v/>
      </c>
      <c r="AH447" s="73" t="str">
        <f t="shared" si="52"/>
        <v/>
      </c>
      <c r="AI447" s="52"/>
      <c r="AJ447" s="56"/>
      <c r="AK447" s="59"/>
      <c r="AL447" s="60"/>
      <c r="AM447" s="54"/>
      <c r="AN447" s="14"/>
      <c r="AO447" s="15"/>
      <c r="AP447" s="91"/>
      <c r="AQ447" s="87"/>
      <c r="AR447" s="26"/>
      <c r="AS447" s="65"/>
      <c r="AT447" s="88"/>
      <c r="AU447" s="67"/>
      <c r="DA447" t="str" cm="1">
        <f t="array" ref="DA447">IF(U447&lt;&gt;"", TRANSPOSE(_xlfn._xlws.FILTER(CZ:CZ, CY:CY=U447, "")), "")</f>
        <v/>
      </c>
    </row>
    <row r="448" spans="2:105" ht="15" customHeight="1">
      <c r="B448" s="35">
        <v>444</v>
      </c>
      <c r="C448" s="36" t="s">
        <v>2313</v>
      </c>
      <c r="D448" s="76"/>
      <c r="E448" s="37" t="str">
        <f>IF(Table5[[#This Row],[Query Date]]&lt;&gt;"", TEXT(Table5[[#This Row],[Query Date]], "dddd"), "")</f>
        <v/>
      </c>
      <c r="F448" s="37" t="str">
        <f>IF(Table5[[#This Row],[Query Date]]&lt;&gt;"", TEXT(Table5[[#This Row],[Query Date]], "mmmm"), "")</f>
        <v/>
      </c>
      <c r="G448" s="28"/>
      <c r="H448" s="28"/>
      <c r="I448" s="28"/>
      <c r="J448" s="28"/>
      <c r="K448" s="28"/>
      <c r="L448" s="25"/>
      <c r="M448" s="25"/>
      <c r="N448" s="25"/>
      <c r="O448" s="130"/>
      <c r="P448" s="47"/>
      <c r="Q448" s="77"/>
      <c r="R448" s="77" t="str">
        <f>IF(Table5[[#This Row],[Tour Starting Date]]&lt;&gt;"", TEXT(Table5[[#This Row],[Tour Starting Date]], "dddd"), "")</f>
        <v/>
      </c>
      <c r="S448" s="77"/>
      <c r="T448" s="25" t="str">
        <f>IF(Table5[[#This Row],[Tour Ending Date]]&lt;&gt;"", TEXT(Table5[[#This Row],[Tour Ending Date]], "dddd"), "")</f>
        <v/>
      </c>
      <c r="U44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48" s="37" t="str">
        <f>IF(Table5[[#This Row],[Tour Starting Date]]&lt;&gt;"", TEXT(Table5[[#This Row],[Tour Starting Date]], "mmmm"), "")</f>
        <v/>
      </c>
      <c r="W448" s="80" t="str" cm="1">
        <f t="array" ref="W448">IF(Q448&lt;&gt;"", INDEX(CI:CI, MATCH(1, (Q448&gt;=CG:CG)*(Q448&lt;=CH:CH), 0)), "")</f>
        <v/>
      </c>
      <c r="X448" s="39"/>
      <c r="Y448" s="74"/>
      <c r="Z448" s="74" t="str">
        <f>IF(OR(Table5[[#This Row],[Per Person Package Cost]]="", Table5[[#This Row],[No. of Pax]]=""), "", Table5[[#This Row],[Per Person Package Cost]] * Table5[[#This Row],[No. of Pax]])</f>
        <v/>
      </c>
      <c r="AA448" s="52"/>
      <c r="AB448" s="52"/>
      <c r="AC448" s="52"/>
      <c r="AD448" s="52"/>
      <c r="AE448" s="51" t="str">
        <f t="shared" si="49"/>
        <v/>
      </c>
      <c r="AF448" s="51" t="str">
        <f t="shared" si="50"/>
        <v/>
      </c>
      <c r="AG448" s="74" t="str">
        <f t="shared" si="51"/>
        <v/>
      </c>
      <c r="AH448" s="73" t="str">
        <f t="shared" si="52"/>
        <v/>
      </c>
      <c r="AI448" s="52"/>
      <c r="AJ448" s="56"/>
      <c r="AK448" s="59"/>
      <c r="AL448" s="60"/>
      <c r="AM448" s="54"/>
      <c r="AN448" s="14"/>
      <c r="AO448" s="15"/>
      <c r="AP448" s="91"/>
      <c r="AQ448" s="87"/>
      <c r="AR448" s="26"/>
      <c r="AS448" s="65"/>
      <c r="AT448" s="88"/>
      <c r="AU448" s="67"/>
      <c r="DA448" t="str" cm="1">
        <f t="array" ref="DA448">IF(U448&lt;&gt;"", TRANSPOSE(_xlfn._xlws.FILTER(CZ:CZ, CY:CY=U448, "")), "")</f>
        <v/>
      </c>
    </row>
    <row r="449" spans="2:105" ht="15" customHeight="1">
      <c r="B449" s="34">
        <v>445</v>
      </c>
      <c r="C449" s="36" t="s">
        <v>2314</v>
      </c>
      <c r="D449" s="76"/>
      <c r="E449" s="37" t="str">
        <f>IF(Table5[[#This Row],[Query Date]]&lt;&gt;"", TEXT(Table5[[#This Row],[Query Date]], "dddd"), "")</f>
        <v/>
      </c>
      <c r="F449" s="37" t="str">
        <f>IF(Table5[[#This Row],[Query Date]]&lt;&gt;"", TEXT(Table5[[#This Row],[Query Date]], "mmmm"), "")</f>
        <v/>
      </c>
      <c r="G449" s="28"/>
      <c r="H449" s="28"/>
      <c r="I449" s="28"/>
      <c r="J449" s="28"/>
      <c r="K449" s="28"/>
      <c r="L449" s="25"/>
      <c r="M449" s="25"/>
      <c r="N449" s="25"/>
      <c r="O449" s="130"/>
      <c r="P449" s="47"/>
      <c r="Q449" s="77"/>
      <c r="R449" s="77" t="str">
        <f>IF(Table5[[#This Row],[Tour Starting Date]]&lt;&gt;"", TEXT(Table5[[#This Row],[Tour Starting Date]], "dddd"), "")</f>
        <v/>
      </c>
      <c r="S449" s="77"/>
      <c r="T449" s="25" t="str">
        <f>IF(Table5[[#This Row],[Tour Ending Date]]&lt;&gt;"", TEXT(Table5[[#This Row],[Tour Ending Date]], "dddd"), "")</f>
        <v/>
      </c>
      <c r="U44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49" s="37" t="str">
        <f>IF(Table5[[#This Row],[Tour Starting Date]]&lt;&gt;"", TEXT(Table5[[#This Row],[Tour Starting Date]], "mmmm"), "")</f>
        <v/>
      </c>
      <c r="W449" s="80" t="str" cm="1">
        <f t="array" ref="W449">IF(Q449&lt;&gt;"", INDEX(CI:CI, MATCH(1, (Q449&gt;=CG:CG)*(Q449&lt;=CH:CH), 0)), "")</f>
        <v/>
      </c>
      <c r="X449" s="39"/>
      <c r="Y449" s="74"/>
      <c r="Z449" s="74" t="str">
        <f>IF(OR(Table5[[#This Row],[Per Person Package Cost]]="", Table5[[#This Row],[No. of Pax]]=""), "", Table5[[#This Row],[Per Person Package Cost]] * Table5[[#This Row],[No. of Pax]])</f>
        <v/>
      </c>
      <c r="AA449" s="52"/>
      <c r="AB449" s="52"/>
      <c r="AC449" s="52"/>
      <c r="AD449" s="52"/>
      <c r="AE449" s="51" t="str">
        <f t="shared" si="49"/>
        <v/>
      </c>
      <c r="AF449" s="51" t="str">
        <f t="shared" si="50"/>
        <v/>
      </c>
      <c r="AG449" s="74" t="str">
        <f t="shared" si="51"/>
        <v/>
      </c>
      <c r="AH449" s="73" t="str">
        <f t="shared" si="52"/>
        <v/>
      </c>
      <c r="AI449" s="52"/>
      <c r="AJ449" s="56"/>
      <c r="AK449" s="59"/>
      <c r="AL449" s="60"/>
      <c r="AM449" s="54"/>
      <c r="AN449" s="14"/>
      <c r="AO449" s="15"/>
      <c r="AP449" s="91"/>
      <c r="AQ449" s="87"/>
      <c r="AR449" s="26"/>
      <c r="AS449" s="65"/>
      <c r="AT449" s="88"/>
      <c r="AU449" s="67"/>
      <c r="DA449" t="str" cm="1">
        <f t="array" ref="DA449">IF(U449&lt;&gt;"", TRANSPOSE(_xlfn._xlws.FILTER(CZ:CZ, CY:CY=U449, "")), "")</f>
        <v/>
      </c>
    </row>
    <row r="450" spans="2:105" ht="15" customHeight="1">
      <c r="B450" s="35">
        <v>446</v>
      </c>
      <c r="C450" s="36" t="s">
        <v>2315</v>
      </c>
      <c r="D450" s="76"/>
      <c r="E450" s="37" t="str">
        <f>IF(Table5[[#This Row],[Query Date]]&lt;&gt;"", TEXT(Table5[[#This Row],[Query Date]], "dddd"), "")</f>
        <v/>
      </c>
      <c r="F450" s="37" t="str">
        <f>IF(Table5[[#This Row],[Query Date]]&lt;&gt;"", TEXT(Table5[[#This Row],[Query Date]], "mmmm"), "")</f>
        <v/>
      </c>
      <c r="G450" s="28"/>
      <c r="H450" s="28"/>
      <c r="I450" s="28"/>
      <c r="J450" s="28"/>
      <c r="K450" s="28"/>
      <c r="L450" s="25"/>
      <c r="M450" s="25"/>
      <c r="N450" s="25"/>
      <c r="O450" s="130"/>
      <c r="P450" s="47"/>
      <c r="Q450" s="77"/>
      <c r="R450" s="77" t="str">
        <f>IF(Table5[[#This Row],[Tour Starting Date]]&lt;&gt;"", TEXT(Table5[[#This Row],[Tour Starting Date]], "dddd"), "")</f>
        <v/>
      </c>
      <c r="S450" s="77"/>
      <c r="T450" s="25" t="str">
        <f>IF(Table5[[#This Row],[Tour Ending Date]]&lt;&gt;"", TEXT(Table5[[#This Row],[Tour Ending Date]], "dddd"), "")</f>
        <v/>
      </c>
      <c r="U45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50" s="37" t="str">
        <f>IF(Table5[[#This Row],[Tour Starting Date]]&lt;&gt;"", TEXT(Table5[[#This Row],[Tour Starting Date]], "mmmm"), "")</f>
        <v/>
      </c>
      <c r="W450" s="80" t="str" cm="1">
        <f t="array" ref="W450">IF(Q450&lt;&gt;"", INDEX(CI:CI, MATCH(1, (Q450&gt;=CG:CG)*(Q450&lt;=CH:CH), 0)), "")</f>
        <v/>
      </c>
      <c r="X450" s="39"/>
      <c r="Y450" s="74"/>
      <c r="Z450" s="74" t="str">
        <f>IF(OR(Table5[[#This Row],[Per Person Package Cost]]="", Table5[[#This Row],[No. of Pax]]=""), "", Table5[[#This Row],[Per Person Package Cost]] * Table5[[#This Row],[No. of Pax]])</f>
        <v/>
      </c>
      <c r="AA450" s="52"/>
      <c r="AB450" s="52"/>
      <c r="AC450" s="52"/>
      <c r="AD450" s="52"/>
      <c r="AE450" s="51" t="str">
        <f t="shared" si="49"/>
        <v/>
      </c>
      <c r="AF450" s="51" t="str">
        <f t="shared" si="50"/>
        <v/>
      </c>
      <c r="AG450" s="74" t="str">
        <f t="shared" si="51"/>
        <v/>
      </c>
      <c r="AH450" s="73" t="str">
        <f t="shared" si="52"/>
        <v/>
      </c>
      <c r="AI450" s="52"/>
      <c r="AJ450" s="56"/>
      <c r="AK450" s="59"/>
      <c r="AL450" s="60"/>
      <c r="AM450" s="54"/>
      <c r="AN450" s="14"/>
      <c r="AO450" s="15"/>
      <c r="AP450" s="91"/>
      <c r="AQ450" s="87"/>
      <c r="AR450" s="26"/>
      <c r="AS450" s="65"/>
      <c r="AT450" s="88"/>
      <c r="AU450" s="67"/>
      <c r="DA450" t="str" cm="1">
        <f t="array" ref="DA450">IF(U450&lt;&gt;"", TRANSPOSE(_xlfn._xlws.FILTER(CZ:CZ, CY:CY=U450, "")), "")</f>
        <v/>
      </c>
    </row>
    <row r="451" spans="2:105" ht="15" customHeight="1">
      <c r="B451" s="34">
        <v>447</v>
      </c>
      <c r="C451" s="36" t="s">
        <v>2316</v>
      </c>
      <c r="D451" s="76"/>
      <c r="E451" s="37" t="str">
        <f>IF(Table5[[#This Row],[Query Date]]&lt;&gt;"", TEXT(Table5[[#This Row],[Query Date]], "dddd"), "")</f>
        <v/>
      </c>
      <c r="F451" s="37" t="str">
        <f>IF(Table5[[#This Row],[Query Date]]&lt;&gt;"", TEXT(Table5[[#This Row],[Query Date]], "mmmm"), "")</f>
        <v/>
      </c>
      <c r="G451" s="28"/>
      <c r="H451" s="28"/>
      <c r="I451" s="28"/>
      <c r="J451" s="28"/>
      <c r="K451" s="28"/>
      <c r="L451" s="25"/>
      <c r="M451" s="25"/>
      <c r="N451" s="25"/>
      <c r="O451" s="130"/>
      <c r="P451" s="47"/>
      <c r="Q451" s="77"/>
      <c r="R451" s="77" t="str">
        <f>IF(Table5[[#This Row],[Tour Starting Date]]&lt;&gt;"", TEXT(Table5[[#This Row],[Tour Starting Date]], "dddd"), "")</f>
        <v/>
      </c>
      <c r="S451" s="77"/>
      <c r="T451" s="25" t="str">
        <f>IF(Table5[[#This Row],[Tour Ending Date]]&lt;&gt;"", TEXT(Table5[[#This Row],[Tour Ending Date]], "dddd"), "")</f>
        <v/>
      </c>
      <c r="U45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51" s="37" t="str">
        <f>IF(Table5[[#This Row],[Tour Starting Date]]&lt;&gt;"", TEXT(Table5[[#This Row],[Tour Starting Date]], "mmmm"), "")</f>
        <v/>
      </c>
      <c r="W451" s="80" t="str" cm="1">
        <f t="array" ref="W451">IF(Q451&lt;&gt;"", INDEX(CI:CI, MATCH(1, (Q451&gt;=CG:CG)*(Q451&lt;=CH:CH), 0)), "")</f>
        <v/>
      </c>
      <c r="X451" s="39"/>
      <c r="Y451" s="74"/>
      <c r="Z451" s="74" t="str">
        <f>IF(OR(Table5[[#This Row],[Per Person Package Cost]]="", Table5[[#This Row],[No. of Pax]]=""), "", Table5[[#This Row],[Per Person Package Cost]] * Table5[[#This Row],[No. of Pax]])</f>
        <v/>
      </c>
      <c r="AA451" s="52"/>
      <c r="AB451" s="52"/>
      <c r="AC451" s="52"/>
      <c r="AD451" s="52"/>
      <c r="AE451" s="51" t="str">
        <f t="shared" si="49"/>
        <v/>
      </c>
      <c r="AF451" s="51" t="str">
        <f t="shared" si="50"/>
        <v/>
      </c>
      <c r="AG451" s="74" t="str">
        <f t="shared" si="51"/>
        <v/>
      </c>
      <c r="AH451" s="73" t="str">
        <f t="shared" si="52"/>
        <v/>
      </c>
      <c r="AI451" s="52"/>
      <c r="AJ451" s="56"/>
      <c r="AK451" s="59"/>
      <c r="AL451" s="60"/>
      <c r="AM451" s="54"/>
      <c r="AN451" s="14"/>
      <c r="AO451" s="15"/>
      <c r="AP451" s="91"/>
      <c r="AQ451" s="87"/>
      <c r="AR451" s="26"/>
      <c r="AS451" s="65"/>
      <c r="AT451" s="88"/>
      <c r="AU451" s="67"/>
      <c r="DA451" t="str" cm="1">
        <f t="array" ref="DA451">IF(U451&lt;&gt;"", TRANSPOSE(_xlfn._xlws.FILTER(CZ:CZ, CY:CY=U451, "")), "")</f>
        <v/>
      </c>
    </row>
    <row r="452" spans="2:105" ht="15" customHeight="1">
      <c r="B452" s="35">
        <v>448</v>
      </c>
      <c r="C452" s="36" t="s">
        <v>2317</v>
      </c>
      <c r="D452" s="76"/>
      <c r="E452" s="37" t="str">
        <f>IF(Table5[[#This Row],[Query Date]]&lt;&gt;"", TEXT(Table5[[#This Row],[Query Date]], "dddd"), "")</f>
        <v/>
      </c>
      <c r="F452" s="37" t="str">
        <f>IF(Table5[[#This Row],[Query Date]]&lt;&gt;"", TEXT(Table5[[#This Row],[Query Date]], "mmmm"), "")</f>
        <v/>
      </c>
      <c r="G452" s="28"/>
      <c r="H452" s="28"/>
      <c r="I452" s="28"/>
      <c r="J452" s="28"/>
      <c r="K452" s="28"/>
      <c r="L452" s="25"/>
      <c r="M452" s="25"/>
      <c r="N452" s="25"/>
      <c r="O452" s="130"/>
      <c r="P452" s="47"/>
      <c r="Q452" s="77"/>
      <c r="R452" s="77" t="str">
        <f>IF(Table5[[#This Row],[Tour Starting Date]]&lt;&gt;"", TEXT(Table5[[#This Row],[Tour Starting Date]], "dddd"), "")</f>
        <v/>
      </c>
      <c r="S452" s="77"/>
      <c r="T452" s="25" t="str">
        <f>IF(Table5[[#This Row],[Tour Ending Date]]&lt;&gt;"", TEXT(Table5[[#This Row],[Tour Ending Date]], "dddd"), "")</f>
        <v/>
      </c>
      <c r="U45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52" s="37" t="str">
        <f>IF(Table5[[#This Row],[Tour Starting Date]]&lt;&gt;"", TEXT(Table5[[#This Row],[Tour Starting Date]], "mmmm"), "")</f>
        <v/>
      </c>
      <c r="W452" s="80" t="str" cm="1">
        <f t="array" ref="W452">IF(Q452&lt;&gt;"", INDEX(CI:CI, MATCH(1, (Q452&gt;=CG:CG)*(Q452&lt;=CH:CH), 0)), "")</f>
        <v/>
      </c>
      <c r="X452" s="39"/>
      <c r="Y452" s="74"/>
      <c r="Z452" s="74" t="str">
        <f>IF(OR(Table5[[#This Row],[Per Person Package Cost]]="", Table5[[#This Row],[No. of Pax]]=""), "", Table5[[#This Row],[Per Person Package Cost]] * Table5[[#This Row],[No. of Pax]])</f>
        <v/>
      </c>
      <c r="AA452" s="52"/>
      <c r="AB452" s="52"/>
      <c r="AC452" s="52"/>
      <c r="AD452" s="52"/>
      <c r="AE452" s="51" t="str">
        <f t="shared" si="49"/>
        <v/>
      </c>
      <c r="AF452" s="51" t="str">
        <f t="shared" si="50"/>
        <v/>
      </c>
      <c r="AG452" s="74" t="str">
        <f t="shared" si="51"/>
        <v/>
      </c>
      <c r="AH452" s="73" t="str">
        <f t="shared" si="52"/>
        <v/>
      </c>
      <c r="AI452" s="52"/>
      <c r="AJ452" s="56"/>
      <c r="AK452" s="59"/>
      <c r="AL452" s="60"/>
      <c r="AM452" s="54"/>
      <c r="AN452" s="14"/>
      <c r="AO452" s="15"/>
      <c r="AP452" s="91"/>
      <c r="AQ452" s="87"/>
      <c r="AR452" s="26"/>
      <c r="AS452" s="65"/>
      <c r="AT452" s="88"/>
      <c r="AU452" s="67"/>
      <c r="DA452" t="str" cm="1">
        <f t="array" ref="DA452">IF(U452&lt;&gt;"", TRANSPOSE(_xlfn._xlws.FILTER(CZ:CZ, CY:CY=U452, "")), "")</f>
        <v/>
      </c>
    </row>
    <row r="453" spans="2:105" ht="15" customHeight="1">
      <c r="B453" s="34">
        <v>449</v>
      </c>
      <c r="C453" s="36" t="s">
        <v>2318</v>
      </c>
      <c r="D453" s="76"/>
      <c r="E453" s="37" t="str">
        <f>IF(Table5[[#This Row],[Query Date]]&lt;&gt;"", TEXT(Table5[[#This Row],[Query Date]], "dddd"), "")</f>
        <v/>
      </c>
      <c r="F453" s="37" t="str">
        <f>IF(Table5[[#This Row],[Query Date]]&lt;&gt;"", TEXT(Table5[[#This Row],[Query Date]], "mmmm"), "")</f>
        <v/>
      </c>
      <c r="G453" s="28"/>
      <c r="H453" s="28"/>
      <c r="I453" s="28"/>
      <c r="J453" s="28"/>
      <c r="K453" s="28"/>
      <c r="L453" s="25"/>
      <c r="M453" s="25"/>
      <c r="N453" s="25"/>
      <c r="O453" s="130"/>
      <c r="P453" s="47"/>
      <c r="Q453" s="77"/>
      <c r="R453" s="77" t="str">
        <f>IF(Table5[[#This Row],[Tour Starting Date]]&lt;&gt;"", TEXT(Table5[[#This Row],[Tour Starting Date]], "dddd"), "")</f>
        <v/>
      </c>
      <c r="S453" s="77"/>
      <c r="T453" s="25" t="str">
        <f>IF(Table5[[#This Row],[Tour Ending Date]]&lt;&gt;"", TEXT(Table5[[#This Row],[Tour Ending Date]], "dddd"), "")</f>
        <v/>
      </c>
      <c r="U45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53" s="37" t="str">
        <f>IF(Table5[[#This Row],[Tour Starting Date]]&lt;&gt;"", TEXT(Table5[[#This Row],[Tour Starting Date]], "mmmm"), "")</f>
        <v/>
      </c>
      <c r="W453" s="80" t="str" cm="1">
        <f t="array" ref="W453">IF(Q453&lt;&gt;"", INDEX(CI:CI, MATCH(1, (Q453&gt;=CG:CG)*(Q453&lt;=CH:CH), 0)), "")</f>
        <v/>
      </c>
      <c r="X453" s="39"/>
      <c r="Y453" s="74"/>
      <c r="Z453" s="74" t="str">
        <f>IF(OR(Table5[[#This Row],[Per Person Package Cost]]="", Table5[[#This Row],[No. of Pax]]=""), "", Table5[[#This Row],[Per Person Package Cost]] * Table5[[#This Row],[No. of Pax]])</f>
        <v/>
      </c>
      <c r="AA453" s="52"/>
      <c r="AB453" s="52"/>
      <c r="AC453" s="52"/>
      <c r="AD453" s="52"/>
      <c r="AE453" s="51" t="str">
        <f t="shared" ref="AE453:AE516" si="53">IF(AD453&lt;&gt;"", INDEX(CW:CW, MATCH(AD453, CZ:CZ, 0)), "")</f>
        <v/>
      </c>
      <c r="AF453" s="51" t="str">
        <f t="shared" ref="AF453:AF516" si="54">IF(AD453&lt;&gt;"", INDEX(CX:CX, MATCH(AD453, CZ:CZ, 0)), "")</f>
        <v/>
      </c>
      <c r="AG453" s="74" t="str">
        <f t="shared" ref="AG453:AG516" si="55">IF(AE453&lt;&gt;"", INDEX(CU:CU, MATCH(AE453, CW:CW, 0)), "")</f>
        <v/>
      </c>
      <c r="AH453" s="73" t="str">
        <f t="shared" si="52"/>
        <v/>
      </c>
      <c r="AI453" s="52"/>
      <c r="AJ453" s="56"/>
      <c r="AK453" s="59"/>
      <c r="AL453" s="60"/>
      <c r="AM453" s="54"/>
      <c r="AN453" s="14"/>
      <c r="AO453" s="15"/>
      <c r="AP453" s="91"/>
      <c r="AQ453" s="87"/>
      <c r="AR453" s="26"/>
      <c r="AS453" s="65"/>
      <c r="AT453" s="88"/>
      <c r="AU453" s="67"/>
      <c r="DA453" t="str" cm="1">
        <f t="array" ref="DA453">IF(U453&lt;&gt;"", TRANSPOSE(_xlfn._xlws.FILTER(CZ:CZ, CY:CY=U453, "")), "")</f>
        <v/>
      </c>
    </row>
    <row r="454" spans="2:105" ht="15" customHeight="1">
      <c r="B454" s="35">
        <v>450</v>
      </c>
      <c r="C454" s="36" t="s">
        <v>2319</v>
      </c>
      <c r="D454" s="76"/>
      <c r="E454" s="37" t="str">
        <f>IF(Table5[[#This Row],[Query Date]]&lt;&gt;"", TEXT(Table5[[#This Row],[Query Date]], "dddd"), "")</f>
        <v/>
      </c>
      <c r="F454" s="37" t="str">
        <f>IF(Table5[[#This Row],[Query Date]]&lt;&gt;"", TEXT(Table5[[#This Row],[Query Date]], "mmmm"), "")</f>
        <v/>
      </c>
      <c r="G454" s="28"/>
      <c r="H454" s="28"/>
      <c r="I454" s="28"/>
      <c r="J454" s="28"/>
      <c r="K454" s="28"/>
      <c r="L454" s="25"/>
      <c r="M454" s="25"/>
      <c r="N454" s="25"/>
      <c r="O454" s="130"/>
      <c r="P454" s="47"/>
      <c r="Q454" s="77"/>
      <c r="R454" s="77" t="str">
        <f>IF(Table5[[#This Row],[Tour Starting Date]]&lt;&gt;"", TEXT(Table5[[#This Row],[Tour Starting Date]], "dddd"), "")</f>
        <v/>
      </c>
      <c r="S454" s="77"/>
      <c r="T454" s="25" t="str">
        <f>IF(Table5[[#This Row],[Tour Ending Date]]&lt;&gt;"", TEXT(Table5[[#This Row],[Tour Ending Date]], "dddd"), "")</f>
        <v/>
      </c>
      <c r="U45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54" s="37" t="str">
        <f>IF(Table5[[#This Row],[Tour Starting Date]]&lt;&gt;"", TEXT(Table5[[#This Row],[Tour Starting Date]], "mmmm"), "")</f>
        <v/>
      </c>
      <c r="W454" s="80" t="str" cm="1">
        <f t="array" ref="W454">IF(Q454&lt;&gt;"", INDEX(CI:CI, MATCH(1, (Q454&gt;=CG:CG)*(Q454&lt;=CH:CH), 0)), "")</f>
        <v/>
      </c>
      <c r="X454" s="39"/>
      <c r="Y454" s="74"/>
      <c r="Z454" s="74" t="str">
        <f>IF(OR(Table5[[#This Row],[Per Person Package Cost]]="", Table5[[#This Row],[No. of Pax]]=""), "", Table5[[#This Row],[Per Person Package Cost]] * Table5[[#This Row],[No. of Pax]])</f>
        <v/>
      </c>
      <c r="AA454" s="52"/>
      <c r="AB454" s="52"/>
      <c r="AC454" s="52"/>
      <c r="AD454" s="52"/>
      <c r="AE454" s="51" t="str">
        <f t="shared" si="53"/>
        <v/>
      </c>
      <c r="AF454" s="51" t="str">
        <f t="shared" si="54"/>
        <v/>
      </c>
      <c r="AG454" s="74" t="str">
        <f t="shared" si="55"/>
        <v/>
      </c>
      <c r="AH454" s="73" t="str">
        <f t="shared" si="52"/>
        <v/>
      </c>
      <c r="AI454" s="52"/>
      <c r="AJ454" s="56"/>
      <c r="AK454" s="59"/>
      <c r="AL454" s="60"/>
      <c r="AM454" s="54"/>
      <c r="AN454" s="14"/>
      <c r="AO454" s="15"/>
      <c r="AP454" s="91"/>
      <c r="AQ454" s="87"/>
      <c r="AR454" s="26"/>
      <c r="AS454" s="65"/>
      <c r="AT454" s="88"/>
      <c r="AU454" s="67"/>
      <c r="DA454" t="str" cm="1">
        <f t="array" ref="DA454">IF(U454&lt;&gt;"", TRANSPOSE(_xlfn._xlws.FILTER(CZ:CZ, CY:CY=U454, "")), "")</f>
        <v/>
      </c>
    </row>
    <row r="455" spans="2:105" ht="15" customHeight="1">
      <c r="B455" s="34">
        <v>451</v>
      </c>
      <c r="C455" s="36" t="s">
        <v>2320</v>
      </c>
      <c r="D455" s="76"/>
      <c r="E455" s="37" t="str">
        <f>IF(Table5[[#This Row],[Query Date]]&lt;&gt;"", TEXT(Table5[[#This Row],[Query Date]], "dddd"), "")</f>
        <v/>
      </c>
      <c r="F455" s="37" t="str">
        <f>IF(Table5[[#This Row],[Query Date]]&lt;&gt;"", TEXT(Table5[[#This Row],[Query Date]], "mmmm"), "")</f>
        <v/>
      </c>
      <c r="G455" s="28"/>
      <c r="H455" s="28"/>
      <c r="I455" s="28"/>
      <c r="J455" s="28"/>
      <c r="K455" s="28"/>
      <c r="L455" s="25"/>
      <c r="M455" s="25"/>
      <c r="N455" s="25"/>
      <c r="O455" s="130"/>
      <c r="P455" s="47"/>
      <c r="Q455" s="77"/>
      <c r="R455" s="77" t="str">
        <f>IF(Table5[[#This Row],[Tour Starting Date]]&lt;&gt;"", TEXT(Table5[[#This Row],[Tour Starting Date]], "dddd"), "")</f>
        <v/>
      </c>
      <c r="S455" s="77"/>
      <c r="T455" s="25" t="str">
        <f>IF(Table5[[#This Row],[Tour Ending Date]]&lt;&gt;"", TEXT(Table5[[#This Row],[Tour Ending Date]], "dddd"), "")</f>
        <v/>
      </c>
      <c r="U45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55" s="37" t="str">
        <f>IF(Table5[[#This Row],[Tour Starting Date]]&lt;&gt;"", TEXT(Table5[[#This Row],[Tour Starting Date]], "mmmm"), "")</f>
        <v/>
      </c>
      <c r="W455" s="80" t="str" cm="1">
        <f t="array" ref="W455">IF(Q455&lt;&gt;"", INDEX(CI:CI, MATCH(1, (Q455&gt;=CG:CG)*(Q455&lt;=CH:CH), 0)), "")</f>
        <v/>
      </c>
      <c r="X455" s="39"/>
      <c r="Y455" s="74"/>
      <c r="Z455" s="74" t="str">
        <f>IF(OR(Table5[[#This Row],[Per Person Package Cost]]="", Table5[[#This Row],[No. of Pax]]=""), "", Table5[[#This Row],[Per Person Package Cost]] * Table5[[#This Row],[No. of Pax]])</f>
        <v/>
      </c>
      <c r="AA455" s="52"/>
      <c r="AB455" s="52"/>
      <c r="AC455" s="52"/>
      <c r="AD455" s="52"/>
      <c r="AE455" s="51" t="str">
        <f t="shared" si="53"/>
        <v/>
      </c>
      <c r="AF455" s="51" t="str">
        <f t="shared" si="54"/>
        <v/>
      </c>
      <c r="AG455" s="74" t="str">
        <f t="shared" si="55"/>
        <v/>
      </c>
      <c r="AH455" s="73" t="str">
        <f t="shared" si="52"/>
        <v/>
      </c>
      <c r="AI455" s="52"/>
      <c r="AJ455" s="56"/>
      <c r="AK455" s="59"/>
      <c r="AL455" s="60"/>
      <c r="AM455" s="54"/>
      <c r="AN455" s="14"/>
      <c r="AO455" s="15"/>
      <c r="AP455" s="91"/>
      <c r="AQ455" s="87"/>
      <c r="AR455" s="26"/>
      <c r="AS455" s="65"/>
      <c r="AT455" s="88"/>
      <c r="AU455" s="67"/>
      <c r="DA455" t="str" cm="1">
        <f t="array" ref="DA455">IF(U455&lt;&gt;"", TRANSPOSE(_xlfn._xlws.FILTER(CZ:CZ, CY:CY=U455, "")), "")</f>
        <v/>
      </c>
    </row>
    <row r="456" spans="2:105" ht="15" customHeight="1">
      <c r="B456" s="35">
        <v>452</v>
      </c>
      <c r="C456" s="36" t="s">
        <v>2321</v>
      </c>
      <c r="D456" s="76"/>
      <c r="E456" s="37" t="str">
        <f>IF(Table5[[#This Row],[Query Date]]&lt;&gt;"", TEXT(Table5[[#This Row],[Query Date]], "dddd"), "")</f>
        <v/>
      </c>
      <c r="F456" s="37" t="str">
        <f>IF(Table5[[#This Row],[Query Date]]&lt;&gt;"", TEXT(Table5[[#This Row],[Query Date]], "mmmm"), "")</f>
        <v/>
      </c>
      <c r="G456" s="28"/>
      <c r="H456" s="28"/>
      <c r="I456" s="28"/>
      <c r="J456" s="28"/>
      <c r="K456" s="28"/>
      <c r="L456" s="25"/>
      <c r="M456" s="25"/>
      <c r="N456" s="25"/>
      <c r="O456" s="130"/>
      <c r="P456" s="47"/>
      <c r="Q456" s="77"/>
      <c r="R456" s="77" t="str">
        <f>IF(Table5[[#This Row],[Tour Starting Date]]&lt;&gt;"", TEXT(Table5[[#This Row],[Tour Starting Date]], "dddd"), "")</f>
        <v/>
      </c>
      <c r="S456" s="77"/>
      <c r="T456" s="25" t="str">
        <f>IF(Table5[[#This Row],[Tour Ending Date]]&lt;&gt;"", TEXT(Table5[[#This Row],[Tour Ending Date]], "dddd"), "")</f>
        <v/>
      </c>
      <c r="U45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56" s="37" t="str">
        <f>IF(Table5[[#This Row],[Tour Starting Date]]&lt;&gt;"", TEXT(Table5[[#This Row],[Tour Starting Date]], "mmmm"), "")</f>
        <v/>
      </c>
      <c r="W456" s="80" t="str" cm="1">
        <f t="array" ref="W456">IF(Q456&lt;&gt;"", INDEX(CI:CI, MATCH(1, (Q456&gt;=CG:CG)*(Q456&lt;=CH:CH), 0)), "")</f>
        <v/>
      </c>
      <c r="X456" s="39"/>
      <c r="Y456" s="74"/>
      <c r="Z456" s="74" t="str">
        <f>IF(OR(Table5[[#This Row],[Per Person Package Cost]]="", Table5[[#This Row],[No. of Pax]]=""), "", Table5[[#This Row],[Per Person Package Cost]] * Table5[[#This Row],[No. of Pax]])</f>
        <v/>
      </c>
      <c r="AA456" s="52"/>
      <c r="AB456" s="52"/>
      <c r="AC456" s="52"/>
      <c r="AD456" s="52"/>
      <c r="AE456" s="51" t="str">
        <f t="shared" si="53"/>
        <v/>
      </c>
      <c r="AF456" s="51" t="str">
        <f t="shared" si="54"/>
        <v/>
      </c>
      <c r="AG456" s="74" t="str">
        <f t="shared" si="55"/>
        <v/>
      </c>
      <c r="AH456" s="73" t="str">
        <f t="shared" si="52"/>
        <v/>
      </c>
      <c r="AI456" s="52"/>
      <c r="AJ456" s="56"/>
      <c r="AK456" s="59"/>
      <c r="AL456" s="60"/>
      <c r="AM456" s="54"/>
      <c r="AN456" s="14"/>
      <c r="AO456" s="15"/>
      <c r="AP456" s="91"/>
      <c r="AQ456" s="87"/>
      <c r="AR456" s="26"/>
      <c r="AS456" s="65"/>
      <c r="AT456" s="88"/>
      <c r="AU456" s="67"/>
      <c r="DA456" t="str" cm="1">
        <f t="array" ref="DA456">IF(U456&lt;&gt;"", TRANSPOSE(_xlfn._xlws.FILTER(CZ:CZ, CY:CY=U456, "")), "")</f>
        <v/>
      </c>
    </row>
    <row r="457" spans="2:105" ht="15" customHeight="1">
      <c r="B457" s="34">
        <v>453</v>
      </c>
      <c r="C457" s="36" t="s">
        <v>2322</v>
      </c>
      <c r="D457" s="76"/>
      <c r="E457" s="37" t="str">
        <f>IF(Table5[[#This Row],[Query Date]]&lt;&gt;"", TEXT(Table5[[#This Row],[Query Date]], "dddd"), "")</f>
        <v/>
      </c>
      <c r="F457" s="37" t="str">
        <f>IF(Table5[[#This Row],[Query Date]]&lt;&gt;"", TEXT(Table5[[#This Row],[Query Date]], "mmmm"), "")</f>
        <v/>
      </c>
      <c r="G457" s="28"/>
      <c r="H457" s="28"/>
      <c r="I457" s="28"/>
      <c r="J457" s="28"/>
      <c r="K457" s="28"/>
      <c r="L457" s="25"/>
      <c r="M457" s="25"/>
      <c r="N457" s="25"/>
      <c r="O457" s="130"/>
      <c r="P457" s="47"/>
      <c r="Q457" s="77"/>
      <c r="R457" s="77" t="str">
        <f>IF(Table5[[#This Row],[Tour Starting Date]]&lt;&gt;"", TEXT(Table5[[#This Row],[Tour Starting Date]], "dddd"), "")</f>
        <v/>
      </c>
      <c r="S457" s="77"/>
      <c r="T457" s="25" t="str">
        <f>IF(Table5[[#This Row],[Tour Ending Date]]&lt;&gt;"", TEXT(Table5[[#This Row],[Tour Ending Date]], "dddd"), "")</f>
        <v/>
      </c>
      <c r="U45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57" s="37" t="str">
        <f>IF(Table5[[#This Row],[Tour Starting Date]]&lt;&gt;"", TEXT(Table5[[#This Row],[Tour Starting Date]], "mmmm"), "")</f>
        <v/>
      </c>
      <c r="W457" s="80" t="str" cm="1">
        <f t="array" ref="W457">IF(Q457&lt;&gt;"", INDEX(CI:CI, MATCH(1, (Q457&gt;=CG:CG)*(Q457&lt;=CH:CH), 0)), "")</f>
        <v/>
      </c>
      <c r="X457" s="39"/>
      <c r="Y457" s="74"/>
      <c r="Z457" s="74" t="str">
        <f>IF(OR(Table5[[#This Row],[Per Person Package Cost]]="", Table5[[#This Row],[No. of Pax]]=""), "", Table5[[#This Row],[Per Person Package Cost]] * Table5[[#This Row],[No. of Pax]])</f>
        <v/>
      </c>
      <c r="AA457" s="52"/>
      <c r="AB457" s="52"/>
      <c r="AC457" s="52"/>
      <c r="AD457" s="52"/>
      <c r="AE457" s="51" t="str">
        <f t="shared" si="53"/>
        <v/>
      </c>
      <c r="AF457" s="51" t="str">
        <f t="shared" si="54"/>
        <v/>
      </c>
      <c r="AG457" s="74" t="str">
        <f t="shared" si="55"/>
        <v/>
      </c>
      <c r="AH457" s="73" t="str">
        <f t="shared" si="52"/>
        <v/>
      </c>
      <c r="AI457" s="52"/>
      <c r="AJ457" s="56"/>
      <c r="AK457" s="59"/>
      <c r="AL457" s="60"/>
      <c r="AM457" s="54"/>
      <c r="AN457" s="14"/>
      <c r="AO457" s="15"/>
      <c r="AP457" s="91"/>
      <c r="AQ457" s="87"/>
      <c r="AR457" s="26"/>
      <c r="AS457" s="65"/>
      <c r="AT457" s="88"/>
      <c r="AU457" s="67"/>
      <c r="DA457" t="str" cm="1">
        <f t="array" ref="DA457">IF(U457&lt;&gt;"", TRANSPOSE(_xlfn._xlws.FILTER(CZ:CZ, CY:CY=U457, "")), "")</f>
        <v/>
      </c>
    </row>
    <row r="458" spans="2:105" ht="15" customHeight="1">
      <c r="B458" s="35">
        <v>454</v>
      </c>
      <c r="C458" s="36" t="s">
        <v>2323</v>
      </c>
      <c r="D458" s="76"/>
      <c r="E458" s="37" t="str">
        <f>IF(Table5[[#This Row],[Query Date]]&lt;&gt;"", TEXT(Table5[[#This Row],[Query Date]], "dddd"), "")</f>
        <v/>
      </c>
      <c r="F458" s="37" t="str">
        <f>IF(Table5[[#This Row],[Query Date]]&lt;&gt;"", TEXT(Table5[[#This Row],[Query Date]], "mmmm"), "")</f>
        <v/>
      </c>
      <c r="G458" s="28"/>
      <c r="H458" s="28"/>
      <c r="I458" s="28"/>
      <c r="J458" s="28"/>
      <c r="K458" s="28"/>
      <c r="L458" s="25"/>
      <c r="M458" s="25"/>
      <c r="N458" s="25"/>
      <c r="O458" s="130"/>
      <c r="P458" s="47"/>
      <c r="Q458" s="77"/>
      <c r="R458" s="77" t="str">
        <f>IF(Table5[[#This Row],[Tour Starting Date]]&lt;&gt;"", TEXT(Table5[[#This Row],[Tour Starting Date]], "dddd"), "")</f>
        <v/>
      </c>
      <c r="S458" s="77"/>
      <c r="T458" s="25" t="str">
        <f>IF(Table5[[#This Row],[Tour Ending Date]]&lt;&gt;"", TEXT(Table5[[#This Row],[Tour Ending Date]], "dddd"), "")</f>
        <v/>
      </c>
      <c r="U45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58" s="37" t="str">
        <f>IF(Table5[[#This Row],[Tour Starting Date]]&lt;&gt;"", TEXT(Table5[[#This Row],[Tour Starting Date]], "mmmm"), "")</f>
        <v/>
      </c>
      <c r="W458" s="80" t="str" cm="1">
        <f t="array" ref="W458">IF(Q458&lt;&gt;"", INDEX(CI:CI, MATCH(1, (Q458&gt;=CG:CG)*(Q458&lt;=CH:CH), 0)), "")</f>
        <v/>
      </c>
      <c r="X458" s="39"/>
      <c r="Y458" s="74"/>
      <c r="Z458" s="74" t="str">
        <f>IF(OR(Table5[[#This Row],[Per Person Package Cost]]="", Table5[[#This Row],[No. of Pax]]=""), "", Table5[[#This Row],[Per Person Package Cost]] * Table5[[#This Row],[No. of Pax]])</f>
        <v/>
      </c>
      <c r="AA458" s="52"/>
      <c r="AB458" s="52"/>
      <c r="AC458" s="52"/>
      <c r="AD458" s="52"/>
      <c r="AE458" s="51" t="str">
        <f t="shared" si="53"/>
        <v/>
      </c>
      <c r="AF458" s="51" t="str">
        <f t="shared" si="54"/>
        <v/>
      </c>
      <c r="AG458" s="74" t="str">
        <f t="shared" si="55"/>
        <v/>
      </c>
      <c r="AH458" s="73" t="str">
        <f t="shared" si="52"/>
        <v/>
      </c>
      <c r="AI458" s="52"/>
      <c r="AJ458" s="56"/>
      <c r="AK458" s="59"/>
      <c r="AL458" s="60"/>
      <c r="AM458" s="54"/>
      <c r="AN458" s="14"/>
      <c r="AO458" s="15"/>
      <c r="AP458" s="91"/>
      <c r="AQ458" s="87"/>
      <c r="AR458" s="26"/>
      <c r="AS458" s="65"/>
      <c r="AT458" s="88"/>
      <c r="AU458" s="67"/>
      <c r="DA458" t="str" cm="1">
        <f t="array" ref="DA458">IF(U458&lt;&gt;"", TRANSPOSE(_xlfn._xlws.FILTER(CZ:CZ, CY:CY=U458, "")), "")</f>
        <v/>
      </c>
    </row>
    <row r="459" spans="2:105" ht="15" customHeight="1">
      <c r="B459" s="34">
        <v>455</v>
      </c>
      <c r="C459" s="36" t="s">
        <v>2324</v>
      </c>
      <c r="D459" s="76"/>
      <c r="E459" s="37" t="str">
        <f>IF(Table5[[#This Row],[Query Date]]&lt;&gt;"", TEXT(Table5[[#This Row],[Query Date]], "dddd"), "")</f>
        <v/>
      </c>
      <c r="F459" s="37" t="str">
        <f>IF(Table5[[#This Row],[Query Date]]&lt;&gt;"", TEXT(Table5[[#This Row],[Query Date]], "mmmm"), "")</f>
        <v/>
      </c>
      <c r="G459" s="28"/>
      <c r="H459" s="28"/>
      <c r="I459" s="28"/>
      <c r="J459" s="28"/>
      <c r="K459" s="28"/>
      <c r="L459" s="25"/>
      <c r="M459" s="25"/>
      <c r="N459" s="25"/>
      <c r="O459" s="130"/>
      <c r="P459" s="47"/>
      <c r="Q459" s="77"/>
      <c r="R459" s="77" t="str">
        <f>IF(Table5[[#This Row],[Tour Starting Date]]&lt;&gt;"", TEXT(Table5[[#This Row],[Tour Starting Date]], "dddd"), "")</f>
        <v/>
      </c>
      <c r="S459" s="77"/>
      <c r="T459" s="25" t="str">
        <f>IF(Table5[[#This Row],[Tour Ending Date]]&lt;&gt;"", TEXT(Table5[[#This Row],[Tour Ending Date]], "dddd"), "")</f>
        <v/>
      </c>
      <c r="U45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59" s="37" t="str">
        <f>IF(Table5[[#This Row],[Tour Starting Date]]&lt;&gt;"", TEXT(Table5[[#This Row],[Tour Starting Date]], "mmmm"), "")</f>
        <v/>
      </c>
      <c r="W459" s="80" t="str" cm="1">
        <f t="array" ref="W459">IF(Q459&lt;&gt;"", INDEX(CI:CI, MATCH(1, (Q459&gt;=CG:CG)*(Q459&lt;=CH:CH), 0)), "")</f>
        <v/>
      </c>
      <c r="X459" s="39"/>
      <c r="Y459" s="74"/>
      <c r="Z459" s="74" t="str">
        <f>IF(OR(Table5[[#This Row],[Per Person Package Cost]]="", Table5[[#This Row],[No. of Pax]]=""), "", Table5[[#This Row],[Per Person Package Cost]] * Table5[[#This Row],[No. of Pax]])</f>
        <v/>
      </c>
      <c r="AA459" s="52"/>
      <c r="AB459" s="52"/>
      <c r="AC459" s="52"/>
      <c r="AD459" s="52"/>
      <c r="AE459" s="51" t="str">
        <f t="shared" si="53"/>
        <v/>
      </c>
      <c r="AF459" s="51" t="str">
        <f t="shared" si="54"/>
        <v/>
      </c>
      <c r="AG459" s="74" t="str">
        <f t="shared" si="55"/>
        <v/>
      </c>
      <c r="AH459" s="73" t="str">
        <f t="shared" si="52"/>
        <v/>
      </c>
      <c r="AI459" s="52"/>
      <c r="AJ459" s="56"/>
      <c r="AK459" s="59"/>
      <c r="AL459" s="60"/>
      <c r="AM459" s="54"/>
      <c r="AN459" s="14"/>
      <c r="AO459" s="15"/>
      <c r="AP459" s="91"/>
      <c r="AQ459" s="87"/>
      <c r="AR459" s="26"/>
      <c r="AS459" s="65"/>
      <c r="AT459" s="88"/>
      <c r="AU459" s="67"/>
      <c r="DA459" t="str" cm="1">
        <f t="array" ref="DA459">IF(U459&lt;&gt;"", TRANSPOSE(_xlfn._xlws.FILTER(CZ:CZ, CY:CY=U459, "")), "")</f>
        <v/>
      </c>
    </row>
    <row r="460" spans="2:105" ht="15" customHeight="1">
      <c r="B460" s="35">
        <v>456</v>
      </c>
      <c r="C460" s="36" t="s">
        <v>2325</v>
      </c>
      <c r="D460" s="76"/>
      <c r="E460" s="37" t="str">
        <f>IF(Table5[[#This Row],[Query Date]]&lt;&gt;"", TEXT(Table5[[#This Row],[Query Date]], "dddd"), "")</f>
        <v/>
      </c>
      <c r="F460" s="37" t="str">
        <f>IF(Table5[[#This Row],[Query Date]]&lt;&gt;"", TEXT(Table5[[#This Row],[Query Date]], "mmmm"), "")</f>
        <v/>
      </c>
      <c r="G460" s="28"/>
      <c r="H460" s="28"/>
      <c r="I460" s="28"/>
      <c r="J460" s="28"/>
      <c r="K460" s="28"/>
      <c r="L460" s="25"/>
      <c r="M460" s="25"/>
      <c r="N460" s="25"/>
      <c r="O460" s="130"/>
      <c r="P460" s="47"/>
      <c r="Q460" s="77"/>
      <c r="R460" s="77" t="str">
        <f>IF(Table5[[#This Row],[Tour Starting Date]]&lt;&gt;"", TEXT(Table5[[#This Row],[Tour Starting Date]], "dddd"), "")</f>
        <v/>
      </c>
      <c r="S460" s="77"/>
      <c r="T460" s="25" t="str">
        <f>IF(Table5[[#This Row],[Tour Ending Date]]&lt;&gt;"", TEXT(Table5[[#This Row],[Tour Ending Date]], "dddd"), "")</f>
        <v/>
      </c>
      <c r="U46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60" s="37" t="str">
        <f>IF(Table5[[#This Row],[Tour Starting Date]]&lt;&gt;"", TEXT(Table5[[#This Row],[Tour Starting Date]], "mmmm"), "")</f>
        <v/>
      </c>
      <c r="W460" s="80" t="str" cm="1">
        <f t="array" ref="W460">IF(Q460&lt;&gt;"", INDEX(CI:CI, MATCH(1, (Q460&gt;=CG:CG)*(Q460&lt;=CH:CH), 0)), "")</f>
        <v/>
      </c>
      <c r="X460" s="39"/>
      <c r="Y460" s="74"/>
      <c r="Z460" s="74" t="str">
        <f>IF(OR(Table5[[#This Row],[Per Person Package Cost]]="", Table5[[#This Row],[No. of Pax]]=""), "", Table5[[#This Row],[Per Person Package Cost]] * Table5[[#This Row],[No. of Pax]])</f>
        <v/>
      </c>
      <c r="AA460" s="52"/>
      <c r="AB460" s="52"/>
      <c r="AC460" s="52"/>
      <c r="AD460" s="52"/>
      <c r="AE460" s="51" t="str">
        <f t="shared" si="53"/>
        <v/>
      </c>
      <c r="AF460" s="51" t="str">
        <f t="shared" si="54"/>
        <v/>
      </c>
      <c r="AG460" s="74" t="str">
        <f t="shared" si="55"/>
        <v/>
      </c>
      <c r="AH460" s="73" t="str">
        <f t="shared" si="52"/>
        <v/>
      </c>
      <c r="AI460" s="52"/>
      <c r="AJ460" s="56"/>
      <c r="AK460" s="59"/>
      <c r="AL460" s="60"/>
      <c r="AM460" s="54"/>
      <c r="AN460" s="14"/>
      <c r="AO460" s="15"/>
      <c r="AP460" s="91"/>
      <c r="AQ460" s="87"/>
      <c r="AR460" s="26"/>
      <c r="AS460" s="65"/>
      <c r="AT460" s="88"/>
      <c r="AU460" s="67"/>
      <c r="DA460" t="str" cm="1">
        <f t="array" ref="DA460">IF(U460&lt;&gt;"", TRANSPOSE(_xlfn._xlws.FILTER(CZ:CZ, CY:CY=U460, "")), "")</f>
        <v/>
      </c>
    </row>
    <row r="461" spans="2:105" ht="15" customHeight="1">
      <c r="B461" s="34">
        <v>457</v>
      </c>
      <c r="C461" s="36" t="s">
        <v>2326</v>
      </c>
      <c r="D461" s="76"/>
      <c r="E461" s="37" t="str">
        <f>IF(Table5[[#This Row],[Query Date]]&lt;&gt;"", TEXT(Table5[[#This Row],[Query Date]], "dddd"), "")</f>
        <v/>
      </c>
      <c r="F461" s="37" t="str">
        <f>IF(Table5[[#This Row],[Query Date]]&lt;&gt;"", TEXT(Table5[[#This Row],[Query Date]], "mmmm"), "")</f>
        <v/>
      </c>
      <c r="G461" s="28"/>
      <c r="H461" s="28"/>
      <c r="I461" s="28"/>
      <c r="J461" s="28"/>
      <c r="K461" s="28"/>
      <c r="L461" s="25"/>
      <c r="M461" s="25"/>
      <c r="N461" s="25"/>
      <c r="O461" s="130"/>
      <c r="P461" s="47"/>
      <c r="Q461" s="77"/>
      <c r="R461" s="77" t="str">
        <f>IF(Table5[[#This Row],[Tour Starting Date]]&lt;&gt;"", TEXT(Table5[[#This Row],[Tour Starting Date]], "dddd"), "")</f>
        <v/>
      </c>
      <c r="S461" s="77"/>
      <c r="T461" s="25" t="str">
        <f>IF(Table5[[#This Row],[Tour Ending Date]]&lt;&gt;"", TEXT(Table5[[#This Row],[Tour Ending Date]], "dddd"), "")</f>
        <v/>
      </c>
      <c r="U46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61" s="37" t="str">
        <f>IF(Table5[[#This Row],[Tour Starting Date]]&lt;&gt;"", TEXT(Table5[[#This Row],[Tour Starting Date]], "mmmm"), "")</f>
        <v/>
      </c>
      <c r="W461" s="80" t="str" cm="1">
        <f t="array" ref="W461">IF(Q461&lt;&gt;"", INDEX(CI:CI, MATCH(1, (Q461&gt;=CG:CG)*(Q461&lt;=CH:CH), 0)), "")</f>
        <v/>
      </c>
      <c r="X461" s="39"/>
      <c r="Y461" s="74"/>
      <c r="Z461" s="74" t="str">
        <f>IF(OR(Table5[[#This Row],[Per Person Package Cost]]="", Table5[[#This Row],[No. of Pax]]=""), "", Table5[[#This Row],[Per Person Package Cost]] * Table5[[#This Row],[No. of Pax]])</f>
        <v/>
      </c>
      <c r="AA461" s="52"/>
      <c r="AB461" s="52"/>
      <c r="AC461" s="52"/>
      <c r="AD461" s="52"/>
      <c r="AE461" s="51" t="str">
        <f t="shared" si="53"/>
        <v/>
      </c>
      <c r="AF461" s="51" t="str">
        <f t="shared" si="54"/>
        <v/>
      </c>
      <c r="AG461" s="74" t="str">
        <f t="shared" si="55"/>
        <v/>
      </c>
      <c r="AH461" s="73" t="str">
        <f t="shared" si="52"/>
        <v/>
      </c>
      <c r="AI461" s="52"/>
      <c r="AJ461" s="56"/>
      <c r="AK461" s="59"/>
      <c r="AL461" s="60"/>
      <c r="AM461" s="54"/>
      <c r="AN461" s="14"/>
      <c r="AO461" s="15"/>
      <c r="AP461" s="91"/>
      <c r="AQ461" s="87"/>
      <c r="AR461" s="26"/>
      <c r="AS461" s="65"/>
      <c r="AT461" s="88"/>
      <c r="AU461" s="67"/>
      <c r="DA461" t="str" cm="1">
        <f t="array" ref="DA461">IF(U461&lt;&gt;"", TRANSPOSE(_xlfn._xlws.FILTER(CZ:CZ, CY:CY=U461, "")), "")</f>
        <v/>
      </c>
    </row>
    <row r="462" spans="2:105" ht="15" customHeight="1">
      <c r="B462" s="35">
        <v>458</v>
      </c>
      <c r="C462" s="36" t="s">
        <v>2327</v>
      </c>
      <c r="D462" s="76"/>
      <c r="E462" s="37" t="str">
        <f>IF(Table5[[#This Row],[Query Date]]&lt;&gt;"", TEXT(Table5[[#This Row],[Query Date]], "dddd"), "")</f>
        <v/>
      </c>
      <c r="F462" s="37" t="str">
        <f>IF(Table5[[#This Row],[Query Date]]&lt;&gt;"", TEXT(Table5[[#This Row],[Query Date]], "mmmm"), "")</f>
        <v/>
      </c>
      <c r="G462" s="28"/>
      <c r="H462" s="28"/>
      <c r="I462" s="28"/>
      <c r="J462" s="28"/>
      <c r="K462" s="28"/>
      <c r="L462" s="25"/>
      <c r="M462" s="25"/>
      <c r="N462" s="25"/>
      <c r="O462" s="130"/>
      <c r="P462" s="47"/>
      <c r="Q462" s="77"/>
      <c r="R462" s="77" t="str">
        <f>IF(Table5[[#This Row],[Tour Starting Date]]&lt;&gt;"", TEXT(Table5[[#This Row],[Tour Starting Date]], "dddd"), "")</f>
        <v/>
      </c>
      <c r="S462" s="77"/>
      <c r="T462" s="25" t="str">
        <f>IF(Table5[[#This Row],[Tour Ending Date]]&lt;&gt;"", TEXT(Table5[[#This Row],[Tour Ending Date]], "dddd"), "")</f>
        <v/>
      </c>
      <c r="U46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62" s="37" t="str">
        <f>IF(Table5[[#This Row],[Tour Starting Date]]&lt;&gt;"", TEXT(Table5[[#This Row],[Tour Starting Date]], "mmmm"), "")</f>
        <v/>
      </c>
      <c r="W462" s="80" t="str" cm="1">
        <f t="array" ref="W462">IF(Q462&lt;&gt;"", INDEX(CI:CI, MATCH(1, (Q462&gt;=CG:CG)*(Q462&lt;=CH:CH), 0)), "")</f>
        <v/>
      </c>
      <c r="X462" s="39"/>
      <c r="Y462" s="74"/>
      <c r="Z462" s="74" t="str">
        <f>IF(OR(Table5[[#This Row],[Per Person Package Cost]]="", Table5[[#This Row],[No. of Pax]]=""), "", Table5[[#This Row],[Per Person Package Cost]] * Table5[[#This Row],[No. of Pax]])</f>
        <v/>
      </c>
      <c r="AA462" s="52"/>
      <c r="AB462" s="52"/>
      <c r="AC462" s="52"/>
      <c r="AD462" s="52"/>
      <c r="AE462" s="51" t="str">
        <f t="shared" si="53"/>
        <v/>
      </c>
      <c r="AF462" s="51" t="str">
        <f t="shared" si="54"/>
        <v/>
      </c>
      <c r="AG462" s="74" t="str">
        <f t="shared" si="55"/>
        <v/>
      </c>
      <c r="AH462" s="73" t="str">
        <f t="shared" si="52"/>
        <v/>
      </c>
      <c r="AI462" s="52"/>
      <c r="AJ462" s="56"/>
      <c r="AK462" s="59"/>
      <c r="AL462" s="60"/>
      <c r="AM462" s="54"/>
      <c r="AN462" s="14"/>
      <c r="AO462" s="15"/>
      <c r="AP462" s="91"/>
      <c r="AQ462" s="87"/>
      <c r="AR462" s="26"/>
      <c r="AS462" s="65"/>
      <c r="AT462" s="88"/>
      <c r="AU462" s="67"/>
      <c r="DA462" t="str" cm="1">
        <f t="array" ref="DA462">IF(U462&lt;&gt;"", TRANSPOSE(_xlfn._xlws.FILTER(CZ:CZ, CY:CY=U462, "")), "")</f>
        <v/>
      </c>
    </row>
    <row r="463" spans="2:105" ht="15" customHeight="1">
      <c r="B463" s="34">
        <v>459</v>
      </c>
      <c r="C463" s="36" t="s">
        <v>2328</v>
      </c>
      <c r="D463" s="76"/>
      <c r="E463" s="37" t="str">
        <f>IF(Table5[[#This Row],[Query Date]]&lt;&gt;"", TEXT(Table5[[#This Row],[Query Date]], "dddd"), "")</f>
        <v/>
      </c>
      <c r="F463" s="37" t="str">
        <f>IF(Table5[[#This Row],[Query Date]]&lt;&gt;"", TEXT(Table5[[#This Row],[Query Date]], "mmmm"), "")</f>
        <v/>
      </c>
      <c r="G463" s="28"/>
      <c r="H463" s="28"/>
      <c r="I463" s="28"/>
      <c r="J463" s="28"/>
      <c r="K463" s="28"/>
      <c r="L463" s="25"/>
      <c r="M463" s="25"/>
      <c r="N463" s="25"/>
      <c r="O463" s="130"/>
      <c r="P463" s="47"/>
      <c r="Q463" s="77"/>
      <c r="R463" s="77" t="str">
        <f>IF(Table5[[#This Row],[Tour Starting Date]]&lt;&gt;"", TEXT(Table5[[#This Row],[Tour Starting Date]], "dddd"), "")</f>
        <v/>
      </c>
      <c r="S463" s="77"/>
      <c r="T463" s="25" t="str">
        <f>IF(Table5[[#This Row],[Tour Ending Date]]&lt;&gt;"", TEXT(Table5[[#This Row],[Tour Ending Date]], "dddd"), "")</f>
        <v/>
      </c>
      <c r="U46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63" s="37" t="str">
        <f>IF(Table5[[#This Row],[Tour Starting Date]]&lt;&gt;"", TEXT(Table5[[#This Row],[Tour Starting Date]], "mmmm"), "")</f>
        <v/>
      </c>
      <c r="W463" s="80" t="str" cm="1">
        <f t="array" ref="W463">IF(Q463&lt;&gt;"", INDEX(CI:CI, MATCH(1, (Q463&gt;=CG:CG)*(Q463&lt;=CH:CH), 0)), "")</f>
        <v/>
      </c>
      <c r="X463" s="39"/>
      <c r="Y463" s="74"/>
      <c r="Z463" s="74" t="str">
        <f>IF(OR(Table5[[#This Row],[Per Person Package Cost]]="", Table5[[#This Row],[No. of Pax]]=""), "", Table5[[#This Row],[Per Person Package Cost]] * Table5[[#This Row],[No. of Pax]])</f>
        <v/>
      </c>
      <c r="AA463" s="52"/>
      <c r="AB463" s="52"/>
      <c r="AC463" s="52"/>
      <c r="AD463" s="52"/>
      <c r="AE463" s="51" t="str">
        <f t="shared" si="53"/>
        <v/>
      </c>
      <c r="AF463" s="51" t="str">
        <f t="shared" si="54"/>
        <v/>
      </c>
      <c r="AG463" s="74" t="str">
        <f t="shared" si="55"/>
        <v/>
      </c>
      <c r="AH463" s="73" t="str">
        <f t="shared" si="52"/>
        <v/>
      </c>
      <c r="AI463" s="52"/>
      <c r="AJ463" s="56"/>
      <c r="AK463" s="59"/>
      <c r="AL463" s="60"/>
      <c r="AM463" s="54"/>
      <c r="AN463" s="14"/>
      <c r="AO463" s="15"/>
      <c r="AP463" s="91"/>
      <c r="AQ463" s="87"/>
      <c r="AR463" s="26"/>
      <c r="AS463" s="65"/>
      <c r="AT463" s="88"/>
      <c r="AU463" s="67"/>
      <c r="DA463" t="str" cm="1">
        <f t="array" ref="DA463">IF(U463&lt;&gt;"", TRANSPOSE(_xlfn._xlws.FILTER(CZ:CZ, CY:CY=U463, "")), "")</f>
        <v/>
      </c>
    </row>
    <row r="464" spans="2:105" ht="15" customHeight="1">
      <c r="B464" s="35">
        <v>460</v>
      </c>
      <c r="C464" s="36" t="s">
        <v>2329</v>
      </c>
      <c r="D464" s="76"/>
      <c r="E464" s="37" t="str">
        <f>IF(Table5[[#This Row],[Query Date]]&lt;&gt;"", TEXT(Table5[[#This Row],[Query Date]], "dddd"), "")</f>
        <v/>
      </c>
      <c r="F464" s="37" t="str">
        <f>IF(Table5[[#This Row],[Query Date]]&lt;&gt;"", TEXT(Table5[[#This Row],[Query Date]], "mmmm"), "")</f>
        <v/>
      </c>
      <c r="G464" s="28"/>
      <c r="H464" s="28"/>
      <c r="I464" s="28"/>
      <c r="J464" s="28"/>
      <c r="K464" s="28"/>
      <c r="L464" s="25"/>
      <c r="M464" s="25"/>
      <c r="N464" s="25"/>
      <c r="O464" s="130"/>
      <c r="P464" s="47"/>
      <c r="Q464" s="77"/>
      <c r="R464" s="77" t="str">
        <f>IF(Table5[[#This Row],[Tour Starting Date]]&lt;&gt;"", TEXT(Table5[[#This Row],[Tour Starting Date]], "dddd"), "")</f>
        <v/>
      </c>
      <c r="S464" s="77"/>
      <c r="T464" s="25" t="str">
        <f>IF(Table5[[#This Row],[Tour Ending Date]]&lt;&gt;"", TEXT(Table5[[#This Row],[Tour Ending Date]], "dddd"), "")</f>
        <v/>
      </c>
      <c r="U46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64" s="37" t="str">
        <f>IF(Table5[[#This Row],[Tour Starting Date]]&lt;&gt;"", TEXT(Table5[[#This Row],[Tour Starting Date]], "mmmm"), "")</f>
        <v/>
      </c>
      <c r="W464" s="80" t="str" cm="1">
        <f t="array" ref="W464">IF(Q464&lt;&gt;"", INDEX(CI:CI, MATCH(1, (Q464&gt;=CG:CG)*(Q464&lt;=CH:CH), 0)), "")</f>
        <v/>
      </c>
      <c r="X464" s="39"/>
      <c r="Y464" s="74"/>
      <c r="Z464" s="74" t="str">
        <f>IF(OR(Table5[[#This Row],[Per Person Package Cost]]="", Table5[[#This Row],[No. of Pax]]=""), "", Table5[[#This Row],[Per Person Package Cost]] * Table5[[#This Row],[No. of Pax]])</f>
        <v/>
      </c>
      <c r="AA464" s="52"/>
      <c r="AB464" s="52"/>
      <c r="AC464" s="52"/>
      <c r="AD464" s="52"/>
      <c r="AE464" s="51" t="str">
        <f t="shared" si="53"/>
        <v/>
      </c>
      <c r="AF464" s="51" t="str">
        <f t="shared" si="54"/>
        <v/>
      </c>
      <c r="AG464" s="74" t="str">
        <f t="shared" si="55"/>
        <v/>
      </c>
      <c r="AH464" s="73" t="str">
        <f t="shared" si="52"/>
        <v/>
      </c>
      <c r="AI464" s="52"/>
      <c r="AJ464" s="56"/>
      <c r="AK464" s="59"/>
      <c r="AL464" s="60"/>
      <c r="AM464" s="54"/>
      <c r="AN464" s="14"/>
      <c r="AO464" s="15"/>
      <c r="AP464" s="91"/>
      <c r="AQ464" s="87"/>
      <c r="AR464" s="26"/>
      <c r="AS464" s="65"/>
      <c r="AT464" s="88"/>
      <c r="AU464" s="67"/>
      <c r="DA464" t="str" cm="1">
        <f t="array" ref="DA464">IF(U464&lt;&gt;"", TRANSPOSE(_xlfn._xlws.FILTER(CZ:CZ, CY:CY=U464, "")), "")</f>
        <v/>
      </c>
    </row>
    <row r="465" spans="2:105" ht="15" customHeight="1">
      <c r="B465" s="34">
        <v>461</v>
      </c>
      <c r="C465" s="36" t="s">
        <v>2330</v>
      </c>
      <c r="D465" s="76"/>
      <c r="E465" s="37" t="str">
        <f>IF(Table5[[#This Row],[Query Date]]&lt;&gt;"", TEXT(Table5[[#This Row],[Query Date]], "dddd"), "")</f>
        <v/>
      </c>
      <c r="F465" s="37" t="str">
        <f>IF(Table5[[#This Row],[Query Date]]&lt;&gt;"", TEXT(Table5[[#This Row],[Query Date]], "mmmm"), "")</f>
        <v/>
      </c>
      <c r="G465" s="28"/>
      <c r="H465" s="28"/>
      <c r="I465" s="28"/>
      <c r="J465" s="28"/>
      <c r="K465" s="28"/>
      <c r="L465" s="25"/>
      <c r="M465" s="25"/>
      <c r="N465" s="25"/>
      <c r="O465" s="130"/>
      <c r="P465" s="47"/>
      <c r="Q465" s="77"/>
      <c r="R465" s="77" t="str">
        <f>IF(Table5[[#This Row],[Tour Starting Date]]&lt;&gt;"", TEXT(Table5[[#This Row],[Tour Starting Date]], "dddd"), "")</f>
        <v/>
      </c>
      <c r="S465" s="77"/>
      <c r="T465" s="25" t="str">
        <f>IF(Table5[[#This Row],[Tour Ending Date]]&lt;&gt;"", TEXT(Table5[[#This Row],[Tour Ending Date]], "dddd"), "")</f>
        <v/>
      </c>
      <c r="U46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65" s="37" t="str">
        <f>IF(Table5[[#This Row],[Tour Starting Date]]&lt;&gt;"", TEXT(Table5[[#This Row],[Tour Starting Date]], "mmmm"), "")</f>
        <v/>
      </c>
      <c r="W465" s="80" t="str" cm="1">
        <f t="array" ref="W465">IF(Q465&lt;&gt;"", INDEX(CI:CI, MATCH(1, (Q465&gt;=CG:CG)*(Q465&lt;=CH:CH), 0)), "")</f>
        <v/>
      </c>
      <c r="X465" s="39"/>
      <c r="Y465" s="74"/>
      <c r="Z465" s="74" t="str">
        <f>IF(OR(Table5[[#This Row],[Per Person Package Cost]]="", Table5[[#This Row],[No. of Pax]]=""), "", Table5[[#This Row],[Per Person Package Cost]] * Table5[[#This Row],[No. of Pax]])</f>
        <v/>
      </c>
      <c r="AA465" s="52"/>
      <c r="AB465" s="52"/>
      <c r="AC465" s="52"/>
      <c r="AD465" s="52"/>
      <c r="AE465" s="51" t="str">
        <f t="shared" si="53"/>
        <v/>
      </c>
      <c r="AF465" s="51" t="str">
        <f t="shared" si="54"/>
        <v/>
      </c>
      <c r="AG465" s="74" t="str">
        <f t="shared" si="55"/>
        <v/>
      </c>
      <c r="AH465" s="73" t="str">
        <f t="shared" si="52"/>
        <v/>
      </c>
      <c r="AI465" s="52"/>
      <c r="AJ465" s="56"/>
      <c r="AK465" s="59"/>
      <c r="AL465" s="60"/>
      <c r="AM465" s="54"/>
      <c r="AN465" s="14"/>
      <c r="AO465" s="15"/>
      <c r="AP465" s="91"/>
      <c r="AQ465" s="87"/>
      <c r="AR465" s="26"/>
      <c r="AS465" s="65"/>
      <c r="AT465" s="88"/>
      <c r="AU465" s="67"/>
      <c r="DA465" t="str" cm="1">
        <f t="array" ref="DA465">IF(U465&lt;&gt;"", TRANSPOSE(_xlfn._xlws.FILTER(CZ:CZ, CY:CY=U465, "")), "")</f>
        <v/>
      </c>
    </row>
    <row r="466" spans="2:105" ht="15" customHeight="1">
      <c r="B466" s="35">
        <v>462</v>
      </c>
      <c r="C466" s="36" t="s">
        <v>2331</v>
      </c>
      <c r="D466" s="76"/>
      <c r="E466" s="37" t="str">
        <f>IF(Table5[[#This Row],[Query Date]]&lt;&gt;"", TEXT(Table5[[#This Row],[Query Date]], "dddd"), "")</f>
        <v/>
      </c>
      <c r="F466" s="37" t="str">
        <f>IF(Table5[[#This Row],[Query Date]]&lt;&gt;"", TEXT(Table5[[#This Row],[Query Date]], "mmmm"), "")</f>
        <v/>
      </c>
      <c r="G466" s="28"/>
      <c r="H466" s="28"/>
      <c r="I466" s="28"/>
      <c r="J466" s="28"/>
      <c r="K466" s="28"/>
      <c r="L466" s="25"/>
      <c r="M466" s="25"/>
      <c r="N466" s="25"/>
      <c r="O466" s="130"/>
      <c r="P466" s="47"/>
      <c r="Q466" s="77"/>
      <c r="R466" s="77" t="str">
        <f>IF(Table5[[#This Row],[Tour Starting Date]]&lt;&gt;"", TEXT(Table5[[#This Row],[Tour Starting Date]], "dddd"), "")</f>
        <v/>
      </c>
      <c r="S466" s="77"/>
      <c r="T466" s="25" t="str">
        <f>IF(Table5[[#This Row],[Tour Ending Date]]&lt;&gt;"", TEXT(Table5[[#This Row],[Tour Ending Date]], "dddd"), "")</f>
        <v/>
      </c>
      <c r="U46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66" s="37" t="str">
        <f>IF(Table5[[#This Row],[Tour Starting Date]]&lt;&gt;"", TEXT(Table5[[#This Row],[Tour Starting Date]], "mmmm"), "")</f>
        <v/>
      </c>
      <c r="W466" s="80" t="str" cm="1">
        <f t="array" ref="W466">IF(Q466&lt;&gt;"", INDEX(CI:CI, MATCH(1, (Q466&gt;=CG:CG)*(Q466&lt;=CH:CH), 0)), "")</f>
        <v/>
      </c>
      <c r="X466" s="39"/>
      <c r="Y466" s="74"/>
      <c r="Z466" s="74" t="str">
        <f>IF(OR(Table5[[#This Row],[Per Person Package Cost]]="", Table5[[#This Row],[No. of Pax]]=""), "", Table5[[#This Row],[Per Person Package Cost]] * Table5[[#This Row],[No. of Pax]])</f>
        <v/>
      </c>
      <c r="AA466" s="52"/>
      <c r="AB466" s="52"/>
      <c r="AC466" s="52"/>
      <c r="AD466" s="52"/>
      <c r="AE466" s="51" t="str">
        <f t="shared" si="53"/>
        <v/>
      </c>
      <c r="AF466" s="51" t="str">
        <f t="shared" si="54"/>
        <v/>
      </c>
      <c r="AG466" s="74" t="str">
        <f t="shared" si="55"/>
        <v/>
      </c>
      <c r="AH466" s="73" t="str">
        <f t="shared" si="52"/>
        <v/>
      </c>
      <c r="AI466" s="52"/>
      <c r="AJ466" s="56"/>
      <c r="AK466" s="59"/>
      <c r="AL466" s="60"/>
      <c r="AM466" s="54"/>
      <c r="AN466" s="14"/>
      <c r="AO466" s="15"/>
      <c r="AP466" s="91"/>
      <c r="AQ466" s="87"/>
      <c r="AR466" s="26"/>
      <c r="AS466" s="65"/>
      <c r="AT466" s="88"/>
      <c r="AU466" s="67"/>
      <c r="DA466" t="str" cm="1">
        <f t="array" ref="DA466">IF(U466&lt;&gt;"", TRANSPOSE(_xlfn._xlws.FILTER(CZ:CZ, CY:CY=U466, "")), "")</f>
        <v/>
      </c>
    </row>
    <row r="467" spans="2:105" ht="15" customHeight="1">
      <c r="B467" s="34">
        <v>463</v>
      </c>
      <c r="C467" s="36" t="s">
        <v>2332</v>
      </c>
      <c r="D467" s="76"/>
      <c r="E467" s="37" t="str">
        <f>IF(Table5[[#This Row],[Query Date]]&lt;&gt;"", TEXT(Table5[[#This Row],[Query Date]], "dddd"), "")</f>
        <v/>
      </c>
      <c r="F467" s="37" t="str">
        <f>IF(Table5[[#This Row],[Query Date]]&lt;&gt;"", TEXT(Table5[[#This Row],[Query Date]], "mmmm"), "")</f>
        <v/>
      </c>
      <c r="G467" s="28"/>
      <c r="H467" s="28"/>
      <c r="I467" s="28"/>
      <c r="J467" s="28"/>
      <c r="K467" s="28"/>
      <c r="L467" s="25"/>
      <c r="M467" s="25"/>
      <c r="N467" s="25"/>
      <c r="O467" s="130"/>
      <c r="P467" s="47"/>
      <c r="Q467" s="77"/>
      <c r="R467" s="77" t="str">
        <f>IF(Table5[[#This Row],[Tour Starting Date]]&lt;&gt;"", TEXT(Table5[[#This Row],[Tour Starting Date]], "dddd"), "")</f>
        <v/>
      </c>
      <c r="S467" s="77"/>
      <c r="T467" s="25" t="str">
        <f>IF(Table5[[#This Row],[Tour Ending Date]]&lt;&gt;"", TEXT(Table5[[#This Row],[Tour Ending Date]], "dddd"), "")</f>
        <v/>
      </c>
      <c r="U46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67" s="37" t="str">
        <f>IF(Table5[[#This Row],[Tour Starting Date]]&lt;&gt;"", TEXT(Table5[[#This Row],[Tour Starting Date]], "mmmm"), "")</f>
        <v/>
      </c>
      <c r="W467" s="80" t="str" cm="1">
        <f t="array" ref="W467">IF(Q467&lt;&gt;"", INDEX(CI:CI, MATCH(1, (Q467&gt;=CG:CG)*(Q467&lt;=CH:CH), 0)), "")</f>
        <v/>
      </c>
      <c r="X467" s="39"/>
      <c r="Y467" s="74"/>
      <c r="Z467" s="74" t="str">
        <f>IF(OR(Table5[[#This Row],[Per Person Package Cost]]="", Table5[[#This Row],[No. of Pax]]=""), "", Table5[[#This Row],[Per Person Package Cost]] * Table5[[#This Row],[No. of Pax]])</f>
        <v/>
      </c>
      <c r="AA467" s="52"/>
      <c r="AB467" s="52"/>
      <c r="AC467" s="52"/>
      <c r="AD467" s="52"/>
      <c r="AE467" s="51" t="str">
        <f t="shared" si="53"/>
        <v/>
      </c>
      <c r="AF467" s="51" t="str">
        <f t="shared" si="54"/>
        <v/>
      </c>
      <c r="AG467" s="74" t="str">
        <f t="shared" si="55"/>
        <v/>
      </c>
      <c r="AH467" s="73" t="str">
        <f t="shared" si="52"/>
        <v/>
      </c>
      <c r="AI467" s="52"/>
      <c r="AJ467" s="56"/>
      <c r="AK467" s="59"/>
      <c r="AL467" s="60"/>
      <c r="AM467" s="54"/>
      <c r="AN467" s="14"/>
      <c r="AO467" s="15"/>
      <c r="AP467" s="91"/>
      <c r="AQ467" s="87"/>
      <c r="AR467" s="26"/>
      <c r="AS467" s="65"/>
      <c r="AT467" s="88"/>
      <c r="AU467" s="67"/>
      <c r="DA467" t="str" cm="1">
        <f t="array" ref="DA467">IF(U467&lt;&gt;"", TRANSPOSE(_xlfn._xlws.FILTER(CZ:CZ, CY:CY=U467, "")), "")</f>
        <v/>
      </c>
    </row>
    <row r="468" spans="2:105" ht="15" customHeight="1">
      <c r="B468" s="35">
        <v>464</v>
      </c>
      <c r="C468" s="36" t="s">
        <v>2333</v>
      </c>
      <c r="D468" s="76"/>
      <c r="E468" s="37" t="str">
        <f>IF(Table5[[#This Row],[Query Date]]&lt;&gt;"", TEXT(Table5[[#This Row],[Query Date]], "dddd"), "")</f>
        <v/>
      </c>
      <c r="F468" s="37" t="str">
        <f>IF(Table5[[#This Row],[Query Date]]&lt;&gt;"", TEXT(Table5[[#This Row],[Query Date]], "mmmm"), "")</f>
        <v/>
      </c>
      <c r="G468" s="28"/>
      <c r="H468" s="28"/>
      <c r="I468" s="28"/>
      <c r="J468" s="28"/>
      <c r="K468" s="28"/>
      <c r="L468" s="25"/>
      <c r="M468" s="25"/>
      <c r="N468" s="25"/>
      <c r="O468" s="130"/>
      <c r="P468" s="47"/>
      <c r="Q468" s="77"/>
      <c r="R468" s="77" t="str">
        <f>IF(Table5[[#This Row],[Tour Starting Date]]&lt;&gt;"", TEXT(Table5[[#This Row],[Tour Starting Date]], "dddd"), "")</f>
        <v/>
      </c>
      <c r="S468" s="77"/>
      <c r="T468" s="25" t="str">
        <f>IF(Table5[[#This Row],[Tour Ending Date]]&lt;&gt;"", TEXT(Table5[[#This Row],[Tour Ending Date]], "dddd"), "")</f>
        <v/>
      </c>
      <c r="U46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68" s="37" t="str">
        <f>IF(Table5[[#This Row],[Tour Starting Date]]&lt;&gt;"", TEXT(Table5[[#This Row],[Tour Starting Date]], "mmmm"), "")</f>
        <v/>
      </c>
      <c r="W468" s="80" t="str" cm="1">
        <f t="array" ref="W468">IF(Q468&lt;&gt;"", INDEX(CI:CI, MATCH(1, (Q468&gt;=CG:CG)*(Q468&lt;=CH:CH), 0)), "")</f>
        <v/>
      </c>
      <c r="X468" s="39"/>
      <c r="Y468" s="74"/>
      <c r="Z468" s="74" t="str">
        <f>IF(OR(Table5[[#This Row],[Per Person Package Cost]]="", Table5[[#This Row],[No. of Pax]]=""), "", Table5[[#This Row],[Per Person Package Cost]] * Table5[[#This Row],[No. of Pax]])</f>
        <v/>
      </c>
      <c r="AA468" s="52"/>
      <c r="AB468" s="52"/>
      <c r="AC468" s="52"/>
      <c r="AD468" s="52"/>
      <c r="AE468" s="51" t="str">
        <f t="shared" si="53"/>
        <v/>
      </c>
      <c r="AF468" s="51" t="str">
        <f t="shared" si="54"/>
        <v/>
      </c>
      <c r="AG468" s="74" t="str">
        <f t="shared" si="55"/>
        <v/>
      </c>
      <c r="AH468" s="73" t="str">
        <f t="shared" ref="AH468:AH531" si="56">IF(AD468&lt;&gt;"", INDEX(CV:CV, MATCH(AD468, CZ:CZ, 0)), "")</f>
        <v/>
      </c>
      <c r="AI468" s="52"/>
      <c r="AJ468" s="56"/>
      <c r="AK468" s="59"/>
      <c r="AL468" s="60"/>
      <c r="AM468" s="54"/>
      <c r="AN468" s="14"/>
      <c r="AO468" s="15"/>
      <c r="AP468" s="91"/>
      <c r="AQ468" s="87"/>
      <c r="AR468" s="26"/>
      <c r="AS468" s="65"/>
      <c r="AT468" s="88"/>
      <c r="AU468" s="67"/>
      <c r="DA468" t="str" cm="1">
        <f t="array" ref="DA468">IF(U468&lt;&gt;"", TRANSPOSE(_xlfn._xlws.FILTER(CZ:CZ, CY:CY=U468, "")), "")</f>
        <v/>
      </c>
    </row>
    <row r="469" spans="2:105" ht="15" customHeight="1">
      <c r="B469" s="34">
        <v>465</v>
      </c>
      <c r="C469" s="36" t="s">
        <v>2334</v>
      </c>
      <c r="D469" s="76"/>
      <c r="E469" s="37" t="str">
        <f>IF(Table5[[#This Row],[Query Date]]&lt;&gt;"", TEXT(Table5[[#This Row],[Query Date]], "dddd"), "")</f>
        <v/>
      </c>
      <c r="F469" s="37" t="str">
        <f>IF(Table5[[#This Row],[Query Date]]&lt;&gt;"", TEXT(Table5[[#This Row],[Query Date]], "mmmm"), "")</f>
        <v/>
      </c>
      <c r="G469" s="28"/>
      <c r="H469" s="28"/>
      <c r="I469" s="28"/>
      <c r="J469" s="28"/>
      <c r="K469" s="28"/>
      <c r="L469" s="25"/>
      <c r="M469" s="25"/>
      <c r="N469" s="25"/>
      <c r="O469" s="130"/>
      <c r="P469" s="47"/>
      <c r="Q469" s="77"/>
      <c r="R469" s="77" t="str">
        <f>IF(Table5[[#This Row],[Tour Starting Date]]&lt;&gt;"", TEXT(Table5[[#This Row],[Tour Starting Date]], "dddd"), "")</f>
        <v/>
      </c>
      <c r="S469" s="77"/>
      <c r="T469" s="25" t="str">
        <f>IF(Table5[[#This Row],[Tour Ending Date]]&lt;&gt;"", TEXT(Table5[[#This Row],[Tour Ending Date]], "dddd"), "")</f>
        <v/>
      </c>
      <c r="U46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69" s="37" t="str">
        <f>IF(Table5[[#This Row],[Tour Starting Date]]&lt;&gt;"", TEXT(Table5[[#This Row],[Tour Starting Date]], "mmmm"), "")</f>
        <v/>
      </c>
      <c r="W469" s="80" t="str" cm="1">
        <f t="array" ref="W469">IF(Q469&lt;&gt;"", INDEX(CI:CI, MATCH(1, (Q469&gt;=CG:CG)*(Q469&lt;=CH:CH), 0)), "")</f>
        <v/>
      </c>
      <c r="X469" s="39"/>
      <c r="Y469" s="74"/>
      <c r="Z469" s="74" t="str">
        <f>IF(OR(Table5[[#This Row],[Per Person Package Cost]]="", Table5[[#This Row],[No. of Pax]]=""), "", Table5[[#This Row],[Per Person Package Cost]] * Table5[[#This Row],[No. of Pax]])</f>
        <v/>
      </c>
      <c r="AA469" s="52"/>
      <c r="AB469" s="52"/>
      <c r="AC469" s="52"/>
      <c r="AD469" s="52"/>
      <c r="AE469" s="51" t="str">
        <f t="shared" si="53"/>
        <v/>
      </c>
      <c r="AF469" s="51" t="str">
        <f t="shared" si="54"/>
        <v/>
      </c>
      <c r="AG469" s="74" t="str">
        <f t="shared" si="55"/>
        <v/>
      </c>
      <c r="AH469" s="73" t="str">
        <f t="shared" si="56"/>
        <v/>
      </c>
      <c r="AI469" s="52"/>
      <c r="AJ469" s="56"/>
      <c r="AK469" s="59"/>
      <c r="AL469" s="60"/>
      <c r="AM469" s="54"/>
      <c r="AN469" s="14"/>
      <c r="AO469" s="15"/>
      <c r="AP469" s="91"/>
      <c r="AQ469" s="87"/>
      <c r="AR469" s="26"/>
      <c r="AS469" s="65"/>
      <c r="AT469" s="88"/>
      <c r="AU469" s="67"/>
      <c r="DA469" t="str" cm="1">
        <f t="array" ref="DA469">IF(U469&lt;&gt;"", TRANSPOSE(_xlfn._xlws.FILTER(CZ:CZ, CY:CY=U469, "")), "")</f>
        <v/>
      </c>
    </row>
    <row r="470" spans="2:105" ht="15" customHeight="1">
      <c r="B470" s="35">
        <v>466</v>
      </c>
      <c r="C470" s="36" t="s">
        <v>2335</v>
      </c>
      <c r="D470" s="76"/>
      <c r="E470" s="37" t="str">
        <f>IF(Table5[[#This Row],[Query Date]]&lt;&gt;"", TEXT(Table5[[#This Row],[Query Date]], "dddd"), "")</f>
        <v/>
      </c>
      <c r="F470" s="37" t="str">
        <f>IF(Table5[[#This Row],[Query Date]]&lt;&gt;"", TEXT(Table5[[#This Row],[Query Date]], "mmmm"), "")</f>
        <v/>
      </c>
      <c r="G470" s="28"/>
      <c r="H470" s="28"/>
      <c r="I470" s="28"/>
      <c r="J470" s="28"/>
      <c r="K470" s="28"/>
      <c r="L470" s="25"/>
      <c r="M470" s="25"/>
      <c r="N470" s="25"/>
      <c r="O470" s="130"/>
      <c r="P470" s="47"/>
      <c r="Q470" s="77"/>
      <c r="R470" s="77" t="str">
        <f>IF(Table5[[#This Row],[Tour Starting Date]]&lt;&gt;"", TEXT(Table5[[#This Row],[Tour Starting Date]], "dddd"), "")</f>
        <v/>
      </c>
      <c r="S470" s="77"/>
      <c r="T470" s="25" t="str">
        <f>IF(Table5[[#This Row],[Tour Ending Date]]&lt;&gt;"", TEXT(Table5[[#This Row],[Tour Ending Date]], "dddd"), "")</f>
        <v/>
      </c>
      <c r="U47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70" s="37" t="str">
        <f>IF(Table5[[#This Row],[Tour Starting Date]]&lt;&gt;"", TEXT(Table5[[#This Row],[Tour Starting Date]], "mmmm"), "")</f>
        <v/>
      </c>
      <c r="W470" s="80" t="str" cm="1">
        <f t="array" ref="W470">IF(Q470&lt;&gt;"", INDEX(CI:CI, MATCH(1, (Q470&gt;=CG:CG)*(Q470&lt;=CH:CH), 0)), "")</f>
        <v/>
      </c>
      <c r="X470" s="39"/>
      <c r="Y470" s="74"/>
      <c r="Z470" s="74" t="str">
        <f>IF(OR(Table5[[#This Row],[Per Person Package Cost]]="", Table5[[#This Row],[No. of Pax]]=""), "", Table5[[#This Row],[Per Person Package Cost]] * Table5[[#This Row],[No. of Pax]])</f>
        <v/>
      </c>
      <c r="AA470" s="52"/>
      <c r="AB470" s="52"/>
      <c r="AC470" s="52"/>
      <c r="AD470" s="52"/>
      <c r="AE470" s="51" t="str">
        <f t="shared" si="53"/>
        <v/>
      </c>
      <c r="AF470" s="51" t="str">
        <f t="shared" si="54"/>
        <v/>
      </c>
      <c r="AG470" s="74" t="str">
        <f t="shared" si="55"/>
        <v/>
      </c>
      <c r="AH470" s="73" t="str">
        <f t="shared" si="56"/>
        <v/>
      </c>
      <c r="AI470" s="52"/>
      <c r="AJ470" s="56"/>
      <c r="AK470" s="59"/>
      <c r="AL470" s="60"/>
      <c r="AM470" s="54"/>
      <c r="AN470" s="14"/>
      <c r="AO470" s="15"/>
      <c r="AP470" s="91"/>
      <c r="AQ470" s="87"/>
      <c r="AR470" s="26"/>
      <c r="AS470" s="65"/>
      <c r="AT470" s="88"/>
      <c r="AU470" s="67"/>
      <c r="DA470" t="str" cm="1">
        <f t="array" ref="DA470">IF(U470&lt;&gt;"", TRANSPOSE(_xlfn._xlws.FILTER(CZ:CZ, CY:CY=U470, "")), "")</f>
        <v/>
      </c>
    </row>
    <row r="471" spans="2:105" ht="15" customHeight="1">
      <c r="B471" s="34">
        <v>467</v>
      </c>
      <c r="C471" s="36" t="s">
        <v>2336</v>
      </c>
      <c r="D471" s="76"/>
      <c r="E471" s="37" t="str">
        <f>IF(Table5[[#This Row],[Query Date]]&lt;&gt;"", TEXT(Table5[[#This Row],[Query Date]], "dddd"), "")</f>
        <v/>
      </c>
      <c r="F471" s="37" t="str">
        <f>IF(Table5[[#This Row],[Query Date]]&lt;&gt;"", TEXT(Table5[[#This Row],[Query Date]], "mmmm"), "")</f>
        <v/>
      </c>
      <c r="G471" s="28"/>
      <c r="H471" s="28"/>
      <c r="I471" s="28"/>
      <c r="J471" s="28"/>
      <c r="K471" s="28"/>
      <c r="L471" s="25"/>
      <c r="M471" s="25"/>
      <c r="N471" s="25"/>
      <c r="O471" s="130"/>
      <c r="P471" s="47"/>
      <c r="Q471" s="77"/>
      <c r="R471" s="77" t="str">
        <f>IF(Table5[[#This Row],[Tour Starting Date]]&lt;&gt;"", TEXT(Table5[[#This Row],[Tour Starting Date]], "dddd"), "")</f>
        <v/>
      </c>
      <c r="S471" s="77"/>
      <c r="T471" s="25" t="str">
        <f>IF(Table5[[#This Row],[Tour Ending Date]]&lt;&gt;"", TEXT(Table5[[#This Row],[Tour Ending Date]], "dddd"), "")</f>
        <v/>
      </c>
      <c r="U47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71" s="37" t="str">
        <f>IF(Table5[[#This Row],[Tour Starting Date]]&lt;&gt;"", TEXT(Table5[[#This Row],[Tour Starting Date]], "mmmm"), "")</f>
        <v/>
      </c>
      <c r="W471" s="80" t="str" cm="1">
        <f t="array" ref="W471">IF(Q471&lt;&gt;"", INDEX(CI:CI, MATCH(1, (Q471&gt;=CG:CG)*(Q471&lt;=CH:CH), 0)), "")</f>
        <v/>
      </c>
      <c r="X471" s="39"/>
      <c r="Y471" s="74"/>
      <c r="Z471" s="74" t="str">
        <f>IF(OR(Table5[[#This Row],[Per Person Package Cost]]="", Table5[[#This Row],[No. of Pax]]=""), "", Table5[[#This Row],[Per Person Package Cost]] * Table5[[#This Row],[No. of Pax]])</f>
        <v/>
      </c>
      <c r="AA471" s="52"/>
      <c r="AB471" s="52"/>
      <c r="AC471" s="52"/>
      <c r="AD471" s="52"/>
      <c r="AE471" s="51" t="str">
        <f t="shared" si="53"/>
        <v/>
      </c>
      <c r="AF471" s="51" t="str">
        <f t="shared" si="54"/>
        <v/>
      </c>
      <c r="AG471" s="74" t="str">
        <f t="shared" si="55"/>
        <v/>
      </c>
      <c r="AH471" s="73" t="str">
        <f t="shared" si="56"/>
        <v/>
      </c>
      <c r="AI471" s="52"/>
      <c r="AJ471" s="56"/>
      <c r="AK471" s="59"/>
      <c r="AL471" s="60"/>
      <c r="AM471" s="54"/>
      <c r="AN471" s="14"/>
      <c r="AO471" s="15"/>
      <c r="AP471" s="91"/>
      <c r="AQ471" s="87"/>
      <c r="AR471" s="26"/>
      <c r="AS471" s="65"/>
      <c r="AT471" s="88"/>
      <c r="AU471" s="67"/>
      <c r="DA471" t="str" cm="1">
        <f t="array" ref="DA471">IF(U471&lt;&gt;"", TRANSPOSE(_xlfn._xlws.FILTER(CZ:CZ, CY:CY=U471, "")), "")</f>
        <v/>
      </c>
    </row>
    <row r="472" spans="2:105" ht="15" customHeight="1">
      <c r="B472" s="35">
        <v>468</v>
      </c>
      <c r="C472" s="36" t="s">
        <v>2337</v>
      </c>
      <c r="D472" s="76"/>
      <c r="E472" s="37" t="str">
        <f>IF(Table5[[#This Row],[Query Date]]&lt;&gt;"", TEXT(Table5[[#This Row],[Query Date]], "dddd"), "")</f>
        <v/>
      </c>
      <c r="F472" s="37" t="str">
        <f>IF(Table5[[#This Row],[Query Date]]&lt;&gt;"", TEXT(Table5[[#This Row],[Query Date]], "mmmm"), "")</f>
        <v/>
      </c>
      <c r="G472" s="28"/>
      <c r="H472" s="28"/>
      <c r="I472" s="28"/>
      <c r="J472" s="28"/>
      <c r="K472" s="28"/>
      <c r="L472" s="25"/>
      <c r="M472" s="25"/>
      <c r="N472" s="25"/>
      <c r="O472" s="130"/>
      <c r="P472" s="47"/>
      <c r="Q472" s="77"/>
      <c r="R472" s="77" t="str">
        <f>IF(Table5[[#This Row],[Tour Starting Date]]&lt;&gt;"", TEXT(Table5[[#This Row],[Tour Starting Date]], "dddd"), "")</f>
        <v/>
      </c>
      <c r="S472" s="77"/>
      <c r="T472" s="25" t="str">
        <f>IF(Table5[[#This Row],[Tour Ending Date]]&lt;&gt;"", TEXT(Table5[[#This Row],[Tour Ending Date]], "dddd"), "")</f>
        <v/>
      </c>
      <c r="U47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72" s="37" t="str">
        <f>IF(Table5[[#This Row],[Tour Starting Date]]&lt;&gt;"", TEXT(Table5[[#This Row],[Tour Starting Date]], "mmmm"), "")</f>
        <v/>
      </c>
      <c r="W472" s="80" t="str" cm="1">
        <f t="array" ref="W472">IF(Q472&lt;&gt;"", INDEX(CI:CI, MATCH(1, (Q472&gt;=CG:CG)*(Q472&lt;=CH:CH), 0)), "")</f>
        <v/>
      </c>
      <c r="X472" s="39"/>
      <c r="Y472" s="74"/>
      <c r="Z472" s="74" t="str">
        <f>IF(OR(Table5[[#This Row],[Per Person Package Cost]]="", Table5[[#This Row],[No. of Pax]]=""), "", Table5[[#This Row],[Per Person Package Cost]] * Table5[[#This Row],[No. of Pax]])</f>
        <v/>
      </c>
      <c r="AA472" s="52"/>
      <c r="AB472" s="52"/>
      <c r="AC472" s="52"/>
      <c r="AD472" s="52"/>
      <c r="AE472" s="51" t="str">
        <f t="shared" si="53"/>
        <v/>
      </c>
      <c r="AF472" s="51" t="str">
        <f t="shared" si="54"/>
        <v/>
      </c>
      <c r="AG472" s="74" t="str">
        <f t="shared" si="55"/>
        <v/>
      </c>
      <c r="AH472" s="73" t="str">
        <f t="shared" si="56"/>
        <v/>
      </c>
      <c r="AI472" s="52"/>
      <c r="AJ472" s="56"/>
      <c r="AK472" s="59"/>
      <c r="AL472" s="60"/>
      <c r="AM472" s="54"/>
      <c r="AN472" s="14"/>
      <c r="AO472" s="15"/>
      <c r="AP472" s="91"/>
      <c r="AQ472" s="87"/>
      <c r="AR472" s="26"/>
      <c r="AS472" s="65"/>
      <c r="AT472" s="88"/>
      <c r="AU472" s="67"/>
      <c r="DA472" t="str" cm="1">
        <f t="array" ref="DA472">IF(U472&lt;&gt;"", TRANSPOSE(_xlfn._xlws.FILTER(CZ:CZ, CY:CY=U472, "")), "")</f>
        <v/>
      </c>
    </row>
    <row r="473" spans="2:105" ht="15" customHeight="1">
      <c r="B473" s="34">
        <v>469</v>
      </c>
      <c r="C473" s="36" t="s">
        <v>2338</v>
      </c>
      <c r="D473" s="76"/>
      <c r="E473" s="37" t="str">
        <f>IF(Table5[[#This Row],[Query Date]]&lt;&gt;"", TEXT(Table5[[#This Row],[Query Date]], "dddd"), "")</f>
        <v/>
      </c>
      <c r="F473" s="37" t="str">
        <f>IF(Table5[[#This Row],[Query Date]]&lt;&gt;"", TEXT(Table5[[#This Row],[Query Date]], "mmmm"), "")</f>
        <v/>
      </c>
      <c r="G473" s="28"/>
      <c r="H473" s="28"/>
      <c r="I473" s="28"/>
      <c r="J473" s="28"/>
      <c r="K473" s="28"/>
      <c r="L473" s="25"/>
      <c r="M473" s="25"/>
      <c r="N473" s="25"/>
      <c r="O473" s="130"/>
      <c r="P473" s="47"/>
      <c r="Q473" s="77"/>
      <c r="R473" s="77" t="str">
        <f>IF(Table5[[#This Row],[Tour Starting Date]]&lt;&gt;"", TEXT(Table5[[#This Row],[Tour Starting Date]], "dddd"), "")</f>
        <v/>
      </c>
      <c r="S473" s="77"/>
      <c r="T473" s="25" t="str">
        <f>IF(Table5[[#This Row],[Tour Ending Date]]&lt;&gt;"", TEXT(Table5[[#This Row],[Tour Ending Date]], "dddd"), "")</f>
        <v/>
      </c>
      <c r="U47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73" s="37" t="str">
        <f>IF(Table5[[#This Row],[Tour Starting Date]]&lt;&gt;"", TEXT(Table5[[#This Row],[Tour Starting Date]], "mmmm"), "")</f>
        <v/>
      </c>
      <c r="W473" s="80" t="str" cm="1">
        <f t="array" ref="W473">IF(Q473&lt;&gt;"", INDEX(CI:CI, MATCH(1, (Q473&gt;=CG:CG)*(Q473&lt;=CH:CH), 0)), "")</f>
        <v/>
      </c>
      <c r="X473" s="39"/>
      <c r="Y473" s="74"/>
      <c r="Z473" s="74" t="str">
        <f>IF(OR(Table5[[#This Row],[Per Person Package Cost]]="", Table5[[#This Row],[No. of Pax]]=""), "", Table5[[#This Row],[Per Person Package Cost]] * Table5[[#This Row],[No. of Pax]])</f>
        <v/>
      </c>
      <c r="AA473" s="52"/>
      <c r="AB473" s="52"/>
      <c r="AC473" s="52"/>
      <c r="AD473" s="52"/>
      <c r="AE473" s="51" t="str">
        <f t="shared" si="53"/>
        <v/>
      </c>
      <c r="AF473" s="51" t="str">
        <f t="shared" si="54"/>
        <v/>
      </c>
      <c r="AG473" s="74" t="str">
        <f t="shared" si="55"/>
        <v/>
      </c>
      <c r="AH473" s="73" t="str">
        <f t="shared" si="56"/>
        <v/>
      </c>
      <c r="AI473" s="52"/>
      <c r="AJ473" s="56"/>
      <c r="AK473" s="59"/>
      <c r="AL473" s="60"/>
      <c r="AM473" s="54"/>
      <c r="AN473" s="14"/>
      <c r="AO473" s="15"/>
      <c r="AP473" s="91"/>
      <c r="AQ473" s="87"/>
      <c r="AR473" s="26"/>
      <c r="AS473" s="65"/>
      <c r="AT473" s="88"/>
      <c r="AU473" s="67"/>
      <c r="DA473" t="str" cm="1">
        <f t="array" ref="DA473">IF(U473&lt;&gt;"", TRANSPOSE(_xlfn._xlws.FILTER(CZ:CZ, CY:CY=U473, "")), "")</f>
        <v/>
      </c>
    </row>
    <row r="474" spans="2:105" ht="15" customHeight="1">
      <c r="B474" s="35">
        <v>470</v>
      </c>
      <c r="C474" s="36" t="s">
        <v>2339</v>
      </c>
      <c r="D474" s="76"/>
      <c r="E474" s="37" t="str">
        <f>IF(Table5[[#This Row],[Query Date]]&lt;&gt;"", TEXT(Table5[[#This Row],[Query Date]], "dddd"), "")</f>
        <v/>
      </c>
      <c r="F474" s="37" t="str">
        <f>IF(Table5[[#This Row],[Query Date]]&lt;&gt;"", TEXT(Table5[[#This Row],[Query Date]], "mmmm"), "")</f>
        <v/>
      </c>
      <c r="G474" s="28"/>
      <c r="H474" s="28"/>
      <c r="I474" s="28"/>
      <c r="J474" s="28"/>
      <c r="K474" s="28"/>
      <c r="L474" s="25"/>
      <c r="M474" s="25"/>
      <c r="N474" s="25"/>
      <c r="O474" s="130"/>
      <c r="P474" s="47"/>
      <c r="Q474" s="77"/>
      <c r="R474" s="77" t="str">
        <f>IF(Table5[[#This Row],[Tour Starting Date]]&lt;&gt;"", TEXT(Table5[[#This Row],[Tour Starting Date]], "dddd"), "")</f>
        <v/>
      </c>
      <c r="S474" s="77"/>
      <c r="T474" s="25" t="str">
        <f>IF(Table5[[#This Row],[Tour Ending Date]]&lt;&gt;"", TEXT(Table5[[#This Row],[Tour Ending Date]], "dddd"), "")</f>
        <v/>
      </c>
      <c r="U47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74" s="37" t="str">
        <f>IF(Table5[[#This Row],[Tour Starting Date]]&lt;&gt;"", TEXT(Table5[[#This Row],[Tour Starting Date]], "mmmm"), "")</f>
        <v/>
      </c>
      <c r="W474" s="80" t="str" cm="1">
        <f t="array" ref="W474">IF(Q474&lt;&gt;"", INDEX(CI:CI, MATCH(1, (Q474&gt;=CG:CG)*(Q474&lt;=CH:CH), 0)), "")</f>
        <v/>
      </c>
      <c r="X474" s="39"/>
      <c r="Y474" s="74"/>
      <c r="Z474" s="74" t="str">
        <f>IF(OR(Table5[[#This Row],[Per Person Package Cost]]="", Table5[[#This Row],[No. of Pax]]=""), "", Table5[[#This Row],[Per Person Package Cost]] * Table5[[#This Row],[No. of Pax]])</f>
        <v/>
      </c>
      <c r="AA474" s="52"/>
      <c r="AB474" s="52"/>
      <c r="AC474" s="52"/>
      <c r="AD474" s="52"/>
      <c r="AE474" s="51" t="str">
        <f t="shared" si="53"/>
        <v/>
      </c>
      <c r="AF474" s="51" t="str">
        <f t="shared" si="54"/>
        <v/>
      </c>
      <c r="AG474" s="74" t="str">
        <f t="shared" si="55"/>
        <v/>
      </c>
      <c r="AH474" s="73" t="str">
        <f t="shared" si="56"/>
        <v/>
      </c>
      <c r="AI474" s="52"/>
      <c r="AJ474" s="56"/>
      <c r="AK474" s="59"/>
      <c r="AL474" s="60"/>
      <c r="AM474" s="54"/>
      <c r="AN474" s="14"/>
      <c r="AO474" s="15"/>
      <c r="AP474" s="91"/>
      <c r="AQ474" s="87"/>
      <c r="AR474" s="26"/>
      <c r="AS474" s="65"/>
      <c r="AT474" s="88"/>
      <c r="AU474" s="67"/>
      <c r="DA474" t="str" cm="1">
        <f t="array" ref="DA474">IF(U474&lt;&gt;"", TRANSPOSE(_xlfn._xlws.FILTER(CZ:CZ, CY:CY=U474, "")), "")</f>
        <v/>
      </c>
    </row>
    <row r="475" spans="2:105" ht="15" customHeight="1">
      <c r="B475" s="34">
        <v>471</v>
      </c>
      <c r="C475" s="36" t="s">
        <v>2340</v>
      </c>
      <c r="D475" s="76"/>
      <c r="E475" s="37" t="str">
        <f>IF(Table5[[#This Row],[Query Date]]&lt;&gt;"", TEXT(Table5[[#This Row],[Query Date]], "dddd"), "")</f>
        <v/>
      </c>
      <c r="F475" s="37" t="str">
        <f>IF(Table5[[#This Row],[Query Date]]&lt;&gt;"", TEXT(Table5[[#This Row],[Query Date]], "mmmm"), "")</f>
        <v/>
      </c>
      <c r="G475" s="28"/>
      <c r="H475" s="28"/>
      <c r="I475" s="28"/>
      <c r="J475" s="28"/>
      <c r="K475" s="28"/>
      <c r="L475" s="25"/>
      <c r="M475" s="25"/>
      <c r="N475" s="25"/>
      <c r="O475" s="130"/>
      <c r="P475" s="47"/>
      <c r="Q475" s="77"/>
      <c r="R475" s="77" t="str">
        <f>IF(Table5[[#This Row],[Tour Starting Date]]&lt;&gt;"", TEXT(Table5[[#This Row],[Tour Starting Date]], "dddd"), "")</f>
        <v/>
      </c>
      <c r="S475" s="77"/>
      <c r="T475" s="25" t="str">
        <f>IF(Table5[[#This Row],[Tour Ending Date]]&lt;&gt;"", TEXT(Table5[[#This Row],[Tour Ending Date]], "dddd"), "")</f>
        <v/>
      </c>
      <c r="U47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75" s="37" t="str">
        <f>IF(Table5[[#This Row],[Tour Starting Date]]&lt;&gt;"", TEXT(Table5[[#This Row],[Tour Starting Date]], "mmmm"), "")</f>
        <v/>
      </c>
      <c r="W475" s="80" t="str" cm="1">
        <f t="array" ref="W475">IF(Q475&lt;&gt;"", INDEX(CI:CI, MATCH(1, (Q475&gt;=CG:CG)*(Q475&lt;=CH:CH), 0)), "")</f>
        <v/>
      </c>
      <c r="X475" s="39"/>
      <c r="Y475" s="74"/>
      <c r="Z475" s="74" t="str">
        <f>IF(OR(Table5[[#This Row],[Per Person Package Cost]]="", Table5[[#This Row],[No. of Pax]]=""), "", Table5[[#This Row],[Per Person Package Cost]] * Table5[[#This Row],[No. of Pax]])</f>
        <v/>
      </c>
      <c r="AA475" s="52"/>
      <c r="AB475" s="52"/>
      <c r="AC475" s="52"/>
      <c r="AD475" s="52"/>
      <c r="AE475" s="51" t="str">
        <f t="shared" si="53"/>
        <v/>
      </c>
      <c r="AF475" s="51" t="str">
        <f t="shared" si="54"/>
        <v/>
      </c>
      <c r="AG475" s="74" t="str">
        <f t="shared" si="55"/>
        <v/>
      </c>
      <c r="AH475" s="73" t="str">
        <f t="shared" si="56"/>
        <v/>
      </c>
      <c r="AI475" s="52"/>
      <c r="AJ475" s="56"/>
      <c r="AK475" s="59"/>
      <c r="AL475" s="60"/>
      <c r="AM475" s="54"/>
      <c r="AN475" s="14"/>
      <c r="AO475" s="15"/>
      <c r="AP475" s="91"/>
      <c r="AQ475" s="87"/>
      <c r="AR475" s="26"/>
      <c r="AS475" s="65"/>
      <c r="AT475" s="88"/>
      <c r="AU475" s="67"/>
      <c r="DA475" t="str" cm="1">
        <f t="array" ref="DA475">IF(U475&lt;&gt;"", TRANSPOSE(_xlfn._xlws.FILTER(CZ:CZ, CY:CY=U475, "")), "")</f>
        <v/>
      </c>
    </row>
    <row r="476" spans="2:105" ht="15" customHeight="1">
      <c r="B476" s="35">
        <v>472</v>
      </c>
      <c r="C476" s="36" t="s">
        <v>2341</v>
      </c>
      <c r="D476" s="76"/>
      <c r="E476" s="37" t="str">
        <f>IF(Table5[[#This Row],[Query Date]]&lt;&gt;"", TEXT(Table5[[#This Row],[Query Date]], "dddd"), "")</f>
        <v/>
      </c>
      <c r="F476" s="37" t="str">
        <f>IF(Table5[[#This Row],[Query Date]]&lt;&gt;"", TEXT(Table5[[#This Row],[Query Date]], "mmmm"), "")</f>
        <v/>
      </c>
      <c r="G476" s="28"/>
      <c r="H476" s="28"/>
      <c r="I476" s="28"/>
      <c r="J476" s="28"/>
      <c r="K476" s="28"/>
      <c r="L476" s="25"/>
      <c r="M476" s="25"/>
      <c r="N476" s="25"/>
      <c r="O476" s="130"/>
      <c r="P476" s="106"/>
      <c r="Q476" s="77"/>
      <c r="R476" s="77" t="str">
        <f>IF(Table5[[#This Row],[Tour Starting Date]]&lt;&gt;"", TEXT(Table5[[#This Row],[Tour Starting Date]], "dddd"), "")</f>
        <v/>
      </c>
      <c r="S476" s="77"/>
      <c r="T476" s="25" t="str">
        <f>IF(Table5[[#This Row],[Tour Ending Date]]&lt;&gt;"", TEXT(Table5[[#This Row],[Tour Ending Date]], "dddd"), "")</f>
        <v/>
      </c>
      <c r="U47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76" s="37" t="str">
        <f>IF(Table5[[#This Row],[Tour Starting Date]]&lt;&gt;"", TEXT(Table5[[#This Row],[Tour Starting Date]], "mmmm"), "")</f>
        <v/>
      </c>
      <c r="W476" s="80" t="str" cm="1">
        <f t="array" ref="W476">IF(Q476&lt;&gt;"", INDEX(CI:CI, MATCH(1, (Q476&gt;=CG:CG)*(Q476&lt;=CH:CH), 0)), "")</f>
        <v/>
      </c>
      <c r="X476" s="39"/>
      <c r="Y476" s="74"/>
      <c r="Z476" s="74" t="str">
        <f>IF(OR(Table5[[#This Row],[Per Person Package Cost]]="", Table5[[#This Row],[No. of Pax]]=""), "", Table5[[#This Row],[Per Person Package Cost]] * Table5[[#This Row],[No. of Pax]])</f>
        <v/>
      </c>
      <c r="AA476" s="52"/>
      <c r="AB476" s="52"/>
      <c r="AC476" s="52"/>
      <c r="AD476" s="52"/>
      <c r="AE476" s="51" t="str">
        <f t="shared" si="53"/>
        <v/>
      </c>
      <c r="AF476" s="51" t="str">
        <f t="shared" si="54"/>
        <v/>
      </c>
      <c r="AG476" s="74" t="str">
        <f t="shared" si="55"/>
        <v/>
      </c>
      <c r="AH476" s="73" t="str">
        <f t="shared" si="56"/>
        <v/>
      </c>
      <c r="AI476" s="52"/>
      <c r="AJ476" s="56"/>
      <c r="AK476" s="59"/>
      <c r="AL476" s="60"/>
      <c r="AM476" s="54"/>
      <c r="AN476" s="14"/>
      <c r="AO476" s="15"/>
      <c r="AP476" s="91"/>
      <c r="AQ476" s="87"/>
      <c r="AR476" s="26"/>
      <c r="AS476" s="65"/>
      <c r="AT476" s="88"/>
      <c r="AU476" s="67"/>
      <c r="DA476" t="str" cm="1">
        <f t="array" ref="DA476">IF(U476&lt;&gt;"", TRANSPOSE(_xlfn._xlws.FILTER(CZ:CZ, CY:CY=U476, "")), "")</f>
        <v/>
      </c>
    </row>
    <row r="477" spans="2:105" ht="15" customHeight="1">
      <c r="B477" s="34">
        <v>473</v>
      </c>
      <c r="C477" s="36" t="s">
        <v>2342</v>
      </c>
      <c r="D477" s="76"/>
      <c r="E477" s="37" t="str">
        <f>IF(Table5[[#This Row],[Query Date]]&lt;&gt;"", TEXT(Table5[[#This Row],[Query Date]], "dddd"), "")</f>
        <v/>
      </c>
      <c r="F477" s="37" t="str">
        <f>IF(Table5[[#This Row],[Query Date]]&lt;&gt;"", TEXT(Table5[[#This Row],[Query Date]], "mmmm"), "")</f>
        <v/>
      </c>
      <c r="G477" s="28"/>
      <c r="H477" s="28"/>
      <c r="I477" s="28"/>
      <c r="J477" s="28"/>
      <c r="K477" s="28"/>
      <c r="L477" s="25"/>
      <c r="M477" s="25"/>
      <c r="N477" s="25"/>
      <c r="O477" s="130"/>
      <c r="P477" s="47"/>
      <c r="Q477" s="77"/>
      <c r="R477" s="77" t="str">
        <f>IF(Table5[[#This Row],[Tour Starting Date]]&lt;&gt;"", TEXT(Table5[[#This Row],[Tour Starting Date]], "dddd"), "")</f>
        <v/>
      </c>
      <c r="S477" s="77"/>
      <c r="T477" s="25" t="str">
        <f>IF(Table5[[#This Row],[Tour Ending Date]]&lt;&gt;"", TEXT(Table5[[#This Row],[Tour Ending Date]], "dddd"), "")</f>
        <v/>
      </c>
      <c r="U47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77" s="37" t="str">
        <f>IF(Table5[[#This Row],[Tour Starting Date]]&lt;&gt;"", TEXT(Table5[[#This Row],[Tour Starting Date]], "mmmm"), "")</f>
        <v/>
      </c>
      <c r="W477" s="80" t="str" cm="1">
        <f t="array" ref="W477">IF(Q477&lt;&gt;"", INDEX(CI:CI, MATCH(1, (Q477&gt;=CG:CG)*(Q477&lt;=CH:CH), 0)), "")</f>
        <v/>
      </c>
      <c r="X477" s="39"/>
      <c r="Y477" s="74"/>
      <c r="Z477" s="74" t="str">
        <f>IF(OR(Table5[[#This Row],[Per Person Package Cost]]="", Table5[[#This Row],[No. of Pax]]=""), "", Table5[[#This Row],[Per Person Package Cost]] * Table5[[#This Row],[No. of Pax]])</f>
        <v/>
      </c>
      <c r="AA477" s="52"/>
      <c r="AB477" s="52"/>
      <c r="AC477" s="52"/>
      <c r="AD477" s="52"/>
      <c r="AE477" s="51" t="str">
        <f t="shared" si="53"/>
        <v/>
      </c>
      <c r="AF477" s="51" t="str">
        <f t="shared" si="54"/>
        <v/>
      </c>
      <c r="AG477" s="74" t="str">
        <f t="shared" si="55"/>
        <v/>
      </c>
      <c r="AH477" s="73" t="str">
        <f t="shared" si="56"/>
        <v/>
      </c>
      <c r="AI477" s="52"/>
      <c r="AJ477" s="56"/>
      <c r="AK477" s="59"/>
      <c r="AL477" s="60"/>
      <c r="AM477" s="54"/>
      <c r="AN477" s="14"/>
      <c r="AO477" s="15"/>
      <c r="AP477" s="91"/>
      <c r="AQ477" s="87"/>
      <c r="AR477" s="26"/>
      <c r="AS477" s="65"/>
      <c r="AT477" s="88"/>
      <c r="AU477" s="67"/>
      <c r="DA477" t="str" cm="1">
        <f t="array" ref="DA477">IF(U477&lt;&gt;"", TRANSPOSE(_xlfn._xlws.FILTER(CZ:CZ, CY:CY=U477, "")), "")</f>
        <v/>
      </c>
    </row>
    <row r="478" spans="2:105" ht="15" customHeight="1">
      <c r="B478" s="35">
        <v>474</v>
      </c>
      <c r="C478" s="36" t="s">
        <v>2343</v>
      </c>
      <c r="D478" s="76"/>
      <c r="E478" s="37" t="str">
        <f>IF(Table5[[#This Row],[Query Date]]&lt;&gt;"", TEXT(Table5[[#This Row],[Query Date]], "dddd"), "")</f>
        <v/>
      </c>
      <c r="F478" s="37" t="str">
        <f>IF(Table5[[#This Row],[Query Date]]&lt;&gt;"", TEXT(Table5[[#This Row],[Query Date]], "mmmm"), "")</f>
        <v/>
      </c>
      <c r="G478" s="28"/>
      <c r="H478" s="28"/>
      <c r="I478" s="28"/>
      <c r="J478" s="28"/>
      <c r="K478" s="28"/>
      <c r="L478" s="25"/>
      <c r="M478" s="25"/>
      <c r="N478" s="25"/>
      <c r="O478" s="130"/>
      <c r="P478" s="47"/>
      <c r="Q478" s="77"/>
      <c r="R478" s="77" t="str">
        <f>IF(Table5[[#This Row],[Tour Starting Date]]&lt;&gt;"", TEXT(Table5[[#This Row],[Tour Starting Date]], "dddd"), "")</f>
        <v/>
      </c>
      <c r="S478" s="77"/>
      <c r="T478" s="25" t="str">
        <f>IF(Table5[[#This Row],[Tour Ending Date]]&lt;&gt;"", TEXT(Table5[[#This Row],[Tour Ending Date]], "dddd"), "")</f>
        <v/>
      </c>
      <c r="U47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78" s="37" t="str">
        <f>IF(Table5[[#This Row],[Tour Starting Date]]&lt;&gt;"", TEXT(Table5[[#This Row],[Tour Starting Date]], "mmmm"), "")</f>
        <v/>
      </c>
      <c r="W478" s="80" t="str" cm="1">
        <f t="array" ref="W478">IF(Q478&lt;&gt;"", INDEX(CI:CI, MATCH(1, (Q478&gt;=CG:CG)*(Q478&lt;=CH:CH), 0)), "")</f>
        <v/>
      </c>
      <c r="X478" s="39"/>
      <c r="Y478" s="74"/>
      <c r="Z478" s="74" t="str">
        <f>IF(OR(Table5[[#This Row],[Per Person Package Cost]]="", Table5[[#This Row],[No. of Pax]]=""), "", Table5[[#This Row],[Per Person Package Cost]] * Table5[[#This Row],[No. of Pax]])</f>
        <v/>
      </c>
      <c r="AA478" s="52"/>
      <c r="AB478" s="52"/>
      <c r="AC478" s="52"/>
      <c r="AD478" s="52"/>
      <c r="AE478" s="51" t="str">
        <f t="shared" si="53"/>
        <v/>
      </c>
      <c r="AF478" s="51" t="str">
        <f t="shared" si="54"/>
        <v/>
      </c>
      <c r="AG478" s="74" t="str">
        <f t="shared" si="55"/>
        <v/>
      </c>
      <c r="AH478" s="73" t="str">
        <f t="shared" si="56"/>
        <v/>
      </c>
      <c r="AI478" s="52"/>
      <c r="AJ478" s="56"/>
      <c r="AK478" s="59"/>
      <c r="AL478" s="60"/>
      <c r="AM478" s="54"/>
      <c r="AN478" s="14"/>
      <c r="AO478" s="15"/>
      <c r="AP478" s="91"/>
      <c r="AQ478" s="87"/>
      <c r="AR478" s="26"/>
      <c r="AS478" s="65"/>
      <c r="AT478" s="88"/>
      <c r="AU478" s="67"/>
      <c r="DA478" t="str" cm="1">
        <f t="array" ref="DA478">IF(U478&lt;&gt;"", TRANSPOSE(_xlfn._xlws.FILTER(CZ:CZ, CY:CY=U478, "")), "")</f>
        <v/>
      </c>
    </row>
    <row r="479" spans="2:105" ht="15" customHeight="1">
      <c r="B479" s="34">
        <v>475</v>
      </c>
      <c r="C479" s="36" t="s">
        <v>2344</v>
      </c>
      <c r="D479" s="76"/>
      <c r="E479" s="37" t="str">
        <f>IF(Table5[[#This Row],[Query Date]]&lt;&gt;"", TEXT(Table5[[#This Row],[Query Date]], "dddd"), "")</f>
        <v/>
      </c>
      <c r="F479" s="37" t="str">
        <f>IF(Table5[[#This Row],[Query Date]]&lt;&gt;"", TEXT(Table5[[#This Row],[Query Date]], "mmmm"), "")</f>
        <v/>
      </c>
      <c r="G479" s="28"/>
      <c r="H479" s="28"/>
      <c r="I479" s="28"/>
      <c r="J479" s="28"/>
      <c r="K479" s="28"/>
      <c r="L479" s="25"/>
      <c r="M479" s="25"/>
      <c r="N479" s="25"/>
      <c r="O479" s="130"/>
      <c r="P479" s="47"/>
      <c r="Q479" s="77"/>
      <c r="R479" s="77" t="str">
        <f>IF(Table5[[#This Row],[Tour Starting Date]]&lt;&gt;"", TEXT(Table5[[#This Row],[Tour Starting Date]], "dddd"), "")</f>
        <v/>
      </c>
      <c r="S479" s="77"/>
      <c r="T479" s="25" t="str">
        <f>IF(Table5[[#This Row],[Tour Ending Date]]&lt;&gt;"", TEXT(Table5[[#This Row],[Tour Ending Date]], "dddd"), "")</f>
        <v/>
      </c>
      <c r="U47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79" s="37" t="str">
        <f>IF(Table5[[#This Row],[Tour Starting Date]]&lt;&gt;"", TEXT(Table5[[#This Row],[Tour Starting Date]], "mmmm"), "")</f>
        <v/>
      </c>
      <c r="W479" s="80" t="str" cm="1">
        <f t="array" ref="W479">IF(Q479&lt;&gt;"", INDEX(CI:CI, MATCH(1, (Q479&gt;=CG:CG)*(Q479&lt;=CH:CH), 0)), "")</f>
        <v/>
      </c>
      <c r="X479" s="39"/>
      <c r="Y479" s="74"/>
      <c r="Z479" s="74" t="str">
        <f>IF(OR(Table5[[#This Row],[Per Person Package Cost]]="", Table5[[#This Row],[No. of Pax]]=""), "", Table5[[#This Row],[Per Person Package Cost]] * Table5[[#This Row],[No. of Pax]])</f>
        <v/>
      </c>
      <c r="AA479" s="52"/>
      <c r="AB479" s="52"/>
      <c r="AC479" s="52"/>
      <c r="AD479" s="52"/>
      <c r="AE479" s="51" t="str">
        <f t="shared" si="53"/>
        <v/>
      </c>
      <c r="AF479" s="51" t="str">
        <f t="shared" si="54"/>
        <v/>
      </c>
      <c r="AG479" s="74" t="str">
        <f t="shared" si="55"/>
        <v/>
      </c>
      <c r="AH479" s="73" t="str">
        <f t="shared" si="56"/>
        <v/>
      </c>
      <c r="AI479" s="52"/>
      <c r="AJ479" s="56"/>
      <c r="AK479" s="59"/>
      <c r="AL479" s="60"/>
      <c r="AM479" s="54"/>
      <c r="AN479" s="14"/>
      <c r="AO479" s="15"/>
      <c r="AP479" s="91"/>
      <c r="AQ479" s="87"/>
      <c r="AR479" s="26"/>
      <c r="AS479" s="65"/>
      <c r="AT479" s="88"/>
      <c r="AU479" s="67"/>
      <c r="DA479" t="str" cm="1">
        <f t="array" ref="DA479">IF(U479&lt;&gt;"", TRANSPOSE(_xlfn._xlws.FILTER(CZ:CZ, CY:CY=U479, "")), "")</f>
        <v/>
      </c>
    </row>
    <row r="480" spans="2:105" ht="15" customHeight="1">
      <c r="B480" s="35">
        <v>476</v>
      </c>
      <c r="C480" s="36" t="s">
        <v>2345</v>
      </c>
      <c r="D480" s="76"/>
      <c r="E480" s="37" t="str">
        <f>IF(Table5[[#This Row],[Query Date]]&lt;&gt;"", TEXT(Table5[[#This Row],[Query Date]], "dddd"), "")</f>
        <v/>
      </c>
      <c r="F480" s="37" t="str">
        <f>IF(Table5[[#This Row],[Query Date]]&lt;&gt;"", TEXT(Table5[[#This Row],[Query Date]], "mmmm"), "")</f>
        <v/>
      </c>
      <c r="G480" s="28"/>
      <c r="H480" s="28"/>
      <c r="I480" s="28"/>
      <c r="J480" s="28"/>
      <c r="K480" s="28"/>
      <c r="L480" s="25"/>
      <c r="M480" s="25"/>
      <c r="N480" s="25"/>
      <c r="O480" s="130"/>
      <c r="P480" s="47"/>
      <c r="Q480" s="77"/>
      <c r="R480" s="77" t="str">
        <f>IF(Table5[[#This Row],[Tour Starting Date]]&lt;&gt;"", TEXT(Table5[[#This Row],[Tour Starting Date]], "dddd"), "")</f>
        <v/>
      </c>
      <c r="S480" s="77"/>
      <c r="T480" s="25" t="str">
        <f>IF(Table5[[#This Row],[Tour Ending Date]]&lt;&gt;"", TEXT(Table5[[#This Row],[Tour Ending Date]], "dddd"), "")</f>
        <v/>
      </c>
      <c r="U48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80" s="37" t="str">
        <f>IF(Table5[[#This Row],[Tour Starting Date]]&lt;&gt;"", TEXT(Table5[[#This Row],[Tour Starting Date]], "mmmm"), "")</f>
        <v/>
      </c>
      <c r="W480" s="80" t="str" cm="1">
        <f t="array" ref="W480">IF(Q480&lt;&gt;"", INDEX(CI:CI, MATCH(1, (Q480&gt;=CG:CG)*(Q480&lt;=CH:CH), 0)), "")</f>
        <v/>
      </c>
      <c r="X480" s="39"/>
      <c r="Y480" s="74"/>
      <c r="Z480" s="74" t="str">
        <f>IF(OR(Table5[[#This Row],[Per Person Package Cost]]="", Table5[[#This Row],[No. of Pax]]=""), "", Table5[[#This Row],[Per Person Package Cost]] * Table5[[#This Row],[No. of Pax]])</f>
        <v/>
      </c>
      <c r="AA480" s="52"/>
      <c r="AB480" s="52"/>
      <c r="AC480" s="52"/>
      <c r="AD480" s="52"/>
      <c r="AE480" s="51" t="str">
        <f t="shared" si="53"/>
        <v/>
      </c>
      <c r="AF480" s="51" t="str">
        <f t="shared" si="54"/>
        <v/>
      </c>
      <c r="AG480" s="74" t="str">
        <f t="shared" si="55"/>
        <v/>
      </c>
      <c r="AH480" s="73" t="str">
        <f t="shared" si="56"/>
        <v/>
      </c>
      <c r="AI480" s="52"/>
      <c r="AJ480" s="56"/>
      <c r="AK480" s="59"/>
      <c r="AL480" s="60"/>
      <c r="AM480" s="54"/>
      <c r="AN480" s="14"/>
      <c r="AO480" s="15"/>
      <c r="AP480" s="91"/>
      <c r="AQ480" s="87"/>
      <c r="AR480" s="26"/>
      <c r="AS480" s="65"/>
      <c r="AT480" s="88"/>
      <c r="AU480" s="67"/>
      <c r="DA480" t="str" cm="1">
        <f t="array" ref="DA480">IF(U480&lt;&gt;"", TRANSPOSE(_xlfn._xlws.FILTER(CZ:CZ, CY:CY=U480, "")), "")</f>
        <v/>
      </c>
    </row>
    <row r="481" spans="2:105" ht="15" customHeight="1">
      <c r="B481" s="34">
        <v>477</v>
      </c>
      <c r="C481" s="36" t="s">
        <v>2346</v>
      </c>
      <c r="D481" s="76"/>
      <c r="E481" s="37" t="str">
        <f>IF(Table5[[#This Row],[Query Date]]&lt;&gt;"", TEXT(Table5[[#This Row],[Query Date]], "dddd"), "")</f>
        <v/>
      </c>
      <c r="F481" s="37" t="str">
        <f>IF(Table5[[#This Row],[Query Date]]&lt;&gt;"", TEXT(Table5[[#This Row],[Query Date]], "mmmm"), "")</f>
        <v/>
      </c>
      <c r="G481" s="28"/>
      <c r="H481" s="28"/>
      <c r="I481" s="28"/>
      <c r="J481" s="28"/>
      <c r="K481" s="28"/>
      <c r="L481" s="25"/>
      <c r="M481" s="25"/>
      <c r="N481" s="25"/>
      <c r="O481" s="130"/>
      <c r="P481" s="47"/>
      <c r="Q481" s="77"/>
      <c r="R481" s="77" t="str">
        <f>IF(Table5[[#This Row],[Tour Starting Date]]&lt;&gt;"", TEXT(Table5[[#This Row],[Tour Starting Date]], "dddd"), "")</f>
        <v/>
      </c>
      <c r="S481" s="77"/>
      <c r="T481" s="25" t="str">
        <f>IF(Table5[[#This Row],[Tour Ending Date]]&lt;&gt;"", TEXT(Table5[[#This Row],[Tour Ending Date]], "dddd"), "")</f>
        <v/>
      </c>
      <c r="U48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81" s="37" t="str">
        <f>IF(Table5[[#This Row],[Tour Starting Date]]&lt;&gt;"", TEXT(Table5[[#This Row],[Tour Starting Date]], "mmmm"), "")</f>
        <v/>
      </c>
      <c r="W481" s="80" t="str" cm="1">
        <f t="array" ref="W481">IF(Q481&lt;&gt;"", INDEX(CI:CI, MATCH(1, (Q481&gt;=CG:CG)*(Q481&lt;=CH:CH), 0)), "")</f>
        <v/>
      </c>
      <c r="X481" s="39"/>
      <c r="Y481" s="74"/>
      <c r="Z481" s="74" t="str">
        <f>IF(OR(Table5[[#This Row],[Per Person Package Cost]]="", Table5[[#This Row],[No. of Pax]]=""), "", Table5[[#This Row],[Per Person Package Cost]] * Table5[[#This Row],[No. of Pax]])</f>
        <v/>
      </c>
      <c r="AA481" s="52"/>
      <c r="AB481" s="52"/>
      <c r="AC481" s="52"/>
      <c r="AD481" s="52"/>
      <c r="AE481" s="51" t="str">
        <f t="shared" si="53"/>
        <v/>
      </c>
      <c r="AF481" s="51" t="str">
        <f t="shared" si="54"/>
        <v/>
      </c>
      <c r="AG481" s="74" t="str">
        <f t="shared" si="55"/>
        <v/>
      </c>
      <c r="AH481" s="73" t="str">
        <f t="shared" si="56"/>
        <v/>
      </c>
      <c r="AI481" s="52"/>
      <c r="AJ481" s="56"/>
      <c r="AK481" s="59"/>
      <c r="AL481" s="60"/>
      <c r="AM481" s="54"/>
      <c r="AN481" s="14"/>
      <c r="AO481" s="15"/>
      <c r="AP481" s="91"/>
      <c r="AQ481" s="87"/>
      <c r="AR481" s="26"/>
      <c r="AS481" s="65"/>
      <c r="AT481" s="88"/>
      <c r="AU481" s="67"/>
      <c r="DA481" t="str" cm="1">
        <f t="array" ref="DA481">IF(U481&lt;&gt;"", TRANSPOSE(_xlfn._xlws.FILTER(CZ:CZ, CY:CY=U481, "")), "")</f>
        <v/>
      </c>
    </row>
    <row r="482" spans="2:105" ht="15" customHeight="1">
      <c r="B482" s="35">
        <v>478</v>
      </c>
      <c r="C482" s="36" t="s">
        <v>2347</v>
      </c>
      <c r="D482" s="76"/>
      <c r="E482" s="37" t="str">
        <f>IF(Table5[[#This Row],[Query Date]]&lt;&gt;"", TEXT(Table5[[#This Row],[Query Date]], "dddd"), "")</f>
        <v/>
      </c>
      <c r="F482" s="37" t="str">
        <f>IF(Table5[[#This Row],[Query Date]]&lt;&gt;"", TEXT(Table5[[#This Row],[Query Date]], "mmmm"), "")</f>
        <v/>
      </c>
      <c r="G482" s="28"/>
      <c r="H482" s="28"/>
      <c r="I482" s="28"/>
      <c r="J482" s="28"/>
      <c r="K482" s="28"/>
      <c r="L482" s="25"/>
      <c r="M482" s="25"/>
      <c r="N482" s="25"/>
      <c r="O482" s="130"/>
      <c r="P482" s="47"/>
      <c r="Q482" s="77"/>
      <c r="R482" s="77" t="str">
        <f>IF(Table5[[#This Row],[Tour Starting Date]]&lt;&gt;"", TEXT(Table5[[#This Row],[Tour Starting Date]], "dddd"), "")</f>
        <v/>
      </c>
      <c r="S482" s="77"/>
      <c r="T482" s="25" t="str">
        <f>IF(Table5[[#This Row],[Tour Ending Date]]&lt;&gt;"", TEXT(Table5[[#This Row],[Tour Ending Date]], "dddd"), "")</f>
        <v/>
      </c>
      <c r="U48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82" s="37" t="str">
        <f>IF(Table5[[#This Row],[Tour Starting Date]]&lt;&gt;"", TEXT(Table5[[#This Row],[Tour Starting Date]], "mmmm"), "")</f>
        <v/>
      </c>
      <c r="W482" s="80" t="str" cm="1">
        <f t="array" ref="W482">IF(Q482&lt;&gt;"", INDEX(CI:CI, MATCH(1, (Q482&gt;=CG:CG)*(Q482&lt;=CH:CH), 0)), "")</f>
        <v/>
      </c>
      <c r="X482" s="39"/>
      <c r="Y482" s="74"/>
      <c r="Z482" s="74" t="str">
        <f>IF(OR(Table5[[#This Row],[Per Person Package Cost]]="", Table5[[#This Row],[No. of Pax]]=""), "", Table5[[#This Row],[Per Person Package Cost]] * Table5[[#This Row],[No. of Pax]])</f>
        <v/>
      </c>
      <c r="AA482" s="52"/>
      <c r="AB482" s="52"/>
      <c r="AC482" s="52"/>
      <c r="AD482" s="52"/>
      <c r="AE482" s="51" t="str">
        <f t="shared" si="53"/>
        <v/>
      </c>
      <c r="AF482" s="51" t="str">
        <f t="shared" si="54"/>
        <v/>
      </c>
      <c r="AG482" s="74" t="str">
        <f t="shared" si="55"/>
        <v/>
      </c>
      <c r="AH482" s="73" t="str">
        <f t="shared" si="56"/>
        <v/>
      </c>
      <c r="AI482" s="52"/>
      <c r="AJ482" s="56"/>
      <c r="AK482" s="59"/>
      <c r="AL482" s="60"/>
      <c r="AM482" s="54"/>
      <c r="AN482" s="14"/>
      <c r="AO482" s="15"/>
      <c r="AP482" s="91"/>
      <c r="AQ482" s="87"/>
      <c r="AR482" s="26"/>
      <c r="AS482" s="65"/>
      <c r="AT482" s="88"/>
      <c r="AU482" s="67"/>
      <c r="DA482" t="str" cm="1">
        <f t="array" ref="DA482">IF(U482&lt;&gt;"", TRANSPOSE(_xlfn._xlws.FILTER(CZ:CZ, CY:CY=U482, "")), "")</f>
        <v/>
      </c>
    </row>
    <row r="483" spans="2:105" ht="15" customHeight="1">
      <c r="B483" s="34">
        <v>479</v>
      </c>
      <c r="C483" s="36" t="s">
        <v>2348</v>
      </c>
      <c r="D483" s="76"/>
      <c r="E483" s="37" t="str">
        <f>IF(Table5[[#This Row],[Query Date]]&lt;&gt;"", TEXT(Table5[[#This Row],[Query Date]], "dddd"), "")</f>
        <v/>
      </c>
      <c r="F483" s="37" t="str">
        <f>IF(Table5[[#This Row],[Query Date]]&lt;&gt;"", TEXT(Table5[[#This Row],[Query Date]], "mmmm"), "")</f>
        <v/>
      </c>
      <c r="G483" s="28"/>
      <c r="H483" s="28"/>
      <c r="I483" s="28"/>
      <c r="J483" s="28"/>
      <c r="K483" s="28"/>
      <c r="L483" s="25"/>
      <c r="M483" s="25"/>
      <c r="N483" s="25"/>
      <c r="O483" s="130"/>
      <c r="P483" s="108"/>
      <c r="Q483" s="77"/>
      <c r="R483" s="77" t="str">
        <f>IF(Table5[[#This Row],[Tour Starting Date]]&lt;&gt;"", TEXT(Table5[[#This Row],[Tour Starting Date]], "dddd"), "")</f>
        <v/>
      </c>
      <c r="S483" s="77"/>
      <c r="T483" s="25" t="str">
        <f>IF(Table5[[#This Row],[Tour Ending Date]]&lt;&gt;"", TEXT(Table5[[#This Row],[Tour Ending Date]], "dddd"), "")</f>
        <v/>
      </c>
      <c r="U48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83" s="37" t="str">
        <f>IF(Table5[[#This Row],[Tour Starting Date]]&lt;&gt;"", TEXT(Table5[[#This Row],[Tour Starting Date]], "mmmm"), "")</f>
        <v/>
      </c>
      <c r="W483" s="80" t="str" cm="1">
        <f t="array" ref="W483">IF(Q483&lt;&gt;"", INDEX(CI:CI, MATCH(1, (Q483&gt;=CG:CG)*(Q483&lt;=CH:CH), 0)), "")</f>
        <v/>
      </c>
      <c r="X483" s="39"/>
      <c r="Y483" s="74"/>
      <c r="Z483" s="74" t="str">
        <f>IF(OR(Table5[[#This Row],[Per Person Package Cost]]="", Table5[[#This Row],[No. of Pax]]=""), "", Table5[[#This Row],[Per Person Package Cost]] * Table5[[#This Row],[No. of Pax]])</f>
        <v/>
      </c>
      <c r="AA483" s="52"/>
      <c r="AB483" s="52"/>
      <c r="AC483" s="52"/>
      <c r="AD483" s="52"/>
      <c r="AE483" s="51" t="str">
        <f t="shared" si="53"/>
        <v/>
      </c>
      <c r="AF483" s="51" t="str">
        <f t="shared" si="54"/>
        <v/>
      </c>
      <c r="AG483" s="74" t="str">
        <f t="shared" si="55"/>
        <v/>
      </c>
      <c r="AH483" s="73" t="str">
        <f t="shared" si="56"/>
        <v/>
      </c>
      <c r="AI483" s="52"/>
      <c r="AJ483" s="56"/>
      <c r="AK483" s="59"/>
      <c r="AL483" s="60"/>
      <c r="AM483" s="54"/>
      <c r="AN483" s="14"/>
      <c r="AO483" s="15"/>
      <c r="AP483" s="91"/>
      <c r="AQ483" s="87"/>
      <c r="AR483" s="26"/>
      <c r="AS483" s="65"/>
      <c r="AT483" s="88"/>
      <c r="AU483" s="67"/>
      <c r="DA483" t="str" cm="1">
        <f t="array" ref="DA483">IF(U483&lt;&gt;"", TRANSPOSE(_xlfn._xlws.FILTER(CZ:CZ, CY:CY=U483, "")), "")</f>
        <v/>
      </c>
    </row>
    <row r="484" spans="2:105" ht="15" customHeight="1">
      <c r="B484" s="35">
        <v>480</v>
      </c>
      <c r="C484" s="36" t="s">
        <v>2349</v>
      </c>
      <c r="D484" s="76"/>
      <c r="E484" s="37" t="str">
        <f>IF(Table5[[#This Row],[Query Date]]&lt;&gt;"", TEXT(Table5[[#This Row],[Query Date]], "dddd"), "")</f>
        <v/>
      </c>
      <c r="F484" s="37" t="str">
        <f>IF(Table5[[#This Row],[Query Date]]&lt;&gt;"", TEXT(Table5[[#This Row],[Query Date]], "mmmm"), "")</f>
        <v/>
      </c>
      <c r="G484" s="28"/>
      <c r="H484" s="28"/>
      <c r="I484" s="28"/>
      <c r="J484" s="28"/>
      <c r="K484" s="28"/>
      <c r="L484" s="25"/>
      <c r="M484" s="25"/>
      <c r="N484" s="25"/>
      <c r="O484" s="130"/>
      <c r="P484" s="47"/>
      <c r="Q484" s="77"/>
      <c r="R484" s="77" t="str">
        <f>IF(Table5[[#This Row],[Tour Starting Date]]&lt;&gt;"", TEXT(Table5[[#This Row],[Tour Starting Date]], "dddd"), "")</f>
        <v/>
      </c>
      <c r="S484" s="77"/>
      <c r="T484" s="25" t="str">
        <f>IF(Table5[[#This Row],[Tour Ending Date]]&lt;&gt;"", TEXT(Table5[[#This Row],[Tour Ending Date]], "dddd"), "")</f>
        <v/>
      </c>
      <c r="U48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84" s="37" t="str">
        <f>IF(Table5[[#This Row],[Tour Starting Date]]&lt;&gt;"", TEXT(Table5[[#This Row],[Tour Starting Date]], "mmmm"), "")</f>
        <v/>
      </c>
      <c r="W484" s="80" t="str" cm="1">
        <f t="array" ref="W484">IF(Q484&lt;&gt;"", INDEX(CI:CI, MATCH(1, (Q484&gt;=CG:CG)*(Q484&lt;=CH:CH), 0)), "")</f>
        <v/>
      </c>
      <c r="X484" s="39"/>
      <c r="Y484" s="74"/>
      <c r="Z484" s="74" t="str">
        <f>IF(OR(Table5[[#This Row],[Per Person Package Cost]]="", Table5[[#This Row],[No. of Pax]]=""), "", Table5[[#This Row],[Per Person Package Cost]] * Table5[[#This Row],[No. of Pax]])</f>
        <v/>
      </c>
      <c r="AA484" s="52"/>
      <c r="AB484" s="52"/>
      <c r="AC484" s="52"/>
      <c r="AD484" s="52"/>
      <c r="AE484" s="51" t="str">
        <f t="shared" si="53"/>
        <v/>
      </c>
      <c r="AF484" s="51" t="str">
        <f t="shared" si="54"/>
        <v/>
      </c>
      <c r="AG484" s="74" t="str">
        <f t="shared" si="55"/>
        <v/>
      </c>
      <c r="AH484" s="73" t="str">
        <f t="shared" si="56"/>
        <v/>
      </c>
      <c r="AI484" s="52"/>
      <c r="AJ484" s="56"/>
      <c r="AK484" s="59"/>
      <c r="AL484" s="60"/>
      <c r="AM484" s="54"/>
      <c r="AN484" s="14"/>
      <c r="AO484" s="15"/>
      <c r="AP484" s="91"/>
      <c r="AQ484" s="87"/>
      <c r="AR484" s="26"/>
      <c r="AS484" s="65"/>
      <c r="AT484" s="88"/>
      <c r="AU484" s="67"/>
      <c r="DA484" t="str" cm="1">
        <f t="array" ref="DA484">IF(U484&lt;&gt;"", TRANSPOSE(_xlfn._xlws.FILTER(CZ:CZ, CY:CY=U484, "")), "")</f>
        <v/>
      </c>
    </row>
    <row r="485" spans="2:105" ht="15" customHeight="1">
      <c r="B485" s="34">
        <v>481</v>
      </c>
      <c r="C485" s="36" t="s">
        <v>2350</v>
      </c>
      <c r="D485" s="76"/>
      <c r="E485" s="37" t="str">
        <f>IF(Table5[[#This Row],[Query Date]]&lt;&gt;"", TEXT(Table5[[#This Row],[Query Date]], "dddd"), "")</f>
        <v/>
      </c>
      <c r="F485" s="37" t="str">
        <f>IF(Table5[[#This Row],[Query Date]]&lt;&gt;"", TEXT(Table5[[#This Row],[Query Date]], "mmmm"), "")</f>
        <v/>
      </c>
      <c r="G485" s="28"/>
      <c r="H485" s="28"/>
      <c r="I485" s="28"/>
      <c r="J485" s="28"/>
      <c r="K485" s="28"/>
      <c r="L485" s="25"/>
      <c r="M485" s="25"/>
      <c r="N485" s="25"/>
      <c r="O485" s="130"/>
      <c r="P485" s="47"/>
      <c r="Q485" s="77"/>
      <c r="R485" s="77" t="str">
        <f>IF(Table5[[#This Row],[Tour Starting Date]]&lt;&gt;"", TEXT(Table5[[#This Row],[Tour Starting Date]], "dddd"), "")</f>
        <v/>
      </c>
      <c r="S485" s="77"/>
      <c r="T485" s="25" t="str">
        <f>IF(Table5[[#This Row],[Tour Ending Date]]&lt;&gt;"", TEXT(Table5[[#This Row],[Tour Ending Date]], "dddd"), "")</f>
        <v/>
      </c>
      <c r="U48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85" s="37" t="str">
        <f>IF(Table5[[#This Row],[Tour Starting Date]]&lt;&gt;"", TEXT(Table5[[#This Row],[Tour Starting Date]], "mmmm"), "")</f>
        <v/>
      </c>
      <c r="W485" s="80" t="str" cm="1">
        <f t="array" ref="W485">IF(Q485&lt;&gt;"", INDEX(CI:CI, MATCH(1, (Q485&gt;=CG:CG)*(Q485&lt;=CH:CH), 0)), "")</f>
        <v/>
      </c>
      <c r="X485" s="39"/>
      <c r="Y485" s="74"/>
      <c r="Z485" s="74" t="str">
        <f>IF(OR(Table5[[#This Row],[Per Person Package Cost]]="", Table5[[#This Row],[No. of Pax]]=""), "", Table5[[#This Row],[Per Person Package Cost]] * Table5[[#This Row],[No. of Pax]])</f>
        <v/>
      </c>
      <c r="AA485" s="52"/>
      <c r="AB485" s="52"/>
      <c r="AC485" s="52"/>
      <c r="AD485" s="52"/>
      <c r="AE485" s="51" t="str">
        <f t="shared" si="53"/>
        <v/>
      </c>
      <c r="AF485" s="51" t="str">
        <f t="shared" si="54"/>
        <v/>
      </c>
      <c r="AG485" s="74" t="str">
        <f t="shared" si="55"/>
        <v/>
      </c>
      <c r="AH485" s="73" t="str">
        <f t="shared" si="56"/>
        <v/>
      </c>
      <c r="AI485" s="52"/>
      <c r="AJ485" s="56"/>
      <c r="AK485" s="59"/>
      <c r="AL485" s="60"/>
      <c r="AM485" s="54"/>
      <c r="AN485" s="14"/>
      <c r="AO485" s="15"/>
      <c r="AP485" s="91"/>
      <c r="AQ485" s="87"/>
      <c r="AR485" s="26"/>
      <c r="AS485" s="65"/>
      <c r="AT485" s="88"/>
      <c r="AU485" s="67"/>
      <c r="DA485" t="str" cm="1">
        <f t="array" ref="DA485">IF(U485&lt;&gt;"", TRANSPOSE(_xlfn._xlws.FILTER(CZ:CZ, CY:CY=U485, "")), "")</f>
        <v/>
      </c>
    </row>
    <row r="486" spans="2:105" ht="15" customHeight="1">
      <c r="B486" s="35">
        <v>482</v>
      </c>
      <c r="C486" s="36" t="s">
        <v>2351</v>
      </c>
      <c r="D486" s="76"/>
      <c r="E486" s="37" t="str">
        <f>IF(Table5[[#This Row],[Query Date]]&lt;&gt;"", TEXT(Table5[[#This Row],[Query Date]], "dddd"), "")</f>
        <v/>
      </c>
      <c r="F486" s="37" t="str">
        <f>IF(Table5[[#This Row],[Query Date]]&lt;&gt;"", TEXT(Table5[[#This Row],[Query Date]], "mmmm"), "")</f>
        <v/>
      </c>
      <c r="G486" s="28"/>
      <c r="H486" s="28"/>
      <c r="I486" s="28"/>
      <c r="J486" s="28"/>
      <c r="K486" s="28"/>
      <c r="L486" s="25"/>
      <c r="M486" s="25"/>
      <c r="N486" s="25"/>
      <c r="O486" s="130"/>
      <c r="P486" s="47"/>
      <c r="Q486" s="77"/>
      <c r="R486" s="77" t="str">
        <f>IF(Table5[[#This Row],[Tour Starting Date]]&lt;&gt;"", TEXT(Table5[[#This Row],[Tour Starting Date]], "dddd"), "")</f>
        <v/>
      </c>
      <c r="S486" s="77"/>
      <c r="T486" s="25" t="str">
        <f>IF(Table5[[#This Row],[Tour Ending Date]]&lt;&gt;"", TEXT(Table5[[#This Row],[Tour Ending Date]], "dddd"), "")</f>
        <v/>
      </c>
      <c r="U48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86" s="37" t="str">
        <f>IF(Table5[[#This Row],[Tour Starting Date]]&lt;&gt;"", TEXT(Table5[[#This Row],[Tour Starting Date]], "mmmm"), "")</f>
        <v/>
      </c>
      <c r="W486" s="80" t="str" cm="1">
        <f t="array" ref="W486">IF(Q486&lt;&gt;"", INDEX(CI:CI, MATCH(1, (Q486&gt;=CG:CG)*(Q486&lt;=CH:CH), 0)), "")</f>
        <v/>
      </c>
      <c r="X486" s="39"/>
      <c r="Y486" s="74"/>
      <c r="Z486" s="74" t="str">
        <f>IF(OR(Table5[[#This Row],[Per Person Package Cost]]="", Table5[[#This Row],[No. of Pax]]=""), "", Table5[[#This Row],[Per Person Package Cost]] * Table5[[#This Row],[No. of Pax]])</f>
        <v/>
      </c>
      <c r="AA486" s="52"/>
      <c r="AB486" s="52"/>
      <c r="AC486" s="52"/>
      <c r="AD486" s="52"/>
      <c r="AE486" s="51" t="str">
        <f t="shared" si="53"/>
        <v/>
      </c>
      <c r="AF486" s="51" t="str">
        <f t="shared" si="54"/>
        <v/>
      </c>
      <c r="AG486" s="74" t="str">
        <f t="shared" si="55"/>
        <v/>
      </c>
      <c r="AH486" s="73" t="str">
        <f t="shared" si="56"/>
        <v/>
      </c>
      <c r="AI486" s="52"/>
      <c r="AJ486" s="56"/>
      <c r="AK486" s="59"/>
      <c r="AL486" s="60"/>
      <c r="AM486" s="54"/>
      <c r="AN486" s="14"/>
      <c r="AO486" s="15"/>
      <c r="AP486" s="91"/>
      <c r="AQ486" s="87"/>
      <c r="AR486" s="26"/>
      <c r="AS486" s="65"/>
      <c r="AT486" s="88"/>
      <c r="AU486" s="67"/>
      <c r="DA486" t="str" cm="1">
        <f t="array" ref="DA486">IF(U486&lt;&gt;"", TRANSPOSE(_xlfn._xlws.FILTER(CZ:CZ, CY:CY=U486, "")), "")</f>
        <v/>
      </c>
    </row>
    <row r="487" spans="2:105" ht="15" customHeight="1">
      <c r="B487" s="34">
        <v>483</v>
      </c>
      <c r="C487" s="36" t="s">
        <v>2352</v>
      </c>
      <c r="D487" s="76"/>
      <c r="E487" s="37" t="str">
        <f>IF(Table5[[#This Row],[Query Date]]&lt;&gt;"", TEXT(Table5[[#This Row],[Query Date]], "dddd"), "")</f>
        <v/>
      </c>
      <c r="F487" s="37" t="str">
        <f>IF(Table5[[#This Row],[Query Date]]&lt;&gt;"", TEXT(Table5[[#This Row],[Query Date]], "mmmm"), "")</f>
        <v/>
      </c>
      <c r="G487" s="28"/>
      <c r="H487" s="28"/>
      <c r="I487" s="28"/>
      <c r="J487" s="28"/>
      <c r="K487" s="28"/>
      <c r="L487" s="25"/>
      <c r="M487" s="25"/>
      <c r="N487" s="25"/>
      <c r="O487" s="130"/>
      <c r="P487" s="47"/>
      <c r="Q487" s="77"/>
      <c r="R487" s="77" t="str">
        <f>IF(Table5[[#This Row],[Tour Starting Date]]&lt;&gt;"", TEXT(Table5[[#This Row],[Tour Starting Date]], "dddd"), "")</f>
        <v/>
      </c>
      <c r="S487" s="77"/>
      <c r="T487" s="25" t="str">
        <f>IF(Table5[[#This Row],[Tour Ending Date]]&lt;&gt;"", TEXT(Table5[[#This Row],[Tour Ending Date]], "dddd"), "")</f>
        <v/>
      </c>
      <c r="U48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87" s="37" t="str">
        <f>IF(Table5[[#This Row],[Tour Starting Date]]&lt;&gt;"", TEXT(Table5[[#This Row],[Tour Starting Date]], "mmmm"), "")</f>
        <v/>
      </c>
      <c r="W487" s="80" t="str" cm="1">
        <f t="array" ref="W487">IF(Q487&lt;&gt;"", INDEX(CI:CI, MATCH(1, (Q487&gt;=CG:CG)*(Q487&lt;=CH:CH), 0)), "")</f>
        <v/>
      </c>
      <c r="X487" s="39"/>
      <c r="Y487" s="74"/>
      <c r="Z487" s="74" t="str">
        <f>IF(OR(Table5[[#This Row],[Per Person Package Cost]]="", Table5[[#This Row],[No. of Pax]]=""), "", Table5[[#This Row],[Per Person Package Cost]] * Table5[[#This Row],[No. of Pax]])</f>
        <v/>
      </c>
      <c r="AA487" s="52"/>
      <c r="AB487" s="52"/>
      <c r="AC487" s="52"/>
      <c r="AD487" s="52"/>
      <c r="AE487" s="51" t="str">
        <f t="shared" si="53"/>
        <v/>
      </c>
      <c r="AF487" s="51" t="str">
        <f t="shared" si="54"/>
        <v/>
      </c>
      <c r="AG487" s="74" t="str">
        <f t="shared" si="55"/>
        <v/>
      </c>
      <c r="AH487" s="73" t="str">
        <f t="shared" si="56"/>
        <v/>
      </c>
      <c r="AI487" s="52"/>
      <c r="AJ487" s="56"/>
      <c r="AK487" s="59"/>
      <c r="AL487" s="60"/>
      <c r="AM487" s="54"/>
      <c r="AN487" s="14"/>
      <c r="AO487" s="15"/>
      <c r="AP487" s="91"/>
      <c r="AQ487" s="87"/>
      <c r="AR487" s="26"/>
      <c r="AS487" s="65"/>
      <c r="AT487" s="88"/>
      <c r="AU487" s="67"/>
      <c r="DA487" t="str" cm="1">
        <f t="array" ref="DA487">IF(U487&lt;&gt;"", TRANSPOSE(_xlfn._xlws.FILTER(CZ:CZ, CY:CY=U487, "")), "")</f>
        <v/>
      </c>
    </row>
    <row r="488" spans="2:105" ht="15" customHeight="1">
      <c r="B488" s="35">
        <v>484</v>
      </c>
      <c r="C488" s="36" t="s">
        <v>2353</v>
      </c>
      <c r="D488" s="76"/>
      <c r="E488" s="37" t="str">
        <f>IF(Table5[[#This Row],[Query Date]]&lt;&gt;"", TEXT(Table5[[#This Row],[Query Date]], "dddd"), "")</f>
        <v/>
      </c>
      <c r="F488" s="37" t="str">
        <f>IF(Table5[[#This Row],[Query Date]]&lt;&gt;"", TEXT(Table5[[#This Row],[Query Date]], "mmmm"), "")</f>
        <v/>
      </c>
      <c r="G488" s="28"/>
      <c r="H488" s="28"/>
      <c r="I488" s="28"/>
      <c r="J488" s="28"/>
      <c r="K488" s="28"/>
      <c r="L488" s="25"/>
      <c r="M488" s="25"/>
      <c r="N488" s="25"/>
      <c r="O488" s="130"/>
      <c r="P488" s="47"/>
      <c r="Q488" s="77"/>
      <c r="R488" s="77" t="str">
        <f>IF(Table5[[#This Row],[Tour Starting Date]]&lt;&gt;"", TEXT(Table5[[#This Row],[Tour Starting Date]], "dddd"), "")</f>
        <v/>
      </c>
      <c r="S488" s="77"/>
      <c r="T488" s="25" t="str">
        <f>IF(Table5[[#This Row],[Tour Ending Date]]&lt;&gt;"", TEXT(Table5[[#This Row],[Tour Ending Date]], "dddd"), "")</f>
        <v/>
      </c>
      <c r="U48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88" s="37" t="str">
        <f>IF(Table5[[#This Row],[Tour Starting Date]]&lt;&gt;"", TEXT(Table5[[#This Row],[Tour Starting Date]], "mmmm"), "")</f>
        <v/>
      </c>
      <c r="W488" s="80" t="str" cm="1">
        <f t="array" ref="W488">IF(Q488&lt;&gt;"", INDEX(CI:CI, MATCH(1, (Q488&gt;=CG:CG)*(Q488&lt;=CH:CH), 0)), "")</f>
        <v/>
      </c>
      <c r="X488" s="39"/>
      <c r="Y488" s="74"/>
      <c r="Z488" s="74" t="str">
        <f>IF(OR(Table5[[#This Row],[Per Person Package Cost]]="", Table5[[#This Row],[No. of Pax]]=""), "", Table5[[#This Row],[Per Person Package Cost]] * Table5[[#This Row],[No. of Pax]])</f>
        <v/>
      </c>
      <c r="AA488" s="52"/>
      <c r="AB488" s="52"/>
      <c r="AC488" s="52"/>
      <c r="AD488" s="52"/>
      <c r="AE488" s="51" t="str">
        <f t="shared" si="53"/>
        <v/>
      </c>
      <c r="AF488" s="51" t="str">
        <f t="shared" si="54"/>
        <v/>
      </c>
      <c r="AG488" s="74" t="str">
        <f t="shared" si="55"/>
        <v/>
      </c>
      <c r="AH488" s="73" t="str">
        <f t="shared" si="56"/>
        <v/>
      </c>
      <c r="AI488" s="52"/>
      <c r="AJ488" s="56"/>
      <c r="AK488" s="59"/>
      <c r="AL488" s="60"/>
      <c r="AM488" s="54"/>
      <c r="AN488" s="14"/>
      <c r="AO488" s="15"/>
      <c r="AP488" s="91"/>
      <c r="AQ488" s="87"/>
      <c r="AR488" s="26"/>
      <c r="AS488" s="65"/>
      <c r="AT488" s="88"/>
      <c r="AU488" s="67"/>
      <c r="DA488" t="str" cm="1">
        <f t="array" ref="DA488">IF(U488&lt;&gt;"", TRANSPOSE(_xlfn._xlws.FILTER(CZ:CZ, CY:CY=U488, "")), "")</f>
        <v/>
      </c>
    </row>
    <row r="489" spans="2:105" ht="15" customHeight="1">
      <c r="B489" s="34">
        <v>485</v>
      </c>
      <c r="C489" s="36" t="s">
        <v>2354</v>
      </c>
      <c r="D489" s="76"/>
      <c r="E489" s="37" t="str">
        <f>IF(Table5[[#This Row],[Query Date]]&lt;&gt;"", TEXT(Table5[[#This Row],[Query Date]], "dddd"), "")</f>
        <v/>
      </c>
      <c r="F489" s="37" t="str">
        <f>IF(Table5[[#This Row],[Query Date]]&lt;&gt;"", TEXT(Table5[[#This Row],[Query Date]], "mmmm"), "")</f>
        <v/>
      </c>
      <c r="G489" s="28"/>
      <c r="H489" s="28"/>
      <c r="I489" s="28"/>
      <c r="J489" s="28"/>
      <c r="K489" s="28"/>
      <c r="L489" s="25"/>
      <c r="M489" s="25"/>
      <c r="N489" s="25"/>
      <c r="O489" s="130"/>
      <c r="P489" s="47"/>
      <c r="Q489" s="77"/>
      <c r="R489" s="77" t="str">
        <f>IF(Table5[[#This Row],[Tour Starting Date]]&lt;&gt;"", TEXT(Table5[[#This Row],[Tour Starting Date]], "dddd"), "")</f>
        <v/>
      </c>
      <c r="S489" s="77"/>
      <c r="T489" s="25" t="str">
        <f>IF(Table5[[#This Row],[Tour Ending Date]]&lt;&gt;"", TEXT(Table5[[#This Row],[Tour Ending Date]], "dddd"), "")</f>
        <v/>
      </c>
      <c r="U48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89" s="37" t="str">
        <f>IF(Table5[[#This Row],[Tour Starting Date]]&lt;&gt;"", TEXT(Table5[[#This Row],[Tour Starting Date]], "mmmm"), "")</f>
        <v/>
      </c>
      <c r="W489" s="80" t="str" cm="1">
        <f t="array" ref="W489">IF(Q489&lt;&gt;"", INDEX(CI:CI, MATCH(1, (Q489&gt;=CG:CG)*(Q489&lt;=CH:CH), 0)), "")</f>
        <v/>
      </c>
      <c r="X489" s="39"/>
      <c r="Y489" s="74"/>
      <c r="Z489" s="74" t="str">
        <f>IF(OR(Table5[[#This Row],[Per Person Package Cost]]="", Table5[[#This Row],[No. of Pax]]=""), "", Table5[[#This Row],[Per Person Package Cost]] * Table5[[#This Row],[No. of Pax]])</f>
        <v/>
      </c>
      <c r="AA489" s="52"/>
      <c r="AB489" s="52"/>
      <c r="AC489" s="52"/>
      <c r="AD489" s="52"/>
      <c r="AE489" s="51" t="str">
        <f t="shared" si="53"/>
        <v/>
      </c>
      <c r="AF489" s="51" t="str">
        <f t="shared" si="54"/>
        <v/>
      </c>
      <c r="AG489" s="74" t="str">
        <f t="shared" si="55"/>
        <v/>
      </c>
      <c r="AH489" s="73" t="str">
        <f t="shared" si="56"/>
        <v/>
      </c>
      <c r="AI489" s="52"/>
      <c r="AJ489" s="56"/>
      <c r="AK489" s="59"/>
      <c r="AL489" s="60"/>
      <c r="AM489" s="54"/>
      <c r="AN489" s="14"/>
      <c r="AO489" s="15"/>
      <c r="AP489" s="91"/>
      <c r="AQ489" s="87"/>
      <c r="AR489" s="26"/>
      <c r="AS489" s="65"/>
      <c r="AT489" s="88"/>
      <c r="AU489" s="67"/>
      <c r="DA489" t="str" cm="1">
        <f t="array" ref="DA489">IF(U489&lt;&gt;"", TRANSPOSE(_xlfn._xlws.FILTER(CZ:CZ, CY:CY=U489, "")), "")</f>
        <v/>
      </c>
    </row>
    <row r="490" spans="2:105" ht="15" customHeight="1">
      <c r="B490" s="35">
        <v>486</v>
      </c>
      <c r="C490" s="36" t="s">
        <v>2355</v>
      </c>
      <c r="D490" s="76"/>
      <c r="E490" s="37" t="str">
        <f>IF(Table5[[#This Row],[Query Date]]&lt;&gt;"", TEXT(Table5[[#This Row],[Query Date]], "dddd"), "")</f>
        <v/>
      </c>
      <c r="F490" s="37" t="str">
        <f>IF(Table5[[#This Row],[Query Date]]&lt;&gt;"", TEXT(Table5[[#This Row],[Query Date]], "mmmm"), "")</f>
        <v/>
      </c>
      <c r="G490" s="28"/>
      <c r="H490" s="28"/>
      <c r="I490" s="28"/>
      <c r="J490" s="28"/>
      <c r="K490" s="28"/>
      <c r="L490" s="25"/>
      <c r="M490" s="25"/>
      <c r="N490" s="25"/>
      <c r="O490" s="130"/>
      <c r="P490" s="47"/>
      <c r="Q490" s="77"/>
      <c r="R490" s="77" t="str">
        <f>IF(Table5[[#This Row],[Tour Starting Date]]&lt;&gt;"", TEXT(Table5[[#This Row],[Tour Starting Date]], "dddd"), "")</f>
        <v/>
      </c>
      <c r="S490" s="77"/>
      <c r="T490" s="25" t="str">
        <f>IF(Table5[[#This Row],[Tour Ending Date]]&lt;&gt;"", TEXT(Table5[[#This Row],[Tour Ending Date]], "dddd"), "")</f>
        <v/>
      </c>
      <c r="U49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90" s="37" t="str">
        <f>IF(Table5[[#This Row],[Tour Starting Date]]&lt;&gt;"", TEXT(Table5[[#This Row],[Tour Starting Date]], "mmmm"), "")</f>
        <v/>
      </c>
      <c r="W490" s="80" t="str" cm="1">
        <f t="array" ref="W490">IF(Q490&lt;&gt;"", INDEX(CI:CI, MATCH(1, (Q490&gt;=CG:CG)*(Q490&lt;=CH:CH), 0)), "")</f>
        <v/>
      </c>
      <c r="X490" s="39"/>
      <c r="Y490" s="74"/>
      <c r="Z490" s="74" t="str">
        <f>IF(OR(Table5[[#This Row],[Per Person Package Cost]]="", Table5[[#This Row],[No. of Pax]]=""), "", Table5[[#This Row],[Per Person Package Cost]] * Table5[[#This Row],[No. of Pax]])</f>
        <v/>
      </c>
      <c r="AA490" s="52"/>
      <c r="AB490" s="52"/>
      <c r="AC490" s="52"/>
      <c r="AD490" s="52"/>
      <c r="AE490" s="51" t="str">
        <f t="shared" si="53"/>
        <v/>
      </c>
      <c r="AF490" s="51" t="str">
        <f t="shared" si="54"/>
        <v/>
      </c>
      <c r="AG490" s="74" t="str">
        <f t="shared" si="55"/>
        <v/>
      </c>
      <c r="AH490" s="73" t="str">
        <f t="shared" si="56"/>
        <v/>
      </c>
      <c r="AI490" s="52"/>
      <c r="AJ490" s="56"/>
      <c r="AK490" s="59"/>
      <c r="AL490" s="60"/>
      <c r="AM490" s="54"/>
      <c r="AN490" s="14"/>
      <c r="AO490" s="15"/>
      <c r="AP490" s="91"/>
      <c r="AQ490" s="87"/>
      <c r="AR490" s="26"/>
      <c r="AS490" s="65"/>
      <c r="AT490" s="88"/>
      <c r="AU490" s="67"/>
      <c r="DA490" t="str" cm="1">
        <f t="array" ref="DA490">IF(U490&lt;&gt;"", TRANSPOSE(_xlfn._xlws.FILTER(CZ:CZ, CY:CY=U490, "")), "")</f>
        <v/>
      </c>
    </row>
    <row r="491" spans="2:105" ht="15" customHeight="1">
      <c r="B491" s="34">
        <v>487</v>
      </c>
      <c r="C491" s="36" t="s">
        <v>2356</v>
      </c>
      <c r="D491" s="76"/>
      <c r="E491" s="37" t="str">
        <f>IF(Table5[[#This Row],[Query Date]]&lt;&gt;"", TEXT(Table5[[#This Row],[Query Date]], "dddd"), "")</f>
        <v/>
      </c>
      <c r="F491" s="37" t="str">
        <f>IF(Table5[[#This Row],[Query Date]]&lt;&gt;"", TEXT(Table5[[#This Row],[Query Date]], "mmmm"), "")</f>
        <v/>
      </c>
      <c r="G491" s="28"/>
      <c r="H491" s="28"/>
      <c r="I491" s="28"/>
      <c r="J491" s="28"/>
      <c r="K491" s="28"/>
      <c r="L491" s="25"/>
      <c r="M491" s="25"/>
      <c r="N491" s="25"/>
      <c r="O491" s="130"/>
      <c r="P491" s="47"/>
      <c r="Q491" s="77"/>
      <c r="R491" s="77" t="str">
        <f>IF(Table5[[#This Row],[Tour Starting Date]]&lt;&gt;"", TEXT(Table5[[#This Row],[Tour Starting Date]], "dddd"), "")</f>
        <v/>
      </c>
      <c r="S491" s="77"/>
      <c r="T491" s="25" t="str">
        <f>IF(Table5[[#This Row],[Tour Ending Date]]&lt;&gt;"", TEXT(Table5[[#This Row],[Tour Ending Date]], "dddd"), "")</f>
        <v/>
      </c>
      <c r="U49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91" s="37" t="str">
        <f>IF(Table5[[#This Row],[Tour Starting Date]]&lt;&gt;"", TEXT(Table5[[#This Row],[Tour Starting Date]], "mmmm"), "")</f>
        <v/>
      </c>
      <c r="W491" s="80" t="str" cm="1">
        <f t="array" ref="W491">IF(Q491&lt;&gt;"", INDEX(CI:CI, MATCH(1, (Q491&gt;=CG:CG)*(Q491&lt;=CH:CH), 0)), "")</f>
        <v/>
      </c>
      <c r="X491" s="39"/>
      <c r="Y491" s="74"/>
      <c r="Z491" s="74" t="str">
        <f>IF(OR(Table5[[#This Row],[Per Person Package Cost]]="", Table5[[#This Row],[No. of Pax]]=""), "", Table5[[#This Row],[Per Person Package Cost]] * Table5[[#This Row],[No. of Pax]])</f>
        <v/>
      </c>
      <c r="AA491" s="52"/>
      <c r="AB491" s="52"/>
      <c r="AC491" s="52"/>
      <c r="AD491" s="52"/>
      <c r="AE491" s="51" t="str">
        <f t="shared" si="53"/>
        <v/>
      </c>
      <c r="AF491" s="51" t="str">
        <f t="shared" si="54"/>
        <v/>
      </c>
      <c r="AG491" s="74" t="str">
        <f t="shared" si="55"/>
        <v/>
      </c>
      <c r="AH491" s="73" t="str">
        <f t="shared" si="56"/>
        <v/>
      </c>
      <c r="AI491" s="52"/>
      <c r="AJ491" s="56"/>
      <c r="AK491" s="59"/>
      <c r="AL491" s="60"/>
      <c r="AM491" s="54"/>
      <c r="AN491" s="14"/>
      <c r="AO491" s="15"/>
      <c r="AP491" s="91"/>
      <c r="AQ491" s="87"/>
      <c r="AR491" s="26"/>
      <c r="AS491" s="65"/>
      <c r="AT491" s="88"/>
      <c r="AU491" s="67"/>
      <c r="DA491" t="str" cm="1">
        <f t="array" ref="DA491">IF(U491&lt;&gt;"", TRANSPOSE(_xlfn._xlws.FILTER(CZ:CZ, CY:CY=U491, "")), "")</f>
        <v/>
      </c>
    </row>
    <row r="492" spans="2:105" ht="15" customHeight="1">
      <c r="B492" s="35">
        <v>488</v>
      </c>
      <c r="C492" s="36" t="s">
        <v>2357</v>
      </c>
      <c r="D492" s="76"/>
      <c r="E492" s="37" t="str">
        <f>IF(Table5[[#This Row],[Query Date]]&lt;&gt;"", TEXT(Table5[[#This Row],[Query Date]], "dddd"), "")</f>
        <v/>
      </c>
      <c r="F492" s="37" t="str">
        <f>IF(Table5[[#This Row],[Query Date]]&lt;&gt;"", TEXT(Table5[[#This Row],[Query Date]], "mmmm"), "")</f>
        <v/>
      </c>
      <c r="G492" s="28"/>
      <c r="H492" s="28"/>
      <c r="I492" s="28"/>
      <c r="J492" s="28"/>
      <c r="K492" s="28"/>
      <c r="L492" s="25"/>
      <c r="M492" s="25"/>
      <c r="N492" s="25"/>
      <c r="O492" s="130"/>
      <c r="P492" s="47"/>
      <c r="Q492" s="77"/>
      <c r="R492" s="77" t="str">
        <f>IF(Table5[[#This Row],[Tour Starting Date]]&lt;&gt;"", TEXT(Table5[[#This Row],[Tour Starting Date]], "dddd"), "")</f>
        <v/>
      </c>
      <c r="S492" s="77"/>
      <c r="T492" s="25" t="str">
        <f>IF(Table5[[#This Row],[Tour Ending Date]]&lt;&gt;"", TEXT(Table5[[#This Row],[Tour Ending Date]], "dddd"), "")</f>
        <v/>
      </c>
      <c r="U49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92" s="37" t="str">
        <f>IF(Table5[[#This Row],[Tour Starting Date]]&lt;&gt;"", TEXT(Table5[[#This Row],[Tour Starting Date]], "mmmm"), "")</f>
        <v/>
      </c>
      <c r="W492" s="80" t="str" cm="1">
        <f t="array" ref="W492">IF(Q492&lt;&gt;"", INDEX(CI:CI, MATCH(1, (Q492&gt;=CG:CG)*(Q492&lt;=CH:CH), 0)), "")</f>
        <v/>
      </c>
      <c r="X492" s="39"/>
      <c r="Y492" s="74"/>
      <c r="Z492" s="74" t="str">
        <f>IF(OR(Table5[[#This Row],[Per Person Package Cost]]="", Table5[[#This Row],[No. of Pax]]=""), "", Table5[[#This Row],[Per Person Package Cost]] * Table5[[#This Row],[No. of Pax]])</f>
        <v/>
      </c>
      <c r="AA492" s="52"/>
      <c r="AB492" s="52"/>
      <c r="AC492" s="52"/>
      <c r="AD492" s="52"/>
      <c r="AE492" s="51" t="str">
        <f t="shared" si="53"/>
        <v/>
      </c>
      <c r="AF492" s="51" t="str">
        <f t="shared" si="54"/>
        <v/>
      </c>
      <c r="AG492" s="74" t="str">
        <f t="shared" si="55"/>
        <v/>
      </c>
      <c r="AH492" s="73" t="str">
        <f t="shared" si="56"/>
        <v/>
      </c>
      <c r="AI492" s="52"/>
      <c r="AJ492" s="56"/>
      <c r="AK492" s="59"/>
      <c r="AL492" s="60"/>
      <c r="AM492" s="54"/>
      <c r="AN492" s="14"/>
      <c r="AO492" s="15"/>
      <c r="AP492" s="91"/>
      <c r="AQ492" s="87"/>
      <c r="AR492" s="26"/>
      <c r="AS492" s="65"/>
      <c r="AT492" s="88"/>
      <c r="AU492" s="67"/>
      <c r="DA492" t="str" cm="1">
        <f t="array" ref="DA492">IF(U492&lt;&gt;"", TRANSPOSE(_xlfn._xlws.FILTER(CZ:CZ, CY:CY=U492, "")), "")</f>
        <v/>
      </c>
    </row>
    <row r="493" spans="2:105" ht="15" customHeight="1">
      <c r="B493" s="34">
        <v>489</v>
      </c>
      <c r="C493" s="36" t="s">
        <v>2358</v>
      </c>
      <c r="D493" s="76"/>
      <c r="E493" s="37" t="str">
        <f>IF(Table5[[#This Row],[Query Date]]&lt;&gt;"", TEXT(Table5[[#This Row],[Query Date]], "dddd"), "")</f>
        <v/>
      </c>
      <c r="F493" s="37" t="str">
        <f>IF(Table5[[#This Row],[Query Date]]&lt;&gt;"", TEXT(Table5[[#This Row],[Query Date]], "mmmm"), "")</f>
        <v/>
      </c>
      <c r="G493" s="28"/>
      <c r="H493" s="28"/>
      <c r="I493" s="28"/>
      <c r="J493" s="28"/>
      <c r="K493" s="28"/>
      <c r="L493" s="25"/>
      <c r="M493" s="25"/>
      <c r="N493" s="25"/>
      <c r="O493" s="130"/>
      <c r="P493" s="47"/>
      <c r="Q493" s="77"/>
      <c r="R493" s="77" t="str">
        <f>IF(Table5[[#This Row],[Tour Starting Date]]&lt;&gt;"", TEXT(Table5[[#This Row],[Tour Starting Date]], "dddd"), "")</f>
        <v/>
      </c>
      <c r="S493" s="77"/>
      <c r="T493" s="25" t="str">
        <f>IF(Table5[[#This Row],[Tour Ending Date]]&lt;&gt;"", TEXT(Table5[[#This Row],[Tour Ending Date]], "dddd"), "")</f>
        <v/>
      </c>
      <c r="U49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93" s="37" t="str">
        <f>IF(Table5[[#This Row],[Tour Starting Date]]&lt;&gt;"", TEXT(Table5[[#This Row],[Tour Starting Date]], "mmmm"), "")</f>
        <v/>
      </c>
      <c r="W493" s="80" t="str" cm="1">
        <f t="array" ref="W493">IF(Q493&lt;&gt;"", INDEX(CI:CI, MATCH(1, (Q493&gt;=CG:CG)*(Q493&lt;=CH:CH), 0)), "")</f>
        <v/>
      </c>
      <c r="X493" s="39"/>
      <c r="Y493" s="74"/>
      <c r="Z493" s="74" t="str">
        <f>IF(OR(Table5[[#This Row],[Per Person Package Cost]]="", Table5[[#This Row],[No. of Pax]]=""), "", Table5[[#This Row],[Per Person Package Cost]] * Table5[[#This Row],[No. of Pax]])</f>
        <v/>
      </c>
      <c r="AA493" s="52"/>
      <c r="AB493" s="52"/>
      <c r="AC493" s="52"/>
      <c r="AD493" s="52"/>
      <c r="AE493" s="51" t="str">
        <f t="shared" si="53"/>
        <v/>
      </c>
      <c r="AF493" s="51" t="str">
        <f t="shared" si="54"/>
        <v/>
      </c>
      <c r="AG493" s="74" t="str">
        <f t="shared" si="55"/>
        <v/>
      </c>
      <c r="AH493" s="73" t="str">
        <f t="shared" si="56"/>
        <v/>
      </c>
      <c r="AI493" s="52"/>
      <c r="AJ493" s="56"/>
      <c r="AK493" s="59"/>
      <c r="AL493" s="60"/>
      <c r="AM493" s="54"/>
      <c r="AN493" s="14"/>
      <c r="AO493" s="15"/>
      <c r="AP493" s="91"/>
      <c r="AQ493" s="87"/>
      <c r="AR493" s="26"/>
      <c r="AS493" s="65"/>
      <c r="AT493" s="88"/>
      <c r="AU493" s="67"/>
      <c r="DA493" t="str" cm="1">
        <f t="array" ref="DA493">IF(U493&lt;&gt;"", TRANSPOSE(_xlfn._xlws.FILTER(CZ:CZ, CY:CY=U493, "")), "")</f>
        <v/>
      </c>
    </row>
    <row r="494" spans="2:105" ht="15" customHeight="1">
      <c r="B494" s="35">
        <v>490</v>
      </c>
      <c r="C494" s="36" t="s">
        <v>2359</v>
      </c>
      <c r="D494" s="76"/>
      <c r="E494" s="37" t="str">
        <f>IF(Table5[[#This Row],[Query Date]]&lt;&gt;"", TEXT(Table5[[#This Row],[Query Date]], "dddd"), "")</f>
        <v/>
      </c>
      <c r="F494" s="37" t="str">
        <f>IF(Table5[[#This Row],[Query Date]]&lt;&gt;"", TEXT(Table5[[#This Row],[Query Date]], "mmmm"), "")</f>
        <v/>
      </c>
      <c r="G494" s="28"/>
      <c r="H494" s="28"/>
      <c r="I494" s="28"/>
      <c r="J494" s="28"/>
      <c r="K494" s="28"/>
      <c r="L494" s="25"/>
      <c r="M494" s="25"/>
      <c r="N494" s="25"/>
      <c r="O494" s="130"/>
      <c r="P494" s="47"/>
      <c r="Q494" s="77"/>
      <c r="R494" s="77" t="str">
        <f>IF(Table5[[#This Row],[Tour Starting Date]]&lt;&gt;"", TEXT(Table5[[#This Row],[Tour Starting Date]], "dddd"), "")</f>
        <v/>
      </c>
      <c r="S494" s="77"/>
      <c r="T494" s="25" t="str">
        <f>IF(Table5[[#This Row],[Tour Ending Date]]&lt;&gt;"", TEXT(Table5[[#This Row],[Tour Ending Date]], "dddd"), "")</f>
        <v/>
      </c>
      <c r="U49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94" s="37" t="str">
        <f>IF(Table5[[#This Row],[Tour Starting Date]]&lt;&gt;"", TEXT(Table5[[#This Row],[Tour Starting Date]], "mmmm"), "")</f>
        <v/>
      </c>
      <c r="W494" s="80" t="str" cm="1">
        <f t="array" ref="W494">IF(Q494&lt;&gt;"", INDEX(CI:CI, MATCH(1, (Q494&gt;=CG:CG)*(Q494&lt;=CH:CH), 0)), "")</f>
        <v/>
      </c>
      <c r="X494" s="39"/>
      <c r="Y494" s="74"/>
      <c r="Z494" s="74" t="str">
        <f>IF(OR(Table5[[#This Row],[Per Person Package Cost]]="", Table5[[#This Row],[No. of Pax]]=""), "", Table5[[#This Row],[Per Person Package Cost]] * Table5[[#This Row],[No. of Pax]])</f>
        <v/>
      </c>
      <c r="AA494" s="52"/>
      <c r="AB494" s="52"/>
      <c r="AC494" s="52"/>
      <c r="AD494" s="52"/>
      <c r="AE494" s="51" t="str">
        <f t="shared" si="53"/>
        <v/>
      </c>
      <c r="AF494" s="51" t="str">
        <f t="shared" si="54"/>
        <v/>
      </c>
      <c r="AG494" s="74" t="str">
        <f t="shared" si="55"/>
        <v/>
      </c>
      <c r="AH494" s="73" t="str">
        <f t="shared" si="56"/>
        <v/>
      </c>
      <c r="AI494" s="52"/>
      <c r="AJ494" s="56"/>
      <c r="AK494" s="59"/>
      <c r="AL494" s="60"/>
      <c r="AM494" s="54"/>
      <c r="AN494" s="14"/>
      <c r="AO494" s="15"/>
      <c r="AP494" s="91"/>
      <c r="AQ494" s="87"/>
      <c r="AR494" s="26"/>
      <c r="AS494" s="65"/>
      <c r="AT494" s="88"/>
      <c r="AU494" s="67"/>
      <c r="DA494" t="str" cm="1">
        <f t="array" ref="DA494">IF(U494&lt;&gt;"", TRANSPOSE(_xlfn._xlws.FILTER(CZ:CZ, CY:CY=U494, "")), "")</f>
        <v/>
      </c>
    </row>
    <row r="495" spans="2:105" ht="15" customHeight="1">
      <c r="B495" s="34">
        <v>491</v>
      </c>
      <c r="C495" s="36" t="s">
        <v>2360</v>
      </c>
      <c r="D495" s="76"/>
      <c r="E495" s="37" t="str">
        <f>IF(Table5[[#This Row],[Query Date]]&lt;&gt;"", TEXT(Table5[[#This Row],[Query Date]], "dddd"), "")</f>
        <v/>
      </c>
      <c r="F495" s="37" t="str">
        <f>IF(Table5[[#This Row],[Query Date]]&lt;&gt;"", TEXT(Table5[[#This Row],[Query Date]], "mmmm"), "")</f>
        <v/>
      </c>
      <c r="G495" s="28"/>
      <c r="H495" s="28"/>
      <c r="I495" s="28"/>
      <c r="J495" s="28"/>
      <c r="K495" s="28"/>
      <c r="L495" s="25"/>
      <c r="M495" s="25"/>
      <c r="N495" s="25"/>
      <c r="O495" s="130"/>
      <c r="P495" s="47"/>
      <c r="Q495" s="77"/>
      <c r="R495" s="77" t="str">
        <f>IF(Table5[[#This Row],[Tour Starting Date]]&lt;&gt;"", TEXT(Table5[[#This Row],[Tour Starting Date]], "dddd"), "")</f>
        <v/>
      </c>
      <c r="S495" s="77"/>
      <c r="T495" s="25" t="str">
        <f>IF(Table5[[#This Row],[Tour Ending Date]]&lt;&gt;"", TEXT(Table5[[#This Row],[Tour Ending Date]], "dddd"), "")</f>
        <v/>
      </c>
      <c r="U49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95" s="37" t="str">
        <f>IF(Table5[[#This Row],[Tour Starting Date]]&lt;&gt;"", TEXT(Table5[[#This Row],[Tour Starting Date]], "mmmm"), "")</f>
        <v/>
      </c>
      <c r="W495" s="80" t="str" cm="1">
        <f t="array" ref="W495">IF(Q495&lt;&gt;"", INDEX(CI:CI, MATCH(1, (Q495&gt;=CG:CG)*(Q495&lt;=CH:CH), 0)), "")</f>
        <v/>
      </c>
      <c r="X495" s="39"/>
      <c r="Y495" s="74"/>
      <c r="Z495" s="74" t="str">
        <f>IF(OR(Table5[[#This Row],[Per Person Package Cost]]="", Table5[[#This Row],[No. of Pax]]=""), "", Table5[[#This Row],[Per Person Package Cost]] * Table5[[#This Row],[No. of Pax]])</f>
        <v/>
      </c>
      <c r="AA495" s="52"/>
      <c r="AB495" s="52"/>
      <c r="AC495" s="52"/>
      <c r="AD495" s="52"/>
      <c r="AE495" s="51" t="str">
        <f t="shared" si="53"/>
        <v/>
      </c>
      <c r="AF495" s="51" t="str">
        <f t="shared" si="54"/>
        <v/>
      </c>
      <c r="AG495" s="74" t="str">
        <f t="shared" si="55"/>
        <v/>
      </c>
      <c r="AH495" s="73" t="str">
        <f t="shared" si="56"/>
        <v/>
      </c>
      <c r="AI495" s="52"/>
      <c r="AJ495" s="56"/>
      <c r="AK495" s="59"/>
      <c r="AL495" s="60"/>
      <c r="AM495" s="54"/>
      <c r="AN495" s="14"/>
      <c r="AO495" s="15"/>
      <c r="AP495" s="91"/>
      <c r="AQ495" s="87"/>
      <c r="AR495" s="26"/>
      <c r="AS495" s="65"/>
      <c r="AT495" s="88"/>
      <c r="AU495" s="67"/>
      <c r="DA495" t="str" cm="1">
        <f t="array" ref="DA495">IF(U495&lt;&gt;"", TRANSPOSE(_xlfn._xlws.FILTER(CZ:CZ, CY:CY=U495, "")), "")</f>
        <v/>
      </c>
    </row>
    <row r="496" spans="2:105" ht="15" customHeight="1">
      <c r="B496" s="35">
        <v>492</v>
      </c>
      <c r="C496" s="36" t="s">
        <v>2361</v>
      </c>
      <c r="D496" s="76"/>
      <c r="E496" s="37" t="str">
        <f>IF(Table5[[#This Row],[Query Date]]&lt;&gt;"", TEXT(Table5[[#This Row],[Query Date]], "dddd"), "")</f>
        <v/>
      </c>
      <c r="F496" s="37" t="str">
        <f>IF(Table5[[#This Row],[Query Date]]&lt;&gt;"", TEXT(Table5[[#This Row],[Query Date]], "mmmm"), "")</f>
        <v/>
      </c>
      <c r="G496" s="28"/>
      <c r="H496" s="28"/>
      <c r="I496" s="28"/>
      <c r="J496" s="28"/>
      <c r="K496" s="28"/>
      <c r="L496" s="25"/>
      <c r="M496" s="25"/>
      <c r="N496" s="25"/>
      <c r="O496" s="130"/>
      <c r="P496" s="47"/>
      <c r="Q496" s="77"/>
      <c r="R496" s="77" t="str">
        <f>IF(Table5[[#This Row],[Tour Starting Date]]&lt;&gt;"", TEXT(Table5[[#This Row],[Tour Starting Date]], "dddd"), "")</f>
        <v/>
      </c>
      <c r="S496" s="77"/>
      <c r="T496" s="25" t="str">
        <f>IF(Table5[[#This Row],[Tour Ending Date]]&lt;&gt;"", TEXT(Table5[[#This Row],[Tour Ending Date]], "dddd"), "")</f>
        <v/>
      </c>
      <c r="U49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96" s="37" t="str">
        <f>IF(Table5[[#This Row],[Tour Starting Date]]&lt;&gt;"", TEXT(Table5[[#This Row],[Tour Starting Date]], "mmmm"), "")</f>
        <v/>
      </c>
      <c r="W496" s="80" t="str" cm="1">
        <f t="array" ref="W496">IF(Q496&lt;&gt;"", INDEX(CI:CI, MATCH(1, (Q496&gt;=CG:CG)*(Q496&lt;=CH:CH), 0)), "")</f>
        <v/>
      </c>
      <c r="X496" s="39"/>
      <c r="Y496" s="74"/>
      <c r="Z496" s="74" t="str">
        <f>IF(OR(Table5[[#This Row],[Per Person Package Cost]]="", Table5[[#This Row],[No. of Pax]]=""), "", Table5[[#This Row],[Per Person Package Cost]] * Table5[[#This Row],[No. of Pax]])</f>
        <v/>
      </c>
      <c r="AA496" s="52"/>
      <c r="AB496" s="52"/>
      <c r="AC496" s="52"/>
      <c r="AD496" s="52"/>
      <c r="AE496" s="51" t="str">
        <f t="shared" si="53"/>
        <v/>
      </c>
      <c r="AF496" s="51" t="str">
        <f t="shared" si="54"/>
        <v/>
      </c>
      <c r="AG496" s="74" t="str">
        <f t="shared" si="55"/>
        <v/>
      </c>
      <c r="AH496" s="73" t="str">
        <f t="shared" si="56"/>
        <v/>
      </c>
      <c r="AI496" s="52"/>
      <c r="AJ496" s="56"/>
      <c r="AK496" s="59"/>
      <c r="AL496" s="60"/>
      <c r="AM496" s="54"/>
      <c r="AN496" s="14"/>
      <c r="AO496" s="15"/>
      <c r="AP496" s="91"/>
      <c r="AQ496" s="87"/>
      <c r="AR496" s="26"/>
      <c r="AS496" s="65"/>
      <c r="AT496" s="88"/>
      <c r="AU496" s="67"/>
      <c r="DA496" t="str" cm="1">
        <f t="array" ref="DA496">IF(U496&lt;&gt;"", TRANSPOSE(_xlfn._xlws.FILTER(CZ:CZ, CY:CY=U496, "")), "")</f>
        <v/>
      </c>
    </row>
    <row r="497" spans="2:105" ht="15" customHeight="1">
      <c r="B497" s="34">
        <v>493</v>
      </c>
      <c r="C497" s="36" t="s">
        <v>2362</v>
      </c>
      <c r="D497" s="76"/>
      <c r="E497" s="37" t="str">
        <f>IF(Table5[[#This Row],[Query Date]]&lt;&gt;"", TEXT(Table5[[#This Row],[Query Date]], "dddd"), "")</f>
        <v/>
      </c>
      <c r="F497" s="37" t="str">
        <f>IF(Table5[[#This Row],[Query Date]]&lt;&gt;"", TEXT(Table5[[#This Row],[Query Date]], "mmmm"), "")</f>
        <v/>
      </c>
      <c r="G497" s="28"/>
      <c r="H497" s="28"/>
      <c r="I497" s="28"/>
      <c r="J497" s="28"/>
      <c r="K497" s="28"/>
      <c r="L497" s="25"/>
      <c r="M497" s="25"/>
      <c r="N497" s="25"/>
      <c r="O497" s="130"/>
      <c r="P497" s="47"/>
      <c r="Q497" s="77"/>
      <c r="R497" s="77" t="str">
        <f>IF(Table5[[#This Row],[Tour Starting Date]]&lt;&gt;"", TEXT(Table5[[#This Row],[Tour Starting Date]], "dddd"), "")</f>
        <v/>
      </c>
      <c r="S497" s="77"/>
      <c r="T497" s="25" t="str">
        <f>IF(Table5[[#This Row],[Tour Ending Date]]&lt;&gt;"", TEXT(Table5[[#This Row],[Tour Ending Date]], "dddd"), "")</f>
        <v/>
      </c>
      <c r="U49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97" s="37" t="str">
        <f>IF(Table5[[#This Row],[Tour Starting Date]]&lt;&gt;"", TEXT(Table5[[#This Row],[Tour Starting Date]], "mmmm"), "")</f>
        <v/>
      </c>
      <c r="W497" s="80" t="str" cm="1">
        <f t="array" ref="W497">IF(Q497&lt;&gt;"", INDEX(CI:CI, MATCH(1, (Q497&gt;=CG:CG)*(Q497&lt;=CH:CH), 0)), "")</f>
        <v/>
      </c>
      <c r="X497" s="39"/>
      <c r="Y497" s="74"/>
      <c r="Z497" s="74" t="str">
        <f>IF(OR(Table5[[#This Row],[Per Person Package Cost]]="", Table5[[#This Row],[No. of Pax]]=""), "", Table5[[#This Row],[Per Person Package Cost]] * Table5[[#This Row],[No. of Pax]])</f>
        <v/>
      </c>
      <c r="AA497" s="52"/>
      <c r="AB497" s="52"/>
      <c r="AC497" s="52"/>
      <c r="AD497" s="52"/>
      <c r="AE497" s="51" t="str">
        <f t="shared" si="53"/>
        <v/>
      </c>
      <c r="AF497" s="51" t="str">
        <f t="shared" si="54"/>
        <v/>
      </c>
      <c r="AG497" s="74" t="str">
        <f t="shared" si="55"/>
        <v/>
      </c>
      <c r="AH497" s="73" t="str">
        <f t="shared" si="56"/>
        <v/>
      </c>
      <c r="AI497" s="52"/>
      <c r="AJ497" s="56"/>
      <c r="AK497" s="59"/>
      <c r="AL497" s="60"/>
      <c r="AM497" s="54"/>
      <c r="AN497" s="14"/>
      <c r="AO497" s="15"/>
      <c r="AP497" s="91"/>
      <c r="AQ497" s="87"/>
      <c r="AR497" s="26"/>
      <c r="AS497" s="65"/>
      <c r="AT497" s="88"/>
      <c r="AU497" s="67"/>
      <c r="DA497" t="str" cm="1">
        <f t="array" ref="DA497">IF(U497&lt;&gt;"", TRANSPOSE(_xlfn._xlws.FILTER(CZ:CZ, CY:CY=U497, "")), "")</f>
        <v/>
      </c>
    </row>
    <row r="498" spans="2:105" ht="15" customHeight="1">
      <c r="B498" s="35">
        <v>494</v>
      </c>
      <c r="C498" s="36" t="s">
        <v>2363</v>
      </c>
      <c r="D498" s="76"/>
      <c r="E498" s="37" t="str">
        <f>IF(Table5[[#This Row],[Query Date]]&lt;&gt;"", TEXT(Table5[[#This Row],[Query Date]], "dddd"), "")</f>
        <v/>
      </c>
      <c r="F498" s="37" t="str">
        <f>IF(Table5[[#This Row],[Query Date]]&lt;&gt;"", TEXT(Table5[[#This Row],[Query Date]], "mmmm"), "")</f>
        <v/>
      </c>
      <c r="G498" s="28"/>
      <c r="H498" s="28"/>
      <c r="I498" s="28"/>
      <c r="J498" s="28"/>
      <c r="K498" s="28"/>
      <c r="L498" s="25"/>
      <c r="M498" s="25"/>
      <c r="N498" s="110"/>
      <c r="O498" s="130"/>
      <c r="P498" s="47"/>
      <c r="Q498" s="77"/>
      <c r="R498" s="77" t="str">
        <f>IF(Table5[[#This Row],[Tour Starting Date]]&lt;&gt;"", TEXT(Table5[[#This Row],[Tour Starting Date]], "dddd"), "")</f>
        <v/>
      </c>
      <c r="S498" s="77"/>
      <c r="T498" s="25" t="str">
        <f>IF(Table5[[#This Row],[Tour Ending Date]]&lt;&gt;"", TEXT(Table5[[#This Row],[Tour Ending Date]], "dddd"), "")</f>
        <v/>
      </c>
      <c r="U49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98" s="37" t="str">
        <f>IF(Table5[[#This Row],[Tour Starting Date]]&lt;&gt;"", TEXT(Table5[[#This Row],[Tour Starting Date]], "mmmm"), "")</f>
        <v/>
      </c>
      <c r="W498" s="80" t="str" cm="1">
        <f t="array" ref="W498">IF(Q498&lt;&gt;"", INDEX(CI:CI, MATCH(1, (Q498&gt;=CG:CG)*(Q498&lt;=CH:CH), 0)), "")</f>
        <v/>
      </c>
      <c r="X498" s="39"/>
      <c r="Y498" s="74"/>
      <c r="Z498" s="74" t="str">
        <f>IF(OR(Table5[[#This Row],[Per Person Package Cost]]="", Table5[[#This Row],[No. of Pax]]=""), "", Table5[[#This Row],[Per Person Package Cost]] * Table5[[#This Row],[No. of Pax]])</f>
        <v/>
      </c>
      <c r="AA498" s="52"/>
      <c r="AB498" s="52"/>
      <c r="AC498" s="52"/>
      <c r="AD498" s="52"/>
      <c r="AE498" s="51" t="str">
        <f t="shared" si="53"/>
        <v/>
      </c>
      <c r="AF498" s="51" t="str">
        <f t="shared" si="54"/>
        <v/>
      </c>
      <c r="AG498" s="74" t="str">
        <f t="shared" si="55"/>
        <v/>
      </c>
      <c r="AH498" s="73" t="str">
        <f t="shared" si="56"/>
        <v/>
      </c>
      <c r="AI498" s="52"/>
      <c r="AJ498" s="56"/>
      <c r="AK498" s="59"/>
      <c r="AL498" s="60"/>
      <c r="AM498" s="54"/>
      <c r="AN498" s="14"/>
      <c r="AO498" s="15"/>
      <c r="AP498" s="91"/>
      <c r="AQ498" s="87"/>
      <c r="AR498" s="26"/>
      <c r="AS498" s="65"/>
      <c r="AT498" s="88"/>
      <c r="AU498" s="67"/>
      <c r="DA498" t="str" cm="1">
        <f t="array" ref="DA498">IF(U498&lt;&gt;"", TRANSPOSE(_xlfn._xlws.FILTER(CZ:CZ, CY:CY=U498, "")), "")</f>
        <v/>
      </c>
    </row>
    <row r="499" spans="2:105" ht="15" customHeight="1">
      <c r="B499" s="34">
        <v>495</v>
      </c>
      <c r="C499" s="36" t="s">
        <v>2364</v>
      </c>
      <c r="D499" s="76"/>
      <c r="E499" s="37" t="str">
        <f>IF(Table5[[#This Row],[Query Date]]&lt;&gt;"", TEXT(Table5[[#This Row],[Query Date]], "dddd"), "")</f>
        <v/>
      </c>
      <c r="F499" s="37" t="str">
        <f>IF(Table5[[#This Row],[Query Date]]&lt;&gt;"", TEXT(Table5[[#This Row],[Query Date]], "mmmm"), "")</f>
        <v/>
      </c>
      <c r="G499" s="28"/>
      <c r="H499" s="28"/>
      <c r="I499" s="28"/>
      <c r="J499" s="28"/>
      <c r="K499" s="28"/>
      <c r="L499" s="25"/>
      <c r="M499" s="25"/>
      <c r="N499" s="25"/>
      <c r="O499" s="130"/>
      <c r="P499" s="47"/>
      <c r="Q499" s="77"/>
      <c r="R499" s="77" t="str">
        <f>IF(Table5[[#This Row],[Tour Starting Date]]&lt;&gt;"", TEXT(Table5[[#This Row],[Tour Starting Date]], "dddd"), "")</f>
        <v/>
      </c>
      <c r="S499" s="77"/>
      <c r="T499" s="25" t="str">
        <f>IF(Table5[[#This Row],[Tour Ending Date]]&lt;&gt;"", TEXT(Table5[[#This Row],[Tour Ending Date]], "dddd"), "")</f>
        <v/>
      </c>
      <c r="U49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499" s="37" t="str">
        <f>IF(Table5[[#This Row],[Tour Starting Date]]&lt;&gt;"", TEXT(Table5[[#This Row],[Tour Starting Date]], "mmmm"), "")</f>
        <v/>
      </c>
      <c r="W499" s="80" t="str" cm="1">
        <f t="array" ref="W499">IF(Q499&lt;&gt;"", INDEX(CI:CI, MATCH(1, (Q499&gt;=CG:CG)*(Q499&lt;=CH:CH), 0)), "")</f>
        <v/>
      </c>
      <c r="X499" s="39"/>
      <c r="Y499" s="74"/>
      <c r="Z499" s="74" t="str">
        <f>IF(OR(Table5[[#This Row],[Per Person Package Cost]]="", Table5[[#This Row],[No. of Pax]]=""), "", Table5[[#This Row],[Per Person Package Cost]] * Table5[[#This Row],[No. of Pax]])</f>
        <v/>
      </c>
      <c r="AA499" s="52"/>
      <c r="AB499" s="52"/>
      <c r="AC499" s="52"/>
      <c r="AD499" s="52"/>
      <c r="AE499" s="51" t="str">
        <f t="shared" si="53"/>
        <v/>
      </c>
      <c r="AF499" s="51" t="str">
        <f t="shared" si="54"/>
        <v/>
      </c>
      <c r="AG499" s="74" t="str">
        <f t="shared" si="55"/>
        <v/>
      </c>
      <c r="AH499" s="73" t="str">
        <f t="shared" si="56"/>
        <v/>
      </c>
      <c r="AI499" s="52"/>
      <c r="AJ499" s="56"/>
      <c r="AK499" s="59"/>
      <c r="AL499" s="60"/>
      <c r="AM499" s="54"/>
      <c r="AN499" s="14"/>
      <c r="AO499" s="15"/>
      <c r="AP499" s="91"/>
      <c r="AQ499" s="87"/>
      <c r="AR499" s="26"/>
      <c r="AS499" s="65"/>
      <c r="AT499" s="88"/>
      <c r="AU499" s="67"/>
      <c r="DA499" t="str" cm="1">
        <f t="array" ref="DA499">IF(U499&lt;&gt;"", TRANSPOSE(_xlfn._xlws.FILTER(CZ:CZ, CY:CY=U499, "")), "")</f>
        <v/>
      </c>
    </row>
    <row r="500" spans="2:105" ht="15" customHeight="1">
      <c r="B500" s="35">
        <v>496</v>
      </c>
      <c r="C500" s="36" t="s">
        <v>2365</v>
      </c>
      <c r="D500" s="76"/>
      <c r="E500" s="37" t="str">
        <f>IF(Table5[[#This Row],[Query Date]]&lt;&gt;"", TEXT(Table5[[#This Row],[Query Date]], "dddd"), "")</f>
        <v/>
      </c>
      <c r="F500" s="37" t="str">
        <f>IF(Table5[[#This Row],[Query Date]]&lt;&gt;"", TEXT(Table5[[#This Row],[Query Date]], "mmmm"), "")</f>
        <v/>
      </c>
      <c r="G500" s="28"/>
      <c r="H500" s="28"/>
      <c r="I500" s="28"/>
      <c r="J500" s="28"/>
      <c r="K500" s="28"/>
      <c r="L500" s="25"/>
      <c r="M500" s="25"/>
      <c r="N500" s="25"/>
      <c r="O500" s="130"/>
      <c r="P500" s="47"/>
      <c r="Q500" s="77"/>
      <c r="R500" s="77" t="str">
        <f>IF(Table5[[#This Row],[Tour Starting Date]]&lt;&gt;"", TEXT(Table5[[#This Row],[Tour Starting Date]], "dddd"), "")</f>
        <v/>
      </c>
      <c r="S500" s="77"/>
      <c r="T500" s="25" t="str">
        <f>IF(Table5[[#This Row],[Tour Ending Date]]&lt;&gt;"", TEXT(Table5[[#This Row],[Tour Ending Date]], "dddd"), "")</f>
        <v/>
      </c>
      <c r="U50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00" s="37" t="str">
        <f>IF(Table5[[#This Row],[Tour Starting Date]]&lt;&gt;"", TEXT(Table5[[#This Row],[Tour Starting Date]], "mmmm"), "")</f>
        <v/>
      </c>
      <c r="W500" s="80" t="str" cm="1">
        <f t="array" ref="W500">IF(Q500&lt;&gt;"", INDEX(CI:CI, MATCH(1, (Q500&gt;=CG:CG)*(Q500&lt;=CH:CH), 0)), "")</f>
        <v/>
      </c>
      <c r="X500" s="39"/>
      <c r="Y500" s="74"/>
      <c r="Z500" s="74" t="str">
        <f>IF(OR(Table5[[#This Row],[Per Person Package Cost]]="", Table5[[#This Row],[No. of Pax]]=""), "", Table5[[#This Row],[Per Person Package Cost]] * Table5[[#This Row],[No. of Pax]])</f>
        <v/>
      </c>
      <c r="AA500" s="52"/>
      <c r="AB500" s="52"/>
      <c r="AC500" s="52"/>
      <c r="AD500" s="52"/>
      <c r="AE500" s="51" t="str">
        <f t="shared" si="53"/>
        <v/>
      </c>
      <c r="AF500" s="51" t="str">
        <f t="shared" si="54"/>
        <v/>
      </c>
      <c r="AG500" s="74" t="str">
        <f t="shared" si="55"/>
        <v/>
      </c>
      <c r="AH500" s="73" t="str">
        <f t="shared" si="56"/>
        <v/>
      </c>
      <c r="AI500" s="52"/>
      <c r="AJ500" s="56"/>
      <c r="AK500" s="59"/>
      <c r="AL500" s="60"/>
      <c r="AM500" s="54"/>
      <c r="AN500" s="14"/>
      <c r="AO500" s="15"/>
      <c r="AP500" s="91"/>
      <c r="AQ500" s="87"/>
      <c r="AR500" s="26"/>
      <c r="AS500" s="65"/>
      <c r="AT500" s="88"/>
      <c r="AU500" s="67"/>
      <c r="DA500" t="str" cm="1">
        <f t="array" ref="DA500">IF(U500&lt;&gt;"", TRANSPOSE(_xlfn._xlws.FILTER(CZ:CZ, CY:CY=U500, "")), "")</f>
        <v/>
      </c>
    </row>
    <row r="501" spans="2:105" ht="15" customHeight="1">
      <c r="B501" s="34">
        <v>497</v>
      </c>
      <c r="C501" s="36" t="s">
        <v>2366</v>
      </c>
      <c r="D501" s="76"/>
      <c r="E501" s="37" t="str">
        <f>IF(Table5[[#This Row],[Query Date]]&lt;&gt;"", TEXT(Table5[[#This Row],[Query Date]], "dddd"), "")</f>
        <v/>
      </c>
      <c r="F501" s="37" t="str">
        <f>IF(Table5[[#This Row],[Query Date]]&lt;&gt;"", TEXT(Table5[[#This Row],[Query Date]], "mmmm"), "")</f>
        <v/>
      </c>
      <c r="G501" s="28"/>
      <c r="H501" s="28"/>
      <c r="I501" s="28"/>
      <c r="J501" s="28"/>
      <c r="K501" s="28"/>
      <c r="L501" s="25"/>
      <c r="M501" s="25"/>
      <c r="N501" s="25"/>
      <c r="O501" s="130"/>
      <c r="P501" s="47"/>
      <c r="Q501" s="77"/>
      <c r="R501" s="77" t="str">
        <f>IF(Table5[[#This Row],[Tour Starting Date]]&lt;&gt;"", TEXT(Table5[[#This Row],[Tour Starting Date]], "dddd"), "")</f>
        <v/>
      </c>
      <c r="S501" s="77"/>
      <c r="T501" s="25" t="str">
        <f>IF(Table5[[#This Row],[Tour Ending Date]]&lt;&gt;"", TEXT(Table5[[#This Row],[Tour Ending Date]], "dddd"), "")</f>
        <v/>
      </c>
      <c r="U50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01" s="37" t="str">
        <f>IF(Table5[[#This Row],[Tour Starting Date]]&lt;&gt;"", TEXT(Table5[[#This Row],[Tour Starting Date]], "mmmm"), "")</f>
        <v/>
      </c>
      <c r="W501" s="80" t="str" cm="1">
        <f t="array" ref="W501">IF(Q501&lt;&gt;"", INDEX(CI:CI, MATCH(1, (Q501&gt;=CG:CG)*(Q501&lt;=CH:CH), 0)), "")</f>
        <v/>
      </c>
      <c r="X501" s="39"/>
      <c r="Y501" s="74"/>
      <c r="Z501" s="74" t="str">
        <f>IF(OR(Table5[[#This Row],[Per Person Package Cost]]="", Table5[[#This Row],[No. of Pax]]=""), "", Table5[[#This Row],[Per Person Package Cost]] * Table5[[#This Row],[No. of Pax]])</f>
        <v/>
      </c>
      <c r="AA501" s="52"/>
      <c r="AB501" s="52"/>
      <c r="AC501" s="52"/>
      <c r="AD501" s="52"/>
      <c r="AE501" s="51" t="str">
        <f t="shared" si="53"/>
        <v/>
      </c>
      <c r="AF501" s="51" t="str">
        <f t="shared" si="54"/>
        <v/>
      </c>
      <c r="AG501" s="74" t="str">
        <f t="shared" si="55"/>
        <v/>
      </c>
      <c r="AH501" s="73" t="str">
        <f t="shared" si="56"/>
        <v/>
      </c>
      <c r="AI501" s="52"/>
      <c r="AJ501" s="56"/>
      <c r="AK501" s="59"/>
      <c r="AL501" s="60"/>
      <c r="AM501" s="54"/>
      <c r="AN501" s="14"/>
      <c r="AO501" s="15"/>
      <c r="AP501" s="91"/>
      <c r="AQ501" s="87"/>
      <c r="AR501" s="26"/>
      <c r="AS501" s="65"/>
      <c r="AT501" s="88"/>
      <c r="AU501" s="67"/>
      <c r="DA501" t="str" cm="1">
        <f t="array" ref="DA501">IF(U501&lt;&gt;"", TRANSPOSE(_xlfn._xlws.FILTER(CZ:CZ, CY:CY=U501, "")), "")</f>
        <v/>
      </c>
    </row>
    <row r="502" spans="2:105" ht="15" customHeight="1">
      <c r="B502" s="35">
        <v>498</v>
      </c>
      <c r="C502" s="36" t="s">
        <v>2367</v>
      </c>
      <c r="D502" s="76"/>
      <c r="E502" s="37" t="str">
        <f>IF(Table5[[#This Row],[Query Date]]&lt;&gt;"", TEXT(Table5[[#This Row],[Query Date]], "dddd"), "")</f>
        <v/>
      </c>
      <c r="F502" s="37" t="str">
        <f>IF(Table5[[#This Row],[Query Date]]&lt;&gt;"", TEXT(Table5[[#This Row],[Query Date]], "mmmm"), "")</f>
        <v/>
      </c>
      <c r="G502" s="28"/>
      <c r="H502" s="28"/>
      <c r="I502" s="28"/>
      <c r="J502" s="28"/>
      <c r="K502" s="28"/>
      <c r="L502" s="25"/>
      <c r="M502" s="25"/>
      <c r="N502" s="25"/>
      <c r="O502" s="130"/>
      <c r="P502" s="47"/>
      <c r="Q502" s="77"/>
      <c r="R502" s="77" t="str">
        <f>IF(Table5[[#This Row],[Tour Starting Date]]&lt;&gt;"", TEXT(Table5[[#This Row],[Tour Starting Date]], "dddd"), "")</f>
        <v/>
      </c>
      <c r="S502" s="77"/>
      <c r="T502" s="25" t="str">
        <f>IF(Table5[[#This Row],[Tour Ending Date]]&lt;&gt;"", TEXT(Table5[[#This Row],[Tour Ending Date]], "dddd"), "")</f>
        <v/>
      </c>
      <c r="U50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02" s="37" t="str">
        <f>IF(Table5[[#This Row],[Tour Starting Date]]&lt;&gt;"", TEXT(Table5[[#This Row],[Tour Starting Date]], "mmmm"), "")</f>
        <v/>
      </c>
      <c r="W502" s="80" t="str" cm="1">
        <f t="array" ref="W502">IF(Q502&lt;&gt;"", INDEX(CI:CI, MATCH(1, (Q502&gt;=CG:CG)*(Q502&lt;=CH:CH), 0)), "")</f>
        <v/>
      </c>
      <c r="X502" s="39"/>
      <c r="Y502" s="74"/>
      <c r="Z502" s="74" t="str">
        <f>IF(OR(Table5[[#This Row],[Per Person Package Cost]]="", Table5[[#This Row],[No. of Pax]]=""), "", Table5[[#This Row],[Per Person Package Cost]] * Table5[[#This Row],[No. of Pax]])</f>
        <v/>
      </c>
      <c r="AA502" s="52"/>
      <c r="AB502" s="52"/>
      <c r="AC502" s="52"/>
      <c r="AD502" s="52"/>
      <c r="AE502" s="51" t="str">
        <f t="shared" si="53"/>
        <v/>
      </c>
      <c r="AF502" s="51" t="str">
        <f t="shared" si="54"/>
        <v/>
      </c>
      <c r="AG502" s="74" t="str">
        <f t="shared" si="55"/>
        <v/>
      </c>
      <c r="AH502" s="73" t="str">
        <f t="shared" si="56"/>
        <v/>
      </c>
      <c r="AI502" s="52"/>
      <c r="AJ502" s="56"/>
      <c r="AK502" s="59"/>
      <c r="AL502" s="60"/>
      <c r="AM502" s="54"/>
      <c r="AN502" s="14"/>
      <c r="AO502" s="15"/>
      <c r="AP502" s="91"/>
      <c r="AQ502" s="87"/>
      <c r="AR502" s="26"/>
      <c r="AS502" s="65"/>
      <c r="AT502" s="88"/>
      <c r="AU502" s="67"/>
      <c r="DA502" t="str" cm="1">
        <f t="array" ref="DA502">IF(U502&lt;&gt;"", TRANSPOSE(_xlfn._xlws.FILTER(CZ:CZ, CY:CY=U502, "")), "")</f>
        <v/>
      </c>
    </row>
    <row r="503" spans="2:105" ht="15" customHeight="1">
      <c r="B503" s="34">
        <v>499</v>
      </c>
      <c r="C503" s="36" t="s">
        <v>2368</v>
      </c>
      <c r="D503" s="76"/>
      <c r="E503" s="37" t="str">
        <f>IF(Table5[[#This Row],[Query Date]]&lt;&gt;"", TEXT(Table5[[#This Row],[Query Date]], "dddd"), "")</f>
        <v/>
      </c>
      <c r="F503" s="37" t="str">
        <f>IF(Table5[[#This Row],[Query Date]]&lt;&gt;"", TEXT(Table5[[#This Row],[Query Date]], "mmmm"), "")</f>
        <v/>
      </c>
      <c r="G503" s="28"/>
      <c r="H503" s="28"/>
      <c r="I503" s="28"/>
      <c r="J503" s="28"/>
      <c r="K503" s="28"/>
      <c r="L503" s="25"/>
      <c r="M503" s="25"/>
      <c r="N503" s="25"/>
      <c r="O503" s="130"/>
      <c r="P503" s="47"/>
      <c r="Q503" s="77"/>
      <c r="R503" s="77" t="str">
        <f>IF(Table5[[#This Row],[Tour Starting Date]]&lt;&gt;"", TEXT(Table5[[#This Row],[Tour Starting Date]], "dddd"), "")</f>
        <v/>
      </c>
      <c r="S503" s="77"/>
      <c r="T503" s="25" t="str">
        <f>IF(Table5[[#This Row],[Tour Ending Date]]&lt;&gt;"", TEXT(Table5[[#This Row],[Tour Ending Date]], "dddd"), "")</f>
        <v/>
      </c>
      <c r="U50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03" s="37" t="str">
        <f>IF(Table5[[#This Row],[Tour Starting Date]]&lt;&gt;"", TEXT(Table5[[#This Row],[Tour Starting Date]], "mmmm"), "")</f>
        <v/>
      </c>
      <c r="W503" s="80" t="str" cm="1">
        <f t="array" ref="W503">IF(Q503&lt;&gt;"", INDEX(CI:CI, MATCH(1, (Q503&gt;=CG:CG)*(Q503&lt;=CH:CH), 0)), "")</f>
        <v/>
      </c>
      <c r="X503" s="39"/>
      <c r="Y503" s="74"/>
      <c r="Z503" s="74" t="str">
        <f>IF(OR(Table5[[#This Row],[Per Person Package Cost]]="", Table5[[#This Row],[No. of Pax]]=""), "", Table5[[#This Row],[Per Person Package Cost]] * Table5[[#This Row],[No. of Pax]])</f>
        <v/>
      </c>
      <c r="AA503" s="52"/>
      <c r="AB503" s="52"/>
      <c r="AC503" s="52"/>
      <c r="AD503" s="52"/>
      <c r="AE503" s="51" t="str">
        <f t="shared" si="53"/>
        <v/>
      </c>
      <c r="AF503" s="51" t="str">
        <f t="shared" si="54"/>
        <v/>
      </c>
      <c r="AG503" s="74" t="str">
        <f t="shared" si="55"/>
        <v/>
      </c>
      <c r="AH503" s="73" t="str">
        <f t="shared" si="56"/>
        <v/>
      </c>
      <c r="AI503" s="52"/>
      <c r="AJ503" s="56"/>
      <c r="AK503" s="59"/>
      <c r="AL503" s="60"/>
      <c r="AM503" s="54"/>
      <c r="AN503" s="14"/>
      <c r="AO503" s="15"/>
      <c r="AP503" s="91"/>
      <c r="AQ503" s="87"/>
      <c r="AR503" s="26"/>
      <c r="AS503" s="65"/>
      <c r="AT503" s="88"/>
      <c r="AU503" s="67"/>
      <c r="DA503" t="str" cm="1">
        <f t="array" ref="DA503">IF(U503&lt;&gt;"", TRANSPOSE(_xlfn._xlws.FILTER(CZ:CZ, CY:CY=U503, "")), "")</f>
        <v/>
      </c>
    </row>
    <row r="504" spans="2:105" ht="15" customHeight="1">
      <c r="B504" s="35">
        <v>500</v>
      </c>
      <c r="C504" s="36" t="s">
        <v>2369</v>
      </c>
      <c r="D504" s="76"/>
      <c r="E504" s="37" t="str">
        <f>IF(Table5[[#This Row],[Query Date]]&lt;&gt;"", TEXT(Table5[[#This Row],[Query Date]], "dddd"), "")</f>
        <v/>
      </c>
      <c r="F504" s="37" t="str">
        <f>IF(Table5[[#This Row],[Query Date]]&lt;&gt;"", TEXT(Table5[[#This Row],[Query Date]], "mmmm"), "")</f>
        <v/>
      </c>
      <c r="G504" s="28"/>
      <c r="H504" s="28"/>
      <c r="I504" s="28"/>
      <c r="J504" s="28"/>
      <c r="K504" s="28"/>
      <c r="L504" s="25"/>
      <c r="M504" s="25"/>
      <c r="N504" s="25"/>
      <c r="O504" s="130"/>
      <c r="P504" s="47"/>
      <c r="Q504" s="77"/>
      <c r="R504" s="77" t="str">
        <f>IF(Table5[[#This Row],[Tour Starting Date]]&lt;&gt;"", TEXT(Table5[[#This Row],[Tour Starting Date]], "dddd"), "")</f>
        <v/>
      </c>
      <c r="S504" s="77"/>
      <c r="T504" s="25" t="str">
        <f>IF(Table5[[#This Row],[Tour Ending Date]]&lt;&gt;"", TEXT(Table5[[#This Row],[Tour Ending Date]], "dddd"), "")</f>
        <v/>
      </c>
      <c r="U50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04" s="37" t="str">
        <f>IF(Table5[[#This Row],[Tour Starting Date]]&lt;&gt;"", TEXT(Table5[[#This Row],[Tour Starting Date]], "mmmm"), "")</f>
        <v/>
      </c>
      <c r="W504" s="80" t="str" cm="1">
        <f t="array" ref="W504">IF(Q504&lt;&gt;"", INDEX(CI:CI, MATCH(1, (Q504&gt;=CG:CG)*(Q504&lt;=CH:CH), 0)), "")</f>
        <v/>
      </c>
      <c r="X504" s="39"/>
      <c r="Y504" s="74"/>
      <c r="Z504" s="74" t="str">
        <f>IF(OR(Table5[[#This Row],[Per Person Package Cost]]="", Table5[[#This Row],[No. of Pax]]=""), "", Table5[[#This Row],[Per Person Package Cost]] * Table5[[#This Row],[No. of Pax]])</f>
        <v/>
      </c>
      <c r="AA504" s="52"/>
      <c r="AB504" s="52"/>
      <c r="AC504" s="52"/>
      <c r="AD504" s="52"/>
      <c r="AE504" s="51" t="str">
        <f t="shared" si="53"/>
        <v/>
      </c>
      <c r="AF504" s="51" t="str">
        <f t="shared" si="54"/>
        <v/>
      </c>
      <c r="AG504" s="74" t="str">
        <f t="shared" si="55"/>
        <v/>
      </c>
      <c r="AH504" s="73" t="str">
        <f t="shared" si="56"/>
        <v/>
      </c>
      <c r="AI504" s="52"/>
      <c r="AJ504" s="56"/>
      <c r="AK504" s="59"/>
      <c r="AL504" s="60"/>
      <c r="AM504" s="54"/>
      <c r="AN504" s="14"/>
      <c r="AO504" s="15"/>
      <c r="AP504" s="91"/>
      <c r="AQ504" s="87"/>
      <c r="AR504" s="26"/>
      <c r="AS504" s="65"/>
      <c r="AT504" s="88"/>
      <c r="AU504" s="67"/>
      <c r="DA504" t="str" cm="1">
        <f t="array" ref="DA504">IF(U504&lt;&gt;"", TRANSPOSE(_xlfn._xlws.FILTER(CZ:CZ, CY:CY=U504, "")), "")</f>
        <v/>
      </c>
    </row>
    <row r="505" spans="2:105" ht="15" customHeight="1">
      <c r="B505" s="34">
        <v>501</v>
      </c>
      <c r="C505" s="36" t="s">
        <v>2370</v>
      </c>
      <c r="D505" s="76"/>
      <c r="E505" s="37" t="str">
        <f>IF(Table5[[#This Row],[Query Date]]&lt;&gt;"", TEXT(Table5[[#This Row],[Query Date]], "dddd"), "")</f>
        <v/>
      </c>
      <c r="F505" s="37" t="str">
        <f>IF(Table5[[#This Row],[Query Date]]&lt;&gt;"", TEXT(Table5[[#This Row],[Query Date]], "mmmm"), "")</f>
        <v/>
      </c>
      <c r="G505" s="28"/>
      <c r="H505" s="28"/>
      <c r="I505" s="28"/>
      <c r="J505" s="28"/>
      <c r="K505" s="28"/>
      <c r="L505" s="25"/>
      <c r="M505" s="25"/>
      <c r="N505" s="25"/>
      <c r="O505" s="130"/>
      <c r="P505" s="47"/>
      <c r="Q505" s="77"/>
      <c r="R505" s="77" t="str">
        <f>IF(Table5[[#This Row],[Tour Starting Date]]&lt;&gt;"", TEXT(Table5[[#This Row],[Tour Starting Date]], "dddd"), "")</f>
        <v/>
      </c>
      <c r="S505" s="77"/>
      <c r="T505" s="25" t="str">
        <f>IF(Table5[[#This Row],[Tour Ending Date]]&lt;&gt;"", TEXT(Table5[[#This Row],[Tour Ending Date]], "dddd"), "")</f>
        <v/>
      </c>
      <c r="U50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05" s="37" t="str">
        <f>IF(Table5[[#This Row],[Tour Starting Date]]&lt;&gt;"", TEXT(Table5[[#This Row],[Tour Starting Date]], "mmmm"), "")</f>
        <v/>
      </c>
      <c r="W505" s="80" t="str" cm="1">
        <f t="array" ref="W505">IF(Q505&lt;&gt;"", INDEX(CI:CI, MATCH(1, (Q505&gt;=CG:CG)*(Q505&lt;=CH:CH), 0)), "")</f>
        <v/>
      </c>
      <c r="X505" s="39"/>
      <c r="Y505" s="74"/>
      <c r="Z505" s="74" t="str">
        <f>IF(OR(Table5[[#This Row],[Per Person Package Cost]]="", Table5[[#This Row],[No. of Pax]]=""), "", Table5[[#This Row],[Per Person Package Cost]] * Table5[[#This Row],[No. of Pax]])</f>
        <v/>
      </c>
      <c r="AA505" s="52"/>
      <c r="AB505" s="52"/>
      <c r="AC505" s="52"/>
      <c r="AD505" s="52"/>
      <c r="AE505" s="51" t="str">
        <f t="shared" si="53"/>
        <v/>
      </c>
      <c r="AF505" s="51" t="str">
        <f t="shared" si="54"/>
        <v/>
      </c>
      <c r="AG505" s="74" t="str">
        <f t="shared" si="55"/>
        <v/>
      </c>
      <c r="AH505" s="73" t="str">
        <f t="shared" si="56"/>
        <v/>
      </c>
      <c r="AI505" s="52"/>
      <c r="AJ505" s="56"/>
      <c r="AK505" s="59"/>
      <c r="AL505" s="60"/>
      <c r="AM505" s="54"/>
      <c r="AN505" s="14"/>
      <c r="AO505" s="15"/>
      <c r="AP505" s="91"/>
      <c r="AQ505" s="87"/>
      <c r="AR505" s="26"/>
      <c r="AS505" s="65"/>
      <c r="AT505" s="88"/>
      <c r="AU505" s="67"/>
      <c r="DA505" t="str" cm="1">
        <f t="array" ref="DA505">IF(U505&lt;&gt;"", TRANSPOSE(_xlfn._xlws.FILTER(CZ:CZ, CY:CY=U505, "")), "")</f>
        <v/>
      </c>
    </row>
    <row r="506" spans="2:105" ht="15" customHeight="1">
      <c r="B506" s="35">
        <v>502</v>
      </c>
      <c r="C506" s="36" t="s">
        <v>2371</v>
      </c>
      <c r="D506" s="76"/>
      <c r="E506" s="37" t="str">
        <f>IF(Table5[[#This Row],[Query Date]]&lt;&gt;"", TEXT(Table5[[#This Row],[Query Date]], "dddd"), "")</f>
        <v/>
      </c>
      <c r="F506" s="37" t="str">
        <f>IF(Table5[[#This Row],[Query Date]]&lt;&gt;"", TEXT(Table5[[#This Row],[Query Date]], "mmmm"), "")</f>
        <v/>
      </c>
      <c r="G506" s="28"/>
      <c r="H506" s="28"/>
      <c r="I506" s="28"/>
      <c r="J506" s="28"/>
      <c r="K506" s="28"/>
      <c r="L506" s="25"/>
      <c r="M506" s="25"/>
      <c r="N506" s="25"/>
      <c r="O506" s="130"/>
      <c r="P506" s="47"/>
      <c r="Q506" s="77"/>
      <c r="R506" s="77" t="str">
        <f>IF(Table5[[#This Row],[Tour Starting Date]]&lt;&gt;"", TEXT(Table5[[#This Row],[Tour Starting Date]], "dddd"), "")</f>
        <v/>
      </c>
      <c r="S506" s="77"/>
      <c r="T506" s="25" t="str">
        <f>IF(Table5[[#This Row],[Tour Ending Date]]&lt;&gt;"", TEXT(Table5[[#This Row],[Tour Ending Date]], "dddd"), "")</f>
        <v/>
      </c>
      <c r="U50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06" s="37" t="str">
        <f>IF(Table5[[#This Row],[Tour Starting Date]]&lt;&gt;"", TEXT(Table5[[#This Row],[Tour Starting Date]], "mmmm"), "")</f>
        <v/>
      </c>
      <c r="W506" s="80" t="str" cm="1">
        <f t="array" ref="W506">IF(Q506&lt;&gt;"", INDEX(CI:CI, MATCH(1, (Q506&gt;=CG:CG)*(Q506&lt;=CH:CH), 0)), "")</f>
        <v/>
      </c>
      <c r="X506" s="39"/>
      <c r="Y506" s="74"/>
      <c r="Z506" s="74" t="str">
        <f>IF(OR(Table5[[#This Row],[Per Person Package Cost]]="", Table5[[#This Row],[No. of Pax]]=""), "", Table5[[#This Row],[Per Person Package Cost]] * Table5[[#This Row],[No. of Pax]])</f>
        <v/>
      </c>
      <c r="AA506" s="52"/>
      <c r="AB506" s="52"/>
      <c r="AC506" s="52"/>
      <c r="AD506" s="52"/>
      <c r="AE506" s="51" t="str">
        <f t="shared" si="53"/>
        <v/>
      </c>
      <c r="AF506" s="51" t="str">
        <f t="shared" si="54"/>
        <v/>
      </c>
      <c r="AG506" s="74" t="str">
        <f t="shared" si="55"/>
        <v/>
      </c>
      <c r="AH506" s="73" t="str">
        <f t="shared" si="56"/>
        <v/>
      </c>
      <c r="AI506" s="52"/>
      <c r="AJ506" s="56"/>
      <c r="AK506" s="59"/>
      <c r="AL506" s="60"/>
      <c r="AM506" s="54"/>
      <c r="AN506" s="14"/>
      <c r="AO506" s="15"/>
      <c r="AP506" s="91"/>
      <c r="AQ506" s="87"/>
      <c r="AR506" s="26"/>
      <c r="AS506" s="65"/>
      <c r="AT506" s="88"/>
      <c r="AU506" s="67"/>
      <c r="DA506" t="str" cm="1">
        <f t="array" ref="DA506">IF(U506&lt;&gt;"", TRANSPOSE(_xlfn._xlws.FILTER(CZ:CZ, CY:CY=U506, "")), "")</f>
        <v/>
      </c>
    </row>
    <row r="507" spans="2:105" ht="15" customHeight="1">
      <c r="B507" s="34">
        <v>503</v>
      </c>
      <c r="C507" s="36" t="s">
        <v>2372</v>
      </c>
      <c r="D507" s="76"/>
      <c r="E507" s="37" t="str">
        <f>IF(Table5[[#This Row],[Query Date]]&lt;&gt;"", TEXT(Table5[[#This Row],[Query Date]], "dddd"), "")</f>
        <v/>
      </c>
      <c r="F507" s="37" t="str">
        <f>IF(Table5[[#This Row],[Query Date]]&lt;&gt;"", TEXT(Table5[[#This Row],[Query Date]], "mmmm"), "")</f>
        <v/>
      </c>
      <c r="G507" s="28"/>
      <c r="H507" s="28"/>
      <c r="I507" s="28"/>
      <c r="J507" s="28"/>
      <c r="K507" s="28"/>
      <c r="L507" s="25"/>
      <c r="M507" s="25"/>
      <c r="N507" s="25"/>
      <c r="O507" s="130"/>
      <c r="P507" s="47"/>
      <c r="Q507" s="77"/>
      <c r="R507" s="77" t="str">
        <f>IF(Table5[[#This Row],[Tour Starting Date]]&lt;&gt;"", TEXT(Table5[[#This Row],[Tour Starting Date]], "dddd"), "")</f>
        <v/>
      </c>
      <c r="S507" s="77"/>
      <c r="T507" s="25" t="str">
        <f>IF(Table5[[#This Row],[Tour Ending Date]]&lt;&gt;"", TEXT(Table5[[#This Row],[Tour Ending Date]], "dddd"), "")</f>
        <v/>
      </c>
      <c r="U50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07" s="37" t="str">
        <f>IF(Table5[[#This Row],[Tour Starting Date]]&lt;&gt;"", TEXT(Table5[[#This Row],[Tour Starting Date]], "mmmm"), "")</f>
        <v/>
      </c>
      <c r="W507" s="80" t="str" cm="1">
        <f t="array" ref="W507">IF(Q507&lt;&gt;"", INDEX(CI:CI, MATCH(1, (Q507&gt;=CG:CG)*(Q507&lt;=CH:CH), 0)), "")</f>
        <v/>
      </c>
      <c r="X507" s="39"/>
      <c r="Y507" s="74"/>
      <c r="Z507" s="74" t="str">
        <f>IF(OR(Table5[[#This Row],[Per Person Package Cost]]="", Table5[[#This Row],[No. of Pax]]=""), "", Table5[[#This Row],[Per Person Package Cost]] * Table5[[#This Row],[No. of Pax]])</f>
        <v/>
      </c>
      <c r="AA507" s="52"/>
      <c r="AB507" s="52"/>
      <c r="AC507" s="52"/>
      <c r="AD507" s="52"/>
      <c r="AE507" s="51" t="str">
        <f t="shared" si="53"/>
        <v/>
      </c>
      <c r="AF507" s="51" t="str">
        <f t="shared" si="54"/>
        <v/>
      </c>
      <c r="AG507" s="74" t="str">
        <f t="shared" si="55"/>
        <v/>
      </c>
      <c r="AH507" s="73" t="str">
        <f t="shared" si="56"/>
        <v/>
      </c>
      <c r="AI507" s="52"/>
      <c r="AJ507" s="56"/>
      <c r="AK507" s="59"/>
      <c r="AL507" s="60"/>
      <c r="AM507" s="54"/>
      <c r="AN507" s="14"/>
      <c r="AO507" s="15"/>
      <c r="AP507" s="91"/>
      <c r="AQ507" s="87"/>
      <c r="AR507" s="26"/>
      <c r="AS507" s="65"/>
      <c r="AT507" s="88"/>
      <c r="AU507" s="67"/>
      <c r="DA507" t="str" cm="1">
        <f t="array" ref="DA507">IF(U507&lt;&gt;"", TRANSPOSE(_xlfn._xlws.FILTER(CZ:CZ, CY:CY=U507, "")), "")</f>
        <v/>
      </c>
    </row>
    <row r="508" spans="2:105" ht="15" customHeight="1">
      <c r="B508" s="35">
        <v>504</v>
      </c>
      <c r="C508" s="36" t="s">
        <v>2373</v>
      </c>
      <c r="D508" s="76"/>
      <c r="E508" s="37" t="str">
        <f>IF(Table5[[#This Row],[Query Date]]&lt;&gt;"", TEXT(Table5[[#This Row],[Query Date]], "dddd"), "")</f>
        <v/>
      </c>
      <c r="F508" s="37" t="str">
        <f>IF(Table5[[#This Row],[Query Date]]&lt;&gt;"", TEXT(Table5[[#This Row],[Query Date]], "mmmm"), "")</f>
        <v/>
      </c>
      <c r="G508" s="28"/>
      <c r="H508" s="28"/>
      <c r="I508" s="28"/>
      <c r="J508" s="28"/>
      <c r="K508" s="28"/>
      <c r="L508" s="25"/>
      <c r="M508" s="25"/>
      <c r="N508" s="25"/>
      <c r="O508" s="130"/>
      <c r="P508" s="47"/>
      <c r="Q508" s="77"/>
      <c r="R508" s="77" t="str">
        <f>IF(Table5[[#This Row],[Tour Starting Date]]&lt;&gt;"", TEXT(Table5[[#This Row],[Tour Starting Date]], "dddd"), "")</f>
        <v/>
      </c>
      <c r="S508" s="77"/>
      <c r="T508" s="25" t="str">
        <f>IF(Table5[[#This Row],[Tour Ending Date]]&lt;&gt;"", TEXT(Table5[[#This Row],[Tour Ending Date]], "dddd"), "")</f>
        <v/>
      </c>
      <c r="U50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08" s="37" t="str">
        <f>IF(Table5[[#This Row],[Tour Starting Date]]&lt;&gt;"", TEXT(Table5[[#This Row],[Tour Starting Date]], "mmmm"), "")</f>
        <v/>
      </c>
      <c r="W508" s="80" t="str" cm="1">
        <f t="array" ref="W508">IF(Q508&lt;&gt;"", INDEX(CI:CI, MATCH(1, (Q508&gt;=CG:CG)*(Q508&lt;=CH:CH), 0)), "")</f>
        <v/>
      </c>
      <c r="X508" s="39"/>
      <c r="Y508" s="74"/>
      <c r="Z508" s="74" t="str">
        <f>IF(OR(Table5[[#This Row],[Per Person Package Cost]]="", Table5[[#This Row],[No. of Pax]]=""), "", Table5[[#This Row],[Per Person Package Cost]] * Table5[[#This Row],[No. of Pax]])</f>
        <v/>
      </c>
      <c r="AA508" s="52"/>
      <c r="AB508" s="52"/>
      <c r="AC508" s="52"/>
      <c r="AD508" s="52"/>
      <c r="AE508" s="51" t="str">
        <f t="shared" si="53"/>
        <v/>
      </c>
      <c r="AF508" s="51" t="str">
        <f t="shared" si="54"/>
        <v/>
      </c>
      <c r="AG508" s="74" t="str">
        <f t="shared" si="55"/>
        <v/>
      </c>
      <c r="AH508" s="73" t="str">
        <f t="shared" si="56"/>
        <v/>
      </c>
      <c r="AI508" s="52"/>
      <c r="AJ508" s="56"/>
      <c r="AK508" s="59"/>
      <c r="AL508" s="60"/>
      <c r="AM508" s="54"/>
      <c r="AN508" s="14"/>
      <c r="AO508" s="15"/>
      <c r="AP508" s="91"/>
      <c r="AQ508" s="87"/>
      <c r="AR508" s="26"/>
      <c r="AS508" s="65"/>
      <c r="AT508" s="88"/>
      <c r="AU508" s="67"/>
      <c r="DA508" t="str" cm="1">
        <f t="array" ref="DA508">IF(U508&lt;&gt;"", TRANSPOSE(_xlfn._xlws.FILTER(CZ:CZ, CY:CY=U508, "")), "")</f>
        <v/>
      </c>
    </row>
    <row r="509" spans="2:105" ht="15" customHeight="1">
      <c r="B509" s="34">
        <v>505</v>
      </c>
      <c r="C509" s="36" t="s">
        <v>2374</v>
      </c>
      <c r="D509" s="76"/>
      <c r="E509" s="37" t="str">
        <f>IF(Table5[[#This Row],[Query Date]]&lt;&gt;"", TEXT(Table5[[#This Row],[Query Date]], "dddd"), "")</f>
        <v/>
      </c>
      <c r="F509" s="37" t="str">
        <f>IF(Table5[[#This Row],[Query Date]]&lt;&gt;"", TEXT(Table5[[#This Row],[Query Date]], "mmmm"), "")</f>
        <v/>
      </c>
      <c r="G509" s="28"/>
      <c r="H509" s="28"/>
      <c r="I509" s="28"/>
      <c r="J509" s="28"/>
      <c r="K509" s="28"/>
      <c r="L509" s="25"/>
      <c r="M509" s="25"/>
      <c r="N509" s="25"/>
      <c r="O509" s="130"/>
      <c r="P509" s="47"/>
      <c r="Q509" s="77"/>
      <c r="R509" s="77" t="str">
        <f>IF(Table5[[#This Row],[Tour Starting Date]]&lt;&gt;"", TEXT(Table5[[#This Row],[Tour Starting Date]], "dddd"), "")</f>
        <v/>
      </c>
      <c r="S509" s="77"/>
      <c r="T509" s="25" t="str">
        <f>IF(Table5[[#This Row],[Tour Ending Date]]&lt;&gt;"", TEXT(Table5[[#This Row],[Tour Ending Date]], "dddd"), "")</f>
        <v/>
      </c>
      <c r="U50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09" s="37" t="str">
        <f>IF(Table5[[#This Row],[Tour Starting Date]]&lt;&gt;"", TEXT(Table5[[#This Row],[Tour Starting Date]], "mmmm"), "")</f>
        <v/>
      </c>
      <c r="W509" s="80" t="str" cm="1">
        <f t="array" ref="W509">IF(Q509&lt;&gt;"", INDEX(CI:CI, MATCH(1, (Q509&gt;=CG:CG)*(Q509&lt;=CH:CH), 0)), "")</f>
        <v/>
      </c>
      <c r="X509" s="39"/>
      <c r="Y509" s="74"/>
      <c r="Z509" s="74" t="str">
        <f>IF(OR(Table5[[#This Row],[Per Person Package Cost]]="", Table5[[#This Row],[No. of Pax]]=""), "", Table5[[#This Row],[Per Person Package Cost]] * Table5[[#This Row],[No. of Pax]])</f>
        <v/>
      </c>
      <c r="AA509" s="52"/>
      <c r="AB509" s="52"/>
      <c r="AC509" s="52"/>
      <c r="AD509" s="52"/>
      <c r="AE509" s="51" t="str">
        <f t="shared" si="53"/>
        <v/>
      </c>
      <c r="AF509" s="51" t="str">
        <f t="shared" si="54"/>
        <v/>
      </c>
      <c r="AG509" s="74" t="str">
        <f t="shared" si="55"/>
        <v/>
      </c>
      <c r="AH509" s="73" t="str">
        <f t="shared" si="56"/>
        <v/>
      </c>
      <c r="AI509" s="52"/>
      <c r="AJ509" s="56"/>
      <c r="AK509" s="59"/>
      <c r="AL509" s="60"/>
      <c r="AM509" s="54"/>
      <c r="AN509" s="14"/>
      <c r="AO509" s="15"/>
      <c r="AP509" s="91"/>
      <c r="AQ509" s="87"/>
      <c r="AR509" s="26"/>
      <c r="AS509" s="65"/>
      <c r="AT509" s="88"/>
      <c r="AU509" s="67"/>
      <c r="DA509" t="str" cm="1">
        <f t="array" ref="DA509">IF(U509&lt;&gt;"", TRANSPOSE(_xlfn._xlws.FILTER(CZ:CZ, CY:CY=U509, "")), "")</f>
        <v/>
      </c>
    </row>
    <row r="510" spans="2:105" ht="15" customHeight="1">
      <c r="B510" s="35">
        <v>506</v>
      </c>
      <c r="C510" s="36" t="s">
        <v>2375</v>
      </c>
      <c r="D510" s="76"/>
      <c r="E510" s="37" t="str">
        <f>IF(Table5[[#This Row],[Query Date]]&lt;&gt;"", TEXT(Table5[[#This Row],[Query Date]], "dddd"), "")</f>
        <v/>
      </c>
      <c r="F510" s="37" t="str">
        <f>IF(Table5[[#This Row],[Query Date]]&lt;&gt;"", TEXT(Table5[[#This Row],[Query Date]], "mmmm"), "")</f>
        <v/>
      </c>
      <c r="G510" s="28"/>
      <c r="H510" s="28"/>
      <c r="I510" s="28"/>
      <c r="J510" s="28"/>
      <c r="K510" s="28"/>
      <c r="L510" s="25"/>
      <c r="M510" s="25"/>
      <c r="N510" s="25"/>
      <c r="O510" s="130"/>
      <c r="P510" s="47"/>
      <c r="Q510" s="77"/>
      <c r="R510" s="77" t="str">
        <f>IF(Table5[[#This Row],[Tour Starting Date]]&lt;&gt;"", TEXT(Table5[[#This Row],[Tour Starting Date]], "dddd"), "")</f>
        <v/>
      </c>
      <c r="S510" s="77"/>
      <c r="T510" s="25" t="str">
        <f>IF(Table5[[#This Row],[Tour Ending Date]]&lt;&gt;"", TEXT(Table5[[#This Row],[Tour Ending Date]], "dddd"), "")</f>
        <v/>
      </c>
      <c r="U51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10" s="37" t="str">
        <f>IF(Table5[[#This Row],[Tour Starting Date]]&lt;&gt;"", TEXT(Table5[[#This Row],[Tour Starting Date]], "mmmm"), "")</f>
        <v/>
      </c>
      <c r="W510" s="80" t="str" cm="1">
        <f t="array" ref="W510">IF(Q510&lt;&gt;"", INDEX(CI:CI, MATCH(1, (Q510&gt;=CG:CG)*(Q510&lt;=CH:CH), 0)), "")</f>
        <v/>
      </c>
      <c r="X510" s="39"/>
      <c r="Y510" s="74"/>
      <c r="Z510" s="74" t="str">
        <f>IF(OR(Table5[[#This Row],[Per Person Package Cost]]="", Table5[[#This Row],[No. of Pax]]=""), "", Table5[[#This Row],[Per Person Package Cost]] * Table5[[#This Row],[No. of Pax]])</f>
        <v/>
      </c>
      <c r="AA510" s="52"/>
      <c r="AB510" s="52"/>
      <c r="AC510" s="52"/>
      <c r="AD510" s="52"/>
      <c r="AE510" s="51" t="str">
        <f t="shared" si="53"/>
        <v/>
      </c>
      <c r="AF510" s="51" t="str">
        <f t="shared" si="54"/>
        <v/>
      </c>
      <c r="AG510" s="74" t="str">
        <f t="shared" si="55"/>
        <v/>
      </c>
      <c r="AH510" s="73" t="str">
        <f t="shared" si="56"/>
        <v/>
      </c>
      <c r="AI510" s="52"/>
      <c r="AJ510" s="56"/>
      <c r="AK510" s="59"/>
      <c r="AL510" s="60"/>
      <c r="AM510" s="54"/>
      <c r="AN510" s="14"/>
      <c r="AO510" s="15"/>
      <c r="AP510" s="91"/>
      <c r="AQ510" s="87"/>
      <c r="AR510" s="26"/>
      <c r="AS510" s="65"/>
      <c r="AT510" s="88"/>
      <c r="AU510" s="67"/>
      <c r="DA510" t="str" cm="1">
        <f t="array" ref="DA510">IF(U510&lt;&gt;"", TRANSPOSE(_xlfn._xlws.FILTER(CZ:CZ, CY:CY=U510, "")), "")</f>
        <v/>
      </c>
    </row>
    <row r="511" spans="2:105" ht="15" customHeight="1">
      <c r="B511" s="34">
        <v>507</v>
      </c>
      <c r="C511" s="36" t="s">
        <v>2376</v>
      </c>
      <c r="D511" s="76"/>
      <c r="E511" s="37" t="str">
        <f>IF(Table5[[#This Row],[Query Date]]&lt;&gt;"", TEXT(Table5[[#This Row],[Query Date]], "dddd"), "")</f>
        <v/>
      </c>
      <c r="F511" s="37" t="str">
        <f>IF(Table5[[#This Row],[Query Date]]&lt;&gt;"", TEXT(Table5[[#This Row],[Query Date]], "mmmm"), "")</f>
        <v/>
      </c>
      <c r="G511" s="28"/>
      <c r="H511" s="28"/>
      <c r="I511" s="28"/>
      <c r="J511" s="28"/>
      <c r="K511" s="28"/>
      <c r="L511" s="25"/>
      <c r="M511" s="25"/>
      <c r="N511" s="25"/>
      <c r="O511" s="130"/>
      <c r="P511" s="47"/>
      <c r="Q511" s="77"/>
      <c r="R511" s="77" t="str">
        <f>IF(Table5[[#This Row],[Tour Starting Date]]&lt;&gt;"", TEXT(Table5[[#This Row],[Tour Starting Date]], "dddd"), "")</f>
        <v/>
      </c>
      <c r="S511" s="77"/>
      <c r="T511" s="25" t="str">
        <f>IF(Table5[[#This Row],[Tour Ending Date]]&lt;&gt;"", TEXT(Table5[[#This Row],[Tour Ending Date]], "dddd"), "")</f>
        <v/>
      </c>
      <c r="U51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11" s="37" t="str">
        <f>IF(Table5[[#This Row],[Tour Starting Date]]&lt;&gt;"", TEXT(Table5[[#This Row],[Tour Starting Date]], "mmmm"), "")</f>
        <v/>
      </c>
      <c r="W511" s="80" t="str" cm="1">
        <f t="array" ref="W511">IF(Q511&lt;&gt;"", INDEX(CI:CI, MATCH(1, (Q511&gt;=CG:CG)*(Q511&lt;=CH:CH), 0)), "")</f>
        <v/>
      </c>
      <c r="X511" s="39"/>
      <c r="Y511" s="74"/>
      <c r="Z511" s="74" t="str">
        <f>IF(OR(Table5[[#This Row],[Per Person Package Cost]]="", Table5[[#This Row],[No. of Pax]]=""), "", Table5[[#This Row],[Per Person Package Cost]] * Table5[[#This Row],[No. of Pax]])</f>
        <v/>
      </c>
      <c r="AA511" s="52"/>
      <c r="AB511" s="52"/>
      <c r="AC511" s="52"/>
      <c r="AD511" s="52"/>
      <c r="AE511" s="51" t="str">
        <f t="shared" si="53"/>
        <v/>
      </c>
      <c r="AF511" s="51" t="str">
        <f t="shared" si="54"/>
        <v/>
      </c>
      <c r="AG511" s="74" t="str">
        <f t="shared" si="55"/>
        <v/>
      </c>
      <c r="AH511" s="73" t="str">
        <f t="shared" si="56"/>
        <v/>
      </c>
      <c r="AI511" s="52"/>
      <c r="AJ511" s="56"/>
      <c r="AK511" s="59"/>
      <c r="AL511" s="60"/>
      <c r="AM511" s="54"/>
      <c r="AN511" s="14"/>
      <c r="AO511" s="15"/>
      <c r="AP511" s="91"/>
      <c r="AQ511" s="87"/>
      <c r="AR511" s="26"/>
      <c r="AS511" s="65"/>
      <c r="AT511" s="88"/>
      <c r="AU511" s="67"/>
      <c r="DA511" t="str" cm="1">
        <f t="array" ref="DA511">IF(U511&lt;&gt;"", TRANSPOSE(_xlfn._xlws.FILTER(CZ:CZ, CY:CY=U511, "")), "")</f>
        <v/>
      </c>
    </row>
    <row r="512" spans="2:105" ht="15" customHeight="1">
      <c r="B512" s="35">
        <v>508</v>
      </c>
      <c r="C512" s="36" t="s">
        <v>2377</v>
      </c>
      <c r="D512" s="76"/>
      <c r="E512" s="37" t="str">
        <f>IF(Table5[[#This Row],[Query Date]]&lt;&gt;"", TEXT(Table5[[#This Row],[Query Date]], "dddd"), "")</f>
        <v/>
      </c>
      <c r="F512" s="37" t="str">
        <f>IF(Table5[[#This Row],[Query Date]]&lt;&gt;"", TEXT(Table5[[#This Row],[Query Date]], "mmmm"), "")</f>
        <v/>
      </c>
      <c r="G512" s="28"/>
      <c r="H512" s="28"/>
      <c r="I512" s="28"/>
      <c r="J512" s="28"/>
      <c r="K512" s="28"/>
      <c r="L512" s="25"/>
      <c r="M512" s="25"/>
      <c r="N512" s="25"/>
      <c r="O512" s="130"/>
      <c r="P512" s="47"/>
      <c r="Q512" s="77"/>
      <c r="R512" s="77" t="str">
        <f>IF(Table5[[#This Row],[Tour Starting Date]]&lt;&gt;"", TEXT(Table5[[#This Row],[Tour Starting Date]], "dddd"), "")</f>
        <v/>
      </c>
      <c r="S512" s="77"/>
      <c r="T512" s="25" t="str">
        <f>IF(Table5[[#This Row],[Tour Ending Date]]&lt;&gt;"", TEXT(Table5[[#This Row],[Tour Ending Date]], "dddd"), "")</f>
        <v/>
      </c>
      <c r="U51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12" s="37" t="str">
        <f>IF(Table5[[#This Row],[Tour Starting Date]]&lt;&gt;"", TEXT(Table5[[#This Row],[Tour Starting Date]], "mmmm"), "")</f>
        <v/>
      </c>
      <c r="W512" s="80" t="str" cm="1">
        <f t="array" ref="W512">IF(Q512&lt;&gt;"", INDEX(CI:CI, MATCH(1, (Q512&gt;=CG:CG)*(Q512&lt;=CH:CH), 0)), "")</f>
        <v/>
      </c>
      <c r="X512" s="39"/>
      <c r="Y512" s="74"/>
      <c r="Z512" s="74" t="str">
        <f>IF(OR(Table5[[#This Row],[Per Person Package Cost]]="", Table5[[#This Row],[No. of Pax]]=""), "", Table5[[#This Row],[Per Person Package Cost]] * Table5[[#This Row],[No. of Pax]])</f>
        <v/>
      </c>
      <c r="AA512" s="52"/>
      <c r="AB512" s="52"/>
      <c r="AC512" s="52"/>
      <c r="AD512" s="52"/>
      <c r="AE512" s="51" t="str">
        <f t="shared" si="53"/>
        <v/>
      </c>
      <c r="AF512" s="51" t="str">
        <f t="shared" si="54"/>
        <v/>
      </c>
      <c r="AG512" s="74" t="str">
        <f t="shared" si="55"/>
        <v/>
      </c>
      <c r="AH512" s="73" t="str">
        <f t="shared" si="56"/>
        <v/>
      </c>
      <c r="AI512" s="52"/>
      <c r="AJ512" s="56"/>
      <c r="AK512" s="59"/>
      <c r="AL512" s="60"/>
      <c r="AM512" s="54"/>
      <c r="AN512" s="14"/>
      <c r="AO512" s="15"/>
      <c r="AP512" s="91"/>
      <c r="AQ512" s="87"/>
      <c r="AR512" s="26"/>
      <c r="AS512" s="65"/>
      <c r="AT512" s="88"/>
      <c r="AU512" s="67"/>
      <c r="DA512" t="str" cm="1">
        <f t="array" ref="DA512">IF(U512&lt;&gt;"", TRANSPOSE(_xlfn._xlws.FILTER(CZ:CZ, CY:CY=U512, "")), "")</f>
        <v/>
      </c>
    </row>
    <row r="513" spans="2:105" ht="15" customHeight="1">
      <c r="B513" s="34">
        <v>509</v>
      </c>
      <c r="C513" s="36" t="s">
        <v>2378</v>
      </c>
      <c r="D513" s="76"/>
      <c r="E513" s="37" t="str">
        <f>IF(Table5[[#This Row],[Query Date]]&lt;&gt;"", TEXT(Table5[[#This Row],[Query Date]], "dddd"), "")</f>
        <v/>
      </c>
      <c r="F513" s="37" t="str">
        <f>IF(Table5[[#This Row],[Query Date]]&lt;&gt;"", TEXT(Table5[[#This Row],[Query Date]], "mmmm"), "")</f>
        <v/>
      </c>
      <c r="G513" s="28"/>
      <c r="H513" s="28"/>
      <c r="I513" s="28"/>
      <c r="J513" s="28"/>
      <c r="K513" s="28"/>
      <c r="L513" s="25"/>
      <c r="M513" s="25"/>
      <c r="N513" s="25"/>
      <c r="O513" s="130"/>
      <c r="P513" s="47"/>
      <c r="Q513" s="77"/>
      <c r="R513" s="77" t="str">
        <f>IF(Table5[[#This Row],[Tour Starting Date]]&lt;&gt;"", TEXT(Table5[[#This Row],[Tour Starting Date]], "dddd"), "")</f>
        <v/>
      </c>
      <c r="S513" s="77"/>
      <c r="T513" s="25" t="str">
        <f>IF(Table5[[#This Row],[Tour Ending Date]]&lt;&gt;"", TEXT(Table5[[#This Row],[Tour Ending Date]], "dddd"), "")</f>
        <v/>
      </c>
      <c r="U51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13" s="37" t="str">
        <f>IF(Table5[[#This Row],[Tour Starting Date]]&lt;&gt;"", TEXT(Table5[[#This Row],[Tour Starting Date]], "mmmm"), "")</f>
        <v/>
      </c>
      <c r="W513" s="80" t="str" cm="1">
        <f t="array" ref="W513">IF(Q513&lt;&gt;"", INDEX(CI:CI, MATCH(1, (Q513&gt;=CG:CG)*(Q513&lt;=CH:CH), 0)), "")</f>
        <v/>
      </c>
      <c r="X513" s="39"/>
      <c r="Y513" s="74"/>
      <c r="Z513" s="74" t="str">
        <f>IF(OR(Table5[[#This Row],[Per Person Package Cost]]="", Table5[[#This Row],[No. of Pax]]=""), "", Table5[[#This Row],[Per Person Package Cost]] * Table5[[#This Row],[No. of Pax]])</f>
        <v/>
      </c>
      <c r="AA513" s="52"/>
      <c r="AB513" s="52"/>
      <c r="AC513" s="52"/>
      <c r="AD513" s="52"/>
      <c r="AE513" s="51" t="str">
        <f t="shared" si="53"/>
        <v/>
      </c>
      <c r="AF513" s="51" t="str">
        <f t="shared" si="54"/>
        <v/>
      </c>
      <c r="AG513" s="74" t="str">
        <f t="shared" si="55"/>
        <v/>
      </c>
      <c r="AH513" s="73" t="str">
        <f t="shared" si="56"/>
        <v/>
      </c>
      <c r="AI513" s="52"/>
      <c r="AJ513" s="56"/>
      <c r="AK513" s="59"/>
      <c r="AL513" s="60"/>
      <c r="AM513" s="54"/>
      <c r="AN513" s="14"/>
      <c r="AO513" s="15"/>
      <c r="AP513" s="91"/>
      <c r="AQ513" s="87"/>
      <c r="AR513" s="26"/>
      <c r="AS513" s="65"/>
      <c r="AT513" s="88"/>
      <c r="AU513" s="67"/>
      <c r="DA513" t="str" cm="1">
        <f t="array" ref="DA513">IF(U513&lt;&gt;"", TRANSPOSE(_xlfn._xlws.FILTER(CZ:CZ, CY:CY=U513, "")), "")</f>
        <v/>
      </c>
    </row>
    <row r="514" spans="2:105" ht="15" customHeight="1">
      <c r="B514" s="35">
        <v>510</v>
      </c>
      <c r="C514" s="36" t="s">
        <v>2379</v>
      </c>
      <c r="D514" s="76"/>
      <c r="E514" s="37" t="str">
        <f>IF(Table5[[#This Row],[Query Date]]&lt;&gt;"", TEXT(Table5[[#This Row],[Query Date]], "dddd"), "")</f>
        <v/>
      </c>
      <c r="F514" s="37" t="str">
        <f>IF(Table5[[#This Row],[Query Date]]&lt;&gt;"", TEXT(Table5[[#This Row],[Query Date]], "mmmm"), "")</f>
        <v/>
      </c>
      <c r="G514" s="28"/>
      <c r="H514" s="28"/>
      <c r="I514" s="28"/>
      <c r="J514" s="28"/>
      <c r="K514" s="28"/>
      <c r="L514" s="25"/>
      <c r="M514" s="25"/>
      <c r="N514" s="25"/>
      <c r="O514" s="130"/>
      <c r="P514" s="47"/>
      <c r="Q514" s="77"/>
      <c r="R514" s="77" t="str">
        <f>IF(Table5[[#This Row],[Tour Starting Date]]&lt;&gt;"", TEXT(Table5[[#This Row],[Tour Starting Date]], "dddd"), "")</f>
        <v/>
      </c>
      <c r="S514" s="77"/>
      <c r="T514" s="25" t="str">
        <f>IF(Table5[[#This Row],[Tour Ending Date]]&lt;&gt;"", TEXT(Table5[[#This Row],[Tour Ending Date]], "dddd"), "")</f>
        <v/>
      </c>
      <c r="U51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14" s="37" t="str">
        <f>IF(Table5[[#This Row],[Tour Starting Date]]&lt;&gt;"", TEXT(Table5[[#This Row],[Tour Starting Date]], "mmmm"), "")</f>
        <v/>
      </c>
      <c r="W514" s="80" t="str" cm="1">
        <f t="array" ref="W514">IF(Q514&lt;&gt;"", INDEX(CI:CI, MATCH(1, (Q514&gt;=CG:CG)*(Q514&lt;=CH:CH), 0)), "")</f>
        <v/>
      </c>
      <c r="X514" s="39"/>
      <c r="Y514" s="74"/>
      <c r="Z514" s="74" t="str">
        <f>IF(OR(Table5[[#This Row],[Per Person Package Cost]]="", Table5[[#This Row],[No. of Pax]]=""), "", Table5[[#This Row],[Per Person Package Cost]] * Table5[[#This Row],[No. of Pax]])</f>
        <v/>
      </c>
      <c r="AA514" s="52"/>
      <c r="AB514" s="52"/>
      <c r="AC514" s="52"/>
      <c r="AD514" s="52"/>
      <c r="AE514" s="51" t="str">
        <f t="shared" si="53"/>
        <v/>
      </c>
      <c r="AF514" s="51" t="str">
        <f t="shared" si="54"/>
        <v/>
      </c>
      <c r="AG514" s="74" t="str">
        <f t="shared" si="55"/>
        <v/>
      </c>
      <c r="AH514" s="73" t="str">
        <f t="shared" si="56"/>
        <v/>
      </c>
      <c r="AI514" s="52"/>
      <c r="AJ514" s="56"/>
      <c r="AK514" s="59"/>
      <c r="AL514" s="60"/>
      <c r="AM514" s="54"/>
      <c r="AN514" s="14"/>
      <c r="AO514" s="15"/>
      <c r="AP514" s="91"/>
      <c r="AQ514" s="87"/>
      <c r="AR514" s="26"/>
      <c r="AS514" s="65"/>
      <c r="AT514" s="88"/>
      <c r="AU514" s="67"/>
      <c r="DA514" t="str" cm="1">
        <f t="array" ref="DA514">IF(U514&lt;&gt;"", TRANSPOSE(_xlfn._xlws.FILTER(CZ:CZ, CY:CY=U514, "")), "")</f>
        <v/>
      </c>
    </row>
    <row r="515" spans="2:105" ht="15" customHeight="1">
      <c r="B515" s="34">
        <v>511</v>
      </c>
      <c r="C515" s="36" t="s">
        <v>2380</v>
      </c>
      <c r="D515" s="76"/>
      <c r="E515" s="37" t="str">
        <f>IF(Table5[[#This Row],[Query Date]]&lt;&gt;"", TEXT(Table5[[#This Row],[Query Date]], "dddd"), "")</f>
        <v/>
      </c>
      <c r="F515" s="37" t="str">
        <f>IF(Table5[[#This Row],[Query Date]]&lt;&gt;"", TEXT(Table5[[#This Row],[Query Date]], "mmmm"), "")</f>
        <v/>
      </c>
      <c r="G515" s="28"/>
      <c r="H515" s="28"/>
      <c r="I515" s="28"/>
      <c r="J515" s="28"/>
      <c r="K515" s="28"/>
      <c r="L515" s="25"/>
      <c r="M515" s="25"/>
      <c r="N515" s="25"/>
      <c r="O515" s="130"/>
      <c r="P515" s="47"/>
      <c r="Q515" s="77"/>
      <c r="R515" s="77" t="str">
        <f>IF(Table5[[#This Row],[Tour Starting Date]]&lt;&gt;"", TEXT(Table5[[#This Row],[Tour Starting Date]], "dddd"), "")</f>
        <v/>
      </c>
      <c r="S515" s="77"/>
      <c r="T515" s="25" t="str">
        <f>IF(Table5[[#This Row],[Tour Ending Date]]&lt;&gt;"", TEXT(Table5[[#This Row],[Tour Ending Date]], "dddd"), "")</f>
        <v/>
      </c>
      <c r="U51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15" s="37" t="str">
        <f>IF(Table5[[#This Row],[Tour Starting Date]]&lt;&gt;"", TEXT(Table5[[#This Row],[Tour Starting Date]], "mmmm"), "")</f>
        <v/>
      </c>
      <c r="W515" s="80" t="str" cm="1">
        <f t="array" ref="W515">IF(Q515&lt;&gt;"", INDEX(CI:CI, MATCH(1, (Q515&gt;=CG:CG)*(Q515&lt;=CH:CH), 0)), "")</f>
        <v/>
      </c>
      <c r="X515" s="39"/>
      <c r="Y515" s="74"/>
      <c r="Z515" s="74" t="str">
        <f>IF(OR(Table5[[#This Row],[Per Person Package Cost]]="", Table5[[#This Row],[No. of Pax]]=""), "", Table5[[#This Row],[Per Person Package Cost]] * Table5[[#This Row],[No. of Pax]])</f>
        <v/>
      </c>
      <c r="AA515" s="52"/>
      <c r="AB515" s="52"/>
      <c r="AC515" s="52"/>
      <c r="AD515" s="52"/>
      <c r="AE515" s="51" t="str">
        <f t="shared" si="53"/>
        <v/>
      </c>
      <c r="AF515" s="51" t="str">
        <f t="shared" si="54"/>
        <v/>
      </c>
      <c r="AG515" s="74" t="str">
        <f t="shared" si="55"/>
        <v/>
      </c>
      <c r="AH515" s="73" t="str">
        <f t="shared" si="56"/>
        <v/>
      </c>
      <c r="AI515" s="52"/>
      <c r="AJ515" s="56"/>
      <c r="AK515" s="59"/>
      <c r="AL515" s="60"/>
      <c r="AM515" s="54"/>
      <c r="AN515" s="14"/>
      <c r="AO515" s="15"/>
      <c r="AP515" s="91"/>
      <c r="AQ515" s="87"/>
      <c r="AR515" s="26"/>
      <c r="AS515" s="65"/>
      <c r="AT515" s="88"/>
      <c r="AU515" s="67"/>
      <c r="DA515" t="str" cm="1">
        <f t="array" ref="DA515">IF(U515&lt;&gt;"", TRANSPOSE(_xlfn._xlws.FILTER(CZ:CZ, CY:CY=U515, "")), "")</f>
        <v/>
      </c>
    </row>
    <row r="516" spans="2:105" ht="15" customHeight="1">
      <c r="B516" s="35">
        <v>512</v>
      </c>
      <c r="C516" s="36" t="s">
        <v>2381</v>
      </c>
      <c r="D516" s="76"/>
      <c r="E516" s="37" t="str">
        <f>IF(Table5[[#This Row],[Query Date]]&lt;&gt;"", TEXT(Table5[[#This Row],[Query Date]], "dddd"), "")</f>
        <v/>
      </c>
      <c r="F516" s="37" t="str">
        <f>IF(Table5[[#This Row],[Query Date]]&lt;&gt;"", TEXT(Table5[[#This Row],[Query Date]], "mmmm"), "")</f>
        <v/>
      </c>
      <c r="G516" s="28"/>
      <c r="H516" s="28"/>
      <c r="I516" s="28"/>
      <c r="J516" s="28"/>
      <c r="K516" s="28"/>
      <c r="L516" s="25"/>
      <c r="M516" s="25"/>
      <c r="N516" s="25"/>
      <c r="O516" s="130"/>
      <c r="P516" s="47"/>
      <c r="Q516" s="77"/>
      <c r="R516" s="77" t="str">
        <f>IF(Table5[[#This Row],[Tour Starting Date]]&lt;&gt;"", TEXT(Table5[[#This Row],[Tour Starting Date]], "dddd"), "")</f>
        <v/>
      </c>
      <c r="S516" s="77"/>
      <c r="T516" s="25" t="str">
        <f>IF(Table5[[#This Row],[Tour Ending Date]]&lt;&gt;"", TEXT(Table5[[#This Row],[Tour Ending Date]], "dddd"), "")</f>
        <v/>
      </c>
      <c r="U51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16" s="37" t="str">
        <f>IF(Table5[[#This Row],[Tour Starting Date]]&lt;&gt;"", TEXT(Table5[[#This Row],[Tour Starting Date]], "mmmm"), "")</f>
        <v/>
      </c>
      <c r="W516" s="80" t="str" cm="1">
        <f t="array" ref="W516">IF(Q516&lt;&gt;"", INDEX(CI:CI, MATCH(1, (Q516&gt;=CG:CG)*(Q516&lt;=CH:CH), 0)), "")</f>
        <v/>
      </c>
      <c r="X516" s="39"/>
      <c r="Y516" s="74"/>
      <c r="Z516" s="74" t="str">
        <f>IF(OR(Table5[[#This Row],[Per Person Package Cost]]="", Table5[[#This Row],[No. of Pax]]=""), "", Table5[[#This Row],[Per Person Package Cost]] * Table5[[#This Row],[No. of Pax]])</f>
        <v/>
      </c>
      <c r="AA516" s="52"/>
      <c r="AB516" s="52"/>
      <c r="AC516" s="52"/>
      <c r="AD516" s="52"/>
      <c r="AE516" s="51" t="str">
        <f t="shared" si="53"/>
        <v/>
      </c>
      <c r="AF516" s="51" t="str">
        <f t="shared" si="54"/>
        <v/>
      </c>
      <c r="AG516" s="74" t="str">
        <f t="shared" si="55"/>
        <v/>
      </c>
      <c r="AH516" s="73" t="str">
        <f t="shared" si="56"/>
        <v/>
      </c>
      <c r="AI516" s="52"/>
      <c r="AJ516" s="56"/>
      <c r="AK516" s="59"/>
      <c r="AL516" s="60"/>
      <c r="AM516" s="54"/>
      <c r="AN516" s="14"/>
      <c r="AO516" s="15"/>
      <c r="AP516" s="91"/>
      <c r="AQ516" s="87"/>
      <c r="AR516" s="26"/>
      <c r="AS516" s="65"/>
      <c r="AT516" s="88"/>
      <c r="AU516" s="67"/>
      <c r="DA516" t="str" cm="1">
        <f t="array" ref="DA516">IF(U516&lt;&gt;"", TRANSPOSE(_xlfn._xlws.FILTER(CZ:CZ, CY:CY=U516, "")), "")</f>
        <v/>
      </c>
    </row>
    <row r="517" spans="2:105" ht="15" customHeight="1">
      <c r="B517" s="34">
        <v>513</v>
      </c>
      <c r="C517" s="36" t="s">
        <v>2382</v>
      </c>
      <c r="D517" s="76"/>
      <c r="E517" s="37" t="str">
        <f>IF(Table5[[#This Row],[Query Date]]&lt;&gt;"", TEXT(Table5[[#This Row],[Query Date]], "dddd"), "")</f>
        <v/>
      </c>
      <c r="F517" s="37" t="str">
        <f>IF(Table5[[#This Row],[Query Date]]&lt;&gt;"", TEXT(Table5[[#This Row],[Query Date]], "mmmm"), "")</f>
        <v/>
      </c>
      <c r="G517" s="28"/>
      <c r="H517" s="28"/>
      <c r="I517" s="28"/>
      <c r="J517" s="28"/>
      <c r="K517" s="28"/>
      <c r="L517" s="25"/>
      <c r="M517" s="25"/>
      <c r="N517" s="25"/>
      <c r="O517" s="130"/>
      <c r="P517" s="47"/>
      <c r="Q517" s="77"/>
      <c r="R517" s="77" t="str">
        <f>IF(Table5[[#This Row],[Tour Starting Date]]&lt;&gt;"", TEXT(Table5[[#This Row],[Tour Starting Date]], "dddd"), "")</f>
        <v/>
      </c>
      <c r="S517" s="77"/>
      <c r="T517" s="25" t="str">
        <f>IF(Table5[[#This Row],[Tour Ending Date]]&lt;&gt;"", TEXT(Table5[[#This Row],[Tour Ending Date]], "dddd"), "")</f>
        <v/>
      </c>
      <c r="U51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17" s="37" t="str">
        <f>IF(Table5[[#This Row],[Tour Starting Date]]&lt;&gt;"", TEXT(Table5[[#This Row],[Tour Starting Date]], "mmmm"), "")</f>
        <v/>
      </c>
      <c r="W517" s="80" t="str" cm="1">
        <f t="array" ref="W517">IF(Q517&lt;&gt;"", INDEX(CI:CI, MATCH(1, (Q517&gt;=CG:CG)*(Q517&lt;=CH:CH), 0)), "")</f>
        <v/>
      </c>
      <c r="X517" s="39"/>
      <c r="Y517" s="74"/>
      <c r="Z517" s="74" t="str">
        <f>IF(OR(Table5[[#This Row],[Per Person Package Cost]]="", Table5[[#This Row],[No. of Pax]]=""), "", Table5[[#This Row],[Per Person Package Cost]] * Table5[[#This Row],[No. of Pax]])</f>
        <v/>
      </c>
      <c r="AA517" s="52"/>
      <c r="AB517" s="52"/>
      <c r="AC517" s="52"/>
      <c r="AD517" s="52"/>
      <c r="AE517" s="51" t="str">
        <f t="shared" ref="AE517:AE580" si="57">IF(AD517&lt;&gt;"", INDEX(CW:CW, MATCH(AD517, CZ:CZ, 0)), "")</f>
        <v/>
      </c>
      <c r="AF517" s="51" t="str">
        <f t="shared" ref="AF517:AF580" si="58">IF(AD517&lt;&gt;"", INDEX(CX:CX, MATCH(AD517, CZ:CZ, 0)), "")</f>
        <v/>
      </c>
      <c r="AG517" s="74" t="str">
        <f t="shared" ref="AG517:AG580" si="59">IF(AE517&lt;&gt;"", INDEX(CU:CU, MATCH(AE517, CW:CW, 0)), "")</f>
        <v/>
      </c>
      <c r="AH517" s="73" t="str">
        <f t="shared" si="56"/>
        <v/>
      </c>
      <c r="AI517" s="52"/>
      <c r="AJ517" s="56"/>
      <c r="AK517" s="59"/>
      <c r="AL517" s="60"/>
      <c r="AM517" s="54"/>
      <c r="AN517" s="14"/>
      <c r="AO517" s="15"/>
      <c r="AP517" s="91"/>
      <c r="AQ517" s="87"/>
      <c r="AR517" s="26"/>
      <c r="AS517" s="65"/>
      <c r="AT517" s="88"/>
      <c r="AU517" s="67"/>
      <c r="DA517" t="str" cm="1">
        <f t="array" ref="DA517">IF(U517&lt;&gt;"", TRANSPOSE(_xlfn._xlws.FILTER(CZ:CZ, CY:CY=U517, "")), "")</f>
        <v/>
      </c>
    </row>
    <row r="518" spans="2:105" ht="15" customHeight="1">
      <c r="B518" s="35">
        <v>514</v>
      </c>
      <c r="C518" s="36" t="s">
        <v>2383</v>
      </c>
      <c r="D518" s="76"/>
      <c r="E518" s="37" t="str">
        <f>IF(Table5[[#This Row],[Query Date]]&lt;&gt;"", TEXT(Table5[[#This Row],[Query Date]], "dddd"), "")</f>
        <v/>
      </c>
      <c r="F518" s="37" t="str">
        <f>IF(Table5[[#This Row],[Query Date]]&lt;&gt;"", TEXT(Table5[[#This Row],[Query Date]], "mmmm"), "")</f>
        <v/>
      </c>
      <c r="G518" s="28"/>
      <c r="H518" s="28"/>
      <c r="I518" s="28"/>
      <c r="J518" s="28"/>
      <c r="K518" s="28"/>
      <c r="L518" s="25"/>
      <c r="M518" s="25"/>
      <c r="N518" s="25"/>
      <c r="O518" s="130"/>
      <c r="P518" s="47"/>
      <c r="Q518" s="77"/>
      <c r="R518" s="77" t="str">
        <f>IF(Table5[[#This Row],[Tour Starting Date]]&lt;&gt;"", TEXT(Table5[[#This Row],[Tour Starting Date]], "dddd"), "")</f>
        <v/>
      </c>
      <c r="S518" s="77"/>
      <c r="T518" s="25" t="str">
        <f>IF(Table5[[#This Row],[Tour Ending Date]]&lt;&gt;"", TEXT(Table5[[#This Row],[Tour Ending Date]], "dddd"), "")</f>
        <v/>
      </c>
      <c r="U51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18" s="37" t="str">
        <f>IF(Table5[[#This Row],[Tour Starting Date]]&lt;&gt;"", TEXT(Table5[[#This Row],[Tour Starting Date]], "mmmm"), "")</f>
        <v/>
      </c>
      <c r="W518" s="80" t="str" cm="1">
        <f t="array" ref="W518">IF(Q518&lt;&gt;"", INDEX(CI:CI, MATCH(1, (Q518&gt;=CG:CG)*(Q518&lt;=CH:CH), 0)), "")</f>
        <v/>
      </c>
      <c r="X518" s="39"/>
      <c r="Y518" s="74"/>
      <c r="Z518" s="74" t="str">
        <f>IF(OR(Table5[[#This Row],[Per Person Package Cost]]="", Table5[[#This Row],[No. of Pax]]=""), "", Table5[[#This Row],[Per Person Package Cost]] * Table5[[#This Row],[No. of Pax]])</f>
        <v/>
      </c>
      <c r="AA518" s="52"/>
      <c r="AB518" s="52"/>
      <c r="AC518" s="52"/>
      <c r="AD518" s="52"/>
      <c r="AE518" s="51" t="str">
        <f t="shared" si="57"/>
        <v/>
      </c>
      <c r="AF518" s="51" t="str">
        <f t="shared" si="58"/>
        <v/>
      </c>
      <c r="AG518" s="74" t="str">
        <f t="shared" si="59"/>
        <v/>
      </c>
      <c r="AH518" s="73" t="str">
        <f t="shared" si="56"/>
        <v/>
      </c>
      <c r="AI518" s="52"/>
      <c r="AJ518" s="56"/>
      <c r="AK518" s="59"/>
      <c r="AL518" s="60"/>
      <c r="AM518" s="54"/>
      <c r="AN518" s="14"/>
      <c r="AO518" s="15"/>
      <c r="AP518" s="91"/>
      <c r="AQ518" s="87"/>
      <c r="AR518" s="26"/>
      <c r="AS518" s="65"/>
      <c r="AT518" s="88"/>
      <c r="AU518" s="67"/>
      <c r="DA518" t="str" cm="1">
        <f t="array" ref="DA518">IF(U518&lt;&gt;"", TRANSPOSE(_xlfn._xlws.FILTER(CZ:CZ, CY:CY=U518, "")), "")</f>
        <v/>
      </c>
    </row>
    <row r="519" spans="2:105" ht="15" customHeight="1">
      <c r="B519" s="34">
        <v>515</v>
      </c>
      <c r="C519" s="36" t="s">
        <v>2384</v>
      </c>
      <c r="D519" s="76"/>
      <c r="E519" s="37" t="str">
        <f>IF(Table5[[#This Row],[Query Date]]&lt;&gt;"", TEXT(Table5[[#This Row],[Query Date]], "dddd"), "")</f>
        <v/>
      </c>
      <c r="F519" s="37" t="str">
        <f>IF(Table5[[#This Row],[Query Date]]&lt;&gt;"", TEXT(Table5[[#This Row],[Query Date]], "mmmm"), "")</f>
        <v/>
      </c>
      <c r="G519" s="28"/>
      <c r="H519" s="28"/>
      <c r="I519" s="28"/>
      <c r="J519" s="28"/>
      <c r="K519" s="28"/>
      <c r="L519" s="25"/>
      <c r="M519" s="25"/>
      <c r="N519" s="25"/>
      <c r="O519" s="130"/>
      <c r="P519" s="47"/>
      <c r="Q519" s="77"/>
      <c r="R519" s="77" t="str">
        <f>IF(Table5[[#This Row],[Tour Starting Date]]&lt;&gt;"", TEXT(Table5[[#This Row],[Tour Starting Date]], "dddd"), "")</f>
        <v/>
      </c>
      <c r="S519" s="77"/>
      <c r="T519" s="25" t="str">
        <f>IF(Table5[[#This Row],[Tour Ending Date]]&lt;&gt;"", TEXT(Table5[[#This Row],[Tour Ending Date]], "dddd"), "")</f>
        <v/>
      </c>
      <c r="U51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19" s="37" t="str">
        <f>IF(Table5[[#This Row],[Tour Starting Date]]&lt;&gt;"", TEXT(Table5[[#This Row],[Tour Starting Date]], "mmmm"), "")</f>
        <v/>
      </c>
      <c r="W519" s="80" t="str" cm="1">
        <f t="array" ref="W519">IF(Q519&lt;&gt;"", INDEX(CI:CI, MATCH(1, (Q519&gt;=CG:CG)*(Q519&lt;=CH:CH), 0)), "")</f>
        <v/>
      </c>
      <c r="X519" s="39"/>
      <c r="Y519" s="74"/>
      <c r="Z519" s="74" t="str">
        <f>IF(OR(Table5[[#This Row],[Per Person Package Cost]]="", Table5[[#This Row],[No. of Pax]]=""), "", Table5[[#This Row],[Per Person Package Cost]] * Table5[[#This Row],[No. of Pax]])</f>
        <v/>
      </c>
      <c r="AA519" s="52"/>
      <c r="AB519" s="52"/>
      <c r="AC519" s="52"/>
      <c r="AD519" s="52"/>
      <c r="AE519" s="51" t="str">
        <f t="shared" si="57"/>
        <v/>
      </c>
      <c r="AF519" s="51" t="str">
        <f t="shared" si="58"/>
        <v/>
      </c>
      <c r="AG519" s="74" t="str">
        <f t="shared" si="59"/>
        <v/>
      </c>
      <c r="AH519" s="73" t="str">
        <f t="shared" si="56"/>
        <v/>
      </c>
      <c r="AI519" s="52"/>
      <c r="AJ519" s="56"/>
      <c r="AK519" s="59"/>
      <c r="AL519" s="60"/>
      <c r="AM519" s="54"/>
      <c r="AN519" s="14"/>
      <c r="AO519" s="15"/>
      <c r="AP519" s="91"/>
      <c r="AQ519" s="87"/>
      <c r="AR519" s="26"/>
      <c r="AS519" s="65"/>
      <c r="AT519" s="88"/>
      <c r="AU519" s="67"/>
      <c r="DA519" t="str" cm="1">
        <f t="array" ref="DA519">IF(U519&lt;&gt;"", TRANSPOSE(_xlfn._xlws.FILTER(CZ:CZ, CY:CY=U519, "")), "")</f>
        <v/>
      </c>
    </row>
    <row r="520" spans="2:105" ht="15" customHeight="1">
      <c r="B520" s="35">
        <v>516</v>
      </c>
      <c r="C520" s="36" t="s">
        <v>2385</v>
      </c>
      <c r="D520" s="76"/>
      <c r="E520" s="37" t="str">
        <f>IF(Table5[[#This Row],[Query Date]]&lt;&gt;"", TEXT(Table5[[#This Row],[Query Date]], "dddd"), "")</f>
        <v/>
      </c>
      <c r="F520" s="37" t="str">
        <f>IF(Table5[[#This Row],[Query Date]]&lt;&gt;"", TEXT(Table5[[#This Row],[Query Date]], "mmmm"), "")</f>
        <v/>
      </c>
      <c r="G520" s="28"/>
      <c r="H520" s="28"/>
      <c r="I520" s="28"/>
      <c r="J520" s="28"/>
      <c r="K520" s="28"/>
      <c r="L520" s="25"/>
      <c r="M520" s="25"/>
      <c r="N520" s="25"/>
      <c r="O520" s="130"/>
      <c r="P520" s="47"/>
      <c r="Q520" s="77"/>
      <c r="R520" s="77" t="str">
        <f>IF(Table5[[#This Row],[Tour Starting Date]]&lt;&gt;"", TEXT(Table5[[#This Row],[Tour Starting Date]], "dddd"), "")</f>
        <v/>
      </c>
      <c r="S520" s="77"/>
      <c r="T520" s="25" t="str">
        <f>IF(Table5[[#This Row],[Tour Ending Date]]&lt;&gt;"", TEXT(Table5[[#This Row],[Tour Ending Date]], "dddd"), "")</f>
        <v/>
      </c>
      <c r="U52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20" s="37" t="str">
        <f>IF(Table5[[#This Row],[Tour Starting Date]]&lt;&gt;"", TEXT(Table5[[#This Row],[Tour Starting Date]], "mmmm"), "")</f>
        <v/>
      </c>
      <c r="W520" s="80" t="str" cm="1">
        <f t="array" ref="W520">IF(Q520&lt;&gt;"", INDEX(CI:CI, MATCH(1, (Q520&gt;=CG:CG)*(Q520&lt;=CH:CH), 0)), "")</f>
        <v/>
      </c>
      <c r="X520" s="39"/>
      <c r="Y520" s="74"/>
      <c r="Z520" s="74" t="str">
        <f>IF(OR(Table5[[#This Row],[Per Person Package Cost]]="", Table5[[#This Row],[No. of Pax]]=""), "", Table5[[#This Row],[Per Person Package Cost]] * Table5[[#This Row],[No. of Pax]])</f>
        <v/>
      </c>
      <c r="AA520" s="52"/>
      <c r="AB520" s="52"/>
      <c r="AC520" s="52"/>
      <c r="AD520" s="52"/>
      <c r="AE520" s="51" t="str">
        <f t="shared" si="57"/>
        <v/>
      </c>
      <c r="AF520" s="51" t="str">
        <f t="shared" si="58"/>
        <v/>
      </c>
      <c r="AG520" s="74" t="str">
        <f t="shared" si="59"/>
        <v/>
      </c>
      <c r="AH520" s="73" t="str">
        <f t="shared" si="56"/>
        <v/>
      </c>
      <c r="AI520" s="52"/>
      <c r="AJ520" s="56"/>
      <c r="AK520" s="59"/>
      <c r="AL520" s="60"/>
      <c r="AM520" s="54"/>
      <c r="AN520" s="14"/>
      <c r="AO520" s="15"/>
      <c r="AP520" s="91"/>
      <c r="AQ520" s="87"/>
      <c r="AR520" s="26"/>
      <c r="AS520" s="65"/>
      <c r="AT520" s="88"/>
      <c r="AU520" s="67"/>
      <c r="DA520" t="str" cm="1">
        <f t="array" ref="DA520">IF(U520&lt;&gt;"", TRANSPOSE(_xlfn._xlws.FILTER(CZ:CZ, CY:CY=U520, "")), "")</f>
        <v/>
      </c>
    </row>
    <row r="521" spans="2:105" ht="15" customHeight="1">
      <c r="B521" s="34">
        <v>517</v>
      </c>
      <c r="C521" s="36" t="s">
        <v>2386</v>
      </c>
      <c r="D521" s="76"/>
      <c r="E521" s="37" t="str">
        <f>IF(Table5[[#This Row],[Query Date]]&lt;&gt;"", TEXT(Table5[[#This Row],[Query Date]], "dddd"), "")</f>
        <v/>
      </c>
      <c r="F521" s="37" t="str">
        <f>IF(Table5[[#This Row],[Query Date]]&lt;&gt;"", TEXT(Table5[[#This Row],[Query Date]], "mmmm"), "")</f>
        <v/>
      </c>
      <c r="G521" s="28"/>
      <c r="H521" s="28"/>
      <c r="I521" s="28"/>
      <c r="J521" s="28"/>
      <c r="K521" s="28"/>
      <c r="L521" s="25"/>
      <c r="M521" s="25"/>
      <c r="N521" s="25"/>
      <c r="O521" s="130"/>
      <c r="P521" s="47"/>
      <c r="Q521" s="77"/>
      <c r="R521" s="77" t="str">
        <f>IF(Table5[[#This Row],[Tour Starting Date]]&lt;&gt;"", TEXT(Table5[[#This Row],[Tour Starting Date]], "dddd"), "")</f>
        <v/>
      </c>
      <c r="S521" s="77"/>
      <c r="T521" s="25" t="str">
        <f>IF(Table5[[#This Row],[Tour Ending Date]]&lt;&gt;"", TEXT(Table5[[#This Row],[Tour Ending Date]], "dddd"), "")</f>
        <v/>
      </c>
      <c r="U52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21" s="37" t="str">
        <f>IF(Table5[[#This Row],[Tour Starting Date]]&lt;&gt;"", TEXT(Table5[[#This Row],[Tour Starting Date]], "mmmm"), "")</f>
        <v/>
      </c>
      <c r="W521" s="80" t="str" cm="1">
        <f t="array" ref="W521">IF(Q521&lt;&gt;"", INDEX(CI:CI, MATCH(1, (Q521&gt;=CG:CG)*(Q521&lt;=CH:CH), 0)), "")</f>
        <v/>
      </c>
      <c r="X521" s="39"/>
      <c r="Y521" s="74"/>
      <c r="Z521" s="74" t="str">
        <f>IF(OR(Table5[[#This Row],[Per Person Package Cost]]="", Table5[[#This Row],[No. of Pax]]=""), "", Table5[[#This Row],[Per Person Package Cost]] * Table5[[#This Row],[No. of Pax]])</f>
        <v/>
      </c>
      <c r="AA521" s="52"/>
      <c r="AB521" s="52"/>
      <c r="AC521" s="52"/>
      <c r="AD521" s="52"/>
      <c r="AE521" s="51" t="str">
        <f t="shared" si="57"/>
        <v/>
      </c>
      <c r="AF521" s="51" t="str">
        <f t="shared" si="58"/>
        <v/>
      </c>
      <c r="AG521" s="74" t="str">
        <f t="shared" si="59"/>
        <v/>
      </c>
      <c r="AH521" s="73" t="str">
        <f t="shared" si="56"/>
        <v/>
      </c>
      <c r="AI521" s="52"/>
      <c r="AJ521" s="56"/>
      <c r="AK521" s="59"/>
      <c r="AL521" s="60"/>
      <c r="AM521" s="54"/>
      <c r="AN521" s="14"/>
      <c r="AO521" s="15"/>
      <c r="AP521" s="91"/>
      <c r="AQ521" s="87"/>
      <c r="AR521" s="26"/>
      <c r="AS521" s="65"/>
      <c r="AT521" s="88"/>
      <c r="AU521" s="67"/>
      <c r="DA521" t="str" cm="1">
        <f t="array" ref="DA521">IF(U521&lt;&gt;"", TRANSPOSE(_xlfn._xlws.FILTER(CZ:CZ, CY:CY=U521, "")), "")</f>
        <v/>
      </c>
    </row>
    <row r="522" spans="2:105" ht="15" customHeight="1">
      <c r="B522" s="35">
        <v>518</v>
      </c>
      <c r="C522" s="36" t="s">
        <v>2387</v>
      </c>
      <c r="D522" s="76"/>
      <c r="E522" s="37" t="str">
        <f>IF(Table5[[#This Row],[Query Date]]&lt;&gt;"", TEXT(Table5[[#This Row],[Query Date]], "dddd"), "")</f>
        <v/>
      </c>
      <c r="F522" s="37" t="str">
        <f>IF(Table5[[#This Row],[Query Date]]&lt;&gt;"", TEXT(Table5[[#This Row],[Query Date]], "mmmm"), "")</f>
        <v/>
      </c>
      <c r="G522" s="28"/>
      <c r="H522" s="28"/>
      <c r="I522" s="28"/>
      <c r="J522" s="28"/>
      <c r="K522" s="28"/>
      <c r="L522" s="25"/>
      <c r="M522" s="25"/>
      <c r="N522" s="25"/>
      <c r="O522" s="130"/>
      <c r="P522" s="47"/>
      <c r="Q522" s="77"/>
      <c r="R522" s="77" t="str">
        <f>IF(Table5[[#This Row],[Tour Starting Date]]&lt;&gt;"", TEXT(Table5[[#This Row],[Tour Starting Date]], "dddd"), "")</f>
        <v/>
      </c>
      <c r="S522" s="77"/>
      <c r="T522" s="25" t="str">
        <f>IF(Table5[[#This Row],[Tour Ending Date]]&lt;&gt;"", TEXT(Table5[[#This Row],[Tour Ending Date]], "dddd"), "")</f>
        <v/>
      </c>
      <c r="U52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22" s="37" t="str">
        <f>IF(Table5[[#This Row],[Tour Starting Date]]&lt;&gt;"", TEXT(Table5[[#This Row],[Tour Starting Date]], "mmmm"), "")</f>
        <v/>
      </c>
      <c r="W522" s="80" t="str" cm="1">
        <f t="array" ref="W522">IF(Q522&lt;&gt;"", INDEX(CI:CI, MATCH(1, (Q522&gt;=CG:CG)*(Q522&lt;=CH:CH), 0)), "")</f>
        <v/>
      </c>
      <c r="X522" s="39"/>
      <c r="Y522" s="74"/>
      <c r="Z522" s="74" t="str">
        <f>IF(OR(Table5[[#This Row],[Per Person Package Cost]]="", Table5[[#This Row],[No. of Pax]]=""), "", Table5[[#This Row],[Per Person Package Cost]] * Table5[[#This Row],[No. of Pax]])</f>
        <v/>
      </c>
      <c r="AA522" s="52"/>
      <c r="AB522" s="52"/>
      <c r="AC522" s="52"/>
      <c r="AD522" s="52"/>
      <c r="AE522" s="51" t="str">
        <f t="shared" si="57"/>
        <v/>
      </c>
      <c r="AF522" s="51" t="str">
        <f t="shared" si="58"/>
        <v/>
      </c>
      <c r="AG522" s="74" t="str">
        <f t="shared" si="59"/>
        <v/>
      </c>
      <c r="AH522" s="73" t="str">
        <f t="shared" si="56"/>
        <v/>
      </c>
      <c r="AI522" s="52"/>
      <c r="AJ522" s="56"/>
      <c r="AK522" s="59"/>
      <c r="AL522" s="60"/>
      <c r="AM522" s="54"/>
      <c r="AN522" s="14"/>
      <c r="AO522" s="15"/>
      <c r="AP522" s="91"/>
      <c r="AQ522" s="87"/>
      <c r="AR522" s="26"/>
      <c r="AS522" s="65"/>
      <c r="AT522" s="88"/>
      <c r="AU522" s="67"/>
      <c r="DA522" t="str" cm="1">
        <f t="array" ref="DA522">IF(U522&lt;&gt;"", TRANSPOSE(_xlfn._xlws.FILTER(CZ:CZ, CY:CY=U522, "")), "")</f>
        <v/>
      </c>
    </row>
    <row r="523" spans="2:105" ht="15" customHeight="1">
      <c r="B523" s="34">
        <v>519</v>
      </c>
      <c r="C523" s="36" t="s">
        <v>2388</v>
      </c>
      <c r="D523" s="76"/>
      <c r="E523" s="37" t="str">
        <f>IF(Table5[[#This Row],[Query Date]]&lt;&gt;"", TEXT(Table5[[#This Row],[Query Date]], "dddd"), "")</f>
        <v/>
      </c>
      <c r="F523" s="37" t="str">
        <f>IF(Table5[[#This Row],[Query Date]]&lt;&gt;"", TEXT(Table5[[#This Row],[Query Date]], "mmmm"), "")</f>
        <v/>
      </c>
      <c r="G523" s="28"/>
      <c r="H523" s="28"/>
      <c r="I523" s="28"/>
      <c r="J523" s="28"/>
      <c r="K523" s="28"/>
      <c r="L523" s="25"/>
      <c r="M523" s="25"/>
      <c r="N523" s="25"/>
      <c r="O523" s="130"/>
      <c r="P523" s="47"/>
      <c r="Q523" s="77"/>
      <c r="R523" s="77" t="str">
        <f>IF(Table5[[#This Row],[Tour Starting Date]]&lt;&gt;"", TEXT(Table5[[#This Row],[Tour Starting Date]], "dddd"), "")</f>
        <v/>
      </c>
      <c r="S523" s="77"/>
      <c r="T523" s="25" t="str">
        <f>IF(Table5[[#This Row],[Tour Ending Date]]&lt;&gt;"", TEXT(Table5[[#This Row],[Tour Ending Date]], "dddd"), "")</f>
        <v/>
      </c>
      <c r="U52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23" s="37" t="str">
        <f>IF(Table5[[#This Row],[Tour Starting Date]]&lt;&gt;"", TEXT(Table5[[#This Row],[Tour Starting Date]], "mmmm"), "")</f>
        <v/>
      </c>
      <c r="W523" s="80" t="str" cm="1">
        <f t="array" ref="W523">IF(Q523&lt;&gt;"", INDEX(CI:CI, MATCH(1, (Q523&gt;=CG:CG)*(Q523&lt;=CH:CH), 0)), "")</f>
        <v/>
      </c>
      <c r="X523" s="39"/>
      <c r="Y523" s="74"/>
      <c r="Z523" s="74" t="str">
        <f>IF(OR(Table5[[#This Row],[Per Person Package Cost]]="", Table5[[#This Row],[No. of Pax]]=""), "", Table5[[#This Row],[Per Person Package Cost]] * Table5[[#This Row],[No. of Pax]])</f>
        <v/>
      </c>
      <c r="AA523" s="52"/>
      <c r="AB523" s="52"/>
      <c r="AC523" s="52"/>
      <c r="AD523" s="52"/>
      <c r="AE523" s="51" t="str">
        <f t="shared" si="57"/>
        <v/>
      </c>
      <c r="AF523" s="51" t="str">
        <f t="shared" si="58"/>
        <v/>
      </c>
      <c r="AG523" s="74" t="str">
        <f t="shared" si="59"/>
        <v/>
      </c>
      <c r="AH523" s="73" t="str">
        <f t="shared" si="56"/>
        <v/>
      </c>
      <c r="AI523" s="52"/>
      <c r="AJ523" s="56"/>
      <c r="AK523" s="59"/>
      <c r="AL523" s="60"/>
      <c r="AM523" s="54"/>
      <c r="AN523" s="14"/>
      <c r="AO523" s="15"/>
      <c r="AP523" s="91"/>
      <c r="AQ523" s="87"/>
      <c r="AR523" s="26"/>
      <c r="AS523" s="65"/>
      <c r="AT523" s="88"/>
      <c r="AU523" s="67"/>
      <c r="DA523" t="str" cm="1">
        <f t="array" ref="DA523">IF(U523&lt;&gt;"", TRANSPOSE(_xlfn._xlws.FILTER(CZ:CZ, CY:CY=U523, "")), "")</f>
        <v/>
      </c>
    </row>
    <row r="524" spans="2:105" ht="15" customHeight="1">
      <c r="B524" s="35">
        <v>520</v>
      </c>
      <c r="C524" s="36" t="s">
        <v>2389</v>
      </c>
      <c r="D524" s="76"/>
      <c r="E524" s="37" t="str">
        <f>IF(Table5[[#This Row],[Query Date]]&lt;&gt;"", TEXT(Table5[[#This Row],[Query Date]], "dddd"), "")</f>
        <v/>
      </c>
      <c r="F524" s="37" t="str">
        <f>IF(Table5[[#This Row],[Query Date]]&lt;&gt;"", TEXT(Table5[[#This Row],[Query Date]], "mmmm"), "")</f>
        <v/>
      </c>
      <c r="G524" s="28"/>
      <c r="H524" s="28"/>
      <c r="I524" s="28"/>
      <c r="J524" s="28"/>
      <c r="K524" s="28"/>
      <c r="L524" s="25"/>
      <c r="M524" s="25"/>
      <c r="N524" s="25"/>
      <c r="O524" s="130"/>
      <c r="P524" s="47"/>
      <c r="Q524" s="77"/>
      <c r="R524" s="77" t="str">
        <f>IF(Table5[[#This Row],[Tour Starting Date]]&lt;&gt;"", TEXT(Table5[[#This Row],[Tour Starting Date]], "dddd"), "")</f>
        <v/>
      </c>
      <c r="S524" s="77"/>
      <c r="T524" s="25" t="str">
        <f>IF(Table5[[#This Row],[Tour Ending Date]]&lt;&gt;"", TEXT(Table5[[#This Row],[Tour Ending Date]], "dddd"), "")</f>
        <v/>
      </c>
      <c r="U52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24" s="37" t="str">
        <f>IF(Table5[[#This Row],[Tour Starting Date]]&lt;&gt;"", TEXT(Table5[[#This Row],[Tour Starting Date]], "mmmm"), "")</f>
        <v/>
      </c>
      <c r="W524" s="80" t="str" cm="1">
        <f t="array" ref="W524">IF(Q524&lt;&gt;"", INDEX(CI:CI, MATCH(1, (Q524&gt;=CG:CG)*(Q524&lt;=CH:CH), 0)), "")</f>
        <v/>
      </c>
      <c r="X524" s="39"/>
      <c r="Y524" s="74"/>
      <c r="Z524" s="74" t="str">
        <f>IF(OR(Table5[[#This Row],[Per Person Package Cost]]="", Table5[[#This Row],[No. of Pax]]=""), "", Table5[[#This Row],[Per Person Package Cost]] * Table5[[#This Row],[No. of Pax]])</f>
        <v/>
      </c>
      <c r="AA524" s="52"/>
      <c r="AB524" s="52"/>
      <c r="AC524" s="52"/>
      <c r="AD524" s="52"/>
      <c r="AE524" s="51" t="str">
        <f t="shared" si="57"/>
        <v/>
      </c>
      <c r="AF524" s="51" t="str">
        <f t="shared" si="58"/>
        <v/>
      </c>
      <c r="AG524" s="74" t="str">
        <f t="shared" si="59"/>
        <v/>
      </c>
      <c r="AH524" s="73" t="str">
        <f t="shared" si="56"/>
        <v/>
      </c>
      <c r="AI524" s="52"/>
      <c r="AJ524" s="56"/>
      <c r="AK524" s="59"/>
      <c r="AL524" s="60"/>
      <c r="AM524" s="54"/>
      <c r="AN524" s="14"/>
      <c r="AO524" s="15"/>
      <c r="AP524" s="91"/>
      <c r="AQ524" s="87"/>
      <c r="AR524" s="26"/>
      <c r="AS524" s="65"/>
      <c r="AT524" s="88"/>
      <c r="AU524" s="67"/>
      <c r="DA524" t="str" cm="1">
        <f t="array" ref="DA524">IF(U524&lt;&gt;"", TRANSPOSE(_xlfn._xlws.FILTER(CZ:CZ, CY:CY=U524, "")), "")</f>
        <v/>
      </c>
    </row>
    <row r="525" spans="2:105" ht="15" customHeight="1">
      <c r="B525" s="34">
        <v>521</v>
      </c>
      <c r="C525" s="36" t="s">
        <v>2390</v>
      </c>
      <c r="D525" s="76"/>
      <c r="E525" s="37" t="str">
        <f>IF(Table5[[#This Row],[Query Date]]&lt;&gt;"", TEXT(Table5[[#This Row],[Query Date]], "dddd"), "")</f>
        <v/>
      </c>
      <c r="F525" s="37" t="str">
        <f>IF(Table5[[#This Row],[Query Date]]&lt;&gt;"", TEXT(Table5[[#This Row],[Query Date]], "mmmm"), "")</f>
        <v/>
      </c>
      <c r="G525" s="28"/>
      <c r="H525" s="28"/>
      <c r="I525" s="28"/>
      <c r="J525" s="28"/>
      <c r="K525" s="28"/>
      <c r="L525" s="25"/>
      <c r="M525" s="25"/>
      <c r="N525" s="25"/>
      <c r="O525" s="130"/>
      <c r="P525" s="47"/>
      <c r="Q525" s="77"/>
      <c r="R525" s="77" t="str">
        <f>IF(Table5[[#This Row],[Tour Starting Date]]&lt;&gt;"", TEXT(Table5[[#This Row],[Tour Starting Date]], "dddd"), "")</f>
        <v/>
      </c>
      <c r="S525" s="77"/>
      <c r="T525" s="25" t="str">
        <f>IF(Table5[[#This Row],[Tour Ending Date]]&lt;&gt;"", TEXT(Table5[[#This Row],[Tour Ending Date]], "dddd"), "")</f>
        <v/>
      </c>
      <c r="U52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25" s="37" t="str">
        <f>IF(Table5[[#This Row],[Tour Starting Date]]&lt;&gt;"", TEXT(Table5[[#This Row],[Tour Starting Date]], "mmmm"), "")</f>
        <v/>
      </c>
      <c r="W525" s="80" t="str" cm="1">
        <f t="array" ref="W525">IF(Q525&lt;&gt;"", INDEX(CI:CI, MATCH(1, (Q525&gt;=CG:CG)*(Q525&lt;=CH:CH), 0)), "")</f>
        <v/>
      </c>
      <c r="X525" s="39"/>
      <c r="Y525" s="74"/>
      <c r="Z525" s="74" t="str">
        <f>IF(OR(Table5[[#This Row],[Per Person Package Cost]]="", Table5[[#This Row],[No. of Pax]]=""), "", Table5[[#This Row],[Per Person Package Cost]] * Table5[[#This Row],[No. of Pax]])</f>
        <v/>
      </c>
      <c r="AA525" s="52"/>
      <c r="AB525" s="52"/>
      <c r="AC525" s="52"/>
      <c r="AD525" s="52"/>
      <c r="AE525" s="51" t="str">
        <f t="shared" si="57"/>
        <v/>
      </c>
      <c r="AF525" s="51" t="str">
        <f t="shared" si="58"/>
        <v/>
      </c>
      <c r="AG525" s="74" t="str">
        <f t="shared" si="59"/>
        <v/>
      </c>
      <c r="AH525" s="73" t="str">
        <f t="shared" si="56"/>
        <v/>
      </c>
      <c r="AI525" s="52"/>
      <c r="AJ525" s="56"/>
      <c r="AK525" s="59"/>
      <c r="AL525" s="60"/>
      <c r="AM525" s="54"/>
      <c r="AN525" s="14"/>
      <c r="AO525" s="15"/>
      <c r="AP525" s="91"/>
      <c r="AQ525" s="87"/>
      <c r="AR525" s="26"/>
      <c r="AS525" s="65"/>
      <c r="AT525" s="88"/>
      <c r="AU525" s="67"/>
      <c r="DA525" t="str" cm="1">
        <f t="array" ref="DA525">IF(U525&lt;&gt;"", TRANSPOSE(_xlfn._xlws.FILTER(CZ:CZ, CY:CY=U525, "")), "")</f>
        <v/>
      </c>
    </row>
    <row r="526" spans="2:105" ht="15" customHeight="1">
      <c r="B526" s="35">
        <v>522</v>
      </c>
      <c r="C526" s="36" t="s">
        <v>2391</v>
      </c>
      <c r="D526" s="76"/>
      <c r="E526" s="37" t="str">
        <f>IF(Table5[[#This Row],[Query Date]]&lt;&gt;"", TEXT(Table5[[#This Row],[Query Date]], "dddd"), "")</f>
        <v/>
      </c>
      <c r="F526" s="37" t="str">
        <f>IF(Table5[[#This Row],[Query Date]]&lt;&gt;"", TEXT(Table5[[#This Row],[Query Date]], "mmmm"), "")</f>
        <v/>
      </c>
      <c r="G526" s="28"/>
      <c r="H526" s="28"/>
      <c r="I526" s="28"/>
      <c r="J526" s="28"/>
      <c r="K526" s="28"/>
      <c r="L526" s="25"/>
      <c r="M526" s="25"/>
      <c r="N526" s="25"/>
      <c r="O526" s="130"/>
      <c r="P526" s="47"/>
      <c r="Q526" s="77"/>
      <c r="R526" s="77" t="str">
        <f>IF(Table5[[#This Row],[Tour Starting Date]]&lt;&gt;"", TEXT(Table5[[#This Row],[Tour Starting Date]], "dddd"), "")</f>
        <v/>
      </c>
      <c r="S526" s="77"/>
      <c r="T526" s="25" t="str">
        <f>IF(Table5[[#This Row],[Tour Ending Date]]&lt;&gt;"", TEXT(Table5[[#This Row],[Tour Ending Date]], "dddd"), "")</f>
        <v/>
      </c>
      <c r="U52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26" s="37" t="str">
        <f>IF(Table5[[#This Row],[Tour Starting Date]]&lt;&gt;"", TEXT(Table5[[#This Row],[Tour Starting Date]], "mmmm"), "")</f>
        <v/>
      </c>
      <c r="W526" s="80" t="str" cm="1">
        <f t="array" ref="W526">IF(Q526&lt;&gt;"", INDEX(CI:CI, MATCH(1, (Q526&gt;=CG:CG)*(Q526&lt;=CH:CH), 0)), "")</f>
        <v/>
      </c>
      <c r="X526" s="39"/>
      <c r="Y526" s="74"/>
      <c r="Z526" s="74" t="str">
        <f>IF(OR(Table5[[#This Row],[Per Person Package Cost]]="", Table5[[#This Row],[No. of Pax]]=""), "", Table5[[#This Row],[Per Person Package Cost]] * Table5[[#This Row],[No. of Pax]])</f>
        <v/>
      </c>
      <c r="AA526" s="52"/>
      <c r="AB526" s="52"/>
      <c r="AC526" s="52"/>
      <c r="AD526" s="52"/>
      <c r="AE526" s="51" t="str">
        <f t="shared" si="57"/>
        <v/>
      </c>
      <c r="AF526" s="51" t="str">
        <f t="shared" si="58"/>
        <v/>
      </c>
      <c r="AG526" s="74" t="str">
        <f t="shared" si="59"/>
        <v/>
      </c>
      <c r="AH526" s="73" t="str">
        <f t="shared" si="56"/>
        <v/>
      </c>
      <c r="AI526" s="52"/>
      <c r="AJ526" s="56"/>
      <c r="AK526" s="59"/>
      <c r="AL526" s="60"/>
      <c r="AM526" s="54"/>
      <c r="AN526" s="14"/>
      <c r="AO526" s="15"/>
      <c r="AP526" s="91"/>
      <c r="AQ526" s="87"/>
      <c r="AR526" s="26"/>
      <c r="AS526" s="65"/>
      <c r="AT526" s="88"/>
      <c r="AU526" s="67"/>
      <c r="DA526" t="str" cm="1">
        <f t="array" ref="DA526">IF(U526&lt;&gt;"", TRANSPOSE(_xlfn._xlws.FILTER(CZ:CZ, CY:CY=U526, "")), "")</f>
        <v/>
      </c>
    </row>
    <row r="527" spans="2:105" ht="15" customHeight="1">
      <c r="B527" s="34">
        <v>523</v>
      </c>
      <c r="C527" s="36" t="s">
        <v>2392</v>
      </c>
      <c r="D527" s="76"/>
      <c r="E527" s="37" t="str">
        <f>IF(Table5[[#This Row],[Query Date]]&lt;&gt;"", TEXT(Table5[[#This Row],[Query Date]], "dddd"), "")</f>
        <v/>
      </c>
      <c r="F527" s="37" t="str">
        <f>IF(Table5[[#This Row],[Query Date]]&lt;&gt;"", TEXT(Table5[[#This Row],[Query Date]], "mmmm"), "")</f>
        <v/>
      </c>
      <c r="G527" s="28"/>
      <c r="H527" s="28"/>
      <c r="I527" s="28"/>
      <c r="J527" s="28"/>
      <c r="K527" s="28"/>
      <c r="L527" s="25"/>
      <c r="M527" s="25"/>
      <c r="N527" s="25"/>
      <c r="O527" s="130"/>
      <c r="P527" s="47"/>
      <c r="Q527" s="77"/>
      <c r="R527" s="77" t="str">
        <f>IF(Table5[[#This Row],[Tour Starting Date]]&lt;&gt;"", TEXT(Table5[[#This Row],[Tour Starting Date]], "dddd"), "")</f>
        <v/>
      </c>
      <c r="S527" s="77"/>
      <c r="T527" s="25" t="str">
        <f>IF(Table5[[#This Row],[Tour Ending Date]]&lt;&gt;"", TEXT(Table5[[#This Row],[Tour Ending Date]], "dddd"), "")</f>
        <v/>
      </c>
      <c r="U52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27" s="37" t="str">
        <f>IF(Table5[[#This Row],[Tour Starting Date]]&lt;&gt;"", TEXT(Table5[[#This Row],[Tour Starting Date]], "mmmm"), "")</f>
        <v/>
      </c>
      <c r="W527" s="80" t="str" cm="1">
        <f t="array" ref="W527">IF(Q527&lt;&gt;"", INDEX(CI:CI, MATCH(1, (Q527&gt;=CG:CG)*(Q527&lt;=CH:CH), 0)), "")</f>
        <v/>
      </c>
      <c r="X527" s="39"/>
      <c r="Y527" s="74"/>
      <c r="Z527" s="74" t="str">
        <f>IF(OR(Table5[[#This Row],[Per Person Package Cost]]="", Table5[[#This Row],[No. of Pax]]=""), "", Table5[[#This Row],[Per Person Package Cost]] * Table5[[#This Row],[No. of Pax]])</f>
        <v/>
      </c>
      <c r="AA527" s="52"/>
      <c r="AB527" s="52"/>
      <c r="AC527" s="52"/>
      <c r="AD527" s="52"/>
      <c r="AE527" s="51" t="str">
        <f t="shared" si="57"/>
        <v/>
      </c>
      <c r="AF527" s="51" t="str">
        <f t="shared" si="58"/>
        <v/>
      </c>
      <c r="AG527" s="74" t="str">
        <f t="shared" si="59"/>
        <v/>
      </c>
      <c r="AH527" s="73" t="str">
        <f t="shared" si="56"/>
        <v/>
      </c>
      <c r="AI527" s="52"/>
      <c r="AJ527" s="56"/>
      <c r="AK527" s="59"/>
      <c r="AL527" s="60"/>
      <c r="AM527" s="54"/>
      <c r="AN527" s="14"/>
      <c r="AO527" s="15"/>
      <c r="AP527" s="91"/>
      <c r="AQ527" s="87"/>
      <c r="AR527" s="26"/>
      <c r="AS527" s="65"/>
      <c r="AT527" s="88"/>
      <c r="AU527" s="67"/>
      <c r="DA527" t="str" cm="1">
        <f t="array" ref="DA527">IF(U527&lt;&gt;"", TRANSPOSE(_xlfn._xlws.FILTER(CZ:CZ, CY:CY=U527, "")), "")</f>
        <v/>
      </c>
    </row>
    <row r="528" spans="2:105" ht="15" customHeight="1">
      <c r="B528" s="35">
        <v>524</v>
      </c>
      <c r="C528" s="36" t="s">
        <v>2393</v>
      </c>
      <c r="D528" s="76"/>
      <c r="E528" s="37" t="str">
        <f>IF(Table5[[#This Row],[Query Date]]&lt;&gt;"", TEXT(Table5[[#This Row],[Query Date]], "dddd"), "")</f>
        <v/>
      </c>
      <c r="F528" s="37" t="str">
        <f>IF(Table5[[#This Row],[Query Date]]&lt;&gt;"", TEXT(Table5[[#This Row],[Query Date]], "mmmm"), "")</f>
        <v/>
      </c>
      <c r="G528" s="28"/>
      <c r="H528" s="28"/>
      <c r="I528" s="28"/>
      <c r="J528" s="28"/>
      <c r="K528" s="28"/>
      <c r="L528" s="25"/>
      <c r="M528" s="25"/>
      <c r="N528" s="25"/>
      <c r="O528" s="130"/>
      <c r="P528" s="47"/>
      <c r="Q528" s="77"/>
      <c r="R528" s="77" t="str">
        <f>IF(Table5[[#This Row],[Tour Starting Date]]&lt;&gt;"", TEXT(Table5[[#This Row],[Tour Starting Date]], "dddd"), "")</f>
        <v/>
      </c>
      <c r="S528" s="77"/>
      <c r="T528" s="25" t="str">
        <f>IF(Table5[[#This Row],[Tour Ending Date]]&lt;&gt;"", TEXT(Table5[[#This Row],[Tour Ending Date]], "dddd"), "")</f>
        <v/>
      </c>
      <c r="U52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28" s="37" t="str">
        <f>IF(Table5[[#This Row],[Tour Starting Date]]&lt;&gt;"", TEXT(Table5[[#This Row],[Tour Starting Date]], "mmmm"), "")</f>
        <v/>
      </c>
      <c r="W528" s="80" t="str" cm="1">
        <f t="array" ref="W528">IF(Q528&lt;&gt;"", INDEX(CI:CI, MATCH(1, (Q528&gt;=CG:CG)*(Q528&lt;=CH:CH), 0)), "")</f>
        <v/>
      </c>
      <c r="X528" s="39"/>
      <c r="Y528" s="74"/>
      <c r="Z528" s="74" t="str">
        <f>IF(OR(Table5[[#This Row],[Per Person Package Cost]]="", Table5[[#This Row],[No. of Pax]]=""), "", Table5[[#This Row],[Per Person Package Cost]] * Table5[[#This Row],[No. of Pax]])</f>
        <v/>
      </c>
      <c r="AA528" s="52"/>
      <c r="AB528" s="52"/>
      <c r="AC528" s="52"/>
      <c r="AD528" s="52"/>
      <c r="AE528" s="51" t="str">
        <f t="shared" si="57"/>
        <v/>
      </c>
      <c r="AF528" s="51" t="str">
        <f t="shared" si="58"/>
        <v/>
      </c>
      <c r="AG528" s="74" t="str">
        <f t="shared" si="59"/>
        <v/>
      </c>
      <c r="AH528" s="73" t="str">
        <f t="shared" si="56"/>
        <v/>
      </c>
      <c r="AI528" s="52"/>
      <c r="AJ528" s="56"/>
      <c r="AK528" s="59"/>
      <c r="AL528" s="60"/>
      <c r="AM528" s="54"/>
      <c r="AN528" s="14"/>
      <c r="AO528" s="15"/>
      <c r="AP528" s="91"/>
      <c r="AQ528" s="87"/>
      <c r="AR528" s="26"/>
      <c r="AS528" s="65"/>
      <c r="AT528" s="88"/>
      <c r="AU528" s="67"/>
      <c r="DA528" t="str" cm="1">
        <f t="array" ref="DA528">IF(U528&lt;&gt;"", TRANSPOSE(_xlfn._xlws.FILTER(CZ:CZ, CY:CY=U528, "")), "")</f>
        <v/>
      </c>
    </row>
    <row r="529" spans="2:105" ht="15" customHeight="1">
      <c r="B529" s="34">
        <v>525</v>
      </c>
      <c r="C529" s="36" t="s">
        <v>2394</v>
      </c>
      <c r="D529" s="76"/>
      <c r="E529" s="37" t="str">
        <f>IF(Table5[[#This Row],[Query Date]]&lt;&gt;"", TEXT(Table5[[#This Row],[Query Date]], "dddd"), "")</f>
        <v/>
      </c>
      <c r="F529" s="37" t="str">
        <f>IF(Table5[[#This Row],[Query Date]]&lt;&gt;"", TEXT(Table5[[#This Row],[Query Date]], "mmmm"), "")</f>
        <v/>
      </c>
      <c r="G529" s="28"/>
      <c r="H529" s="28"/>
      <c r="I529" s="28"/>
      <c r="J529" s="28"/>
      <c r="K529" s="28"/>
      <c r="L529" s="25"/>
      <c r="M529" s="25"/>
      <c r="N529" s="25"/>
      <c r="O529" s="130"/>
      <c r="P529" s="47"/>
      <c r="Q529" s="77"/>
      <c r="R529" s="77" t="str">
        <f>IF(Table5[[#This Row],[Tour Starting Date]]&lt;&gt;"", TEXT(Table5[[#This Row],[Tour Starting Date]], "dddd"), "")</f>
        <v/>
      </c>
      <c r="S529" s="77"/>
      <c r="T529" s="25" t="str">
        <f>IF(Table5[[#This Row],[Tour Ending Date]]&lt;&gt;"", TEXT(Table5[[#This Row],[Tour Ending Date]], "dddd"), "")</f>
        <v/>
      </c>
      <c r="U52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29" s="37" t="str">
        <f>IF(Table5[[#This Row],[Tour Starting Date]]&lt;&gt;"", TEXT(Table5[[#This Row],[Tour Starting Date]], "mmmm"), "")</f>
        <v/>
      </c>
      <c r="W529" s="80" t="str" cm="1">
        <f t="array" ref="W529">IF(Q529&lt;&gt;"", INDEX(CI:CI, MATCH(1, (Q529&gt;=CG:CG)*(Q529&lt;=CH:CH), 0)), "")</f>
        <v/>
      </c>
      <c r="X529" s="39"/>
      <c r="Y529" s="74"/>
      <c r="Z529" s="74" t="str">
        <f>IF(OR(Table5[[#This Row],[Per Person Package Cost]]="", Table5[[#This Row],[No. of Pax]]=""), "", Table5[[#This Row],[Per Person Package Cost]] * Table5[[#This Row],[No. of Pax]])</f>
        <v/>
      </c>
      <c r="AA529" s="52"/>
      <c r="AB529" s="52"/>
      <c r="AC529" s="52"/>
      <c r="AD529" s="52"/>
      <c r="AE529" s="51" t="str">
        <f t="shared" si="57"/>
        <v/>
      </c>
      <c r="AF529" s="51" t="str">
        <f t="shared" si="58"/>
        <v/>
      </c>
      <c r="AG529" s="74" t="str">
        <f t="shared" si="59"/>
        <v/>
      </c>
      <c r="AH529" s="73" t="str">
        <f t="shared" si="56"/>
        <v/>
      </c>
      <c r="AI529" s="52"/>
      <c r="AJ529" s="56"/>
      <c r="AK529" s="59"/>
      <c r="AL529" s="60"/>
      <c r="AM529" s="54"/>
      <c r="AN529" s="14"/>
      <c r="AO529" s="15"/>
      <c r="AP529" s="91"/>
      <c r="AQ529" s="87"/>
      <c r="AR529" s="26"/>
      <c r="AS529" s="65"/>
      <c r="AT529" s="88"/>
      <c r="AU529" s="67"/>
      <c r="DA529" t="str" cm="1">
        <f t="array" ref="DA529">IF(U529&lt;&gt;"", TRANSPOSE(_xlfn._xlws.FILTER(CZ:CZ, CY:CY=U529, "")), "")</f>
        <v/>
      </c>
    </row>
    <row r="530" spans="2:105" ht="15" customHeight="1">
      <c r="B530" s="35">
        <v>526</v>
      </c>
      <c r="C530" s="36" t="s">
        <v>2395</v>
      </c>
      <c r="D530" s="76"/>
      <c r="E530" s="37" t="str">
        <f>IF(Table5[[#This Row],[Query Date]]&lt;&gt;"", TEXT(Table5[[#This Row],[Query Date]], "dddd"), "")</f>
        <v/>
      </c>
      <c r="F530" s="37" t="str">
        <f>IF(Table5[[#This Row],[Query Date]]&lt;&gt;"", TEXT(Table5[[#This Row],[Query Date]], "mmmm"), "")</f>
        <v/>
      </c>
      <c r="G530" s="28"/>
      <c r="H530" s="28"/>
      <c r="I530" s="28"/>
      <c r="J530" s="28"/>
      <c r="K530" s="28"/>
      <c r="L530" s="25"/>
      <c r="M530" s="25"/>
      <c r="N530" s="25"/>
      <c r="O530" s="130"/>
      <c r="P530" s="47"/>
      <c r="Q530" s="77"/>
      <c r="R530" s="77" t="str">
        <f>IF(Table5[[#This Row],[Tour Starting Date]]&lt;&gt;"", TEXT(Table5[[#This Row],[Tour Starting Date]], "dddd"), "")</f>
        <v/>
      </c>
      <c r="S530" s="77"/>
      <c r="T530" s="25" t="str">
        <f>IF(Table5[[#This Row],[Tour Ending Date]]&lt;&gt;"", TEXT(Table5[[#This Row],[Tour Ending Date]], "dddd"), "")</f>
        <v/>
      </c>
      <c r="U53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30" s="37" t="str">
        <f>IF(Table5[[#This Row],[Tour Starting Date]]&lt;&gt;"", TEXT(Table5[[#This Row],[Tour Starting Date]], "mmmm"), "")</f>
        <v/>
      </c>
      <c r="W530" s="80" t="str" cm="1">
        <f t="array" ref="W530">IF(Q530&lt;&gt;"", INDEX(CI:CI, MATCH(1, (Q530&gt;=CG:CG)*(Q530&lt;=CH:CH), 0)), "")</f>
        <v/>
      </c>
      <c r="X530" s="39"/>
      <c r="Y530" s="74"/>
      <c r="Z530" s="74" t="str">
        <f>IF(OR(Table5[[#This Row],[Per Person Package Cost]]="", Table5[[#This Row],[No. of Pax]]=""), "", Table5[[#This Row],[Per Person Package Cost]] * Table5[[#This Row],[No. of Pax]])</f>
        <v/>
      </c>
      <c r="AA530" s="52"/>
      <c r="AB530" s="52"/>
      <c r="AC530" s="52"/>
      <c r="AD530" s="52"/>
      <c r="AE530" s="51" t="str">
        <f t="shared" si="57"/>
        <v/>
      </c>
      <c r="AF530" s="51" t="str">
        <f t="shared" si="58"/>
        <v/>
      </c>
      <c r="AG530" s="74" t="str">
        <f t="shared" si="59"/>
        <v/>
      </c>
      <c r="AH530" s="73" t="str">
        <f t="shared" si="56"/>
        <v/>
      </c>
      <c r="AI530" s="52"/>
      <c r="AJ530" s="56"/>
      <c r="AK530" s="59"/>
      <c r="AL530" s="60"/>
      <c r="AM530" s="54"/>
      <c r="AN530" s="14"/>
      <c r="AO530" s="15"/>
      <c r="AP530" s="91"/>
      <c r="AQ530" s="87"/>
      <c r="AR530" s="26"/>
      <c r="AS530" s="65"/>
      <c r="AT530" s="88"/>
      <c r="AU530" s="67"/>
      <c r="DA530" t="str" cm="1">
        <f t="array" ref="DA530">IF(U530&lt;&gt;"", TRANSPOSE(_xlfn._xlws.FILTER(CZ:CZ, CY:CY=U530, "")), "")</f>
        <v/>
      </c>
    </row>
    <row r="531" spans="2:105" ht="15" customHeight="1">
      <c r="B531" s="34">
        <v>527</v>
      </c>
      <c r="C531" s="36" t="s">
        <v>2396</v>
      </c>
      <c r="D531" s="76"/>
      <c r="E531" s="37" t="str">
        <f>IF(Table5[[#This Row],[Query Date]]&lt;&gt;"", TEXT(Table5[[#This Row],[Query Date]], "dddd"), "")</f>
        <v/>
      </c>
      <c r="F531" s="37" t="str">
        <f>IF(Table5[[#This Row],[Query Date]]&lt;&gt;"", TEXT(Table5[[#This Row],[Query Date]], "mmmm"), "")</f>
        <v/>
      </c>
      <c r="G531" s="28"/>
      <c r="H531" s="28"/>
      <c r="I531" s="28"/>
      <c r="J531" s="28"/>
      <c r="K531" s="28"/>
      <c r="L531" s="25"/>
      <c r="M531" s="25"/>
      <c r="N531" s="25"/>
      <c r="O531" s="130"/>
      <c r="P531" s="47"/>
      <c r="Q531" s="77"/>
      <c r="R531" s="77" t="str">
        <f>IF(Table5[[#This Row],[Tour Starting Date]]&lt;&gt;"", TEXT(Table5[[#This Row],[Tour Starting Date]], "dddd"), "")</f>
        <v/>
      </c>
      <c r="S531" s="77"/>
      <c r="T531" s="25" t="str">
        <f>IF(Table5[[#This Row],[Tour Ending Date]]&lt;&gt;"", TEXT(Table5[[#This Row],[Tour Ending Date]], "dddd"), "")</f>
        <v/>
      </c>
      <c r="U53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31" s="37" t="str">
        <f>IF(Table5[[#This Row],[Tour Starting Date]]&lt;&gt;"", TEXT(Table5[[#This Row],[Tour Starting Date]], "mmmm"), "")</f>
        <v/>
      </c>
      <c r="W531" s="80" t="str" cm="1">
        <f t="array" ref="W531">IF(Q531&lt;&gt;"", INDEX(CI:CI, MATCH(1, (Q531&gt;=CG:CG)*(Q531&lt;=CH:CH), 0)), "")</f>
        <v/>
      </c>
      <c r="X531" s="39"/>
      <c r="Y531" s="74"/>
      <c r="Z531" s="74" t="str">
        <f>IF(OR(Table5[[#This Row],[Per Person Package Cost]]="", Table5[[#This Row],[No. of Pax]]=""), "", Table5[[#This Row],[Per Person Package Cost]] * Table5[[#This Row],[No. of Pax]])</f>
        <v/>
      </c>
      <c r="AA531" s="52"/>
      <c r="AB531" s="52"/>
      <c r="AC531" s="52"/>
      <c r="AD531" s="52"/>
      <c r="AE531" s="51" t="str">
        <f t="shared" si="57"/>
        <v/>
      </c>
      <c r="AF531" s="51" t="str">
        <f t="shared" si="58"/>
        <v/>
      </c>
      <c r="AG531" s="74" t="str">
        <f t="shared" si="59"/>
        <v/>
      </c>
      <c r="AH531" s="73" t="str">
        <f t="shared" si="56"/>
        <v/>
      </c>
      <c r="AI531" s="52"/>
      <c r="AJ531" s="56"/>
      <c r="AK531" s="59"/>
      <c r="AL531" s="60"/>
      <c r="AM531" s="54"/>
      <c r="AN531" s="14"/>
      <c r="AO531" s="15"/>
      <c r="AP531" s="91"/>
      <c r="AQ531" s="87"/>
      <c r="AR531" s="26"/>
      <c r="AS531" s="65"/>
      <c r="AT531" s="88"/>
      <c r="AU531" s="67"/>
      <c r="DA531" t="str" cm="1">
        <f t="array" ref="DA531">IF(U531&lt;&gt;"", TRANSPOSE(_xlfn._xlws.FILTER(CZ:CZ, CY:CY=U531, "")), "")</f>
        <v/>
      </c>
    </row>
    <row r="532" spans="2:105" ht="15" customHeight="1">
      <c r="B532" s="35">
        <v>528</v>
      </c>
      <c r="C532" s="36" t="s">
        <v>2397</v>
      </c>
      <c r="D532" s="76"/>
      <c r="E532" s="37" t="str">
        <f>IF(Table5[[#This Row],[Query Date]]&lt;&gt;"", TEXT(Table5[[#This Row],[Query Date]], "dddd"), "")</f>
        <v/>
      </c>
      <c r="F532" s="37" t="str">
        <f>IF(Table5[[#This Row],[Query Date]]&lt;&gt;"", TEXT(Table5[[#This Row],[Query Date]], "mmmm"), "")</f>
        <v/>
      </c>
      <c r="G532" s="28"/>
      <c r="H532" s="28"/>
      <c r="I532" s="28"/>
      <c r="J532" s="28"/>
      <c r="K532" s="28"/>
      <c r="L532" s="25"/>
      <c r="M532" s="25"/>
      <c r="N532" s="25"/>
      <c r="O532" s="130"/>
      <c r="P532" s="47"/>
      <c r="Q532" s="77"/>
      <c r="R532" s="77" t="str">
        <f>IF(Table5[[#This Row],[Tour Starting Date]]&lt;&gt;"", TEXT(Table5[[#This Row],[Tour Starting Date]], "dddd"), "")</f>
        <v/>
      </c>
      <c r="S532" s="77"/>
      <c r="T532" s="25" t="str">
        <f>IF(Table5[[#This Row],[Tour Ending Date]]&lt;&gt;"", TEXT(Table5[[#This Row],[Tour Ending Date]], "dddd"), "")</f>
        <v/>
      </c>
      <c r="U53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32" s="37" t="str">
        <f>IF(Table5[[#This Row],[Tour Starting Date]]&lt;&gt;"", TEXT(Table5[[#This Row],[Tour Starting Date]], "mmmm"), "")</f>
        <v/>
      </c>
      <c r="W532" s="80" t="str" cm="1">
        <f t="array" ref="W532">IF(Q532&lt;&gt;"", INDEX(CI:CI, MATCH(1, (Q532&gt;=CG:CG)*(Q532&lt;=CH:CH), 0)), "")</f>
        <v/>
      </c>
      <c r="X532" s="39"/>
      <c r="Y532" s="74"/>
      <c r="Z532" s="74" t="str">
        <f>IF(OR(Table5[[#This Row],[Per Person Package Cost]]="", Table5[[#This Row],[No. of Pax]]=""), "", Table5[[#This Row],[Per Person Package Cost]] * Table5[[#This Row],[No. of Pax]])</f>
        <v/>
      </c>
      <c r="AA532" s="52"/>
      <c r="AB532" s="52"/>
      <c r="AC532" s="52"/>
      <c r="AD532" s="52"/>
      <c r="AE532" s="51" t="str">
        <f t="shared" si="57"/>
        <v/>
      </c>
      <c r="AF532" s="51" t="str">
        <f t="shared" si="58"/>
        <v/>
      </c>
      <c r="AG532" s="74" t="str">
        <f t="shared" si="59"/>
        <v/>
      </c>
      <c r="AH532" s="73" t="str">
        <f t="shared" ref="AH532:AH595" si="60">IF(AD532&lt;&gt;"", INDEX(CV:CV, MATCH(AD532, CZ:CZ, 0)), "")</f>
        <v/>
      </c>
      <c r="AI532" s="52"/>
      <c r="AJ532" s="56"/>
      <c r="AK532" s="59"/>
      <c r="AL532" s="60"/>
      <c r="AM532" s="54"/>
      <c r="AN532" s="14"/>
      <c r="AO532" s="15"/>
      <c r="AP532" s="91"/>
      <c r="AQ532" s="87"/>
      <c r="AR532" s="26"/>
      <c r="AS532" s="65"/>
      <c r="AT532" s="88"/>
      <c r="AU532" s="67"/>
      <c r="DA532" t="str" cm="1">
        <f t="array" ref="DA532">IF(U532&lt;&gt;"", TRANSPOSE(_xlfn._xlws.FILTER(CZ:CZ, CY:CY=U532, "")), "")</f>
        <v/>
      </c>
    </row>
    <row r="533" spans="2:105" ht="15" customHeight="1">
      <c r="B533" s="34">
        <v>529</v>
      </c>
      <c r="C533" s="36" t="s">
        <v>2398</v>
      </c>
      <c r="D533" s="76"/>
      <c r="E533" s="37" t="str">
        <f>IF(Table5[[#This Row],[Query Date]]&lt;&gt;"", TEXT(Table5[[#This Row],[Query Date]], "dddd"), "")</f>
        <v/>
      </c>
      <c r="F533" s="37" t="str">
        <f>IF(Table5[[#This Row],[Query Date]]&lt;&gt;"", TEXT(Table5[[#This Row],[Query Date]], "mmmm"), "")</f>
        <v/>
      </c>
      <c r="G533" s="28"/>
      <c r="H533" s="28"/>
      <c r="I533" s="28"/>
      <c r="J533" s="28"/>
      <c r="K533" s="28"/>
      <c r="L533" s="25"/>
      <c r="M533" s="25"/>
      <c r="N533" s="25"/>
      <c r="O533" s="130"/>
      <c r="P533" s="47"/>
      <c r="Q533" s="77"/>
      <c r="R533" s="77" t="str">
        <f>IF(Table5[[#This Row],[Tour Starting Date]]&lt;&gt;"", TEXT(Table5[[#This Row],[Tour Starting Date]], "dddd"), "")</f>
        <v/>
      </c>
      <c r="S533" s="77"/>
      <c r="T533" s="25" t="str">
        <f>IF(Table5[[#This Row],[Tour Ending Date]]&lt;&gt;"", TEXT(Table5[[#This Row],[Tour Ending Date]], "dddd"), "")</f>
        <v/>
      </c>
      <c r="U53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33" s="37" t="str">
        <f>IF(Table5[[#This Row],[Tour Starting Date]]&lt;&gt;"", TEXT(Table5[[#This Row],[Tour Starting Date]], "mmmm"), "")</f>
        <v/>
      </c>
      <c r="W533" s="80" t="str" cm="1">
        <f t="array" ref="W533">IF(Q533&lt;&gt;"", INDEX(CI:CI, MATCH(1, (Q533&gt;=CG:CG)*(Q533&lt;=CH:CH), 0)), "")</f>
        <v/>
      </c>
      <c r="X533" s="39"/>
      <c r="Y533" s="74"/>
      <c r="Z533" s="74" t="str">
        <f>IF(OR(Table5[[#This Row],[Per Person Package Cost]]="", Table5[[#This Row],[No. of Pax]]=""), "", Table5[[#This Row],[Per Person Package Cost]] * Table5[[#This Row],[No. of Pax]])</f>
        <v/>
      </c>
      <c r="AA533" s="52"/>
      <c r="AB533" s="52"/>
      <c r="AC533" s="52"/>
      <c r="AD533" s="52"/>
      <c r="AE533" s="51" t="str">
        <f t="shared" si="57"/>
        <v/>
      </c>
      <c r="AF533" s="51" t="str">
        <f t="shared" si="58"/>
        <v/>
      </c>
      <c r="AG533" s="74" t="str">
        <f t="shared" si="59"/>
        <v/>
      </c>
      <c r="AH533" s="73" t="str">
        <f t="shared" si="60"/>
        <v/>
      </c>
      <c r="AI533" s="52"/>
      <c r="AJ533" s="56"/>
      <c r="AK533" s="59"/>
      <c r="AL533" s="60"/>
      <c r="AM533" s="54"/>
      <c r="AN533" s="14"/>
      <c r="AO533" s="15"/>
      <c r="AP533" s="91"/>
      <c r="AQ533" s="87"/>
      <c r="AR533" s="26"/>
      <c r="AS533" s="65"/>
      <c r="AT533" s="88"/>
      <c r="AU533" s="67"/>
      <c r="DA533" t="str" cm="1">
        <f t="array" ref="DA533">IF(U533&lt;&gt;"", TRANSPOSE(_xlfn._xlws.FILTER(CZ:CZ, CY:CY=U533, "")), "")</f>
        <v/>
      </c>
    </row>
    <row r="534" spans="2:105" ht="15" customHeight="1">
      <c r="B534" s="35">
        <v>530</v>
      </c>
      <c r="C534" s="36" t="s">
        <v>2399</v>
      </c>
      <c r="D534" s="76"/>
      <c r="E534" s="37" t="str">
        <f>IF(Table5[[#This Row],[Query Date]]&lt;&gt;"", TEXT(Table5[[#This Row],[Query Date]], "dddd"), "")</f>
        <v/>
      </c>
      <c r="F534" s="37" t="str">
        <f>IF(Table5[[#This Row],[Query Date]]&lt;&gt;"", TEXT(Table5[[#This Row],[Query Date]], "mmmm"), "")</f>
        <v/>
      </c>
      <c r="G534" s="28"/>
      <c r="H534" s="28"/>
      <c r="I534" s="28"/>
      <c r="J534" s="28"/>
      <c r="K534" s="28"/>
      <c r="L534" s="25"/>
      <c r="M534" s="25"/>
      <c r="N534" s="25"/>
      <c r="O534" s="130"/>
      <c r="P534" s="47"/>
      <c r="Q534" s="77"/>
      <c r="R534" s="77" t="str">
        <f>IF(Table5[[#This Row],[Tour Starting Date]]&lt;&gt;"", TEXT(Table5[[#This Row],[Tour Starting Date]], "dddd"), "")</f>
        <v/>
      </c>
      <c r="S534" s="77"/>
      <c r="T534" s="25" t="str">
        <f>IF(Table5[[#This Row],[Tour Ending Date]]&lt;&gt;"", TEXT(Table5[[#This Row],[Tour Ending Date]], "dddd"), "")</f>
        <v/>
      </c>
      <c r="U53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34" s="37" t="str">
        <f>IF(Table5[[#This Row],[Tour Starting Date]]&lt;&gt;"", TEXT(Table5[[#This Row],[Tour Starting Date]], "mmmm"), "")</f>
        <v/>
      </c>
      <c r="W534" s="80" t="str" cm="1">
        <f t="array" ref="W534">IF(Q534&lt;&gt;"", INDEX(CI:CI, MATCH(1, (Q534&gt;=CG:CG)*(Q534&lt;=CH:CH), 0)), "")</f>
        <v/>
      </c>
      <c r="X534" s="39"/>
      <c r="Y534" s="74"/>
      <c r="Z534" s="74" t="str">
        <f>IF(OR(Table5[[#This Row],[Per Person Package Cost]]="", Table5[[#This Row],[No. of Pax]]=""), "", Table5[[#This Row],[Per Person Package Cost]] * Table5[[#This Row],[No. of Pax]])</f>
        <v/>
      </c>
      <c r="AA534" s="52"/>
      <c r="AB534" s="52"/>
      <c r="AC534" s="52"/>
      <c r="AD534" s="52"/>
      <c r="AE534" s="51" t="str">
        <f t="shared" si="57"/>
        <v/>
      </c>
      <c r="AF534" s="51" t="str">
        <f t="shared" si="58"/>
        <v/>
      </c>
      <c r="AG534" s="74" t="str">
        <f t="shared" si="59"/>
        <v/>
      </c>
      <c r="AH534" s="73" t="str">
        <f t="shared" si="60"/>
        <v/>
      </c>
      <c r="AI534" s="52"/>
      <c r="AJ534" s="56"/>
      <c r="AK534" s="59"/>
      <c r="AL534" s="60"/>
      <c r="AM534" s="54"/>
      <c r="AN534" s="14"/>
      <c r="AO534" s="15"/>
      <c r="AP534" s="91"/>
      <c r="AQ534" s="87"/>
      <c r="AR534" s="26"/>
      <c r="AS534" s="65"/>
      <c r="AT534" s="88"/>
      <c r="AU534" s="67"/>
      <c r="DA534" t="str" cm="1">
        <f t="array" ref="DA534">IF(U534&lt;&gt;"", TRANSPOSE(_xlfn._xlws.FILTER(CZ:CZ, CY:CY=U534, "")), "")</f>
        <v/>
      </c>
    </row>
    <row r="535" spans="2:105" ht="15" customHeight="1">
      <c r="B535" s="34">
        <v>531</v>
      </c>
      <c r="C535" s="36" t="s">
        <v>2400</v>
      </c>
      <c r="D535" s="76"/>
      <c r="E535" s="37" t="str">
        <f>IF(Table5[[#This Row],[Query Date]]&lt;&gt;"", TEXT(Table5[[#This Row],[Query Date]], "dddd"), "")</f>
        <v/>
      </c>
      <c r="F535" s="37" t="str">
        <f>IF(Table5[[#This Row],[Query Date]]&lt;&gt;"", TEXT(Table5[[#This Row],[Query Date]], "mmmm"), "")</f>
        <v/>
      </c>
      <c r="G535" s="28"/>
      <c r="H535" s="28"/>
      <c r="I535" s="28"/>
      <c r="J535" s="28"/>
      <c r="K535" s="28"/>
      <c r="L535" s="25"/>
      <c r="M535" s="25"/>
      <c r="N535" s="25"/>
      <c r="O535" s="130"/>
      <c r="P535" s="47"/>
      <c r="Q535" s="77"/>
      <c r="R535" s="77" t="str">
        <f>IF(Table5[[#This Row],[Tour Starting Date]]&lt;&gt;"", TEXT(Table5[[#This Row],[Tour Starting Date]], "dddd"), "")</f>
        <v/>
      </c>
      <c r="S535" s="77"/>
      <c r="T535" s="25" t="str">
        <f>IF(Table5[[#This Row],[Tour Ending Date]]&lt;&gt;"", TEXT(Table5[[#This Row],[Tour Ending Date]], "dddd"), "")</f>
        <v/>
      </c>
      <c r="U53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35" s="37" t="str">
        <f>IF(Table5[[#This Row],[Tour Starting Date]]&lt;&gt;"", TEXT(Table5[[#This Row],[Tour Starting Date]], "mmmm"), "")</f>
        <v/>
      </c>
      <c r="W535" s="80" t="str" cm="1">
        <f t="array" ref="W535">IF(Q535&lt;&gt;"", INDEX(CI:CI, MATCH(1, (Q535&gt;=CG:CG)*(Q535&lt;=CH:CH), 0)), "")</f>
        <v/>
      </c>
      <c r="X535" s="39"/>
      <c r="Y535" s="74"/>
      <c r="Z535" s="74" t="str">
        <f>IF(OR(Table5[[#This Row],[Per Person Package Cost]]="", Table5[[#This Row],[No. of Pax]]=""), "", Table5[[#This Row],[Per Person Package Cost]] * Table5[[#This Row],[No. of Pax]])</f>
        <v/>
      </c>
      <c r="AA535" s="52"/>
      <c r="AB535" s="52"/>
      <c r="AC535" s="52"/>
      <c r="AD535" s="52"/>
      <c r="AE535" s="51" t="str">
        <f t="shared" si="57"/>
        <v/>
      </c>
      <c r="AF535" s="51" t="str">
        <f t="shared" si="58"/>
        <v/>
      </c>
      <c r="AG535" s="74" t="str">
        <f t="shared" si="59"/>
        <v/>
      </c>
      <c r="AH535" s="73" t="str">
        <f t="shared" si="60"/>
        <v/>
      </c>
      <c r="AI535" s="52"/>
      <c r="AJ535" s="56"/>
      <c r="AK535" s="59"/>
      <c r="AL535" s="60"/>
      <c r="AM535" s="54"/>
      <c r="AN535" s="14"/>
      <c r="AO535" s="15"/>
      <c r="AP535" s="91"/>
      <c r="AQ535" s="87"/>
      <c r="AR535" s="26"/>
      <c r="AS535" s="65"/>
      <c r="AT535" s="88"/>
      <c r="AU535" s="67"/>
      <c r="DA535" t="str" cm="1">
        <f t="array" ref="DA535">IF(U535&lt;&gt;"", TRANSPOSE(_xlfn._xlws.FILTER(CZ:CZ, CY:CY=U535, "")), "")</f>
        <v/>
      </c>
    </row>
    <row r="536" spans="2:105" ht="15" customHeight="1">
      <c r="B536" s="35">
        <v>532</v>
      </c>
      <c r="C536" s="36" t="s">
        <v>2401</v>
      </c>
      <c r="D536" s="76"/>
      <c r="E536" s="37" t="str">
        <f>IF(Table5[[#This Row],[Query Date]]&lt;&gt;"", TEXT(Table5[[#This Row],[Query Date]], "dddd"), "")</f>
        <v/>
      </c>
      <c r="F536" s="37" t="str">
        <f>IF(Table5[[#This Row],[Query Date]]&lt;&gt;"", TEXT(Table5[[#This Row],[Query Date]], "mmmm"), "")</f>
        <v/>
      </c>
      <c r="G536" s="28"/>
      <c r="H536" s="28"/>
      <c r="I536" s="28"/>
      <c r="J536" s="28"/>
      <c r="K536" s="28"/>
      <c r="L536" s="25"/>
      <c r="M536" s="25"/>
      <c r="N536" s="25"/>
      <c r="O536" s="130"/>
      <c r="P536" s="47"/>
      <c r="Q536" s="77"/>
      <c r="R536" s="77" t="str">
        <f>IF(Table5[[#This Row],[Tour Starting Date]]&lt;&gt;"", TEXT(Table5[[#This Row],[Tour Starting Date]], "dddd"), "")</f>
        <v/>
      </c>
      <c r="S536" s="77"/>
      <c r="T536" s="25" t="str">
        <f>IF(Table5[[#This Row],[Tour Ending Date]]&lt;&gt;"", TEXT(Table5[[#This Row],[Tour Ending Date]], "dddd"), "")</f>
        <v/>
      </c>
      <c r="U53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36" s="37" t="str">
        <f>IF(Table5[[#This Row],[Tour Starting Date]]&lt;&gt;"", TEXT(Table5[[#This Row],[Tour Starting Date]], "mmmm"), "")</f>
        <v/>
      </c>
      <c r="W536" s="80" t="str" cm="1">
        <f t="array" ref="W536">IF(Q536&lt;&gt;"", INDEX(CI:CI, MATCH(1, (Q536&gt;=CG:CG)*(Q536&lt;=CH:CH), 0)), "")</f>
        <v/>
      </c>
      <c r="X536" s="39"/>
      <c r="Y536" s="74"/>
      <c r="Z536" s="74" t="str">
        <f>IF(OR(Table5[[#This Row],[Per Person Package Cost]]="", Table5[[#This Row],[No. of Pax]]=""), "", Table5[[#This Row],[Per Person Package Cost]] * Table5[[#This Row],[No. of Pax]])</f>
        <v/>
      </c>
      <c r="AA536" s="52"/>
      <c r="AB536" s="52"/>
      <c r="AC536" s="52"/>
      <c r="AD536" s="52"/>
      <c r="AE536" s="51" t="str">
        <f t="shared" si="57"/>
        <v/>
      </c>
      <c r="AF536" s="51" t="str">
        <f t="shared" si="58"/>
        <v/>
      </c>
      <c r="AG536" s="74" t="str">
        <f t="shared" si="59"/>
        <v/>
      </c>
      <c r="AH536" s="73" t="str">
        <f t="shared" si="60"/>
        <v/>
      </c>
      <c r="AI536" s="52"/>
      <c r="AJ536" s="56"/>
      <c r="AK536" s="59"/>
      <c r="AL536" s="60"/>
      <c r="AM536" s="54"/>
      <c r="AN536" s="14"/>
      <c r="AO536" s="15"/>
      <c r="AP536" s="91"/>
      <c r="AQ536" s="87"/>
      <c r="AR536" s="26"/>
      <c r="AS536" s="65"/>
      <c r="AT536" s="88"/>
      <c r="AU536" s="67"/>
      <c r="DA536" t="str" cm="1">
        <f t="array" ref="DA536">IF(U536&lt;&gt;"", TRANSPOSE(_xlfn._xlws.FILTER(CZ:CZ, CY:CY=U536, "")), "")</f>
        <v/>
      </c>
    </row>
    <row r="537" spans="2:105" ht="15" customHeight="1">
      <c r="B537" s="34">
        <v>533</v>
      </c>
      <c r="C537" s="36" t="s">
        <v>2402</v>
      </c>
      <c r="D537" s="76"/>
      <c r="E537" s="37" t="str">
        <f>IF(Table5[[#This Row],[Query Date]]&lt;&gt;"", TEXT(Table5[[#This Row],[Query Date]], "dddd"), "")</f>
        <v/>
      </c>
      <c r="F537" s="37" t="str">
        <f>IF(Table5[[#This Row],[Query Date]]&lt;&gt;"", TEXT(Table5[[#This Row],[Query Date]], "mmmm"), "")</f>
        <v/>
      </c>
      <c r="G537" s="28"/>
      <c r="H537" s="28"/>
      <c r="I537" s="28"/>
      <c r="J537" s="28"/>
      <c r="K537" s="28"/>
      <c r="L537" s="25"/>
      <c r="M537" s="25"/>
      <c r="N537" s="25"/>
      <c r="O537" s="130"/>
      <c r="P537" s="47"/>
      <c r="Q537" s="77"/>
      <c r="R537" s="77" t="str">
        <f>IF(Table5[[#This Row],[Tour Starting Date]]&lt;&gt;"", TEXT(Table5[[#This Row],[Tour Starting Date]], "dddd"), "")</f>
        <v/>
      </c>
      <c r="S537" s="77"/>
      <c r="T537" s="25" t="str">
        <f>IF(Table5[[#This Row],[Tour Ending Date]]&lt;&gt;"", TEXT(Table5[[#This Row],[Tour Ending Date]], "dddd"), "")</f>
        <v/>
      </c>
      <c r="U53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37" s="37" t="str">
        <f>IF(Table5[[#This Row],[Tour Starting Date]]&lt;&gt;"", TEXT(Table5[[#This Row],[Tour Starting Date]], "mmmm"), "")</f>
        <v/>
      </c>
      <c r="W537" s="80" t="str" cm="1">
        <f t="array" ref="W537">IF(Q537&lt;&gt;"", INDEX(CI:CI, MATCH(1, (Q537&gt;=CG:CG)*(Q537&lt;=CH:CH), 0)), "")</f>
        <v/>
      </c>
      <c r="X537" s="39"/>
      <c r="Y537" s="74"/>
      <c r="Z537" s="74" t="str">
        <f>IF(OR(Table5[[#This Row],[Per Person Package Cost]]="", Table5[[#This Row],[No. of Pax]]=""), "", Table5[[#This Row],[Per Person Package Cost]] * Table5[[#This Row],[No. of Pax]])</f>
        <v/>
      </c>
      <c r="AA537" s="52"/>
      <c r="AB537" s="52"/>
      <c r="AC537" s="52"/>
      <c r="AD537" s="52"/>
      <c r="AE537" s="51" t="str">
        <f t="shared" si="57"/>
        <v/>
      </c>
      <c r="AF537" s="51" t="str">
        <f t="shared" si="58"/>
        <v/>
      </c>
      <c r="AG537" s="74" t="str">
        <f t="shared" si="59"/>
        <v/>
      </c>
      <c r="AH537" s="73" t="str">
        <f t="shared" si="60"/>
        <v/>
      </c>
      <c r="AI537" s="52"/>
      <c r="AJ537" s="56"/>
      <c r="AK537" s="59"/>
      <c r="AL537" s="60"/>
      <c r="AM537" s="54"/>
      <c r="AN537" s="14"/>
      <c r="AO537" s="15"/>
      <c r="AP537" s="91"/>
      <c r="AQ537" s="87"/>
      <c r="AR537" s="26"/>
      <c r="AS537" s="65"/>
      <c r="AT537" s="88"/>
      <c r="AU537" s="67"/>
      <c r="DA537" t="str" cm="1">
        <f t="array" ref="DA537">IF(U537&lt;&gt;"", TRANSPOSE(_xlfn._xlws.FILTER(CZ:CZ, CY:CY=U537, "")), "")</f>
        <v/>
      </c>
    </row>
    <row r="538" spans="2:105" ht="15" customHeight="1">
      <c r="B538" s="35">
        <v>534</v>
      </c>
      <c r="C538" s="36" t="s">
        <v>2403</v>
      </c>
      <c r="D538" s="76"/>
      <c r="E538" s="37" t="str">
        <f>IF(Table5[[#This Row],[Query Date]]&lt;&gt;"", TEXT(Table5[[#This Row],[Query Date]], "dddd"), "")</f>
        <v/>
      </c>
      <c r="F538" s="37" t="str">
        <f>IF(Table5[[#This Row],[Query Date]]&lt;&gt;"", TEXT(Table5[[#This Row],[Query Date]], "mmmm"), "")</f>
        <v/>
      </c>
      <c r="G538" s="28"/>
      <c r="H538" s="28"/>
      <c r="I538" s="28"/>
      <c r="J538" s="28"/>
      <c r="K538" s="28"/>
      <c r="L538" s="25"/>
      <c r="M538" s="25"/>
      <c r="N538" s="25"/>
      <c r="O538" s="130"/>
      <c r="P538" s="47"/>
      <c r="Q538" s="77"/>
      <c r="R538" s="77" t="str">
        <f>IF(Table5[[#This Row],[Tour Starting Date]]&lt;&gt;"", TEXT(Table5[[#This Row],[Tour Starting Date]], "dddd"), "")</f>
        <v/>
      </c>
      <c r="S538" s="77"/>
      <c r="T538" s="25" t="str">
        <f>IF(Table5[[#This Row],[Tour Ending Date]]&lt;&gt;"", TEXT(Table5[[#This Row],[Tour Ending Date]], "dddd"), "")</f>
        <v/>
      </c>
      <c r="U53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38" s="37" t="str">
        <f>IF(Table5[[#This Row],[Tour Starting Date]]&lt;&gt;"", TEXT(Table5[[#This Row],[Tour Starting Date]], "mmmm"), "")</f>
        <v/>
      </c>
      <c r="W538" s="80" t="str" cm="1">
        <f t="array" ref="W538">IF(Q538&lt;&gt;"", INDEX(CI:CI, MATCH(1, (Q538&gt;=CG:CG)*(Q538&lt;=CH:CH), 0)), "")</f>
        <v/>
      </c>
      <c r="X538" s="39"/>
      <c r="Y538" s="74"/>
      <c r="Z538" s="74" t="str">
        <f>IF(OR(Table5[[#This Row],[Per Person Package Cost]]="", Table5[[#This Row],[No. of Pax]]=""), "", Table5[[#This Row],[Per Person Package Cost]] * Table5[[#This Row],[No. of Pax]])</f>
        <v/>
      </c>
      <c r="AA538" s="52"/>
      <c r="AB538" s="52"/>
      <c r="AC538" s="52"/>
      <c r="AD538" s="52"/>
      <c r="AE538" s="51" t="str">
        <f t="shared" si="57"/>
        <v/>
      </c>
      <c r="AF538" s="51" t="str">
        <f t="shared" si="58"/>
        <v/>
      </c>
      <c r="AG538" s="74" t="str">
        <f t="shared" si="59"/>
        <v/>
      </c>
      <c r="AH538" s="73" t="str">
        <f t="shared" si="60"/>
        <v/>
      </c>
      <c r="AI538" s="52"/>
      <c r="AJ538" s="56"/>
      <c r="AK538" s="59"/>
      <c r="AL538" s="60"/>
      <c r="AM538" s="54"/>
      <c r="AN538" s="14"/>
      <c r="AO538" s="15"/>
      <c r="AP538" s="91"/>
      <c r="AQ538" s="87"/>
      <c r="AR538" s="26"/>
      <c r="AS538" s="65"/>
      <c r="AT538" s="88"/>
      <c r="AU538" s="67"/>
      <c r="DA538" t="str" cm="1">
        <f t="array" ref="DA538">IF(U538&lt;&gt;"", TRANSPOSE(_xlfn._xlws.FILTER(CZ:CZ, CY:CY=U538, "")), "")</f>
        <v/>
      </c>
    </row>
    <row r="539" spans="2:105" ht="15" customHeight="1">
      <c r="B539" s="34">
        <v>535</v>
      </c>
      <c r="C539" s="36" t="s">
        <v>2404</v>
      </c>
      <c r="D539" s="76"/>
      <c r="E539" s="37" t="str">
        <f>IF(Table5[[#This Row],[Query Date]]&lt;&gt;"", TEXT(Table5[[#This Row],[Query Date]], "dddd"), "")</f>
        <v/>
      </c>
      <c r="F539" s="37" t="str">
        <f>IF(Table5[[#This Row],[Query Date]]&lt;&gt;"", TEXT(Table5[[#This Row],[Query Date]], "mmmm"), "")</f>
        <v/>
      </c>
      <c r="G539" s="28"/>
      <c r="H539" s="28"/>
      <c r="I539" s="28"/>
      <c r="J539" s="28"/>
      <c r="K539" s="28"/>
      <c r="L539" s="25"/>
      <c r="M539" s="25"/>
      <c r="N539" s="25"/>
      <c r="O539" s="130"/>
      <c r="P539" s="47"/>
      <c r="Q539" s="77"/>
      <c r="R539" s="77" t="str">
        <f>IF(Table5[[#This Row],[Tour Starting Date]]&lt;&gt;"", TEXT(Table5[[#This Row],[Tour Starting Date]], "dddd"), "")</f>
        <v/>
      </c>
      <c r="S539" s="77"/>
      <c r="T539" s="25" t="str">
        <f>IF(Table5[[#This Row],[Tour Ending Date]]&lt;&gt;"", TEXT(Table5[[#This Row],[Tour Ending Date]], "dddd"), "")</f>
        <v/>
      </c>
      <c r="U53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39" s="37" t="str">
        <f>IF(Table5[[#This Row],[Tour Starting Date]]&lt;&gt;"", TEXT(Table5[[#This Row],[Tour Starting Date]], "mmmm"), "")</f>
        <v/>
      </c>
      <c r="W539" s="80" t="str" cm="1">
        <f t="array" ref="W539">IF(Q539&lt;&gt;"", INDEX(CI:CI, MATCH(1, (Q539&gt;=CG:CG)*(Q539&lt;=CH:CH), 0)), "")</f>
        <v/>
      </c>
      <c r="X539" s="39"/>
      <c r="Y539" s="74"/>
      <c r="Z539" s="74" t="str">
        <f>IF(OR(Table5[[#This Row],[Per Person Package Cost]]="", Table5[[#This Row],[No. of Pax]]=""), "", Table5[[#This Row],[Per Person Package Cost]] * Table5[[#This Row],[No. of Pax]])</f>
        <v/>
      </c>
      <c r="AA539" s="52"/>
      <c r="AB539" s="52"/>
      <c r="AC539" s="52"/>
      <c r="AD539" s="52"/>
      <c r="AE539" s="51" t="str">
        <f t="shared" si="57"/>
        <v/>
      </c>
      <c r="AF539" s="51" t="str">
        <f t="shared" si="58"/>
        <v/>
      </c>
      <c r="AG539" s="74" t="str">
        <f t="shared" si="59"/>
        <v/>
      </c>
      <c r="AH539" s="73" t="str">
        <f t="shared" si="60"/>
        <v/>
      </c>
      <c r="AI539" s="52"/>
      <c r="AJ539" s="56"/>
      <c r="AK539" s="59"/>
      <c r="AL539" s="60"/>
      <c r="AM539" s="54"/>
      <c r="AN539" s="14"/>
      <c r="AO539" s="15"/>
      <c r="AP539" s="91"/>
      <c r="AQ539" s="87"/>
      <c r="AR539" s="26"/>
      <c r="AS539" s="65"/>
      <c r="AT539" s="88"/>
      <c r="AU539" s="67"/>
      <c r="DA539" t="str" cm="1">
        <f t="array" ref="DA539">IF(U539&lt;&gt;"", TRANSPOSE(_xlfn._xlws.FILTER(CZ:CZ, CY:CY=U539, "")), "")</f>
        <v/>
      </c>
    </row>
    <row r="540" spans="2:105" ht="15" customHeight="1">
      <c r="B540" s="35">
        <v>536</v>
      </c>
      <c r="C540" s="36" t="s">
        <v>2405</v>
      </c>
      <c r="D540" s="76"/>
      <c r="E540" s="37" t="str">
        <f>IF(Table5[[#This Row],[Query Date]]&lt;&gt;"", TEXT(Table5[[#This Row],[Query Date]], "dddd"), "")</f>
        <v/>
      </c>
      <c r="F540" s="37" t="str">
        <f>IF(Table5[[#This Row],[Query Date]]&lt;&gt;"", TEXT(Table5[[#This Row],[Query Date]], "mmmm"), "")</f>
        <v/>
      </c>
      <c r="G540" s="28"/>
      <c r="H540" s="28"/>
      <c r="I540" s="28"/>
      <c r="J540" s="28"/>
      <c r="K540" s="28"/>
      <c r="L540" s="25"/>
      <c r="M540" s="25"/>
      <c r="N540" s="25"/>
      <c r="O540" s="130"/>
      <c r="P540" s="47"/>
      <c r="Q540" s="77"/>
      <c r="R540" s="77" t="str">
        <f>IF(Table5[[#This Row],[Tour Starting Date]]&lt;&gt;"", TEXT(Table5[[#This Row],[Tour Starting Date]], "dddd"), "")</f>
        <v/>
      </c>
      <c r="S540" s="77"/>
      <c r="T540" s="25" t="str">
        <f>IF(Table5[[#This Row],[Tour Ending Date]]&lt;&gt;"", TEXT(Table5[[#This Row],[Tour Ending Date]], "dddd"), "")</f>
        <v/>
      </c>
      <c r="U54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40" s="37" t="str">
        <f>IF(Table5[[#This Row],[Tour Starting Date]]&lt;&gt;"", TEXT(Table5[[#This Row],[Tour Starting Date]], "mmmm"), "")</f>
        <v/>
      </c>
      <c r="W540" s="80" t="str" cm="1">
        <f t="array" ref="W540">IF(Q540&lt;&gt;"", INDEX(CI:CI, MATCH(1, (Q540&gt;=CG:CG)*(Q540&lt;=CH:CH), 0)), "")</f>
        <v/>
      </c>
      <c r="X540" s="39"/>
      <c r="Y540" s="74"/>
      <c r="Z540" s="74" t="str">
        <f>IF(OR(Table5[[#This Row],[Per Person Package Cost]]="", Table5[[#This Row],[No. of Pax]]=""), "", Table5[[#This Row],[Per Person Package Cost]] * Table5[[#This Row],[No. of Pax]])</f>
        <v/>
      </c>
      <c r="AA540" s="52"/>
      <c r="AB540" s="52"/>
      <c r="AC540" s="52"/>
      <c r="AD540" s="52"/>
      <c r="AE540" s="51" t="str">
        <f t="shared" si="57"/>
        <v/>
      </c>
      <c r="AF540" s="51" t="str">
        <f t="shared" si="58"/>
        <v/>
      </c>
      <c r="AG540" s="74" t="str">
        <f t="shared" si="59"/>
        <v/>
      </c>
      <c r="AH540" s="73" t="str">
        <f t="shared" si="60"/>
        <v/>
      </c>
      <c r="AI540" s="52"/>
      <c r="AJ540" s="56"/>
      <c r="AK540" s="59"/>
      <c r="AL540" s="60"/>
      <c r="AM540" s="54"/>
      <c r="AN540" s="14"/>
      <c r="AO540" s="15"/>
      <c r="AP540" s="91"/>
      <c r="AQ540" s="87"/>
      <c r="AR540" s="26"/>
      <c r="AS540" s="65"/>
      <c r="AT540" s="88"/>
      <c r="AU540" s="67"/>
      <c r="DA540" t="str" cm="1">
        <f t="array" ref="DA540">IF(U540&lt;&gt;"", TRANSPOSE(_xlfn._xlws.FILTER(CZ:CZ, CY:CY=U540, "")), "")</f>
        <v/>
      </c>
    </row>
    <row r="541" spans="2:105" ht="15" customHeight="1">
      <c r="B541" s="34">
        <v>537</v>
      </c>
      <c r="C541" s="36" t="s">
        <v>2406</v>
      </c>
      <c r="D541" s="76"/>
      <c r="E541" s="37" t="str">
        <f>IF(Table5[[#This Row],[Query Date]]&lt;&gt;"", TEXT(Table5[[#This Row],[Query Date]], "dddd"), "")</f>
        <v/>
      </c>
      <c r="F541" s="37" t="str">
        <f>IF(Table5[[#This Row],[Query Date]]&lt;&gt;"", TEXT(Table5[[#This Row],[Query Date]], "mmmm"), "")</f>
        <v/>
      </c>
      <c r="G541" s="28"/>
      <c r="H541" s="28"/>
      <c r="I541" s="28"/>
      <c r="J541" s="28"/>
      <c r="K541" s="28"/>
      <c r="L541" s="25"/>
      <c r="M541" s="25"/>
      <c r="N541" s="25"/>
      <c r="O541" s="130"/>
      <c r="P541" s="47"/>
      <c r="Q541" s="77"/>
      <c r="R541" s="77" t="str">
        <f>IF(Table5[[#This Row],[Tour Starting Date]]&lt;&gt;"", TEXT(Table5[[#This Row],[Tour Starting Date]], "dddd"), "")</f>
        <v/>
      </c>
      <c r="S541" s="77"/>
      <c r="T541" s="25" t="str">
        <f>IF(Table5[[#This Row],[Tour Ending Date]]&lt;&gt;"", TEXT(Table5[[#This Row],[Tour Ending Date]], "dddd"), "")</f>
        <v/>
      </c>
      <c r="U54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41" s="37" t="str">
        <f>IF(Table5[[#This Row],[Tour Starting Date]]&lt;&gt;"", TEXT(Table5[[#This Row],[Tour Starting Date]], "mmmm"), "")</f>
        <v/>
      </c>
      <c r="W541" s="80" t="str" cm="1">
        <f t="array" ref="W541">IF(Q541&lt;&gt;"", INDEX(CI:CI, MATCH(1, (Q541&gt;=CG:CG)*(Q541&lt;=CH:CH), 0)), "")</f>
        <v/>
      </c>
      <c r="X541" s="39"/>
      <c r="Y541" s="74"/>
      <c r="Z541" s="74" t="str">
        <f>IF(OR(Table5[[#This Row],[Per Person Package Cost]]="", Table5[[#This Row],[No. of Pax]]=""), "", Table5[[#This Row],[Per Person Package Cost]] * Table5[[#This Row],[No. of Pax]])</f>
        <v/>
      </c>
      <c r="AA541" s="52"/>
      <c r="AB541" s="52"/>
      <c r="AC541" s="52"/>
      <c r="AD541" s="52"/>
      <c r="AE541" s="51" t="str">
        <f t="shared" si="57"/>
        <v/>
      </c>
      <c r="AF541" s="51" t="str">
        <f t="shared" si="58"/>
        <v/>
      </c>
      <c r="AG541" s="74" t="str">
        <f t="shared" si="59"/>
        <v/>
      </c>
      <c r="AH541" s="73" t="str">
        <f t="shared" si="60"/>
        <v/>
      </c>
      <c r="AI541" s="52"/>
      <c r="AJ541" s="56"/>
      <c r="AK541" s="59"/>
      <c r="AL541" s="60"/>
      <c r="AM541" s="54"/>
      <c r="AN541" s="14"/>
      <c r="AO541" s="15"/>
      <c r="AP541" s="91"/>
      <c r="AQ541" s="87"/>
      <c r="AR541" s="26"/>
      <c r="AS541" s="65"/>
      <c r="AT541" s="88"/>
      <c r="AU541" s="67"/>
      <c r="DA541" t="str" cm="1">
        <f t="array" ref="DA541">IF(U541&lt;&gt;"", TRANSPOSE(_xlfn._xlws.FILTER(CZ:CZ, CY:CY=U541, "")), "")</f>
        <v/>
      </c>
    </row>
    <row r="542" spans="2:105" ht="15" customHeight="1">
      <c r="B542" s="35">
        <v>538</v>
      </c>
      <c r="C542" s="36" t="s">
        <v>2407</v>
      </c>
      <c r="D542" s="76"/>
      <c r="E542" s="37" t="str">
        <f>IF(Table5[[#This Row],[Query Date]]&lt;&gt;"", TEXT(Table5[[#This Row],[Query Date]], "dddd"), "")</f>
        <v/>
      </c>
      <c r="F542" s="37" t="str">
        <f>IF(Table5[[#This Row],[Query Date]]&lt;&gt;"", TEXT(Table5[[#This Row],[Query Date]], "mmmm"), "")</f>
        <v/>
      </c>
      <c r="G542" s="28"/>
      <c r="H542" s="28"/>
      <c r="I542" s="28"/>
      <c r="J542" s="28"/>
      <c r="K542" s="28"/>
      <c r="L542" s="25"/>
      <c r="M542" s="25"/>
      <c r="N542" s="25"/>
      <c r="O542" s="130"/>
      <c r="P542" s="47"/>
      <c r="Q542" s="77"/>
      <c r="R542" s="77" t="str">
        <f>IF(Table5[[#This Row],[Tour Starting Date]]&lt;&gt;"", TEXT(Table5[[#This Row],[Tour Starting Date]], "dddd"), "")</f>
        <v/>
      </c>
      <c r="S542" s="77"/>
      <c r="T542" s="25" t="str">
        <f>IF(Table5[[#This Row],[Tour Ending Date]]&lt;&gt;"", TEXT(Table5[[#This Row],[Tour Ending Date]], "dddd"), "")</f>
        <v/>
      </c>
      <c r="U54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42" s="37" t="str">
        <f>IF(Table5[[#This Row],[Tour Starting Date]]&lt;&gt;"", TEXT(Table5[[#This Row],[Tour Starting Date]], "mmmm"), "")</f>
        <v/>
      </c>
      <c r="W542" s="80" t="str" cm="1">
        <f t="array" ref="W542">IF(Q542&lt;&gt;"", INDEX(CI:CI, MATCH(1, (Q542&gt;=CG:CG)*(Q542&lt;=CH:CH), 0)), "")</f>
        <v/>
      </c>
      <c r="X542" s="39"/>
      <c r="Y542" s="74"/>
      <c r="Z542" s="74" t="str">
        <f>IF(OR(Table5[[#This Row],[Per Person Package Cost]]="", Table5[[#This Row],[No. of Pax]]=""), "", Table5[[#This Row],[Per Person Package Cost]] * Table5[[#This Row],[No. of Pax]])</f>
        <v/>
      </c>
      <c r="AA542" s="52"/>
      <c r="AB542" s="52"/>
      <c r="AC542" s="52"/>
      <c r="AD542" s="52"/>
      <c r="AE542" s="51" t="str">
        <f t="shared" si="57"/>
        <v/>
      </c>
      <c r="AF542" s="51" t="str">
        <f t="shared" si="58"/>
        <v/>
      </c>
      <c r="AG542" s="74" t="str">
        <f t="shared" si="59"/>
        <v/>
      </c>
      <c r="AH542" s="73" t="str">
        <f t="shared" si="60"/>
        <v/>
      </c>
      <c r="AI542" s="52"/>
      <c r="AJ542" s="56"/>
      <c r="AK542" s="59"/>
      <c r="AL542" s="60"/>
      <c r="AM542" s="54"/>
      <c r="AN542" s="14"/>
      <c r="AO542" s="15"/>
      <c r="AP542" s="91"/>
      <c r="AQ542" s="87"/>
      <c r="AR542" s="26"/>
      <c r="AS542" s="65"/>
      <c r="AT542" s="88"/>
      <c r="AU542" s="67"/>
      <c r="DA542" t="str" cm="1">
        <f t="array" ref="DA542">IF(U542&lt;&gt;"", TRANSPOSE(_xlfn._xlws.FILTER(CZ:CZ, CY:CY=U542, "")), "")</f>
        <v/>
      </c>
    </row>
    <row r="543" spans="2:105" ht="15" customHeight="1">
      <c r="B543" s="34">
        <v>539</v>
      </c>
      <c r="C543" s="36" t="s">
        <v>2408</v>
      </c>
      <c r="D543" s="76"/>
      <c r="E543" s="37" t="str">
        <f>IF(Table5[[#This Row],[Query Date]]&lt;&gt;"", TEXT(Table5[[#This Row],[Query Date]], "dddd"), "")</f>
        <v/>
      </c>
      <c r="F543" s="37" t="str">
        <f>IF(Table5[[#This Row],[Query Date]]&lt;&gt;"", TEXT(Table5[[#This Row],[Query Date]], "mmmm"), "")</f>
        <v/>
      </c>
      <c r="G543" s="28"/>
      <c r="H543" s="28"/>
      <c r="I543" s="28"/>
      <c r="J543" s="28"/>
      <c r="K543" s="28"/>
      <c r="L543" s="25"/>
      <c r="M543" s="25"/>
      <c r="N543" s="25"/>
      <c r="O543" s="130"/>
      <c r="P543" s="47"/>
      <c r="Q543" s="77"/>
      <c r="R543" s="77" t="str">
        <f>IF(Table5[[#This Row],[Tour Starting Date]]&lt;&gt;"", TEXT(Table5[[#This Row],[Tour Starting Date]], "dddd"), "")</f>
        <v/>
      </c>
      <c r="S543" s="77"/>
      <c r="T543" s="25" t="str">
        <f>IF(Table5[[#This Row],[Tour Ending Date]]&lt;&gt;"", TEXT(Table5[[#This Row],[Tour Ending Date]], "dddd"), "")</f>
        <v/>
      </c>
      <c r="U54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43" s="37" t="str">
        <f>IF(Table5[[#This Row],[Tour Starting Date]]&lt;&gt;"", TEXT(Table5[[#This Row],[Tour Starting Date]], "mmmm"), "")</f>
        <v/>
      </c>
      <c r="W543" s="80" t="str" cm="1">
        <f t="array" ref="W543">IF(Q543&lt;&gt;"", INDEX(CI:CI, MATCH(1, (Q543&gt;=CG:CG)*(Q543&lt;=CH:CH), 0)), "")</f>
        <v/>
      </c>
      <c r="X543" s="39"/>
      <c r="Y543" s="74"/>
      <c r="Z543" s="74" t="str">
        <f>IF(OR(Table5[[#This Row],[Per Person Package Cost]]="", Table5[[#This Row],[No. of Pax]]=""), "", Table5[[#This Row],[Per Person Package Cost]] * Table5[[#This Row],[No. of Pax]])</f>
        <v/>
      </c>
      <c r="AA543" s="52"/>
      <c r="AB543" s="52"/>
      <c r="AC543" s="52"/>
      <c r="AD543" s="52"/>
      <c r="AE543" s="51" t="str">
        <f t="shared" si="57"/>
        <v/>
      </c>
      <c r="AF543" s="51" t="str">
        <f t="shared" si="58"/>
        <v/>
      </c>
      <c r="AG543" s="74" t="str">
        <f t="shared" si="59"/>
        <v/>
      </c>
      <c r="AH543" s="73" t="str">
        <f t="shared" si="60"/>
        <v/>
      </c>
      <c r="AI543" s="52"/>
      <c r="AJ543" s="56"/>
      <c r="AK543" s="59"/>
      <c r="AL543" s="60"/>
      <c r="AM543" s="54"/>
      <c r="AN543" s="14"/>
      <c r="AO543" s="15"/>
      <c r="AP543" s="91"/>
      <c r="AQ543" s="87"/>
      <c r="AR543" s="26"/>
      <c r="AS543" s="65"/>
      <c r="AT543" s="88"/>
      <c r="AU543" s="67"/>
      <c r="DA543" t="str" cm="1">
        <f t="array" ref="DA543">IF(U543&lt;&gt;"", TRANSPOSE(_xlfn._xlws.FILTER(CZ:CZ, CY:CY=U543, "")), "")</f>
        <v/>
      </c>
    </row>
    <row r="544" spans="2:105" ht="15" customHeight="1">
      <c r="B544" s="35">
        <v>540</v>
      </c>
      <c r="C544" s="36" t="s">
        <v>2409</v>
      </c>
      <c r="D544" s="76"/>
      <c r="E544" s="37" t="str">
        <f>IF(Table5[[#This Row],[Query Date]]&lt;&gt;"", TEXT(Table5[[#This Row],[Query Date]], "dddd"), "")</f>
        <v/>
      </c>
      <c r="F544" s="37" t="str">
        <f>IF(Table5[[#This Row],[Query Date]]&lt;&gt;"", TEXT(Table5[[#This Row],[Query Date]], "mmmm"), "")</f>
        <v/>
      </c>
      <c r="G544" s="28"/>
      <c r="H544" s="28"/>
      <c r="I544" s="28"/>
      <c r="J544" s="28"/>
      <c r="K544" s="28"/>
      <c r="L544" s="25"/>
      <c r="M544" s="25"/>
      <c r="N544" s="25"/>
      <c r="O544" s="130"/>
      <c r="P544" s="47"/>
      <c r="Q544" s="77"/>
      <c r="R544" s="77" t="str">
        <f>IF(Table5[[#This Row],[Tour Starting Date]]&lt;&gt;"", TEXT(Table5[[#This Row],[Tour Starting Date]], "dddd"), "")</f>
        <v/>
      </c>
      <c r="S544" s="77"/>
      <c r="T544" s="25" t="str">
        <f>IF(Table5[[#This Row],[Tour Ending Date]]&lt;&gt;"", TEXT(Table5[[#This Row],[Tour Ending Date]], "dddd"), "")</f>
        <v/>
      </c>
      <c r="U54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44" s="37" t="str">
        <f>IF(Table5[[#This Row],[Tour Starting Date]]&lt;&gt;"", TEXT(Table5[[#This Row],[Tour Starting Date]], "mmmm"), "")</f>
        <v/>
      </c>
      <c r="W544" s="80" t="str" cm="1">
        <f t="array" ref="W544">IF(Q544&lt;&gt;"", INDEX(CI:CI, MATCH(1, (Q544&gt;=CG:CG)*(Q544&lt;=CH:CH), 0)), "")</f>
        <v/>
      </c>
      <c r="X544" s="39"/>
      <c r="Y544" s="74"/>
      <c r="Z544" s="74" t="str">
        <f>IF(OR(Table5[[#This Row],[Per Person Package Cost]]="", Table5[[#This Row],[No. of Pax]]=""), "", Table5[[#This Row],[Per Person Package Cost]] * Table5[[#This Row],[No. of Pax]])</f>
        <v/>
      </c>
      <c r="AA544" s="52"/>
      <c r="AB544" s="52"/>
      <c r="AC544" s="52"/>
      <c r="AD544" s="52"/>
      <c r="AE544" s="51" t="str">
        <f t="shared" si="57"/>
        <v/>
      </c>
      <c r="AF544" s="51" t="str">
        <f t="shared" si="58"/>
        <v/>
      </c>
      <c r="AG544" s="74" t="str">
        <f t="shared" si="59"/>
        <v/>
      </c>
      <c r="AH544" s="73" t="str">
        <f t="shared" si="60"/>
        <v/>
      </c>
      <c r="AI544" s="52"/>
      <c r="AJ544" s="56"/>
      <c r="AK544" s="59"/>
      <c r="AL544" s="60"/>
      <c r="AM544" s="54"/>
      <c r="AN544" s="14"/>
      <c r="AO544" s="15"/>
      <c r="AP544" s="91"/>
      <c r="AQ544" s="87"/>
      <c r="AR544" s="26"/>
      <c r="AS544" s="65"/>
      <c r="AT544" s="88"/>
      <c r="AU544" s="67"/>
      <c r="DA544" t="str" cm="1">
        <f t="array" ref="DA544">IF(U544&lt;&gt;"", TRANSPOSE(_xlfn._xlws.FILTER(CZ:CZ, CY:CY=U544, "")), "")</f>
        <v/>
      </c>
    </row>
    <row r="545" spans="2:105" ht="15" customHeight="1">
      <c r="B545" s="34">
        <v>541</v>
      </c>
      <c r="C545" s="36" t="s">
        <v>2410</v>
      </c>
      <c r="D545" s="76"/>
      <c r="E545" s="37" t="str">
        <f>IF(Table5[[#This Row],[Query Date]]&lt;&gt;"", TEXT(Table5[[#This Row],[Query Date]], "dddd"), "")</f>
        <v/>
      </c>
      <c r="F545" s="37" t="str">
        <f>IF(Table5[[#This Row],[Query Date]]&lt;&gt;"", TEXT(Table5[[#This Row],[Query Date]], "mmmm"), "")</f>
        <v/>
      </c>
      <c r="G545" s="28"/>
      <c r="H545" s="28"/>
      <c r="I545" s="28"/>
      <c r="J545" s="28"/>
      <c r="K545" s="28"/>
      <c r="L545" s="25"/>
      <c r="M545" s="25"/>
      <c r="N545" s="25"/>
      <c r="O545" s="130"/>
      <c r="P545" s="47"/>
      <c r="Q545" s="77"/>
      <c r="R545" s="77" t="str">
        <f>IF(Table5[[#This Row],[Tour Starting Date]]&lt;&gt;"", TEXT(Table5[[#This Row],[Tour Starting Date]], "dddd"), "")</f>
        <v/>
      </c>
      <c r="S545" s="77"/>
      <c r="T545" s="25" t="str">
        <f>IF(Table5[[#This Row],[Tour Ending Date]]&lt;&gt;"", TEXT(Table5[[#This Row],[Tour Ending Date]], "dddd"), "")</f>
        <v/>
      </c>
      <c r="U54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45" s="37" t="str">
        <f>IF(Table5[[#This Row],[Tour Starting Date]]&lt;&gt;"", TEXT(Table5[[#This Row],[Tour Starting Date]], "mmmm"), "")</f>
        <v/>
      </c>
      <c r="W545" s="80" t="str" cm="1">
        <f t="array" ref="W545">IF(Q545&lt;&gt;"", INDEX(CI:CI, MATCH(1, (Q545&gt;=CG:CG)*(Q545&lt;=CH:CH), 0)), "")</f>
        <v/>
      </c>
      <c r="X545" s="39"/>
      <c r="Y545" s="74"/>
      <c r="Z545" s="74" t="str">
        <f>IF(OR(Table5[[#This Row],[Per Person Package Cost]]="", Table5[[#This Row],[No. of Pax]]=""), "", Table5[[#This Row],[Per Person Package Cost]] * Table5[[#This Row],[No. of Pax]])</f>
        <v/>
      </c>
      <c r="AA545" s="52"/>
      <c r="AB545" s="52"/>
      <c r="AC545" s="52"/>
      <c r="AD545" s="52"/>
      <c r="AE545" s="51" t="str">
        <f t="shared" si="57"/>
        <v/>
      </c>
      <c r="AF545" s="51" t="str">
        <f t="shared" si="58"/>
        <v/>
      </c>
      <c r="AG545" s="74" t="str">
        <f t="shared" si="59"/>
        <v/>
      </c>
      <c r="AH545" s="73" t="str">
        <f t="shared" si="60"/>
        <v/>
      </c>
      <c r="AI545" s="52"/>
      <c r="AJ545" s="56"/>
      <c r="AK545" s="59"/>
      <c r="AL545" s="60"/>
      <c r="AM545" s="54"/>
      <c r="AN545" s="14"/>
      <c r="AO545" s="15"/>
      <c r="AP545" s="91"/>
      <c r="AQ545" s="87"/>
      <c r="AR545" s="26"/>
      <c r="AS545" s="65"/>
      <c r="AT545" s="88"/>
      <c r="AU545" s="67"/>
      <c r="DA545" t="str" cm="1">
        <f t="array" ref="DA545">IF(U545&lt;&gt;"", TRANSPOSE(_xlfn._xlws.FILTER(CZ:CZ, CY:CY=U545, "")), "")</f>
        <v/>
      </c>
    </row>
    <row r="546" spans="2:105" ht="15" customHeight="1">
      <c r="B546" s="35">
        <v>542</v>
      </c>
      <c r="C546" s="36" t="s">
        <v>2411</v>
      </c>
      <c r="D546" s="76"/>
      <c r="E546" s="37" t="str">
        <f>IF(Table5[[#This Row],[Query Date]]&lt;&gt;"", TEXT(Table5[[#This Row],[Query Date]], "dddd"), "")</f>
        <v/>
      </c>
      <c r="F546" s="37" t="str">
        <f>IF(Table5[[#This Row],[Query Date]]&lt;&gt;"", TEXT(Table5[[#This Row],[Query Date]], "mmmm"), "")</f>
        <v/>
      </c>
      <c r="G546" s="28"/>
      <c r="H546" s="28"/>
      <c r="I546" s="28"/>
      <c r="J546" s="28"/>
      <c r="K546" s="28"/>
      <c r="L546" s="25"/>
      <c r="M546" s="25"/>
      <c r="N546" s="25"/>
      <c r="O546" s="130"/>
      <c r="P546" s="47"/>
      <c r="Q546" s="77"/>
      <c r="R546" s="77" t="str">
        <f>IF(Table5[[#This Row],[Tour Starting Date]]&lt;&gt;"", TEXT(Table5[[#This Row],[Tour Starting Date]], "dddd"), "")</f>
        <v/>
      </c>
      <c r="S546" s="77"/>
      <c r="T546" s="25" t="str">
        <f>IF(Table5[[#This Row],[Tour Ending Date]]&lt;&gt;"", TEXT(Table5[[#This Row],[Tour Ending Date]], "dddd"), "")</f>
        <v/>
      </c>
      <c r="U54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46" s="37" t="str">
        <f>IF(Table5[[#This Row],[Tour Starting Date]]&lt;&gt;"", TEXT(Table5[[#This Row],[Tour Starting Date]], "mmmm"), "")</f>
        <v/>
      </c>
      <c r="W546" s="80" t="str" cm="1">
        <f t="array" ref="W546">IF(Q546&lt;&gt;"", INDEX(CI:CI, MATCH(1, (Q546&gt;=CG:CG)*(Q546&lt;=CH:CH), 0)), "")</f>
        <v/>
      </c>
      <c r="X546" s="39"/>
      <c r="Y546" s="74"/>
      <c r="Z546" s="74" t="str">
        <f>IF(OR(Table5[[#This Row],[Per Person Package Cost]]="", Table5[[#This Row],[No. of Pax]]=""), "", Table5[[#This Row],[Per Person Package Cost]] * Table5[[#This Row],[No. of Pax]])</f>
        <v/>
      </c>
      <c r="AA546" s="52"/>
      <c r="AB546" s="52"/>
      <c r="AC546" s="52"/>
      <c r="AD546" s="52"/>
      <c r="AE546" s="51" t="str">
        <f t="shared" si="57"/>
        <v/>
      </c>
      <c r="AF546" s="51" t="str">
        <f t="shared" si="58"/>
        <v/>
      </c>
      <c r="AG546" s="74" t="str">
        <f t="shared" si="59"/>
        <v/>
      </c>
      <c r="AH546" s="73" t="str">
        <f t="shared" si="60"/>
        <v/>
      </c>
      <c r="AI546" s="52"/>
      <c r="AJ546" s="56"/>
      <c r="AK546" s="59"/>
      <c r="AL546" s="60"/>
      <c r="AM546" s="54"/>
      <c r="AN546" s="14"/>
      <c r="AO546" s="15"/>
      <c r="AP546" s="91"/>
      <c r="AQ546" s="87"/>
      <c r="AR546" s="26"/>
      <c r="AS546" s="65"/>
      <c r="AT546" s="88"/>
      <c r="AU546" s="67"/>
      <c r="DA546" t="str" cm="1">
        <f t="array" ref="DA546">IF(U546&lt;&gt;"", TRANSPOSE(_xlfn._xlws.FILTER(CZ:CZ, CY:CY=U546, "")), "")</f>
        <v/>
      </c>
    </row>
    <row r="547" spans="2:105" ht="15" customHeight="1">
      <c r="B547" s="34">
        <v>543</v>
      </c>
      <c r="C547" s="36" t="s">
        <v>2412</v>
      </c>
      <c r="D547" s="76"/>
      <c r="E547" s="37" t="str">
        <f>IF(Table5[[#This Row],[Query Date]]&lt;&gt;"", TEXT(Table5[[#This Row],[Query Date]], "dddd"), "")</f>
        <v/>
      </c>
      <c r="F547" s="37" t="str">
        <f>IF(Table5[[#This Row],[Query Date]]&lt;&gt;"", TEXT(Table5[[#This Row],[Query Date]], "mmmm"), "")</f>
        <v/>
      </c>
      <c r="G547" s="28"/>
      <c r="H547" s="28"/>
      <c r="I547" s="28"/>
      <c r="J547" s="28"/>
      <c r="K547" s="28"/>
      <c r="L547" s="25"/>
      <c r="M547" s="25"/>
      <c r="N547" s="25"/>
      <c r="O547" s="130"/>
      <c r="P547" s="47"/>
      <c r="Q547" s="77"/>
      <c r="R547" s="77" t="str">
        <f>IF(Table5[[#This Row],[Tour Starting Date]]&lt;&gt;"", TEXT(Table5[[#This Row],[Tour Starting Date]], "dddd"), "")</f>
        <v/>
      </c>
      <c r="S547" s="77"/>
      <c r="T547" s="25" t="str">
        <f>IF(Table5[[#This Row],[Tour Ending Date]]&lt;&gt;"", TEXT(Table5[[#This Row],[Tour Ending Date]], "dddd"), "")</f>
        <v/>
      </c>
      <c r="U54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47" s="37" t="str">
        <f>IF(Table5[[#This Row],[Tour Starting Date]]&lt;&gt;"", TEXT(Table5[[#This Row],[Tour Starting Date]], "mmmm"), "")</f>
        <v/>
      </c>
      <c r="W547" s="80" t="str" cm="1">
        <f t="array" ref="W547">IF(Q547&lt;&gt;"", INDEX(CI:CI, MATCH(1, (Q547&gt;=CG:CG)*(Q547&lt;=CH:CH), 0)), "")</f>
        <v/>
      </c>
      <c r="X547" s="39"/>
      <c r="Y547" s="74"/>
      <c r="Z547" s="74" t="str">
        <f>IF(OR(Table5[[#This Row],[Per Person Package Cost]]="", Table5[[#This Row],[No. of Pax]]=""), "", Table5[[#This Row],[Per Person Package Cost]] * Table5[[#This Row],[No. of Pax]])</f>
        <v/>
      </c>
      <c r="AA547" s="52"/>
      <c r="AB547" s="52"/>
      <c r="AC547" s="52"/>
      <c r="AD547" s="52"/>
      <c r="AE547" s="51" t="str">
        <f t="shared" si="57"/>
        <v/>
      </c>
      <c r="AF547" s="51" t="str">
        <f t="shared" si="58"/>
        <v/>
      </c>
      <c r="AG547" s="74" t="str">
        <f t="shared" si="59"/>
        <v/>
      </c>
      <c r="AH547" s="73" t="str">
        <f t="shared" si="60"/>
        <v/>
      </c>
      <c r="AI547" s="52"/>
      <c r="AJ547" s="56"/>
      <c r="AK547" s="59"/>
      <c r="AL547" s="60"/>
      <c r="AM547" s="54"/>
      <c r="AN547" s="14"/>
      <c r="AO547" s="15"/>
      <c r="AP547" s="91"/>
      <c r="AQ547" s="87"/>
      <c r="AR547" s="26"/>
      <c r="AS547" s="65"/>
      <c r="AT547" s="88"/>
      <c r="AU547" s="67"/>
      <c r="DA547" t="str" cm="1">
        <f t="array" ref="DA547">IF(U547&lt;&gt;"", TRANSPOSE(_xlfn._xlws.FILTER(CZ:CZ, CY:CY=U547, "")), "")</f>
        <v/>
      </c>
    </row>
    <row r="548" spans="2:105" ht="15" customHeight="1">
      <c r="B548" s="35">
        <v>544</v>
      </c>
      <c r="C548" s="36" t="s">
        <v>2413</v>
      </c>
      <c r="D548" s="76"/>
      <c r="E548" s="37" t="str">
        <f>IF(Table5[[#This Row],[Query Date]]&lt;&gt;"", TEXT(Table5[[#This Row],[Query Date]], "dddd"), "")</f>
        <v/>
      </c>
      <c r="F548" s="37" t="str">
        <f>IF(Table5[[#This Row],[Query Date]]&lt;&gt;"", TEXT(Table5[[#This Row],[Query Date]], "mmmm"), "")</f>
        <v/>
      </c>
      <c r="G548" s="28"/>
      <c r="H548" s="28"/>
      <c r="I548" s="28"/>
      <c r="J548" s="28"/>
      <c r="K548" s="28"/>
      <c r="L548" s="25"/>
      <c r="M548" s="25"/>
      <c r="N548" s="25"/>
      <c r="O548" s="130"/>
      <c r="P548" s="47"/>
      <c r="Q548" s="77"/>
      <c r="R548" s="77" t="str">
        <f>IF(Table5[[#This Row],[Tour Starting Date]]&lt;&gt;"", TEXT(Table5[[#This Row],[Tour Starting Date]], "dddd"), "")</f>
        <v/>
      </c>
      <c r="S548" s="77"/>
      <c r="T548" s="25" t="str">
        <f>IF(Table5[[#This Row],[Tour Ending Date]]&lt;&gt;"", TEXT(Table5[[#This Row],[Tour Ending Date]], "dddd"), "")</f>
        <v/>
      </c>
      <c r="U54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48" s="37" t="str">
        <f>IF(Table5[[#This Row],[Tour Starting Date]]&lt;&gt;"", TEXT(Table5[[#This Row],[Tour Starting Date]], "mmmm"), "")</f>
        <v/>
      </c>
      <c r="W548" s="80" t="str" cm="1">
        <f t="array" ref="W548">IF(Q548&lt;&gt;"", INDEX(CI:CI, MATCH(1, (Q548&gt;=CG:CG)*(Q548&lt;=CH:CH), 0)), "")</f>
        <v/>
      </c>
      <c r="X548" s="39"/>
      <c r="Y548" s="74"/>
      <c r="Z548" s="74" t="str">
        <f>IF(OR(Table5[[#This Row],[Per Person Package Cost]]="", Table5[[#This Row],[No. of Pax]]=""), "", Table5[[#This Row],[Per Person Package Cost]] * Table5[[#This Row],[No. of Pax]])</f>
        <v/>
      </c>
      <c r="AA548" s="52"/>
      <c r="AB548" s="52"/>
      <c r="AC548" s="52"/>
      <c r="AD548" s="52"/>
      <c r="AE548" s="51" t="str">
        <f t="shared" si="57"/>
        <v/>
      </c>
      <c r="AF548" s="51" t="str">
        <f t="shared" si="58"/>
        <v/>
      </c>
      <c r="AG548" s="74" t="str">
        <f t="shared" si="59"/>
        <v/>
      </c>
      <c r="AH548" s="73" t="str">
        <f t="shared" si="60"/>
        <v/>
      </c>
      <c r="AI548" s="52"/>
      <c r="AJ548" s="56"/>
      <c r="AK548" s="59"/>
      <c r="AL548" s="60"/>
      <c r="AM548" s="54"/>
      <c r="AN548" s="14"/>
      <c r="AO548" s="15"/>
      <c r="AP548" s="91"/>
      <c r="AQ548" s="87"/>
      <c r="AR548" s="26"/>
      <c r="AS548" s="65"/>
      <c r="AT548" s="88"/>
      <c r="AU548" s="67"/>
      <c r="DA548" t="str" cm="1">
        <f t="array" ref="DA548">IF(U548&lt;&gt;"", TRANSPOSE(_xlfn._xlws.FILTER(CZ:CZ, CY:CY=U548, "")), "")</f>
        <v/>
      </c>
    </row>
    <row r="549" spans="2:105" ht="15" customHeight="1">
      <c r="B549" s="34">
        <v>545</v>
      </c>
      <c r="C549" s="36" t="s">
        <v>2414</v>
      </c>
      <c r="D549" s="76"/>
      <c r="E549" s="37" t="str">
        <f>IF(Table5[[#This Row],[Query Date]]&lt;&gt;"", TEXT(Table5[[#This Row],[Query Date]], "dddd"), "")</f>
        <v/>
      </c>
      <c r="F549" s="37" t="str">
        <f>IF(Table5[[#This Row],[Query Date]]&lt;&gt;"", TEXT(Table5[[#This Row],[Query Date]], "mmmm"), "")</f>
        <v/>
      </c>
      <c r="G549" s="28"/>
      <c r="H549" s="28"/>
      <c r="I549" s="28"/>
      <c r="J549" s="28"/>
      <c r="K549" s="28"/>
      <c r="L549" s="25"/>
      <c r="M549" s="25"/>
      <c r="N549" s="25"/>
      <c r="O549" s="130"/>
      <c r="P549" s="47"/>
      <c r="Q549" s="77"/>
      <c r="R549" s="77" t="str">
        <f>IF(Table5[[#This Row],[Tour Starting Date]]&lt;&gt;"", TEXT(Table5[[#This Row],[Tour Starting Date]], "dddd"), "")</f>
        <v/>
      </c>
      <c r="S549" s="77"/>
      <c r="T549" s="25" t="str">
        <f>IF(Table5[[#This Row],[Tour Ending Date]]&lt;&gt;"", TEXT(Table5[[#This Row],[Tour Ending Date]], "dddd"), "")</f>
        <v/>
      </c>
      <c r="U54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49" s="37" t="str">
        <f>IF(Table5[[#This Row],[Tour Starting Date]]&lt;&gt;"", TEXT(Table5[[#This Row],[Tour Starting Date]], "mmmm"), "")</f>
        <v/>
      </c>
      <c r="W549" s="80" t="str" cm="1">
        <f t="array" ref="W549">IF(Q549&lt;&gt;"", INDEX(CI:CI, MATCH(1, (Q549&gt;=CG:CG)*(Q549&lt;=CH:CH), 0)), "")</f>
        <v/>
      </c>
      <c r="X549" s="39"/>
      <c r="Y549" s="74"/>
      <c r="Z549" s="74" t="str">
        <f>IF(OR(Table5[[#This Row],[Per Person Package Cost]]="", Table5[[#This Row],[No. of Pax]]=""), "", Table5[[#This Row],[Per Person Package Cost]] * Table5[[#This Row],[No. of Pax]])</f>
        <v/>
      </c>
      <c r="AA549" s="52"/>
      <c r="AB549" s="52"/>
      <c r="AC549" s="52"/>
      <c r="AD549" s="52"/>
      <c r="AE549" s="51" t="str">
        <f t="shared" si="57"/>
        <v/>
      </c>
      <c r="AF549" s="51" t="str">
        <f t="shared" si="58"/>
        <v/>
      </c>
      <c r="AG549" s="74" t="str">
        <f t="shared" si="59"/>
        <v/>
      </c>
      <c r="AH549" s="73" t="str">
        <f t="shared" si="60"/>
        <v/>
      </c>
      <c r="AI549" s="52"/>
      <c r="AJ549" s="56"/>
      <c r="AK549" s="59"/>
      <c r="AL549" s="60"/>
      <c r="AM549" s="54"/>
      <c r="AN549" s="14"/>
      <c r="AO549" s="15"/>
      <c r="AP549" s="91"/>
      <c r="AQ549" s="87"/>
      <c r="AR549" s="26"/>
      <c r="AS549" s="65"/>
      <c r="AT549" s="88"/>
      <c r="AU549" s="67"/>
      <c r="DA549" t="str" cm="1">
        <f t="array" ref="DA549">IF(U549&lt;&gt;"", TRANSPOSE(_xlfn._xlws.FILTER(CZ:CZ, CY:CY=U549, "")), "")</f>
        <v/>
      </c>
    </row>
    <row r="550" spans="2:105" ht="15" customHeight="1">
      <c r="B550" s="35">
        <v>546</v>
      </c>
      <c r="C550" s="36" t="s">
        <v>2415</v>
      </c>
      <c r="D550" s="76"/>
      <c r="E550" s="37" t="str">
        <f>IF(Table5[[#This Row],[Query Date]]&lt;&gt;"", TEXT(Table5[[#This Row],[Query Date]], "dddd"), "")</f>
        <v/>
      </c>
      <c r="F550" s="37" t="str">
        <f>IF(Table5[[#This Row],[Query Date]]&lt;&gt;"", TEXT(Table5[[#This Row],[Query Date]], "mmmm"), "")</f>
        <v/>
      </c>
      <c r="G550" s="28"/>
      <c r="H550" s="28"/>
      <c r="I550" s="28"/>
      <c r="J550" s="28"/>
      <c r="K550" s="28"/>
      <c r="L550" s="25"/>
      <c r="M550" s="25"/>
      <c r="N550" s="25"/>
      <c r="O550" s="130"/>
      <c r="P550" s="47"/>
      <c r="Q550" s="77"/>
      <c r="R550" s="77" t="str">
        <f>IF(Table5[[#This Row],[Tour Starting Date]]&lt;&gt;"", TEXT(Table5[[#This Row],[Tour Starting Date]], "dddd"), "")</f>
        <v/>
      </c>
      <c r="S550" s="77"/>
      <c r="T550" s="25" t="str">
        <f>IF(Table5[[#This Row],[Tour Ending Date]]&lt;&gt;"", TEXT(Table5[[#This Row],[Tour Ending Date]], "dddd"), "")</f>
        <v/>
      </c>
      <c r="U55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50" s="37" t="str">
        <f>IF(Table5[[#This Row],[Tour Starting Date]]&lt;&gt;"", TEXT(Table5[[#This Row],[Tour Starting Date]], "mmmm"), "")</f>
        <v/>
      </c>
      <c r="W550" s="80" t="str" cm="1">
        <f t="array" ref="W550">IF(Q550&lt;&gt;"", INDEX(CI:CI, MATCH(1, (Q550&gt;=CG:CG)*(Q550&lt;=CH:CH), 0)), "")</f>
        <v/>
      </c>
      <c r="X550" s="39"/>
      <c r="Y550" s="74"/>
      <c r="Z550" s="74" t="str">
        <f>IF(OR(Table5[[#This Row],[Per Person Package Cost]]="", Table5[[#This Row],[No. of Pax]]=""), "", Table5[[#This Row],[Per Person Package Cost]] * Table5[[#This Row],[No. of Pax]])</f>
        <v/>
      </c>
      <c r="AA550" s="52"/>
      <c r="AB550" s="52"/>
      <c r="AC550" s="52"/>
      <c r="AD550" s="52"/>
      <c r="AE550" s="51" t="str">
        <f t="shared" si="57"/>
        <v/>
      </c>
      <c r="AF550" s="51" t="str">
        <f t="shared" si="58"/>
        <v/>
      </c>
      <c r="AG550" s="74" t="str">
        <f t="shared" si="59"/>
        <v/>
      </c>
      <c r="AH550" s="73" t="str">
        <f t="shared" si="60"/>
        <v/>
      </c>
      <c r="AI550" s="52"/>
      <c r="AJ550" s="56"/>
      <c r="AK550" s="59"/>
      <c r="AL550" s="60"/>
      <c r="AM550" s="54"/>
      <c r="AN550" s="14"/>
      <c r="AO550" s="15"/>
      <c r="AP550" s="91"/>
      <c r="AQ550" s="87"/>
      <c r="AR550" s="26"/>
      <c r="AS550" s="65"/>
      <c r="AT550" s="88"/>
      <c r="AU550" s="67"/>
      <c r="DA550" t="str" cm="1">
        <f t="array" ref="DA550">IF(U550&lt;&gt;"", TRANSPOSE(_xlfn._xlws.FILTER(CZ:CZ, CY:CY=U550, "")), "")</f>
        <v/>
      </c>
    </row>
    <row r="551" spans="2:105" ht="15" customHeight="1">
      <c r="B551" s="34">
        <v>547</v>
      </c>
      <c r="C551" s="36" t="s">
        <v>2416</v>
      </c>
      <c r="D551" s="76"/>
      <c r="E551" s="37" t="str">
        <f>IF(Table5[[#This Row],[Query Date]]&lt;&gt;"", TEXT(Table5[[#This Row],[Query Date]], "dddd"), "")</f>
        <v/>
      </c>
      <c r="F551" s="37" t="str">
        <f>IF(Table5[[#This Row],[Query Date]]&lt;&gt;"", TEXT(Table5[[#This Row],[Query Date]], "mmmm"), "")</f>
        <v/>
      </c>
      <c r="G551" s="28"/>
      <c r="H551" s="28"/>
      <c r="I551" s="28"/>
      <c r="J551" s="28"/>
      <c r="K551" s="28"/>
      <c r="L551" s="25"/>
      <c r="M551" s="25"/>
      <c r="N551" s="25"/>
      <c r="O551" s="130"/>
      <c r="P551" s="47"/>
      <c r="Q551" s="77"/>
      <c r="R551" s="77" t="str">
        <f>IF(Table5[[#This Row],[Tour Starting Date]]&lt;&gt;"", TEXT(Table5[[#This Row],[Tour Starting Date]], "dddd"), "")</f>
        <v/>
      </c>
      <c r="S551" s="77"/>
      <c r="T551" s="25" t="str">
        <f>IF(Table5[[#This Row],[Tour Ending Date]]&lt;&gt;"", TEXT(Table5[[#This Row],[Tour Ending Date]], "dddd"), "")</f>
        <v/>
      </c>
      <c r="U55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51" s="37" t="str">
        <f>IF(Table5[[#This Row],[Tour Starting Date]]&lt;&gt;"", TEXT(Table5[[#This Row],[Tour Starting Date]], "mmmm"), "")</f>
        <v/>
      </c>
      <c r="W551" s="80" t="str" cm="1">
        <f t="array" ref="W551">IF(Q551&lt;&gt;"", INDEX(CI:CI, MATCH(1, (Q551&gt;=CG:CG)*(Q551&lt;=CH:CH), 0)), "")</f>
        <v/>
      </c>
      <c r="X551" s="39"/>
      <c r="Y551" s="74"/>
      <c r="Z551" s="74" t="str">
        <f>IF(OR(Table5[[#This Row],[Per Person Package Cost]]="", Table5[[#This Row],[No. of Pax]]=""), "", Table5[[#This Row],[Per Person Package Cost]] * Table5[[#This Row],[No. of Pax]])</f>
        <v/>
      </c>
      <c r="AA551" s="52"/>
      <c r="AB551" s="52"/>
      <c r="AC551" s="52"/>
      <c r="AD551" s="52"/>
      <c r="AE551" s="51" t="str">
        <f t="shared" si="57"/>
        <v/>
      </c>
      <c r="AF551" s="51" t="str">
        <f t="shared" si="58"/>
        <v/>
      </c>
      <c r="AG551" s="74" t="str">
        <f t="shared" si="59"/>
        <v/>
      </c>
      <c r="AH551" s="73" t="str">
        <f t="shared" si="60"/>
        <v/>
      </c>
      <c r="AI551" s="52"/>
      <c r="AJ551" s="56"/>
      <c r="AK551" s="59"/>
      <c r="AL551" s="60"/>
      <c r="AM551" s="54"/>
      <c r="AN551" s="14"/>
      <c r="AO551" s="15"/>
      <c r="AP551" s="91"/>
      <c r="AQ551" s="87"/>
      <c r="AR551" s="26"/>
      <c r="AS551" s="65"/>
      <c r="AT551" s="88"/>
      <c r="AU551" s="67"/>
      <c r="DA551" t="str" cm="1">
        <f t="array" ref="DA551">IF(U551&lt;&gt;"", TRANSPOSE(_xlfn._xlws.FILTER(CZ:CZ, CY:CY=U551, "")), "")</f>
        <v/>
      </c>
    </row>
    <row r="552" spans="2:105" ht="15" customHeight="1">
      <c r="B552" s="35">
        <v>548</v>
      </c>
      <c r="C552" s="36" t="s">
        <v>2417</v>
      </c>
      <c r="D552" s="76"/>
      <c r="E552" s="37" t="str">
        <f>IF(Table5[[#This Row],[Query Date]]&lt;&gt;"", TEXT(Table5[[#This Row],[Query Date]], "dddd"), "")</f>
        <v/>
      </c>
      <c r="F552" s="37" t="str">
        <f>IF(Table5[[#This Row],[Query Date]]&lt;&gt;"", TEXT(Table5[[#This Row],[Query Date]], "mmmm"), "")</f>
        <v/>
      </c>
      <c r="G552" s="28"/>
      <c r="H552" s="28"/>
      <c r="I552" s="28"/>
      <c r="J552" s="28"/>
      <c r="K552" s="28"/>
      <c r="L552" s="25"/>
      <c r="M552" s="25"/>
      <c r="N552" s="25"/>
      <c r="O552" s="130"/>
      <c r="P552" s="47"/>
      <c r="Q552" s="77"/>
      <c r="R552" s="77" t="str">
        <f>IF(Table5[[#This Row],[Tour Starting Date]]&lt;&gt;"", TEXT(Table5[[#This Row],[Tour Starting Date]], "dddd"), "")</f>
        <v/>
      </c>
      <c r="S552" s="77"/>
      <c r="T552" s="25" t="str">
        <f>IF(Table5[[#This Row],[Tour Ending Date]]&lt;&gt;"", TEXT(Table5[[#This Row],[Tour Ending Date]], "dddd"), "")</f>
        <v/>
      </c>
      <c r="U55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52" s="37" t="str">
        <f>IF(Table5[[#This Row],[Tour Starting Date]]&lt;&gt;"", TEXT(Table5[[#This Row],[Tour Starting Date]], "mmmm"), "")</f>
        <v/>
      </c>
      <c r="W552" s="80" t="str" cm="1">
        <f t="array" ref="W552">IF(Q552&lt;&gt;"", INDEX(CI:CI, MATCH(1, (Q552&gt;=CG:CG)*(Q552&lt;=CH:CH), 0)), "")</f>
        <v/>
      </c>
      <c r="X552" s="39"/>
      <c r="Y552" s="74"/>
      <c r="Z552" s="74" t="str">
        <f>IF(OR(Table5[[#This Row],[Per Person Package Cost]]="", Table5[[#This Row],[No. of Pax]]=""), "", Table5[[#This Row],[Per Person Package Cost]] * Table5[[#This Row],[No. of Pax]])</f>
        <v/>
      </c>
      <c r="AA552" s="52"/>
      <c r="AB552" s="52"/>
      <c r="AC552" s="52"/>
      <c r="AD552" s="52"/>
      <c r="AE552" s="51" t="str">
        <f t="shared" si="57"/>
        <v/>
      </c>
      <c r="AF552" s="51" t="str">
        <f t="shared" si="58"/>
        <v/>
      </c>
      <c r="AG552" s="74" t="str">
        <f t="shared" si="59"/>
        <v/>
      </c>
      <c r="AH552" s="73" t="str">
        <f t="shared" si="60"/>
        <v/>
      </c>
      <c r="AI552" s="52"/>
      <c r="AJ552" s="56"/>
      <c r="AK552" s="59"/>
      <c r="AL552" s="60"/>
      <c r="AM552" s="54"/>
      <c r="AN552" s="14"/>
      <c r="AO552" s="15"/>
      <c r="AP552" s="91"/>
      <c r="AQ552" s="87"/>
      <c r="AR552" s="26"/>
      <c r="AS552" s="65"/>
      <c r="AT552" s="88"/>
      <c r="AU552" s="67"/>
      <c r="DA552" t="str" cm="1">
        <f t="array" ref="DA552">IF(U552&lt;&gt;"", TRANSPOSE(_xlfn._xlws.FILTER(CZ:CZ, CY:CY=U552, "")), "")</f>
        <v/>
      </c>
    </row>
    <row r="553" spans="2:105" ht="15" customHeight="1">
      <c r="B553" s="34">
        <v>549</v>
      </c>
      <c r="C553" s="36" t="s">
        <v>2418</v>
      </c>
      <c r="D553" s="76"/>
      <c r="E553" s="37" t="str">
        <f>IF(Table5[[#This Row],[Query Date]]&lt;&gt;"", TEXT(Table5[[#This Row],[Query Date]], "dddd"), "")</f>
        <v/>
      </c>
      <c r="F553" s="37" t="str">
        <f>IF(Table5[[#This Row],[Query Date]]&lt;&gt;"", TEXT(Table5[[#This Row],[Query Date]], "mmmm"), "")</f>
        <v/>
      </c>
      <c r="G553" s="28"/>
      <c r="H553" s="28"/>
      <c r="I553" s="28"/>
      <c r="J553" s="28"/>
      <c r="K553" s="28"/>
      <c r="L553" s="25"/>
      <c r="M553" s="25"/>
      <c r="N553" s="25"/>
      <c r="O553" s="130"/>
      <c r="P553" s="47"/>
      <c r="Q553" s="77"/>
      <c r="R553" s="77" t="str">
        <f>IF(Table5[[#This Row],[Tour Starting Date]]&lt;&gt;"", TEXT(Table5[[#This Row],[Tour Starting Date]], "dddd"), "")</f>
        <v/>
      </c>
      <c r="S553" s="77"/>
      <c r="T553" s="25" t="str">
        <f>IF(Table5[[#This Row],[Tour Ending Date]]&lt;&gt;"", TEXT(Table5[[#This Row],[Tour Ending Date]], "dddd"), "")</f>
        <v/>
      </c>
      <c r="U55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53" s="37" t="str">
        <f>IF(Table5[[#This Row],[Tour Starting Date]]&lt;&gt;"", TEXT(Table5[[#This Row],[Tour Starting Date]], "mmmm"), "")</f>
        <v/>
      </c>
      <c r="W553" s="80" t="str" cm="1">
        <f t="array" ref="W553">IF(Q553&lt;&gt;"", INDEX(CI:CI, MATCH(1, (Q553&gt;=CG:CG)*(Q553&lt;=CH:CH), 0)), "")</f>
        <v/>
      </c>
      <c r="X553" s="39"/>
      <c r="Y553" s="74"/>
      <c r="Z553" s="74" t="str">
        <f>IF(OR(Table5[[#This Row],[Per Person Package Cost]]="", Table5[[#This Row],[No. of Pax]]=""), "", Table5[[#This Row],[Per Person Package Cost]] * Table5[[#This Row],[No. of Pax]])</f>
        <v/>
      </c>
      <c r="AA553" s="52"/>
      <c r="AB553" s="52"/>
      <c r="AC553" s="52"/>
      <c r="AD553" s="52"/>
      <c r="AE553" s="51" t="str">
        <f t="shared" si="57"/>
        <v/>
      </c>
      <c r="AF553" s="51" t="str">
        <f t="shared" si="58"/>
        <v/>
      </c>
      <c r="AG553" s="74" t="str">
        <f t="shared" si="59"/>
        <v/>
      </c>
      <c r="AH553" s="73" t="str">
        <f t="shared" si="60"/>
        <v/>
      </c>
      <c r="AI553" s="52"/>
      <c r="AJ553" s="56"/>
      <c r="AK553" s="59"/>
      <c r="AL553" s="60"/>
      <c r="AM553" s="54"/>
      <c r="AN553" s="14"/>
      <c r="AO553" s="15"/>
      <c r="AP553" s="91"/>
      <c r="AQ553" s="87"/>
      <c r="AR553" s="26"/>
      <c r="AS553" s="65"/>
      <c r="AT553" s="88"/>
      <c r="AU553" s="67"/>
      <c r="DA553" t="str" cm="1">
        <f t="array" ref="DA553">IF(U553&lt;&gt;"", TRANSPOSE(_xlfn._xlws.FILTER(CZ:CZ, CY:CY=U553, "")), "")</f>
        <v/>
      </c>
    </row>
    <row r="554" spans="2:105" ht="15" customHeight="1">
      <c r="B554" s="35">
        <v>550</v>
      </c>
      <c r="C554" s="36" t="s">
        <v>2419</v>
      </c>
      <c r="D554" s="76"/>
      <c r="E554" s="37" t="str">
        <f>IF(Table5[[#This Row],[Query Date]]&lt;&gt;"", TEXT(Table5[[#This Row],[Query Date]], "dddd"), "")</f>
        <v/>
      </c>
      <c r="F554" s="37" t="str">
        <f>IF(Table5[[#This Row],[Query Date]]&lt;&gt;"", TEXT(Table5[[#This Row],[Query Date]], "mmmm"), "")</f>
        <v/>
      </c>
      <c r="G554" s="28"/>
      <c r="H554" s="28"/>
      <c r="I554" s="28"/>
      <c r="J554" s="28"/>
      <c r="K554" s="28"/>
      <c r="L554" s="25"/>
      <c r="M554" s="25"/>
      <c r="N554" s="25"/>
      <c r="O554" s="130"/>
      <c r="P554" s="47"/>
      <c r="Q554" s="77"/>
      <c r="R554" s="77" t="str">
        <f>IF(Table5[[#This Row],[Tour Starting Date]]&lt;&gt;"", TEXT(Table5[[#This Row],[Tour Starting Date]], "dddd"), "")</f>
        <v/>
      </c>
      <c r="S554" s="77"/>
      <c r="T554" s="25" t="str">
        <f>IF(Table5[[#This Row],[Tour Ending Date]]&lt;&gt;"", TEXT(Table5[[#This Row],[Tour Ending Date]], "dddd"), "")</f>
        <v/>
      </c>
      <c r="U55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54" s="37" t="str">
        <f>IF(Table5[[#This Row],[Tour Starting Date]]&lt;&gt;"", TEXT(Table5[[#This Row],[Tour Starting Date]], "mmmm"), "")</f>
        <v/>
      </c>
      <c r="W554" s="80" t="str" cm="1">
        <f t="array" ref="W554">IF(Q554&lt;&gt;"", INDEX(CI:CI, MATCH(1, (Q554&gt;=CG:CG)*(Q554&lt;=CH:CH), 0)), "")</f>
        <v/>
      </c>
      <c r="X554" s="39"/>
      <c r="Y554" s="74"/>
      <c r="Z554" s="74" t="str">
        <f>IF(OR(Table5[[#This Row],[Per Person Package Cost]]="", Table5[[#This Row],[No. of Pax]]=""), "", Table5[[#This Row],[Per Person Package Cost]] * Table5[[#This Row],[No. of Pax]])</f>
        <v/>
      </c>
      <c r="AA554" s="52"/>
      <c r="AB554" s="52"/>
      <c r="AC554" s="52"/>
      <c r="AD554" s="52"/>
      <c r="AE554" s="51" t="str">
        <f t="shared" si="57"/>
        <v/>
      </c>
      <c r="AF554" s="51" t="str">
        <f t="shared" si="58"/>
        <v/>
      </c>
      <c r="AG554" s="74" t="str">
        <f t="shared" si="59"/>
        <v/>
      </c>
      <c r="AH554" s="73" t="str">
        <f t="shared" si="60"/>
        <v/>
      </c>
      <c r="AI554" s="52"/>
      <c r="AJ554" s="56"/>
      <c r="AK554" s="59"/>
      <c r="AL554" s="60"/>
      <c r="AM554" s="54"/>
      <c r="AN554" s="14"/>
      <c r="AO554" s="15"/>
      <c r="AP554" s="91"/>
      <c r="AQ554" s="87"/>
      <c r="AR554" s="26"/>
      <c r="AS554" s="65"/>
      <c r="AT554" s="88"/>
      <c r="AU554" s="67"/>
      <c r="DA554" t="str" cm="1">
        <f t="array" ref="DA554">IF(U554&lt;&gt;"", TRANSPOSE(_xlfn._xlws.FILTER(CZ:CZ, CY:CY=U554, "")), "")</f>
        <v/>
      </c>
    </row>
    <row r="555" spans="2:105" ht="15" customHeight="1">
      <c r="B555" s="34">
        <v>551</v>
      </c>
      <c r="C555" s="36" t="s">
        <v>2420</v>
      </c>
      <c r="D555" s="76"/>
      <c r="E555" s="37" t="str">
        <f>IF(Table5[[#This Row],[Query Date]]&lt;&gt;"", TEXT(Table5[[#This Row],[Query Date]], "dddd"), "")</f>
        <v/>
      </c>
      <c r="F555" s="37" t="str">
        <f>IF(Table5[[#This Row],[Query Date]]&lt;&gt;"", TEXT(Table5[[#This Row],[Query Date]], "mmmm"), "")</f>
        <v/>
      </c>
      <c r="G555" s="28"/>
      <c r="H555" s="28"/>
      <c r="I555" s="28"/>
      <c r="J555" s="28"/>
      <c r="K555" s="28"/>
      <c r="L555" s="25"/>
      <c r="M555" s="25"/>
      <c r="N555" s="25"/>
      <c r="O555" s="130"/>
      <c r="P555" s="47"/>
      <c r="Q555" s="77"/>
      <c r="R555" s="77" t="str">
        <f>IF(Table5[[#This Row],[Tour Starting Date]]&lt;&gt;"", TEXT(Table5[[#This Row],[Tour Starting Date]], "dddd"), "")</f>
        <v/>
      </c>
      <c r="S555" s="77"/>
      <c r="T555" s="25" t="str">
        <f>IF(Table5[[#This Row],[Tour Ending Date]]&lt;&gt;"", TEXT(Table5[[#This Row],[Tour Ending Date]], "dddd"), "")</f>
        <v/>
      </c>
      <c r="U55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55" s="37" t="str">
        <f>IF(Table5[[#This Row],[Tour Starting Date]]&lt;&gt;"", TEXT(Table5[[#This Row],[Tour Starting Date]], "mmmm"), "")</f>
        <v/>
      </c>
      <c r="W555" s="80" t="str" cm="1">
        <f t="array" ref="W555">IF(Q555&lt;&gt;"", INDEX(CI:CI, MATCH(1, (Q555&gt;=CG:CG)*(Q555&lt;=CH:CH), 0)), "")</f>
        <v/>
      </c>
      <c r="X555" s="39"/>
      <c r="Y555" s="74"/>
      <c r="Z555" s="74" t="str">
        <f>IF(OR(Table5[[#This Row],[Per Person Package Cost]]="", Table5[[#This Row],[No. of Pax]]=""), "", Table5[[#This Row],[Per Person Package Cost]] * Table5[[#This Row],[No. of Pax]])</f>
        <v/>
      </c>
      <c r="AA555" s="52"/>
      <c r="AB555" s="52"/>
      <c r="AC555" s="52"/>
      <c r="AD555" s="52"/>
      <c r="AE555" s="51" t="str">
        <f t="shared" si="57"/>
        <v/>
      </c>
      <c r="AF555" s="51" t="str">
        <f t="shared" si="58"/>
        <v/>
      </c>
      <c r="AG555" s="74" t="str">
        <f t="shared" si="59"/>
        <v/>
      </c>
      <c r="AH555" s="73" t="str">
        <f t="shared" si="60"/>
        <v/>
      </c>
      <c r="AI555" s="52"/>
      <c r="AJ555" s="56"/>
      <c r="AK555" s="59"/>
      <c r="AL555" s="60"/>
      <c r="AM555" s="54"/>
      <c r="AN555" s="14"/>
      <c r="AO555" s="15"/>
      <c r="AP555" s="91"/>
      <c r="AQ555" s="87"/>
      <c r="AR555" s="26"/>
      <c r="AS555" s="65"/>
      <c r="AT555" s="88"/>
      <c r="AU555" s="67"/>
      <c r="DA555" t="str" cm="1">
        <f t="array" ref="DA555">IF(U555&lt;&gt;"", TRANSPOSE(_xlfn._xlws.FILTER(CZ:CZ, CY:CY=U555, "")), "")</f>
        <v/>
      </c>
    </row>
    <row r="556" spans="2:105" ht="15" customHeight="1">
      <c r="B556" s="35">
        <v>552</v>
      </c>
      <c r="C556" s="36" t="s">
        <v>2421</v>
      </c>
      <c r="D556" s="76"/>
      <c r="E556" s="37" t="str">
        <f>IF(Table5[[#This Row],[Query Date]]&lt;&gt;"", TEXT(Table5[[#This Row],[Query Date]], "dddd"), "")</f>
        <v/>
      </c>
      <c r="F556" s="37" t="str">
        <f>IF(Table5[[#This Row],[Query Date]]&lt;&gt;"", TEXT(Table5[[#This Row],[Query Date]], "mmmm"), "")</f>
        <v/>
      </c>
      <c r="G556" s="28"/>
      <c r="H556" s="28"/>
      <c r="I556" s="28"/>
      <c r="J556" s="28"/>
      <c r="K556" s="28"/>
      <c r="L556" s="25"/>
      <c r="M556" s="25"/>
      <c r="N556" s="25"/>
      <c r="O556" s="130"/>
      <c r="P556" s="47"/>
      <c r="Q556" s="77"/>
      <c r="R556" s="77" t="str">
        <f>IF(Table5[[#This Row],[Tour Starting Date]]&lt;&gt;"", TEXT(Table5[[#This Row],[Tour Starting Date]], "dddd"), "")</f>
        <v/>
      </c>
      <c r="S556" s="77"/>
      <c r="T556" s="25" t="str">
        <f>IF(Table5[[#This Row],[Tour Ending Date]]&lt;&gt;"", TEXT(Table5[[#This Row],[Tour Ending Date]], "dddd"), "")</f>
        <v/>
      </c>
      <c r="U55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56" s="37" t="str">
        <f>IF(Table5[[#This Row],[Tour Starting Date]]&lt;&gt;"", TEXT(Table5[[#This Row],[Tour Starting Date]], "mmmm"), "")</f>
        <v/>
      </c>
      <c r="W556" s="80" t="str" cm="1">
        <f t="array" ref="W556">IF(Q556&lt;&gt;"", INDEX(CI:CI, MATCH(1, (Q556&gt;=CG:CG)*(Q556&lt;=CH:CH), 0)), "")</f>
        <v/>
      </c>
      <c r="X556" s="39"/>
      <c r="Y556" s="74"/>
      <c r="Z556" s="74" t="str">
        <f>IF(OR(Table5[[#This Row],[Per Person Package Cost]]="", Table5[[#This Row],[No. of Pax]]=""), "", Table5[[#This Row],[Per Person Package Cost]] * Table5[[#This Row],[No. of Pax]])</f>
        <v/>
      </c>
      <c r="AA556" s="52"/>
      <c r="AB556" s="52"/>
      <c r="AC556" s="52"/>
      <c r="AD556" s="52"/>
      <c r="AE556" s="51" t="str">
        <f t="shared" si="57"/>
        <v/>
      </c>
      <c r="AF556" s="51" t="str">
        <f t="shared" si="58"/>
        <v/>
      </c>
      <c r="AG556" s="74" t="str">
        <f t="shared" si="59"/>
        <v/>
      </c>
      <c r="AH556" s="73" t="str">
        <f t="shared" si="60"/>
        <v/>
      </c>
      <c r="AI556" s="52"/>
      <c r="AJ556" s="56"/>
      <c r="AK556" s="59"/>
      <c r="AL556" s="60"/>
      <c r="AM556" s="54"/>
      <c r="AN556" s="14"/>
      <c r="AO556" s="15"/>
      <c r="AP556" s="91"/>
      <c r="AQ556" s="87"/>
      <c r="AR556" s="26"/>
      <c r="AS556" s="65"/>
      <c r="AT556" s="88"/>
      <c r="AU556" s="67"/>
      <c r="DA556" t="str" cm="1">
        <f t="array" ref="DA556">IF(U556&lt;&gt;"", TRANSPOSE(_xlfn._xlws.FILTER(CZ:CZ, CY:CY=U556, "")), "")</f>
        <v/>
      </c>
    </row>
    <row r="557" spans="2:105" ht="15" customHeight="1">
      <c r="B557" s="34">
        <v>553</v>
      </c>
      <c r="C557" s="36" t="s">
        <v>2422</v>
      </c>
      <c r="D557" s="76"/>
      <c r="E557" s="37" t="str">
        <f>IF(Table5[[#This Row],[Query Date]]&lt;&gt;"", TEXT(Table5[[#This Row],[Query Date]], "dddd"), "")</f>
        <v/>
      </c>
      <c r="F557" s="37" t="str">
        <f>IF(Table5[[#This Row],[Query Date]]&lt;&gt;"", TEXT(Table5[[#This Row],[Query Date]], "mmmm"), "")</f>
        <v/>
      </c>
      <c r="G557" s="28"/>
      <c r="H557" s="28"/>
      <c r="I557" s="28"/>
      <c r="J557" s="28"/>
      <c r="K557" s="28"/>
      <c r="L557" s="25"/>
      <c r="M557" s="25"/>
      <c r="N557" s="25"/>
      <c r="O557" s="130"/>
      <c r="P557" s="47"/>
      <c r="Q557" s="77"/>
      <c r="R557" s="77" t="str">
        <f>IF(Table5[[#This Row],[Tour Starting Date]]&lt;&gt;"", TEXT(Table5[[#This Row],[Tour Starting Date]], "dddd"), "")</f>
        <v/>
      </c>
      <c r="S557" s="77"/>
      <c r="T557" s="25" t="str">
        <f>IF(Table5[[#This Row],[Tour Ending Date]]&lt;&gt;"", TEXT(Table5[[#This Row],[Tour Ending Date]], "dddd"), "")</f>
        <v/>
      </c>
      <c r="U55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57" s="37" t="str">
        <f>IF(Table5[[#This Row],[Tour Starting Date]]&lt;&gt;"", TEXT(Table5[[#This Row],[Tour Starting Date]], "mmmm"), "")</f>
        <v/>
      </c>
      <c r="W557" s="80" t="str" cm="1">
        <f t="array" ref="W557">IF(Q557&lt;&gt;"", INDEX(CI:CI, MATCH(1, (Q557&gt;=CG:CG)*(Q557&lt;=CH:CH), 0)), "")</f>
        <v/>
      </c>
      <c r="X557" s="39"/>
      <c r="Y557" s="74"/>
      <c r="Z557" s="74" t="str">
        <f>IF(OR(Table5[[#This Row],[Per Person Package Cost]]="", Table5[[#This Row],[No. of Pax]]=""), "", Table5[[#This Row],[Per Person Package Cost]] * Table5[[#This Row],[No. of Pax]])</f>
        <v/>
      </c>
      <c r="AA557" s="52"/>
      <c r="AB557" s="52"/>
      <c r="AC557" s="52"/>
      <c r="AD557" s="52"/>
      <c r="AE557" s="51" t="str">
        <f t="shared" si="57"/>
        <v/>
      </c>
      <c r="AF557" s="51" t="str">
        <f t="shared" si="58"/>
        <v/>
      </c>
      <c r="AG557" s="74" t="str">
        <f t="shared" si="59"/>
        <v/>
      </c>
      <c r="AH557" s="73" t="str">
        <f t="shared" si="60"/>
        <v/>
      </c>
      <c r="AI557" s="52"/>
      <c r="AJ557" s="56"/>
      <c r="AK557" s="59"/>
      <c r="AL557" s="60"/>
      <c r="AM557" s="54"/>
      <c r="AN557" s="14"/>
      <c r="AO557" s="15"/>
      <c r="AP557" s="91"/>
      <c r="AQ557" s="87"/>
      <c r="AR557" s="26"/>
      <c r="AS557" s="65"/>
      <c r="AT557" s="88"/>
      <c r="AU557" s="67"/>
      <c r="DA557" t="str" cm="1">
        <f t="array" ref="DA557">IF(U557&lt;&gt;"", TRANSPOSE(_xlfn._xlws.FILTER(CZ:CZ, CY:CY=U557, "")), "")</f>
        <v/>
      </c>
    </row>
    <row r="558" spans="2:105" ht="15" customHeight="1">
      <c r="B558" s="35">
        <v>554</v>
      </c>
      <c r="C558" s="36" t="s">
        <v>2423</v>
      </c>
      <c r="D558" s="76"/>
      <c r="E558" s="37" t="str">
        <f>IF(Table5[[#This Row],[Query Date]]&lt;&gt;"", TEXT(Table5[[#This Row],[Query Date]], "dddd"), "")</f>
        <v/>
      </c>
      <c r="F558" s="37" t="str">
        <f>IF(Table5[[#This Row],[Query Date]]&lt;&gt;"", TEXT(Table5[[#This Row],[Query Date]], "mmmm"), "")</f>
        <v/>
      </c>
      <c r="G558" s="28"/>
      <c r="H558" s="28"/>
      <c r="I558" s="28"/>
      <c r="J558" s="28"/>
      <c r="K558" s="28"/>
      <c r="L558" s="25"/>
      <c r="M558" s="25"/>
      <c r="N558" s="25"/>
      <c r="O558" s="130"/>
      <c r="P558" s="47"/>
      <c r="Q558" s="77"/>
      <c r="R558" s="77" t="str">
        <f>IF(Table5[[#This Row],[Tour Starting Date]]&lt;&gt;"", TEXT(Table5[[#This Row],[Tour Starting Date]], "dddd"), "")</f>
        <v/>
      </c>
      <c r="S558" s="77"/>
      <c r="T558" s="25" t="str">
        <f>IF(Table5[[#This Row],[Tour Ending Date]]&lt;&gt;"", TEXT(Table5[[#This Row],[Tour Ending Date]], "dddd"), "")</f>
        <v/>
      </c>
      <c r="U55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58" s="37" t="str">
        <f>IF(Table5[[#This Row],[Tour Starting Date]]&lt;&gt;"", TEXT(Table5[[#This Row],[Tour Starting Date]], "mmmm"), "")</f>
        <v/>
      </c>
      <c r="W558" s="80" t="str" cm="1">
        <f t="array" ref="W558">IF(Q558&lt;&gt;"", INDEX(CI:CI, MATCH(1, (Q558&gt;=CG:CG)*(Q558&lt;=CH:CH), 0)), "")</f>
        <v/>
      </c>
      <c r="X558" s="39"/>
      <c r="Y558" s="74"/>
      <c r="Z558" s="74" t="str">
        <f>IF(OR(Table5[[#This Row],[Per Person Package Cost]]="", Table5[[#This Row],[No. of Pax]]=""), "", Table5[[#This Row],[Per Person Package Cost]] * Table5[[#This Row],[No. of Pax]])</f>
        <v/>
      </c>
      <c r="AA558" s="52"/>
      <c r="AB558" s="52"/>
      <c r="AC558" s="52"/>
      <c r="AD558" s="52"/>
      <c r="AE558" s="51" t="str">
        <f t="shared" si="57"/>
        <v/>
      </c>
      <c r="AF558" s="51" t="str">
        <f t="shared" si="58"/>
        <v/>
      </c>
      <c r="AG558" s="74" t="str">
        <f t="shared" si="59"/>
        <v/>
      </c>
      <c r="AH558" s="73" t="str">
        <f t="shared" si="60"/>
        <v/>
      </c>
      <c r="AI558" s="52"/>
      <c r="AJ558" s="56"/>
      <c r="AK558" s="59"/>
      <c r="AL558" s="60"/>
      <c r="AM558" s="54"/>
      <c r="AN558" s="14"/>
      <c r="AO558" s="15"/>
      <c r="AP558" s="91"/>
      <c r="AQ558" s="87"/>
      <c r="AR558" s="26"/>
      <c r="AS558" s="65"/>
      <c r="AT558" s="88"/>
      <c r="AU558" s="67"/>
      <c r="DA558" t="str" cm="1">
        <f t="array" ref="DA558">IF(U558&lt;&gt;"", TRANSPOSE(_xlfn._xlws.FILTER(CZ:CZ, CY:CY=U558, "")), "")</f>
        <v/>
      </c>
    </row>
    <row r="559" spans="2:105" ht="15" customHeight="1">
      <c r="B559" s="34">
        <v>555</v>
      </c>
      <c r="C559" s="36" t="s">
        <v>2424</v>
      </c>
      <c r="D559" s="76"/>
      <c r="E559" s="37" t="str">
        <f>IF(Table5[[#This Row],[Query Date]]&lt;&gt;"", TEXT(Table5[[#This Row],[Query Date]], "dddd"), "")</f>
        <v/>
      </c>
      <c r="F559" s="37" t="str">
        <f>IF(Table5[[#This Row],[Query Date]]&lt;&gt;"", TEXT(Table5[[#This Row],[Query Date]], "mmmm"), "")</f>
        <v/>
      </c>
      <c r="G559" s="28"/>
      <c r="H559" s="28"/>
      <c r="I559" s="28"/>
      <c r="J559" s="28"/>
      <c r="K559" s="28"/>
      <c r="L559" s="25"/>
      <c r="M559" s="25"/>
      <c r="N559" s="25"/>
      <c r="O559" s="130"/>
      <c r="P559" s="47"/>
      <c r="Q559" s="77"/>
      <c r="R559" s="77" t="str">
        <f>IF(Table5[[#This Row],[Tour Starting Date]]&lt;&gt;"", TEXT(Table5[[#This Row],[Tour Starting Date]], "dddd"), "")</f>
        <v/>
      </c>
      <c r="S559" s="77"/>
      <c r="T559" s="25" t="str">
        <f>IF(Table5[[#This Row],[Tour Ending Date]]&lt;&gt;"", TEXT(Table5[[#This Row],[Tour Ending Date]], "dddd"), "")</f>
        <v/>
      </c>
      <c r="U55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59" s="37" t="str">
        <f>IF(Table5[[#This Row],[Tour Starting Date]]&lt;&gt;"", TEXT(Table5[[#This Row],[Tour Starting Date]], "mmmm"), "")</f>
        <v/>
      </c>
      <c r="W559" s="80" t="str" cm="1">
        <f t="array" ref="W559">IF(Q559&lt;&gt;"", INDEX(CI:CI, MATCH(1, (Q559&gt;=CG:CG)*(Q559&lt;=CH:CH), 0)), "")</f>
        <v/>
      </c>
      <c r="X559" s="39"/>
      <c r="Y559" s="74"/>
      <c r="Z559" s="74" t="str">
        <f>IF(OR(Table5[[#This Row],[Per Person Package Cost]]="", Table5[[#This Row],[No. of Pax]]=""), "", Table5[[#This Row],[Per Person Package Cost]] * Table5[[#This Row],[No. of Pax]])</f>
        <v/>
      </c>
      <c r="AA559" s="52"/>
      <c r="AB559" s="52"/>
      <c r="AC559" s="52"/>
      <c r="AD559" s="52"/>
      <c r="AE559" s="51" t="str">
        <f t="shared" si="57"/>
        <v/>
      </c>
      <c r="AF559" s="51" t="str">
        <f t="shared" si="58"/>
        <v/>
      </c>
      <c r="AG559" s="74" t="str">
        <f t="shared" si="59"/>
        <v/>
      </c>
      <c r="AH559" s="73" t="str">
        <f t="shared" si="60"/>
        <v/>
      </c>
      <c r="AI559" s="52"/>
      <c r="AJ559" s="56"/>
      <c r="AK559" s="59"/>
      <c r="AL559" s="60"/>
      <c r="AM559" s="54"/>
      <c r="AN559" s="14"/>
      <c r="AO559" s="15"/>
      <c r="AP559" s="91"/>
      <c r="AQ559" s="87"/>
      <c r="AR559" s="26"/>
      <c r="AS559" s="65"/>
      <c r="AT559" s="88"/>
      <c r="AU559" s="67"/>
      <c r="DA559" t="str" cm="1">
        <f t="array" ref="DA559">IF(U559&lt;&gt;"", TRANSPOSE(_xlfn._xlws.FILTER(CZ:CZ, CY:CY=U559, "")), "")</f>
        <v/>
      </c>
    </row>
    <row r="560" spans="2:105" ht="15" customHeight="1">
      <c r="B560" s="35">
        <v>556</v>
      </c>
      <c r="C560" s="36" t="s">
        <v>2425</v>
      </c>
      <c r="D560" s="76"/>
      <c r="E560" s="37" t="str">
        <f>IF(Table5[[#This Row],[Query Date]]&lt;&gt;"", TEXT(Table5[[#This Row],[Query Date]], "dddd"), "")</f>
        <v/>
      </c>
      <c r="F560" s="37" t="str">
        <f>IF(Table5[[#This Row],[Query Date]]&lt;&gt;"", TEXT(Table5[[#This Row],[Query Date]], "mmmm"), "")</f>
        <v/>
      </c>
      <c r="G560" s="28"/>
      <c r="H560" s="28"/>
      <c r="I560" s="28"/>
      <c r="J560" s="28"/>
      <c r="K560" s="28"/>
      <c r="L560" s="25"/>
      <c r="M560" s="25"/>
      <c r="N560" s="25"/>
      <c r="O560" s="130"/>
      <c r="P560" s="47"/>
      <c r="Q560" s="77"/>
      <c r="R560" s="77" t="str">
        <f>IF(Table5[[#This Row],[Tour Starting Date]]&lt;&gt;"", TEXT(Table5[[#This Row],[Tour Starting Date]], "dddd"), "")</f>
        <v/>
      </c>
      <c r="S560" s="77"/>
      <c r="T560" s="25" t="str">
        <f>IF(Table5[[#This Row],[Tour Ending Date]]&lt;&gt;"", TEXT(Table5[[#This Row],[Tour Ending Date]], "dddd"), "")</f>
        <v/>
      </c>
      <c r="U56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60" s="37" t="str">
        <f>IF(Table5[[#This Row],[Tour Starting Date]]&lt;&gt;"", TEXT(Table5[[#This Row],[Tour Starting Date]], "mmmm"), "")</f>
        <v/>
      </c>
      <c r="W560" s="80" t="str" cm="1">
        <f t="array" ref="W560">IF(Q560&lt;&gt;"", INDEX(CI:CI, MATCH(1, (Q560&gt;=CG:CG)*(Q560&lt;=CH:CH), 0)), "")</f>
        <v/>
      </c>
      <c r="X560" s="39"/>
      <c r="Y560" s="74"/>
      <c r="Z560" s="74" t="str">
        <f>IF(OR(Table5[[#This Row],[Per Person Package Cost]]="", Table5[[#This Row],[No. of Pax]]=""), "", Table5[[#This Row],[Per Person Package Cost]] * Table5[[#This Row],[No. of Pax]])</f>
        <v/>
      </c>
      <c r="AA560" s="52"/>
      <c r="AB560" s="52"/>
      <c r="AC560" s="52"/>
      <c r="AD560" s="52"/>
      <c r="AE560" s="51" t="str">
        <f t="shared" si="57"/>
        <v/>
      </c>
      <c r="AF560" s="51" t="str">
        <f t="shared" si="58"/>
        <v/>
      </c>
      <c r="AG560" s="74" t="str">
        <f t="shared" si="59"/>
        <v/>
      </c>
      <c r="AH560" s="73" t="str">
        <f t="shared" si="60"/>
        <v/>
      </c>
      <c r="AI560" s="52"/>
      <c r="AJ560" s="56"/>
      <c r="AK560" s="59"/>
      <c r="AL560" s="60"/>
      <c r="AM560" s="54"/>
      <c r="AN560" s="14"/>
      <c r="AO560" s="15"/>
      <c r="AP560" s="91"/>
      <c r="AQ560" s="87"/>
      <c r="AR560" s="26"/>
      <c r="AS560" s="65"/>
      <c r="AT560" s="88"/>
      <c r="AU560" s="67"/>
      <c r="DA560" t="str" cm="1">
        <f t="array" ref="DA560">IF(U560&lt;&gt;"", TRANSPOSE(_xlfn._xlws.FILTER(CZ:CZ, CY:CY=U560, "")), "")</f>
        <v/>
      </c>
    </row>
    <row r="561" spans="2:105" ht="15" customHeight="1">
      <c r="B561" s="34">
        <v>557</v>
      </c>
      <c r="C561" s="36" t="s">
        <v>2426</v>
      </c>
      <c r="D561" s="76"/>
      <c r="E561" s="37" t="str">
        <f>IF(Table5[[#This Row],[Query Date]]&lt;&gt;"", TEXT(Table5[[#This Row],[Query Date]], "dddd"), "")</f>
        <v/>
      </c>
      <c r="F561" s="37" t="str">
        <f>IF(Table5[[#This Row],[Query Date]]&lt;&gt;"", TEXT(Table5[[#This Row],[Query Date]], "mmmm"), "")</f>
        <v/>
      </c>
      <c r="G561" s="28"/>
      <c r="H561" s="28"/>
      <c r="I561" s="28"/>
      <c r="J561" s="28"/>
      <c r="K561" s="28"/>
      <c r="L561" s="25"/>
      <c r="M561" s="25"/>
      <c r="N561" s="25"/>
      <c r="O561" s="130"/>
      <c r="P561" s="47"/>
      <c r="Q561" s="77"/>
      <c r="R561" s="77" t="str">
        <f>IF(Table5[[#This Row],[Tour Starting Date]]&lt;&gt;"", TEXT(Table5[[#This Row],[Tour Starting Date]], "dddd"), "")</f>
        <v/>
      </c>
      <c r="S561" s="77"/>
      <c r="T561" s="25" t="str">
        <f>IF(Table5[[#This Row],[Tour Ending Date]]&lt;&gt;"", TEXT(Table5[[#This Row],[Tour Ending Date]], "dddd"), "")</f>
        <v/>
      </c>
      <c r="U56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61" s="37" t="str">
        <f>IF(Table5[[#This Row],[Tour Starting Date]]&lt;&gt;"", TEXT(Table5[[#This Row],[Tour Starting Date]], "mmmm"), "")</f>
        <v/>
      </c>
      <c r="W561" s="80" t="str" cm="1">
        <f t="array" ref="W561">IF(Q561&lt;&gt;"", INDEX(CI:CI, MATCH(1, (Q561&gt;=CG:CG)*(Q561&lt;=CH:CH), 0)), "")</f>
        <v/>
      </c>
      <c r="X561" s="39"/>
      <c r="Y561" s="74"/>
      <c r="Z561" s="74" t="str">
        <f>IF(OR(Table5[[#This Row],[Per Person Package Cost]]="", Table5[[#This Row],[No. of Pax]]=""), "", Table5[[#This Row],[Per Person Package Cost]] * Table5[[#This Row],[No. of Pax]])</f>
        <v/>
      </c>
      <c r="AA561" s="52"/>
      <c r="AB561" s="52"/>
      <c r="AC561" s="52"/>
      <c r="AD561" s="52"/>
      <c r="AE561" s="51" t="str">
        <f t="shared" si="57"/>
        <v/>
      </c>
      <c r="AF561" s="51" t="str">
        <f t="shared" si="58"/>
        <v/>
      </c>
      <c r="AG561" s="74" t="str">
        <f t="shared" si="59"/>
        <v/>
      </c>
      <c r="AH561" s="73" t="str">
        <f t="shared" si="60"/>
        <v/>
      </c>
      <c r="AI561" s="52"/>
      <c r="AJ561" s="56"/>
      <c r="AK561" s="59"/>
      <c r="AL561" s="60"/>
      <c r="AM561" s="54"/>
      <c r="AN561" s="14"/>
      <c r="AO561" s="15"/>
      <c r="AP561" s="91"/>
      <c r="AQ561" s="87"/>
      <c r="AR561" s="26"/>
      <c r="AS561" s="65"/>
      <c r="AT561" s="88"/>
      <c r="AU561" s="67"/>
      <c r="DA561" t="str" cm="1">
        <f t="array" ref="DA561">IF(U561&lt;&gt;"", TRANSPOSE(_xlfn._xlws.FILTER(CZ:CZ, CY:CY=U561, "")), "")</f>
        <v/>
      </c>
    </row>
    <row r="562" spans="2:105" ht="15" customHeight="1">
      <c r="B562" s="35">
        <v>558</v>
      </c>
      <c r="C562" s="36" t="s">
        <v>2427</v>
      </c>
      <c r="D562" s="76"/>
      <c r="E562" s="37" t="str">
        <f>IF(Table5[[#This Row],[Query Date]]&lt;&gt;"", TEXT(Table5[[#This Row],[Query Date]], "dddd"), "")</f>
        <v/>
      </c>
      <c r="F562" s="37" t="str">
        <f>IF(Table5[[#This Row],[Query Date]]&lt;&gt;"", TEXT(Table5[[#This Row],[Query Date]], "mmmm"), "")</f>
        <v/>
      </c>
      <c r="G562" s="28"/>
      <c r="H562" s="28"/>
      <c r="I562" s="28"/>
      <c r="J562" s="28"/>
      <c r="K562" s="28"/>
      <c r="L562" s="25"/>
      <c r="M562" s="25"/>
      <c r="N562" s="25"/>
      <c r="O562" s="130"/>
      <c r="P562" s="106"/>
      <c r="Q562" s="77"/>
      <c r="R562" s="77" t="str">
        <f>IF(Table5[[#This Row],[Tour Starting Date]]&lt;&gt;"", TEXT(Table5[[#This Row],[Tour Starting Date]], "dddd"), "")</f>
        <v/>
      </c>
      <c r="S562" s="77"/>
      <c r="T562" s="25" t="str">
        <f>IF(Table5[[#This Row],[Tour Ending Date]]&lt;&gt;"", TEXT(Table5[[#This Row],[Tour Ending Date]], "dddd"), "")</f>
        <v/>
      </c>
      <c r="U56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62" s="37" t="str">
        <f>IF(Table5[[#This Row],[Tour Starting Date]]&lt;&gt;"", TEXT(Table5[[#This Row],[Tour Starting Date]], "mmmm"), "")</f>
        <v/>
      </c>
      <c r="W562" s="80" t="str" cm="1">
        <f t="array" ref="W562">IF(Q562&lt;&gt;"", INDEX(CI:CI, MATCH(1, (Q562&gt;=CG:CG)*(Q562&lt;=CH:CH), 0)), "")</f>
        <v/>
      </c>
      <c r="X562" s="39"/>
      <c r="Y562" s="74"/>
      <c r="Z562" s="74" t="str">
        <f>IF(OR(Table5[[#This Row],[Per Person Package Cost]]="", Table5[[#This Row],[No. of Pax]]=""), "", Table5[[#This Row],[Per Person Package Cost]] * Table5[[#This Row],[No. of Pax]])</f>
        <v/>
      </c>
      <c r="AA562" s="52"/>
      <c r="AB562" s="52"/>
      <c r="AC562" s="52"/>
      <c r="AD562" s="52"/>
      <c r="AE562" s="51" t="str">
        <f t="shared" si="57"/>
        <v/>
      </c>
      <c r="AF562" s="51" t="str">
        <f t="shared" si="58"/>
        <v/>
      </c>
      <c r="AG562" s="74" t="str">
        <f t="shared" si="59"/>
        <v/>
      </c>
      <c r="AH562" s="73" t="str">
        <f t="shared" si="60"/>
        <v/>
      </c>
      <c r="AI562" s="52"/>
      <c r="AJ562" s="56"/>
      <c r="AK562" s="59"/>
      <c r="AL562" s="60"/>
      <c r="AM562" s="54"/>
      <c r="AN562" s="14"/>
      <c r="AO562" s="15"/>
      <c r="AP562" s="91"/>
      <c r="AQ562" s="87"/>
      <c r="AR562" s="26"/>
      <c r="AS562" s="65"/>
      <c r="AT562" s="88"/>
      <c r="AU562" s="67"/>
      <c r="DA562" t="str" cm="1">
        <f t="array" ref="DA562">IF(U562&lt;&gt;"", TRANSPOSE(_xlfn._xlws.FILTER(CZ:CZ, CY:CY=U562, "")), "")</f>
        <v/>
      </c>
    </row>
    <row r="563" spans="2:105" ht="15" customHeight="1">
      <c r="B563" s="34">
        <v>559</v>
      </c>
      <c r="C563" s="36" t="s">
        <v>2428</v>
      </c>
      <c r="D563" s="76"/>
      <c r="E563" s="37" t="str">
        <f>IF(Table5[[#This Row],[Query Date]]&lt;&gt;"", TEXT(Table5[[#This Row],[Query Date]], "dddd"), "")</f>
        <v/>
      </c>
      <c r="F563" s="37" t="str">
        <f>IF(Table5[[#This Row],[Query Date]]&lt;&gt;"", TEXT(Table5[[#This Row],[Query Date]], "mmmm"), "")</f>
        <v/>
      </c>
      <c r="G563" s="28"/>
      <c r="H563" s="28"/>
      <c r="I563" s="28"/>
      <c r="J563" s="28"/>
      <c r="K563" s="28"/>
      <c r="L563" s="25"/>
      <c r="M563" s="25"/>
      <c r="N563" s="25"/>
      <c r="O563" s="130"/>
      <c r="P563" s="106"/>
      <c r="Q563" s="77"/>
      <c r="R563" s="77" t="str">
        <f>IF(Table5[[#This Row],[Tour Starting Date]]&lt;&gt;"", TEXT(Table5[[#This Row],[Tour Starting Date]], "dddd"), "")</f>
        <v/>
      </c>
      <c r="S563" s="77"/>
      <c r="T563" s="25" t="str">
        <f>IF(Table5[[#This Row],[Tour Ending Date]]&lt;&gt;"", TEXT(Table5[[#This Row],[Tour Ending Date]], "dddd"), "")</f>
        <v/>
      </c>
      <c r="U56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63" s="37" t="str">
        <f>IF(Table5[[#This Row],[Tour Starting Date]]&lt;&gt;"", TEXT(Table5[[#This Row],[Tour Starting Date]], "mmmm"), "")</f>
        <v/>
      </c>
      <c r="W563" s="80" t="str" cm="1">
        <f t="array" ref="W563">IF(Q563&lt;&gt;"", INDEX(CI:CI, MATCH(1, (Q563&gt;=CG:CG)*(Q563&lt;=CH:CH), 0)), "")</f>
        <v/>
      </c>
      <c r="X563" s="39"/>
      <c r="Y563" s="74"/>
      <c r="Z563" s="74" t="str">
        <f>IF(OR(Table5[[#This Row],[Per Person Package Cost]]="", Table5[[#This Row],[No. of Pax]]=""), "", Table5[[#This Row],[Per Person Package Cost]] * Table5[[#This Row],[No. of Pax]])</f>
        <v/>
      </c>
      <c r="AA563" s="52"/>
      <c r="AB563" s="52"/>
      <c r="AC563" s="52"/>
      <c r="AD563" s="52"/>
      <c r="AE563" s="51" t="str">
        <f t="shared" si="57"/>
        <v/>
      </c>
      <c r="AF563" s="51" t="str">
        <f t="shared" si="58"/>
        <v/>
      </c>
      <c r="AG563" s="74" t="str">
        <f t="shared" si="59"/>
        <v/>
      </c>
      <c r="AH563" s="73" t="str">
        <f t="shared" si="60"/>
        <v/>
      </c>
      <c r="AI563" s="52"/>
      <c r="AJ563" s="56"/>
      <c r="AK563" s="59"/>
      <c r="AL563" s="60"/>
      <c r="AM563" s="54"/>
      <c r="AN563" s="14"/>
      <c r="AO563" s="15"/>
      <c r="AP563" s="91"/>
      <c r="AQ563" s="87"/>
      <c r="AR563" s="26"/>
      <c r="AS563" s="65"/>
      <c r="AT563" s="88"/>
      <c r="AU563" s="67"/>
      <c r="DA563" t="str" cm="1">
        <f t="array" ref="DA563">IF(U563&lt;&gt;"", TRANSPOSE(_xlfn._xlws.FILTER(CZ:CZ, CY:CY=U563, "")), "")</f>
        <v/>
      </c>
    </row>
    <row r="564" spans="2:105" ht="15" customHeight="1">
      <c r="B564" s="35">
        <v>560</v>
      </c>
      <c r="C564" s="36" t="s">
        <v>2429</v>
      </c>
      <c r="D564" s="76"/>
      <c r="E564" s="37" t="str">
        <f>IF(Table5[[#This Row],[Query Date]]&lt;&gt;"", TEXT(Table5[[#This Row],[Query Date]], "dddd"), "")</f>
        <v/>
      </c>
      <c r="F564" s="37" t="str">
        <f>IF(Table5[[#This Row],[Query Date]]&lt;&gt;"", TEXT(Table5[[#This Row],[Query Date]], "mmmm"), "")</f>
        <v/>
      </c>
      <c r="G564" s="28"/>
      <c r="H564" s="28"/>
      <c r="I564" s="28"/>
      <c r="J564" s="28"/>
      <c r="K564" s="28"/>
      <c r="L564" s="25"/>
      <c r="M564" s="25"/>
      <c r="N564" s="25"/>
      <c r="O564" s="130"/>
      <c r="P564" s="47"/>
      <c r="Q564" s="77"/>
      <c r="R564" s="77" t="str">
        <f>IF(Table5[[#This Row],[Tour Starting Date]]&lt;&gt;"", TEXT(Table5[[#This Row],[Tour Starting Date]], "dddd"), "")</f>
        <v/>
      </c>
      <c r="S564" s="77"/>
      <c r="T564" s="25" t="str">
        <f>IF(Table5[[#This Row],[Tour Ending Date]]&lt;&gt;"", TEXT(Table5[[#This Row],[Tour Ending Date]], "dddd"), "")</f>
        <v/>
      </c>
      <c r="U56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64" s="37" t="str">
        <f>IF(Table5[[#This Row],[Tour Starting Date]]&lt;&gt;"", TEXT(Table5[[#This Row],[Tour Starting Date]], "mmmm"), "")</f>
        <v/>
      </c>
      <c r="W564" s="80" t="str" cm="1">
        <f t="array" ref="W564">IF(Q564&lt;&gt;"", INDEX(CI:CI, MATCH(1, (Q564&gt;=CG:CG)*(Q564&lt;=CH:CH), 0)), "")</f>
        <v/>
      </c>
      <c r="X564" s="39"/>
      <c r="Y564" s="74"/>
      <c r="Z564" s="74" t="str">
        <f>IF(OR(Table5[[#This Row],[Per Person Package Cost]]="", Table5[[#This Row],[No. of Pax]]=""), "", Table5[[#This Row],[Per Person Package Cost]] * Table5[[#This Row],[No. of Pax]])</f>
        <v/>
      </c>
      <c r="AA564" s="52"/>
      <c r="AB564" s="52"/>
      <c r="AC564" s="52"/>
      <c r="AD564" s="52"/>
      <c r="AE564" s="51" t="str">
        <f t="shared" si="57"/>
        <v/>
      </c>
      <c r="AF564" s="51" t="str">
        <f t="shared" si="58"/>
        <v/>
      </c>
      <c r="AG564" s="74" t="str">
        <f t="shared" si="59"/>
        <v/>
      </c>
      <c r="AH564" s="73" t="str">
        <f t="shared" si="60"/>
        <v/>
      </c>
      <c r="AI564" s="52"/>
      <c r="AJ564" s="56"/>
      <c r="AK564" s="59"/>
      <c r="AL564" s="60"/>
      <c r="AM564" s="54"/>
      <c r="AN564" s="14"/>
      <c r="AO564" s="15"/>
      <c r="AP564" s="91"/>
      <c r="AQ564" s="87"/>
      <c r="AR564" s="26"/>
      <c r="AS564" s="65"/>
      <c r="AT564" s="88"/>
      <c r="AU564" s="67"/>
      <c r="DA564" t="str" cm="1">
        <f t="array" ref="DA564">IF(U564&lt;&gt;"", TRANSPOSE(_xlfn._xlws.FILTER(CZ:CZ, CY:CY=U564, "")), "")</f>
        <v/>
      </c>
    </row>
    <row r="565" spans="2:105" ht="15" customHeight="1">
      <c r="B565" s="34">
        <v>561</v>
      </c>
      <c r="C565" s="36" t="s">
        <v>2430</v>
      </c>
      <c r="D565" s="76"/>
      <c r="E565" s="37" t="str">
        <f>IF(Table5[[#This Row],[Query Date]]&lt;&gt;"", TEXT(Table5[[#This Row],[Query Date]], "dddd"), "")</f>
        <v/>
      </c>
      <c r="F565" s="37" t="str">
        <f>IF(Table5[[#This Row],[Query Date]]&lt;&gt;"", TEXT(Table5[[#This Row],[Query Date]], "mmmm"), "")</f>
        <v/>
      </c>
      <c r="G565" s="28"/>
      <c r="H565" s="28"/>
      <c r="I565" s="28"/>
      <c r="J565" s="28"/>
      <c r="K565" s="28"/>
      <c r="L565" s="25"/>
      <c r="M565" s="25"/>
      <c r="N565" s="25"/>
      <c r="O565" s="130"/>
      <c r="P565" s="47"/>
      <c r="Q565" s="77"/>
      <c r="R565" s="77" t="str">
        <f>IF(Table5[[#This Row],[Tour Starting Date]]&lt;&gt;"", TEXT(Table5[[#This Row],[Tour Starting Date]], "dddd"), "")</f>
        <v/>
      </c>
      <c r="S565" s="77"/>
      <c r="T565" s="25" t="str">
        <f>IF(Table5[[#This Row],[Tour Ending Date]]&lt;&gt;"", TEXT(Table5[[#This Row],[Tour Ending Date]], "dddd"), "")</f>
        <v/>
      </c>
      <c r="U56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65" s="37" t="str">
        <f>IF(Table5[[#This Row],[Tour Starting Date]]&lt;&gt;"", TEXT(Table5[[#This Row],[Tour Starting Date]], "mmmm"), "")</f>
        <v/>
      </c>
      <c r="W565" s="80" t="str" cm="1">
        <f t="array" ref="W565">IF(Q565&lt;&gt;"", INDEX(CI:CI, MATCH(1, (Q565&gt;=CG:CG)*(Q565&lt;=CH:CH), 0)), "")</f>
        <v/>
      </c>
      <c r="X565" s="39"/>
      <c r="Y565" s="74"/>
      <c r="Z565" s="74" t="str">
        <f>IF(OR(Table5[[#This Row],[Per Person Package Cost]]="", Table5[[#This Row],[No. of Pax]]=""), "", Table5[[#This Row],[Per Person Package Cost]] * Table5[[#This Row],[No. of Pax]])</f>
        <v/>
      </c>
      <c r="AA565" s="52"/>
      <c r="AB565" s="52"/>
      <c r="AC565" s="52"/>
      <c r="AD565" s="52"/>
      <c r="AE565" s="51" t="str">
        <f t="shared" si="57"/>
        <v/>
      </c>
      <c r="AF565" s="51" t="str">
        <f t="shared" si="58"/>
        <v/>
      </c>
      <c r="AG565" s="74" t="str">
        <f t="shared" si="59"/>
        <v/>
      </c>
      <c r="AH565" s="73" t="str">
        <f t="shared" si="60"/>
        <v/>
      </c>
      <c r="AI565" s="52"/>
      <c r="AJ565" s="56"/>
      <c r="AK565" s="59"/>
      <c r="AL565" s="60"/>
      <c r="AM565" s="54"/>
      <c r="AN565" s="14"/>
      <c r="AO565" s="15"/>
      <c r="AP565" s="91"/>
      <c r="AQ565" s="87"/>
      <c r="AR565" s="26"/>
      <c r="AS565" s="65"/>
      <c r="AT565" s="88"/>
      <c r="AU565" s="67"/>
      <c r="DA565" t="str" cm="1">
        <f t="array" ref="DA565">IF(U565&lt;&gt;"", TRANSPOSE(_xlfn._xlws.FILTER(CZ:CZ, CY:CY=U565, "")), "")</f>
        <v/>
      </c>
    </row>
    <row r="566" spans="2:105" ht="15" customHeight="1">
      <c r="B566" s="35">
        <v>562</v>
      </c>
      <c r="C566" s="36" t="s">
        <v>2431</v>
      </c>
      <c r="D566" s="76"/>
      <c r="E566" s="37" t="str">
        <f>IF(Table5[[#This Row],[Query Date]]&lt;&gt;"", TEXT(Table5[[#This Row],[Query Date]], "dddd"), "")</f>
        <v/>
      </c>
      <c r="F566" s="37" t="str">
        <f>IF(Table5[[#This Row],[Query Date]]&lt;&gt;"", TEXT(Table5[[#This Row],[Query Date]], "mmmm"), "")</f>
        <v/>
      </c>
      <c r="G566" s="28"/>
      <c r="H566" s="28"/>
      <c r="I566" s="28"/>
      <c r="J566" s="28"/>
      <c r="K566" s="28"/>
      <c r="L566" s="25"/>
      <c r="M566" s="25"/>
      <c r="N566" s="25"/>
      <c r="O566" s="130"/>
      <c r="P566" s="47"/>
      <c r="Q566" s="77"/>
      <c r="R566" s="77" t="str">
        <f>IF(Table5[[#This Row],[Tour Starting Date]]&lt;&gt;"", TEXT(Table5[[#This Row],[Tour Starting Date]], "dddd"), "")</f>
        <v/>
      </c>
      <c r="S566" s="77"/>
      <c r="T566" s="25" t="str">
        <f>IF(Table5[[#This Row],[Tour Ending Date]]&lt;&gt;"", TEXT(Table5[[#This Row],[Tour Ending Date]], "dddd"), "")</f>
        <v/>
      </c>
      <c r="U56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66" s="37" t="str">
        <f>IF(Table5[[#This Row],[Tour Starting Date]]&lt;&gt;"", TEXT(Table5[[#This Row],[Tour Starting Date]], "mmmm"), "")</f>
        <v/>
      </c>
      <c r="W566" s="80" t="str" cm="1">
        <f t="array" ref="W566">IF(Q566&lt;&gt;"", INDEX(CI:CI, MATCH(1, (Q566&gt;=CG:CG)*(Q566&lt;=CH:CH), 0)), "")</f>
        <v/>
      </c>
      <c r="X566" s="39"/>
      <c r="Y566" s="74"/>
      <c r="Z566" s="74" t="str">
        <f>IF(OR(Table5[[#This Row],[Per Person Package Cost]]="", Table5[[#This Row],[No. of Pax]]=""), "", Table5[[#This Row],[Per Person Package Cost]] * Table5[[#This Row],[No. of Pax]])</f>
        <v/>
      </c>
      <c r="AA566" s="52"/>
      <c r="AB566" s="52"/>
      <c r="AC566" s="52"/>
      <c r="AD566" s="52"/>
      <c r="AE566" s="51" t="str">
        <f t="shared" si="57"/>
        <v/>
      </c>
      <c r="AF566" s="51" t="str">
        <f t="shared" si="58"/>
        <v/>
      </c>
      <c r="AG566" s="74" t="str">
        <f t="shared" si="59"/>
        <v/>
      </c>
      <c r="AH566" s="73" t="str">
        <f t="shared" si="60"/>
        <v/>
      </c>
      <c r="AI566" s="52"/>
      <c r="AJ566" s="56"/>
      <c r="AK566" s="59"/>
      <c r="AL566" s="60"/>
      <c r="AM566" s="54"/>
      <c r="AN566" s="14"/>
      <c r="AO566" s="15"/>
      <c r="AP566" s="91"/>
      <c r="AQ566" s="87"/>
      <c r="AR566" s="26"/>
      <c r="AS566" s="65"/>
      <c r="AT566" s="88"/>
      <c r="AU566" s="67"/>
      <c r="DA566" t="str" cm="1">
        <f t="array" ref="DA566">IF(U566&lt;&gt;"", TRANSPOSE(_xlfn._xlws.FILTER(CZ:CZ, CY:CY=U566, "")), "")</f>
        <v/>
      </c>
    </row>
    <row r="567" spans="2:105" ht="15" customHeight="1">
      <c r="B567" s="34">
        <v>563</v>
      </c>
      <c r="C567" s="36" t="s">
        <v>2432</v>
      </c>
      <c r="D567" s="76"/>
      <c r="E567" s="37" t="str">
        <f>IF(Table5[[#This Row],[Query Date]]&lt;&gt;"", TEXT(Table5[[#This Row],[Query Date]], "dddd"), "")</f>
        <v/>
      </c>
      <c r="F567" s="37" t="str">
        <f>IF(Table5[[#This Row],[Query Date]]&lt;&gt;"", TEXT(Table5[[#This Row],[Query Date]], "mmmm"), "")</f>
        <v/>
      </c>
      <c r="G567" s="28"/>
      <c r="H567" s="28"/>
      <c r="I567" s="28"/>
      <c r="J567" s="28"/>
      <c r="K567" s="28"/>
      <c r="L567" s="25"/>
      <c r="M567" s="25"/>
      <c r="N567" s="25"/>
      <c r="O567" s="130"/>
      <c r="P567" s="47"/>
      <c r="Q567" s="77"/>
      <c r="R567" s="77" t="str">
        <f>IF(Table5[[#This Row],[Tour Starting Date]]&lt;&gt;"", TEXT(Table5[[#This Row],[Tour Starting Date]], "dddd"), "")</f>
        <v/>
      </c>
      <c r="S567" s="77"/>
      <c r="T567" s="25" t="str">
        <f>IF(Table5[[#This Row],[Tour Ending Date]]&lt;&gt;"", TEXT(Table5[[#This Row],[Tour Ending Date]], "dddd"), "")</f>
        <v/>
      </c>
      <c r="U56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67" s="37" t="str">
        <f>IF(Table5[[#This Row],[Tour Starting Date]]&lt;&gt;"", TEXT(Table5[[#This Row],[Tour Starting Date]], "mmmm"), "")</f>
        <v/>
      </c>
      <c r="W567" s="80" t="str" cm="1">
        <f t="array" ref="W567">IF(Q567&lt;&gt;"", INDEX(CI:CI, MATCH(1, (Q567&gt;=CG:CG)*(Q567&lt;=CH:CH), 0)), "")</f>
        <v/>
      </c>
      <c r="X567" s="39"/>
      <c r="Y567" s="74"/>
      <c r="Z567" s="74" t="str">
        <f>IF(OR(Table5[[#This Row],[Per Person Package Cost]]="", Table5[[#This Row],[No. of Pax]]=""), "", Table5[[#This Row],[Per Person Package Cost]] * Table5[[#This Row],[No. of Pax]])</f>
        <v/>
      </c>
      <c r="AA567" s="52"/>
      <c r="AB567" s="52"/>
      <c r="AC567" s="52"/>
      <c r="AD567" s="52"/>
      <c r="AE567" s="51" t="str">
        <f t="shared" si="57"/>
        <v/>
      </c>
      <c r="AF567" s="51" t="str">
        <f t="shared" si="58"/>
        <v/>
      </c>
      <c r="AG567" s="74" t="str">
        <f t="shared" si="59"/>
        <v/>
      </c>
      <c r="AH567" s="73" t="str">
        <f t="shared" si="60"/>
        <v/>
      </c>
      <c r="AI567" s="52"/>
      <c r="AJ567" s="56"/>
      <c r="AK567" s="59"/>
      <c r="AL567" s="60"/>
      <c r="AM567" s="54"/>
      <c r="AN567" s="14"/>
      <c r="AO567" s="15"/>
      <c r="AP567" s="91"/>
      <c r="AQ567" s="87"/>
      <c r="AR567" s="26"/>
      <c r="AS567" s="65"/>
      <c r="AT567" s="88"/>
      <c r="AU567" s="67"/>
      <c r="DA567" t="str" cm="1">
        <f t="array" ref="DA567">IF(U567&lt;&gt;"", TRANSPOSE(_xlfn._xlws.FILTER(CZ:CZ, CY:CY=U567, "")), "")</f>
        <v/>
      </c>
    </row>
    <row r="568" spans="2:105" ht="15" customHeight="1">
      <c r="B568" s="35">
        <v>564</v>
      </c>
      <c r="C568" s="36" t="s">
        <v>2433</v>
      </c>
      <c r="D568" s="76"/>
      <c r="E568" s="37" t="str">
        <f>IF(Table5[[#This Row],[Query Date]]&lt;&gt;"", TEXT(Table5[[#This Row],[Query Date]], "dddd"), "")</f>
        <v/>
      </c>
      <c r="F568" s="37" t="str">
        <f>IF(Table5[[#This Row],[Query Date]]&lt;&gt;"", TEXT(Table5[[#This Row],[Query Date]], "mmmm"), "")</f>
        <v/>
      </c>
      <c r="G568" s="28"/>
      <c r="H568" s="28"/>
      <c r="I568" s="28"/>
      <c r="J568" s="28"/>
      <c r="K568" s="28"/>
      <c r="L568" s="25"/>
      <c r="M568" s="25"/>
      <c r="N568" s="25"/>
      <c r="O568" s="130"/>
      <c r="P568" s="47"/>
      <c r="Q568" s="77"/>
      <c r="R568" s="77" t="str">
        <f>IF(Table5[[#This Row],[Tour Starting Date]]&lt;&gt;"", TEXT(Table5[[#This Row],[Tour Starting Date]], "dddd"), "")</f>
        <v/>
      </c>
      <c r="S568" s="77"/>
      <c r="T568" s="25" t="str">
        <f>IF(Table5[[#This Row],[Tour Ending Date]]&lt;&gt;"", TEXT(Table5[[#This Row],[Tour Ending Date]], "dddd"), "")</f>
        <v/>
      </c>
      <c r="U56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68" s="37" t="str">
        <f>IF(Table5[[#This Row],[Tour Starting Date]]&lt;&gt;"", TEXT(Table5[[#This Row],[Tour Starting Date]], "mmmm"), "")</f>
        <v/>
      </c>
      <c r="W568" s="80" t="str" cm="1">
        <f t="array" ref="W568">IF(Q568&lt;&gt;"", INDEX(CI:CI, MATCH(1, (Q568&gt;=CG:CG)*(Q568&lt;=CH:CH), 0)), "")</f>
        <v/>
      </c>
      <c r="X568" s="39"/>
      <c r="Y568" s="74"/>
      <c r="Z568" s="74" t="str">
        <f>IF(OR(Table5[[#This Row],[Per Person Package Cost]]="", Table5[[#This Row],[No. of Pax]]=""), "", Table5[[#This Row],[Per Person Package Cost]] * Table5[[#This Row],[No. of Pax]])</f>
        <v/>
      </c>
      <c r="AA568" s="52"/>
      <c r="AB568" s="52"/>
      <c r="AC568" s="52"/>
      <c r="AD568" s="52"/>
      <c r="AE568" s="51" t="str">
        <f t="shared" si="57"/>
        <v/>
      </c>
      <c r="AF568" s="51" t="str">
        <f t="shared" si="58"/>
        <v/>
      </c>
      <c r="AG568" s="74" t="str">
        <f t="shared" si="59"/>
        <v/>
      </c>
      <c r="AH568" s="73" t="str">
        <f t="shared" si="60"/>
        <v/>
      </c>
      <c r="AI568" s="52"/>
      <c r="AJ568" s="56"/>
      <c r="AK568" s="59"/>
      <c r="AL568" s="60"/>
      <c r="AM568" s="54"/>
      <c r="AN568" s="14"/>
      <c r="AO568" s="15"/>
      <c r="AP568" s="91"/>
      <c r="AQ568" s="87"/>
      <c r="AR568" s="26"/>
      <c r="AS568" s="65"/>
      <c r="AT568" s="88"/>
      <c r="AU568" s="67"/>
      <c r="DA568" t="str" cm="1">
        <f t="array" ref="DA568">IF(U568&lt;&gt;"", TRANSPOSE(_xlfn._xlws.FILTER(CZ:CZ, CY:CY=U568, "")), "")</f>
        <v/>
      </c>
    </row>
    <row r="569" spans="2:105" ht="15" customHeight="1">
      <c r="B569" s="34">
        <v>565</v>
      </c>
      <c r="C569" s="36" t="s">
        <v>2434</v>
      </c>
      <c r="D569" s="76"/>
      <c r="E569" s="37" t="str">
        <f>IF(Table5[[#This Row],[Query Date]]&lt;&gt;"", TEXT(Table5[[#This Row],[Query Date]], "dddd"), "")</f>
        <v/>
      </c>
      <c r="F569" s="37" t="str">
        <f>IF(Table5[[#This Row],[Query Date]]&lt;&gt;"", TEXT(Table5[[#This Row],[Query Date]], "mmmm"), "")</f>
        <v/>
      </c>
      <c r="G569" s="28"/>
      <c r="H569" s="28"/>
      <c r="I569" s="28"/>
      <c r="J569" s="28"/>
      <c r="K569" s="28"/>
      <c r="L569" s="25"/>
      <c r="M569" s="25"/>
      <c r="N569" s="25"/>
      <c r="O569" s="130"/>
      <c r="P569" s="47"/>
      <c r="Q569" s="77"/>
      <c r="R569" s="77" t="str">
        <f>IF(Table5[[#This Row],[Tour Starting Date]]&lt;&gt;"", TEXT(Table5[[#This Row],[Tour Starting Date]], "dddd"), "")</f>
        <v/>
      </c>
      <c r="S569" s="77"/>
      <c r="T569" s="25" t="str">
        <f>IF(Table5[[#This Row],[Tour Ending Date]]&lt;&gt;"", TEXT(Table5[[#This Row],[Tour Ending Date]], "dddd"), "")</f>
        <v/>
      </c>
      <c r="U56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69" s="37" t="str">
        <f>IF(Table5[[#This Row],[Tour Starting Date]]&lt;&gt;"", TEXT(Table5[[#This Row],[Tour Starting Date]], "mmmm"), "")</f>
        <v/>
      </c>
      <c r="W569" s="80" t="str" cm="1">
        <f t="array" ref="W569">IF(Q569&lt;&gt;"", INDEX(CI:CI, MATCH(1, (Q569&gt;=CG:CG)*(Q569&lt;=CH:CH), 0)), "")</f>
        <v/>
      </c>
      <c r="X569" s="39"/>
      <c r="Y569" s="74"/>
      <c r="Z569" s="74" t="str">
        <f>IF(OR(Table5[[#This Row],[Per Person Package Cost]]="", Table5[[#This Row],[No. of Pax]]=""), "", Table5[[#This Row],[Per Person Package Cost]] * Table5[[#This Row],[No. of Pax]])</f>
        <v/>
      </c>
      <c r="AA569" s="52"/>
      <c r="AB569" s="52"/>
      <c r="AC569" s="52"/>
      <c r="AD569" s="52"/>
      <c r="AE569" s="51" t="str">
        <f t="shared" si="57"/>
        <v/>
      </c>
      <c r="AF569" s="51" t="str">
        <f t="shared" si="58"/>
        <v/>
      </c>
      <c r="AG569" s="74" t="str">
        <f t="shared" si="59"/>
        <v/>
      </c>
      <c r="AH569" s="73" t="str">
        <f t="shared" si="60"/>
        <v/>
      </c>
      <c r="AI569" s="52"/>
      <c r="AJ569" s="56"/>
      <c r="AK569" s="59"/>
      <c r="AL569" s="60"/>
      <c r="AM569" s="54"/>
      <c r="AN569" s="14"/>
      <c r="AO569" s="15"/>
      <c r="AP569" s="91"/>
      <c r="AQ569" s="87"/>
      <c r="AR569" s="26"/>
      <c r="AS569" s="65"/>
      <c r="AT569" s="88"/>
      <c r="AU569" s="67"/>
      <c r="DA569" t="str" cm="1">
        <f t="array" ref="DA569">IF(U569&lt;&gt;"", TRANSPOSE(_xlfn._xlws.FILTER(CZ:CZ, CY:CY=U569, "")), "")</f>
        <v/>
      </c>
    </row>
    <row r="570" spans="2:105" ht="15" customHeight="1">
      <c r="B570" s="35">
        <v>566</v>
      </c>
      <c r="C570" s="36" t="s">
        <v>2435</v>
      </c>
      <c r="D570" s="76"/>
      <c r="E570" s="37" t="str">
        <f>IF(Table5[[#This Row],[Query Date]]&lt;&gt;"", TEXT(Table5[[#This Row],[Query Date]], "dddd"), "")</f>
        <v/>
      </c>
      <c r="F570" s="37" t="str">
        <f>IF(Table5[[#This Row],[Query Date]]&lt;&gt;"", TEXT(Table5[[#This Row],[Query Date]], "mmmm"), "")</f>
        <v/>
      </c>
      <c r="G570" s="28"/>
      <c r="H570" s="28"/>
      <c r="I570" s="28"/>
      <c r="J570" s="28"/>
      <c r="K570" s="28"/>
      <c r="L570" s="25"/>
      <c r="M570" s="25"/>
      <c r="N570" s="25"/>
      <c r="O570" s="130"/>
      <c r="P570" s="47"/>
      <c r="Q570" s="77"/>
      <c r="R570" s="77" t="str">
        <f>IF(Table5[[#This Row],[Tour Starting Date]]&lt;&gt;"", TEXT(Table5[[#This Row],[Tour Starting Date]], "dddd"), "")</f>
        <v/>
      </c>
      <c r="S570" s="77"/>
      <c r="T570" s="25" t="str">
        <f>IF(Table5[[#This Row],[Tour Ending Date]]&lt;&gt;"", TEXT(Table5[[#This Row],[Tour Ending Date]], "dddd"), "")</f>
        <v/>
      </c>
      <c r="U57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70" s="37" t="str">
        <f>IF(Table5[[#This Row],[Tour Starting Date]]&lt;&gt;"", TEXT(Table5[[#This Row],[Tour Starting Date]], "mmmm"), "")</f>
        <v/>
      </c>
      <c r="W570" s="80" t="str" cm="1">
        <f t="array" ref="W570">IF(Q570&lt;&gt;"", INDEX(CI:CI, MATCH(1, (Q570&gt;=CG:CG)*(Q570&lt;=CH:CH), 0)), "")</f>
        <v/>
      </c>
      <c r="X570" s="39"/>
      <c r="Y570" s="74"/>
      <c r="Z570" s="74" t="str">
        <f>IF(OR(Table5[[#This Row],[Per Person Package Cost]]="", Table5[[#This Row],[No. of Pax]]=""), "", Table5[[#This Row],[Per Person Package Cost]] * Table5[[#This Row],[No. of Pax]])</f>
        <v/>
      </c>
      <c r="AA570" s="52"/>
      <c r="AB570" s="52"/>
      <c r="AC570" s="52"/>
      <c r="AD570" s="52"/>
      <c r="AE570" s="51" t="str">
        <f t="shared" si="57"/>
        <v/>
      </c>
      <c r="AF570" s="51" t="str">
        <f t="shared" si="58"/>
        <v/>
      </c>
      <c r="AG570" s="74" t="str">
        <f t="shared" si="59"/>
        <v/>
      </c>
      <c r="AH570" s="73" t="str">
        <f t="shared" si="60"/>
        <v/>
      </c>
      <c r="AI570" s="52"/>
      <c r="AJ570" s="56"/>
      <c r="AK570" s="59"/>
      <c r="AL570" s="60"/>
      <c r="AM570" s="54"/>
      <c r="AN570" s="14"/>
      <c r="AO570" s="15"/>
      <c r="AP570" s="91"/>
      <c r="AQ570" s="87"/>
      <c r="AR570" s="26"/>
      <c r="AS570" s="65"/>
      <c r="AT570" s="88"/>
      <c r="AU570" s="67"/>
      <c r="DA570" t="str" cm="1">
        <f t="array" ref="DA570">IF(U570&lt;&gt;"", TRANSPOSE(_xlfn._xlws.FILTER(CZ:CZ, CY:CY=U570, "")), "")</f>
        <v/>
      </c>
    </row>
    <row r="571" spans="2:105" ht="15" customHeight="1">
      <c r="B571" s="34">
        <v>567</v>
      </c>
      <c r="C571" s="36" t="s">
        <v>2436</v>
      </c>
      <c r="D571" s="76"/>
      <c r="E571" s="37" t="str">
        <f>IF(Table5[[#This Row],[Query Date]]&lt;&gt;"", TEXT(Table5[[#This Row],[Query Date]], "dddd"), "")</f>
        <v/>
      </c>
      <c r="F571" s="37" t="str">
        <f>IF(Table5[[#This Row],[Query Date]]&lt;&gt;"", TEXT(Table5[[#This Row],[Query Date]], "mmmm"), "")</f>
        <v/>
      </c>
      <c r="G571" s="28"/>
      <c r="H571" s="28"/>
      <c r="I571" s="28"/>
      <c r="J571" s="28"/>
      <c r="K571" s="28"/>
      <c r="L571" s="25"/>
      <c r="M571" s="25"/>
      <c r="N571" s="25"/>
      <c r="O571" s="130"/>
      <c r="P571" s="47"/>
      <c r="Q571" s="77"/>
      <c r="R571" s="77" t="str">
        <f>IF(Table5[[#This Row],[Tour Starting Date]]&lt;&gt;"", TEXT(Table5[[#This Row],[Tour Starting Date]], "dddd"), "")</f>
        <v/>
      </c>
      <c r="S571" s="77"/>
      <c r="T571" s="25" t="str">
        <f>IF(Table5[[#This Row],[Tour Ending Date]]&lt;&gt;"", TEXT(Table5[[#This Row],[Tour Ending Date]], "dddd"), "")</f>
        <v/>
      </c>
      <c r="U57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71" s="37" t="str">
        <f>IF(Table5[[#This Row],[Tour Starting Date]]&lt;&gt;"", TEXT(Table5[[#This Row],[Tour Starting Date]], "mmmm"), "")</f>
        <v/>
      </c>
      <c r="W571" s="80" t="str" cm="1">
        <f t="array" ref="W571">IF(Q571&lt;&gt;"", INDEX(CI:CI, MATCH(1, (Q571&gt;=CG:CG)*(Q571&lt;=CH:CH), 0)), "")</f>
        <v/>
      </c>
      <c r="X571" s="39"/>
      <c r="Y571" s="74"/>
      <c r="Z571" s="74" t="str">
        <f>IF(OR(Table5[[#This Row],[Per Person Package Cost]]="", Table5[[#This Row],[No. of Pax]]=""), "", Table5[[#This Row],[Per Person Package Cost]] * Table5[[#This Row],[No. of Pax]])</f>
        <v/>
      </c>
      <c r="AA571" s="52"/>
      <c r="AB571" s="52"/>
      <c r="AC571" s="52"/>
      <c r="AD571" s="52"/>
      <c r="AE571" s="51" t="str">
        <f t="shared" si="57"/>
        <v/>
      </c>
      <c r="AF571" s="51" t="str">
        <f t="shared" si="58"/>
        <v/>
      </c>
      <c r="AG571" s="74" t="str">
        <f t="shared" si="59"/>
        <v/>
      </c>
      <c r="AH571" s="73" t="str">
        <f t="shared" si="60"/>
        <v/>
      </c>
      <c r="AI571" s="52"/>
      <c r="AJ571" s="56"/>
      <c r="AK571" s="59"/>
      <c r="AL571" s="60"/>
      <c r="AM571" s="54"/>
      <c r="AN571" s="14"/>
      <c r="AO571" s="15"/>
      <c r="AP571" s="91"/>
      <c r="AQ571" s="87"/>
      <c r="AR571" s="26"/>
      <c r="AS571" s="65"/>
      <c r="AT571" s="88"/>
      <c r="AU571" s="67"/>
      <c r="DA571" t="str" cm="1">
        <f t="array" ref="DA571">IF(U571&lt;&gt;"", TRANSPOSE(_xlfn._xlws.FILTER(CZ:CZ, CY:CY=U571, "")), "")</f>
        <v/>
      </c>
    </row>
    <row r="572" spans="2:105" ht="15" customHeight="1">
      <c r="B572" s="35">
        <v>568</v>
      </c>
      <c r="C572" s="36" t="s">
        <v>2437</v>
      </c>
      <c r="D572" s="76"/>
      <c r="E572" s="37" t="str">
        <f>IF(Table5[[#This Row],[Query Date]]&lt;&gt;"", TEXT(Table5[[#This Row],[Query Date]], "dddd"), "")</f>
        <v/>
      </c>
      <c r="F572" s="37" t="str">
        <f>IF(Table5[[#This Row],[Query Date]]&lt;&gt;"", TEXT(Table5[[#This Row],[Query Date]], "mmmm"), "")</f>
        <v/>
      </c>
      <c r="G572" s="28"/>
      <c r="H572" s="28"/>
      <c r="I572" s="28"/>
      <c r="J572" s="28"/>
      <c r="K572" s="28"/>
      <c r="L572" s="25"/>
      <c r="M572" s="25"/>
      <c r="N572" s="25"/>
      <c r="O572" s="130"/>
      <c r="P572" s="47"/>
      <c r="Q572" s="77"/>
      <c r="R572" s="77" t="str">
        <f>IF(Table5[[#This Row],[Tour Starting Date]]&lt;&gt;"", TEXT(Table5[[#This Row],[Tour Starting Date]], "dddd"), "")</f>
        <v/>
      </c>
      <c r="S572" s="77"/>
      <c r="T572" s="25" t="str">
        <f>IF(Table5[[#This Row],[Tour Ending Date]]&lt;&gt;"", TEXT(Table5[[#This Row],[Tour Ending Date]], "dddd"), "")</f>
        <v/>
      </c>
      <c r="U57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72" s="37" t="str">
        <f>IF(Table5[[#This Row],[Tour Starting Date]]&lt;&gt;"", TEXT(Table5[[#This Row],[Tour Starting Date]], "mmmm"), "")</f>
        <v/>
      </c>
      <c r="W572" s="80" t="str" cm="1">
        <f t="array" ref="W572">IF(Q572&lt;&gt;"", INDEX(CI:CI, MATCH(1, (Q572&gt;=CG:CG)*(Q572&lt;=CH:CH), 0)), "")</f>
        <v/>
      </c>
      <c r="X572" s="39"/>
      <c r="Y572" s="74"/>
      <c r="Z572" s="74" t="str">
        <f>IF(OR(Table5[[#This Row],[Per Person Package Cost]]="", Table5[[#This Row],[No. of Pax]]=""), "", Table5[[#This Row],[Per Person Package Cost]] * Table5[[#This Row],[No. of Pax]])</f>
        <v/>
      </c>
      <c r="AA572" s="52"/>
      <c r="AB572" s="52"/>
      <c r="AC572" s="52"/>
      <c r="AD572" s="52"/>
      <c r="AE572" s="51" t="str">
        <f t="shared" si="57"/>
        <v/>
      </c>
      <c r="AF572" s="51" t="str">
        <f t="shared" si="58"/>
        <v/>
      </c>
      <c r="AG572" s="74" t="str">
        <f t="shared" si="59"/>
        <v/>
      </c>
      <c r="AH572" s="73" t="str">
        <f t="shared" si="60"/>
        <v/>
      </c>
      <c r="AI572" s="52"/>
      <c r="AJ572" s="56"/>
      <c r="AK572" s="59"/>
      <c r="AL572" s="60"/>
      <c r="AM572" s="54"/>
      <c r="AN572" s="14"/>
      <c r="AO572" s="15"/>
      <c r="AP572" s="91"/>
      <c r="AQ572" s="87"/>
      <c r="AR572" s="26"/>
      <c r="AS572" s="65"/>
      <c r="AT572" s="88"/>
      <c r="AU572" s="67"/>
      <c r="DA572" t="str" cm="1">
        <f t="array" ref="DA572">IF(U572&lt;&gt;"", TRANSPOSE(_xlfn._xlws.FILTER(CZ:CZ, CY:CY=U572, "")), "")</f>
        <v/>
      </c>
    </row>
    <row r="573" spans="2:105" ht="15" customHeight="1">
      <c r="B573" s="34">
        <v>569</v>
      </c>
      <c r="C573" s="36" t="s">
        <v>2438</v>
      </c>
      <c r="D573" s="76"/>
      <c r="E573" s="37" t="str">
        <f>IF(Table5[[#This Row],[Query Date]]&lt;&gt;"", TEXT(Table5[[#This Row],[Query Date]], "dddd"), "")</f>
        <v/>
      </c>
      <c r="F573" s="37" t="str">
        <f>IF(Table5[[#This Row],[Query Date]]&lt;&gt;"", TEXT(Table5[[#This Row],[Query Date]], "mmmm"), "")</f>
        <v/>
      </c>
      <c r="G573" s="28"/>
      <c r="H573" s="28"/>
      <c r="I573" s="28"/>
      <c r="J573" s="28"/>
      <c r="K573" s="28"/>
      <c r="L573" s="25"/>
      <c r="M573" s="25"/>
      <c r="N573" s="25"/>
      <c r="O573" s="130"/>
      <c r="P573" s="47"/>
      <c r="Q573" s="77"/>
      <c r="R573" s="77" t="str">
        <f>IF(Table5[[#This Row],[Tour Starting Date]]&lt;&gt;"", TEXT(Table5[[#This Row],[Tour Starting Date]], "dddd"), "")</f>
        <v/>
      </c>
      <c r="S573" s="77"/>
      <c r="T573" s="25" t="str">
        <f>IF(Table5[[#This Row],[Tour Ending Date]]&lt;&gt;"", TEXT(Table5[[#This Row],[Tour Ending Date]], "dddd"), "")</f>
        <v/>
      </c>
      <c r="U57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73" s="37" t="str">
        <f>IF(Table5[[#This Row],[Tour Starting Date]]&lt;&gt;"", TEXT(Table5[[#This Row],[Tour Starting Date]], "mmmm"), "")</f>
        <v/>
      </c>
      <c r="W573" s="80" t="str" cm="1">
        <f t="array" ref="W573">IF(Q573&lt;&gt;"", INDEX(CI:CI, MATCH(1, (Q573&gt;=CG:CG)*(Q573&lt;=CH:CH), 0)), "")</f>
        <v/>
      </c>
      <c r="X573" s="39"/>
      <c r="Y573" s="74"/>
      <c r="Z573" s="74" t="str">
        <f>IF(OR(Table5[[#This Row],[Per Person Package Cost]]="", Table5[[#This Row],[No. of Pax]]=""), "", Table5[[#This Row],[Per Person Package Cost]] * Table5[[#This Row],[No. of Pax]])</f>
        <v/>
      </c>
      <c r="AA573" s="52"/>
      <c r="AB573" s="52"/>
      <c r="AC573" s="52"/>
      <c r="AD573" s="52"/>
      <c r="AE573" s="51" t="str">
        <f t="shared" si="57"/>
        <v/>
      </c>
      <c r="AF573" s="51" t="str">
        <f t="shared" si="58"/>
        <v/>
      </c>
      <c r="AG573" s="74" t="str">
        <f t="shared" si="59"/>
        <v/>
      </c>
      <c r="AH573" s="73" t="str">
        <f t="shared" si="60"/>
        <v/>
      </c>
      <c r="AI573" s="52"/>
      <c r="AJ573" s="56"/>
      <c r="AK573" s="59"/>
      <c r="AL573" s="60"/>
      <c r="AM573" s="54"/>
      <c r="AN573" s="14"/>
      <c r="AO573" s="15"/>
      <c r="AP573" s="91"/>
      <c r="AQ573" s="87"/>
      <c r="AR573" s="26"/>
      <c r="AS573" s="65"/>
      <c r="AT573" s="88"/>
      <c r="AU573" s="67"/>
      <c r="DA573" t="str" cm="1">
        <f t="array" ref="DA573">IF(U573&lt;&gt;"", TRANSPOSE(_xlfn._xlws.FILTER(CZ:CZ, CY:CY=U573, "")), "")</f>
        <v/>
      </c>
    </row>
    <row r="574" spans="2:105" ht="15" customHeight="1">
      <c r="B574" s="35">
        <v>570</v>
      </c>
      <c r="C574" s="36" t="s">
        <v>2439</v>
      </c>
      <c r="D574" s="76"/>
      <c r="E574" s="37" t="str">
        <f>IF(Table5[[#This Row],[Query Date]]&lt;&gt;"", TEXT(Table5[[#This Row],[Query Date]], "dddd"), "")</f>
        <v/>
      </c>
      <c r="F574" s="37" t="str">
        <f>IF(Table5[[#This Row],[Query Date]]&lt;&gt;"", TEXT(Table5[[#This Row],[Query Date]], "mmmm"), "")</f>
        <v/>
      </c>
      <c r="G574" s="28"/>
      <c r="H574" s="28"/>
      <c r="I574" s="28"/>
      <c r="J574" s="28"/>
      <c r="K574" s="28"/>
      <c r="L574" s="25"/>
      <c r="M574" s="25"/>
      <c r="N574" s="25"/>
      <c r="O574" s="130"/>
      <c r="P574" s="47"/>
      <c r="Q574" s="77"/>
      <c r="R574" s="77" t="str">
        <f>IF(Table5[[#This Row],[Tour Starting Date]]&lt;&gt;"", TEXT(Table5[[#This Row],[Tour Starting Date]], "dddd"), "")</f>
        <v/>
      </c>
      <c r="S574" s="77"/>
      <c r="T574" s="25" t="str">
        <f>IF(Table5[[#This Row],[Tour Ending Date]]&lt;&gt;"", TEXT(Table5[[#This Row],[Tour Ending Date]], "dddd"), "")</f>
        <v/>
      </c>
      <c r="U57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74" s="37" t="str">
        <f>IF(Table5[[#This Row],[Tour Starting Date]]&lt;&gt;"", TEXT(Table5[[#This Row],[Tour Starting Date]], "mmmm"), "")</f>
        <v/>
      </c>
      <c r="W574" s="80" t="str" cm="1">
        <f t="array" ref="W574">IF(Q574&lt;&gt;"", INDEX(CI:CI, MATCH(1, (Q574&gt;=CG:CG)*(Q574&lt;=CH:CH), 0)), "")</f>
        <v/>
      </c>
      <c r="X574" s="39"/>
      <c r="Y574" s="74"/>
      <c r="Z574" s="74" t="str">
        <f>IF(OR(Table5[[#This Row],[Per Person Package Cost]]="", Table5[[#This Row],[No. of Pax]]=""), "", Table5[[#This Row],[Per Person Package Cost]] * Table5[[#This Row],[No. of Pax]])</f>
        <v/>
      </c>
      <c r="AA574" s="52"/>
      <c r="AB574" s="52"/>
      <c r="AC574" s="52"/>
      <c r="AD574" s="52"/>
      <c r="AE574" s="51" t="str">
        <f t="shared" si="57"/>
        <v/>
      </c>
      <c r="AF574" s="51" t="str">
        <f t="shared" si="58"/>
        <v/>
      </c>
      <c r="AG574" s="74" t="str">
        <f t="shared" si="59"/>
        <v/>
      </c>
      <c r="AH574" s="73" t="str">
        <f t="shared" si="60"/>
        <v/>
      </c>
      <c r="AI574" s="52"/>
      <c r="AJ574" s="56"/>
      <c r="AK574" s="59"/>
      <c r="AL574" s="60"/>
      <c r="AM574" s="54"/>
      <c r="AN574" s="14"/>
      <c r="AO574" s="15"/>
      <c r="AP574" s="91"/>
      <c r="AQ574" s="87"/>
      <c r="AR574" s="26"/>
      <c r="AS574" s="65"/>
      <c r="AT574" s="88"/>
      <c r="AU574" s="67"/>
      <c r="DA574" t="str" cm="1">
        <f t="array" ref="DA574">IF(U574&lt;&gt;"", TRANSPOSE(_xlfn._xlws.FILTER(CZ:CZ, CY:CY=U574, "")), "")</f>
        <v/>
      </c>
    </row>
    <row r="575" spans="2:105" ht="15" customHeight="1">
      <c r="B575" s="34">
        <v>571</v>
      </c>
      <c r="C575" s="36" t="s">
        <v>2440</v>
      </c>
      <c r="D575" s="76"/>
      <c r="E575" s="37" t="str">
        <f>IF(Table5[[#This Row],[Query Date]]&lt;&gt;"", TEXT(Table5[[#This Row],[Query Date]], "dddd"), "")</f>
        <v/>
      </c>
      <c r="F575" s="37" t="str">
        <f>IF(Table5[[#This Row],[Query Date]]&lt;&gt;"", TEXT(Table5[[#This Row],[Query Date]], "mmmm"), "")</f>
        <v/>
      </c>
      <c r="G575" s="28"/>
      <c r="H575" s="28"/>
      <c r="I575" s="28"/>
      <c r="J575" s="28"/>
      <c r="K575" s="28"/>
      <c r="L575" s="25"/>
      <c r="M575" s="25"/>
      <c r="N575" s="25"/>
      <c r="O575" s="130"/>
      <c r="P575" s="47"/>
      <c r="Q575" s="77"/>
      <c r="R575" s="77" t="str">
        <f>IF(Table5[[#This Row],[Tour Starting Date]]&lt;&gt;"", TEXT(Table5[[#This Row],[Tour Starting Date]], "dddd"), "")</f>
        <v/>
      </c>
      <c r="S575" s="77"/>
      <c r="T575" s="25" t="str">
        <f>IF(Table5[[#This Row],[Tour Ending Date]]&lt;&gt;"", TEXT(Table5[[#This Row],[Tour Ending Date]], "dddd"), "")</f>
        <v/>
      </c>
      <c r="U57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75" s="37" t="str">
        <f>IF(Table5[[#This Row],[Tour Starting Date]]&lt;&gt;"", TEXT(Table5[[#This Row],[Tour Starting Date]], "mmmm"), "")</f>
        <v/>
      </c>
      <c r="W575" s="80" t="str" cm="1">
        <f t="array" ref="W575">IF(Q575&lt;&gt;"", INDEX(CI:CI, MATCH(1, (Q575&gt;=CG:CG)*(Q575&lt;=CH:CH), 0)), "")</f>
        <v/>
      </c>
      <c r="X575" s="39"/>
      <c r="Y575" s="74"/>
      <c r="Z575" s="74" t="str">
        <f>IF(OR(Table5[[#This Row],[Per Person Package Cost]]="", Table5[[#This Row],[No. of Pax]]=""), "", Table5[[#This Row],[Per Person Package Cost]] * Table5[[#This Row],[No. of Pax]])</f>
        <v/>
      </c>
      <c r="AA575" s="52"/>
      <c r="AB575" s="52"/>
      <c r="AC575" s="52"/>
      <c r="AD575" s="52"/>
      <c r="AE575" s="51" t="str">
        <f t="shared" si="57"/>
        <v/>
      </c>
      <c r="AF575" s="51" t="str">
        <f t="shared" si="58"/>
        <v/>
      </c>
      <c r="AG575" s="74" t="str">
        <f t="shared" si="59"/>
        <v/>
      </c>
      <c r="AH575" s="73" t="str">
        <f t="shared" si="60"/>
        <v/>
      </c>
      <c r="AI575" s="52"/>
      <c r="AJ575" s="56"/>
      <c r="AK575" s="59"/>
      <c r="AL575" s="60"/>
      <c r="AM575" s="54"/>
      <c r="AN575" s="14"/>
      <c r="AO575" s="15"/>
      <c r="AP575" s="91"/>
      <c r="AQ575" s="87"/>
      <c r="AR575" s="26"/>
      <c r="AS575" s="65"/>
      <c r="AT575" s="88"/>
      <c r="AU575" s="67"/>
      <c r="DA575" t="str" cm="1">
        <f t="array" ref="DA575">IF(U575&lt;&gt;"", TRANSPOSE(_xlfn._xlws.FILTER(CZ:CZ, CY:CY=U575, "")), "")</f>
        <v/>
      </c>
    </row>
    <row r="576" spans="2:105" ht="15" customHeight="1">
      <c r="B576" s="35">
        <v>572</v>
      </c>
      <c r="C576" s="36" t="s">
        <v>2441</v>
      </c>
      <c r="D576" s="76"/>
      <c r="E576" s="37" t="str">
        <f>IF(Table5[[#This Row],[Query Date]]&lt;&gt;"", TEXT(Table5[[#This Row],[Query Date]], "dddd"), "")</f>
        <v/>
      </c>
      <c r="F576" s="37" t="str">
        <f>IF(Table5[[#This Row],[Query Date]]&lt;&gt;"", TEXT(Table5[[#This Row],[Query Date]], "mmmm"), "")</f>
        <v/>
      </c>
      <c r="G576" s="28"/>
      <c r="H576" s="28"/>
      <c r="I576" s="28"/>
      <c r="J576" s="28"/>
      <c r="K576" s="28"/>
      <c r="L576" s="25"/>
      <c r="M576" s="25"/>
      <c r="N576" s="25"/>
      <c r="O576" s="130"/>
      <c r="P576" s="47"/>
      <c r="Q576" s="77"/>
      <c r="R576" s="77" t="str">
        <f>IF(Table5[[#This Row],[Tour Starting Date]]&lt;&gt;"", TEXT(Table5[[#This Row],[Tour Starting Date]], "dddd"), "")</f>
        <v/>
      </c>
      <c r="S576" s="77"/>
      <c r="T576" s="25" t="str">
        <f>IF(Table5[[#This Row],[Tour Ending Date]]&lt;&gt;"", TEXT(Table5[[#This Row],[Tour Ending Date]], "dddd"), "")</f>
        <v/>
      </c>
      <c r="U57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76" s="37" t="str">
        <f>IF(Table5[[#This Row],[Tour Starting Date]]&lt;&gt;"", TEXT(Table5[[#This Row],[Tour Starting Date]], "mmmm"), "")</f>
        <v/>
      </c>
      <c r="W576" s="80" t="str" cm="1">
        <f t="array" ref="W576">IF(Q576&lt;&gt;"", INDEX(CI:CI, MATCH(1, (Q576&gt;=CG:CG)*(Q576&lt;=CH:CH), 0)), "")</f>
        <v/>
      </c>
      <c r="X576" s="39"/>
      <c r="Y576" s="74"/>
      <c r="Z576" s="74" t="str">
        <f>IF(OR(Table5[[#This Row],[Per Person Package Cost]]="", Table5[[#This Row],[No. of Pax]]=""), "", Table5[[#This Row],[Per Person Package Cost]] * Table5[[#This Row],[No. of Pax]])</f>
        <v/>
      </c>
      <c r="AA576" s="52"/>
      <c r="AB576" s="52"/>
      <c r="AC576" s="52"/>
      <c r="AD576" s="52"/>
      <c r="AE576" s="51" t="str">
        <f t="shared" si="57"/>
        <v/>
      </c>
      <c r="AF576" s="51" t="str">
        <f t="shared" si="58"/>
        <v/>
      </c>
      <c r="AG576" s="74" t="str">
        <f t="shared" si="59"/>
        <v/>
      </c>
      <c r="AH576" s="73" t="str">
        <f t="shared" si="60"/>
        <v/>
      </c>
      <c r="AI576" s="52"/>
      <c r="AJ576" s="56"/>
      <c r="AK576" s="59"/>
      <c r="AL576" s="60"/>
      <c r="AM576" s="54"/>
      <c r="AN576" s="14"/>
      <c r="AO576" s="15"/>
      <c r="AP576" s="91"/>
      <c r="AQ576" s="87"/>
      <c r="AR576" s="26"/>
      <c r="AS576" s="65"/>
      <c r="AT576" s="88"/>
      <c r="AU576" s="67"/>
      <c r="DA576" t="str" cm="1">
        <f t="array" ref="DA576">IF(U576&lt;&gt;"", TRANSPOSE(_xlfn._xlws.FILTER(CZ:CZ, CY:CY=U576, "")), "")</f>
        <v/>
      </c>
    </row>
    <row r="577" spans="2:105" ht="15" customHeight="1">
      <c r="B577" s="34">
        <v>573</v>
      </c>
      <c r="C577" s="36" t="s">
        <v>2442</v>
      </c>
      <c r="D577" s="76"/>
      <c r="E577" s="37" t="str">
        <f>IF(Table5[[#This Row],[Query Date]]&lt;&gt;"", TEXT(Table5[[#This Row],[Query Date]], "dddd"), "")</f>
        <v/>
      </c>
      <c r="F577" s="37" t="str">
        <f>IF(Table5[[#This Row],[Query Date]]&lt;&gt;"", TEXT(Table5[[#This Row],[Query Date]], "mmmm"), "")</f>
        <v/>
      </c>
      <c r="G577" s="28"/>
      <c r="H577" s="28"/>
      <c r="I577" s="28"/>
      <c r="J577" s="28"/>
      <c r="K577" s="28"/>
      <c r="L577" s="25"/>
      <c r="M577" s="25"/>
      <c r="N577" s="25"/>
      <c r="O577" s="130"/>
      <c r="P577" s="108"/>
      <c r="Q577" s="77"/>
      <c r="R577" s="77" t="str">
        <f>IF(Table5[[#This Row],[Tour Starting Date]]&lt;&gt;"", TEXT(Table5[[#This Row],[Tour Starting Date]], "dddd"), "")</f>
        <v/>
      </c>
      <c r="S577" s="77"/>
      <c r="T577" s="25" t="str">
        <f>IF(Table5[[#This Row],[Tour Ending Date]]&lt;&gt;"", TEXT(Table5[[#This Row],[Tour Ending Date]], "dddd"), "")</f>
        <v/>
      </c>
      <c r="U57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77" s="37" t="str">
        <f>IF(Table5[[#This Row],[Tour Starting Date]]&lt;&gt;"", TEXT(Table5[[#This Row],[Tour Starting Date]], "mmmm"), "")</f>
        <v/>
      </c>
      <c r="W577" s="80" t="str" cm="1">
        <f t="array" ref="W577">IF(Q577&lt;&gt;"", INDEX(CI:CI, MATCH(1, (Q577&gt;=CG:CG)*(Q577&lt;=CH:CH), 0)), "")</f>
        <v/>
      </c>
      <c r="X577" s="39"/>
      <c r="Y577" s="74"/>
      <c r="Z577" s="74" t="str">
        <f>IF(OR(Table5[[#This Row],[Per Person Package Cost]]="", Table5[[#This Row],[No. of Pax]]=""), "", Table5[[#This Row],[Per Person Package Cost]] * Table5[[#This Row],[No. of Pax]])</f>
        <v/>
      </c>
      <c r="AA577" s="52"/>
      <c r="AB577" s="52"/>
      <c r="AC577" s="52"/>
      <c r="AD577" s="52"/>
      <c r="AE577" s="51" t="str">
        <f t="shared" si="57"/>
        <v/>
      </c>
      <c r="AF577" s="51" t="str">
        <f t="shared" si="58"/>
        <v/>
      </c>
      <c r="AG577" s="74" t="str">
        <f t="shared" si="59"/>
        <v/>
      </c>
      <c r="AH577" s="73" t="str">
        <f t="shared" si="60"/>
        <v/>
      </c>
      <c r="AI577" s="52"/>
      <c r="AJ577" s="56"/>
      <c r="AK577" s="59"/>
      <c r="AL577" s="60"/>
      <c r="AM577" s="54"/>
      <c r="AN577" s="14"/>
      <c r="AO577" s="15"/>
      <c r="AP577" s="91"/>
      <c r="AQ577" s="87"/>
      <c r="AR577" s="26"/>
      <c r="AS577" s="65"/>
      <c r="AT577" s="88"/>
      <c r="AU577" s="67"/>
      <c r="DA577" t="str" cm="1">
        <f t="array" ref="DA577">IF(U577&lt;&gt;"", TRANSPOSE(_xlfn._xlws.FILTER(CZ:CZ, CY:CY=U577, "")), "")</f>
        <v/>
      </c>
    </row>
    <row r="578" spans="2:105" ht="15" customHeight="1">
      <c r="B578" s="35">
        <v>574</v>
      </c>
      <c r="C578" s="36" t="s">
        <v>2443</v>
      </c>
      <c r="D578" s="76"/>
      <c r="E578" s="37" t="str">
        <f>IF(Table5[[#This Row],[Query Date]]&lt;&gt;"", TEXT(Table5[[#This Row],[Query Date]], "dddd"), "")</f>
        <v/>
      </c>
      <c r="F578" s="37" t="str">
        <f>IF(Table5[[#This Row],[Query Date]]&lt;&gt;"", TEXT(Table5[[#This Row],[Query Date]], "mmmm"), "")</f>
        <v/>
      </c>
      <c r="G578" s="28"/>
      <c r="H578" s="28"/>
      <c r="I578" s="28"/>
      <c r="J578" s="28"/>
      <c r="K578" s="28"/>
      <c r="L578" s="25"/>
      <c r="M578" s="25"/>
      <c r="N578" s="25"/>
      <c r="O578" s="130"/>
      <c r="P578" s="47"/>
      <c r="Q578" s="77"/>
      <c r="R578" s="77" t="str">
        <f>IF(Table5[[#This Row],[Tour Starting Date]]&lt;&gt;"", TEXT(Table5[[#This Row],[Tour Starting Date]], "dddd"), "")</f>
        <v/>
      </c>
      <c r="S578" s="77"/>
      <c r="T578" s="25" t="str">
        <f>IF(Table5[[#This Row],[Tour Ending Date]]&lt;&gt;"", TEXT(Table5[[#This Row],[Tour Ending Date]], "dddd"), "")</f>
        <v/>
      </c>
      <c r="U57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78" s="37" t="str">
        <f>IF(Table5[[#This Row],[Tour Starting Date]]&lt;&gt;"", TEXT(Table5[[#This Row],[Tour Starting Date]], "mmmm"), "")</f>
        <v/>
      </c>
      <c r="W578" s="80" t="str" cm="1">
        <f t="array" ref="W578">IF(Q578&lt;&gt;"", INDEX(CI:CI, MATCH(1, (Q578&gt;=CG:CG)*(Q578&lt;=CH:CH), 0)), "")</f>
        <v/>
      </c>
      <c r="X578" s="39"/>
      <c r="Y578" s="74"/>
      <c r="Z578" s="74" t="str">
        <f>IF(OR(Table5[[#This Row],[Per Person Package Cost]]="", Table5[[#This Row],[No. of Pax]]=""), "", Table5[[#This Row],[Per Person Package Cost]] * Table5[[#This Row],[No. of Pax]])</f>
        <v/>
      </c>
      <c r="AA578" s="52"/>
      <c r="AB578" s="52"/>
      <c r="AC578" s="52"/>
      <c r="AD578" s="52"/>
      <c r="AE578" s="51" t="str">
        <f t="shared" si="57"/>
        <v/>
      </c>
      <c r="AF578" s="51" t="str">
        <f t="shared" si="58"/>
        <v/>
      </c>
      <c r="AG578" s="74" t="str">
        <f t="shared" si="59"/>
        <v/>
      </c>
      <c r="AH578" s="73" t="str">
        <f t="shared" si="60"/>
        <v/>
      </c>
      <c r="AI578" s="52"/>
      <c r="AJ578" s="56"/>
      <c r="AK578" s="59"/>
      <c r="AL578" s="60"/>
      <c r="AM578" s="54"/>
      <c r="AN578" s="14"/>
      <c r="AO578" s="15"/>
      <c r="AP578" s="91"/>
      <c r="AQ578" s="87"/>
      <c r="AR578" s="26"/>
      <c r="AS578" s="65"/>
      <c r="AT578" s="88"/>
      <c r="AU578" s="67"/>
      <c r="DA578" t="str" cm="1">
        <f t="array" ref="DA578">IF(U578&lt;&gt;"", TRANSPOSE(_xlfn._xlws.FILTER(CZ:CZ, CY:CY=U578, "")), "")</f>
        <v/>
      </c>
    </row>
    <row r="579" spans="2:105" ht="15" customHeight="1">
      <c r="B579" s="34">
        <v>575</v>
      </c>
      <c r="C579" s="36" t="s">
        <v>2444</v>
      </c>
      <c r="D579" s="76"/>
      <c r="E579" s="37" t="str">
        <f>IF(Table5[[#This Row],[Query Date]]&lt;&gt;"", TEXT(Table5[[#This Row],[Query Date]], "dddd"), "")</f>
        <v/>
      </c>
      <c r="F579" s="37" t="str">
        <f>IF(Table5[[#This Row],[Query Date]]&lt;&gt;"", TEXT(Table5[[#This Row],[Query Date]], "mmmm"), "")</f>
        <v/>
      </c>
      <c r="G579" s="28"/>
      <c r="H579" s="28"/>
      <c r="I579" s="28"/>
      <c r="J579" s="28"/>
      <c r="K579" s="28"/>
      <c r="L579" s="25"/>
      <c r="M579" s="25"/>
      <c r="N579" s="25"/>
      <c r="O579" s="130"/>
      <c r="P579" s="47"/>
      <c r="Q579" s="77"/>
      <c r="R579" s="77" t="str">
        <f>IF(Table5[[#This Row],[Tour Starting Date]]&lt;&gt;"", TEXT(Table5[[#This Row],[Tour Starting Date]], "dddd"), "")</f>
        <v/>
      </c>
      <c r="S579" s="77"/>
      <c r="T579" s="25" t="str">
        <f>IF(Table5[[#This Row],[Tour Ending Date]]&lt;&gt;"", TEXT(Table5[[#This Row],[Tour Ending Date]], "dddd"), "")</f>
        <v/>
      </c>
      <c r="U57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79" s="37" t="str">
        <f>IF(Table5[[#This Row],[Tour Starting Date]]&lt;&gt;"", TEXT(Table5[[#This Row],[Tour Starting Date]], "mmmm"), "")</f>
        <v/>
      </c>
      <c r="W579" s="80" t="str" cm="1">
        <f t="array" ref="W579">IF(Q579&lt;&gt;"", INDEX(CI:CI, MATCH(1, (Q579&gt;=CG:CG)*(Q579&lt;=CH:CH), 0)), "")</f>
        <v/>
      </c>
      <c r="X579" s="39"/>
      <c r="Y579" s="74"/>
      <c r="Z579" s="74" t="str">
        <f>IF(OR(Table5[[#This Row],[Per Person Package Cost]]="", Table5[[#This Row],[No. of Pax]]=""), "", Table5[[#This Row],[Per Person Package Cost]] * Table5[[#This Row],[No. of Pax]])</f>
        <v/>
      </c>
      <c r="AA579" s="52"/>
      <c r="AB579" s="52"/>
      <c r="AC579" s="52"/>
      <c r="AD579" s="52"/>
      <c r="AE579" s="51" t="str">
        <f t="shared" si="57"/>
        <v/>
      </c>
      <c r="AF579" s="51" t="str">
        <f t="shared" si="58"/>
        <v/>
      </c>
      <c r="AG579" s="74" t="str">
        <f t="shared" si="59"/>
        <v/>
      </c>
      <c r="AH579" s="73" t="str">
        <f t="shared" si="60"/>
        <v/>
      </c>
      <c r="AI579" s="52"/>
      <c r="AJ579" s="56"/>
      <c r="AK579" s="59"/>
      <c r="AL579" s="60"/>
      <c r="AM579" s="54"/>
      <c r="AN579" s="14"/>
      <c r="AO579" s="15"/>
      <c r="AP579" s="91"/>
      <c r="AQ579" s="87"/>
      <c r="AR579" s="26"/>
      <c r="AS579" s="65"/>
      <c r="AT579" s="88"/>
      <c r="AU579" s="67"/>
      <c r="DA579" t="str" cm="1">
        <f t="array" ref="DA579">IF(U579&lt;&gt;"", TRANSPOSE(_xlfn._xlws.FILTER(CZ:CZ, CY:CY=U579, "")), "")</f>
        <v/>
      </c>
    </row>
    <row r="580" spans="2:105" ht="15" customHeight="1">
      <c r="B580" s="35">
        <v>576</v>
      </c>
      <c r="C580" s="36" t="s">
        <v>2445</v>
      </c>
      <c r="D580" s="76"/>
      <c r="E580" s="37" t="str">
        <f>IF(Table5[[#This Row],[Query Date]]&lt;&gt;"", TEXT(Table5[[#This Row],[Query Date]], "dddd"), "")</f>
        <v/>
      </c>
      <c r="F580" s="37" t="str">
        <f>IF(Table5[[#This Row],[Query Date]]&lt;&gt;"", TEXT(Table5[[#This Row],[Query Date]], "mmmm"), "")</f>
        <v/>
      </c>
      <c r="G580" s="28"/>
      <c r="H580" s="28"/>
      <c r="I580" s="28"/>
      <c r="J580" s="28"/>
      <c r="K580" s="28"/>
      <c r="L580" s="25"/>
      <c r="M580" s="25"/>
      <c r="N580" s="25"/>
      <c r="O580" s="130"/>
      <c r="P580" s="47"/>
      <c r="Q580" s="77"/>
      <c r="R580" s="77" t="str">
        <f>IF(Table5[[#This Row],[Tour Starting Date]]&lt;&gt;"", TEXT(Table5[[#This Row],[Tour Starting Date]], "dddd"), "")</f>
        <v/>
      </c>
      <c r="S580" s="77"/>
      <c r="T580" s="25" t="str">
        <f>IF(Table5[[#This Row],[Tour Ending Date]]&lt;&gt;"", TEXT(Table5[[#This Row],[Tour Ending Date]], "dddd"), "")</f>
        <v/>
      </c>
      <c r="U58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80" s="37" t="str">
        <f>IF(Table5[[#This Row],[Tour Starting Date]]&lt;&gt;"", TEXT(Table5[[#This Row],[Tour Starting Date]], "mmmm"), "")</f>
        <v/>
      </c>
      <c r="W580" s="80" t="str" cm="1">
        <f t="array" ref="W580">IF(Q580&lt;&gt;"", INDEX(CI:CI, MATCH(1, (Q580&gt;=CG:CG)*(Q580&lt;=CH:CH), 0)), "")</f>
        <v/>
      </c>
      <c r="X580" s="39"/>
      <c r="Y580" s="74"/>
      <c r="Z580" s="74" t="str">
        <f>IF(OR(Table5[[#This Row],[Per Person Package Cost]]="", Table5[[#This Row],[No. of Pax]]=""), "", Table5[[#This Row],[Per Person Package Cost]] * Table5[[#This Row],[No. of Pax]])</f>
        <v/>
      </c>
      <c r="AA580" s="52"/>
      <c r="AB580" s="52"/>
      <c r="AC580" s="52"/>
      <c r="AD580" s="52"/>
      <c r="AE580" s="51" t="str">
        <f t="shared" si="57"/>
        <v/>
      </c>
      <c r="AF580" s="51" t="str">
        <f t="shared" si="58"/>
        <v/>
      </c>
      <c r="AG580" s="74" t="str">
        <f t="shared" si="59"/>
        <v/>
      </c>
      <c r="AH580" s="73" t="str">
        <f t="shared" si="60"/>
        <v/>
      </c>
      <c r="AI580" s="52"/>
      <c r="AJ580" s="56"/>
      <c r="AK580" s="59"/>
      <c r="AL580" s="60"/>
      <c r="AM580" s="54"/>
      <c r="AN580" s="14"/>
      <c r="AO580" s="15"/>
      <c r="AP580" s="91"/>
      <c r="AQ580" s="87"/>
      <c r="AR580" s="26"/>
      <c r="AS580" s="65"/>
      <c r="AT580" s="88"/>
      <c r="AU580" s="67"/>
      <c r="DA580" t="str" cm="1">
        <f t="array" ref="DA580">IF(U580&lt;&gt;"", TRANSPOSE(_xlfn._xlws.FILTER(CZ:CZ, CY:CY=U580, "")), "")</f>
        <v/>
      </c>
    </row>
    <row r="581" spans="2:105" ht="15" customHeight="1">
      <c r="B581" s="34">
        <v>577</v>
      </c>
      <c r="C581" s="36" t="s">
        <v>2446</v>
      </c>
      <c r="D581" s="76"/>
      <c r="E581" s="37" t="str">
        <f>IF(Table5[[#This Row],[Query Date]]&lt;&gt;"", TEXT(Table5[[#This Row],[Query Date]], "dddd"), "")</f>
        <v/>
      </c>
      <c r="F581" s="37" t="str">
        <f>IF(Table5[[#This Row],[Query Date]]&lt;&gt;"", TEXT(Table5[[#This Row],[Query Date]], "mmmm"), "")</f>
        <v/>
      </c>
      <c r="G581" s="28"/>
      <c r="H581" s="28"/>
      <c r="I581" s="28"/>
      <c r="J581" s="28"/>
      <c r="K581" s="28"/>
      <c r="L581" s="25"/>
      <c r="M581" s="25"/>
      <c r="N581" s="25"/>
      <c r="O581" s="130"/>
      <c r="P581" s="47"/>
      <c r="Q581" s="77"/>
      <c r="R581" s="77" t="str">
        <f>IF(Table5[[#This Row],[Tour Starting Date]]&lt;&gt;"", TEXT(Table5[[#This Row],[Tour Starting Date]], "dddd"), "")</f>
        <v/>
      </c>
      <c r="S581" s="77"/>
      <c r="T581" s="25" t="str">
        <f>IF(Table5[[#This Row],[Tour Ending Date]]&lt;&gt;"", TEXT(Table5[[#This Row],[Tour Ending Date]], "dddd"), "")</f>
        <v/>
      </c>
      <c r="U58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81" s="37" t="str">
        <f>IF(Table5[[#This Row],[Tour Starting Date]]&lt;&gt;"", TEXT(Table5[[#This Row],[Tour Starting Date]], "mmmm"), "")</f>
        <v/>
      </c>
      <c r="W581" s="80" t="str" cm="1">
        <f t="array" ref="W581">IF(Q581&lt;&gt;"", INDEX(CI:CI, MATCH(1, (Q581&gt;=CG:CG)*(Q581&lt;=CH:CH), 0)), "")</f>
        <v/>
      </c>
      <c r="X581" s="39"/>
      <c r="Y581" s="74"/>
      <c r="Z581" s="74" t="str">
        <f>IF(OR(Table5[[#This Row],[Per Person Package Cost]]="", Table5[[#This Row],[No. of Pax]]=""), "", Table5[[#This Row],[Per Person Package Cost]] * Table5[[#This Row],[No. of Pax]])</f>
        <v/>
      </c>
      <c r="AA581" s="52"/>
      <c r="AB581" s="52"/>
      <c r="AC581" s="52"/>
      <c r="AD581" s="52"/>
      <c r="AE581" s="51" t="str">
        <f t="shared" ref="AE581:AE644" si="61">IF(AD581&lt;&gt;"", INDEX(CW:CW, MATCH(AD581, CZ:CZ, 0)), "")</f>
        <v/>
      </c>
      <c r="AF581" s="51" t="str">
        <f t="shared" ref="AF581:AF644" si="62">IF(AD581&lt;&gt;"", INDEX(CX:CX, MATCH(AD581, CZ:CZ, 0)), "")</f>
        <v/>
      </c>
      <c r="AG581" s="74" t="str">
        <f t="shared" ref="AG581:AG644" si="63">IF(AE581&lt;&gt;"", INDEX(CU:CU, MATCH(AE581, CW:CW, 0)), "")</f>
        <v/>
      </c>
      <c r="AH581" s="73" t="str">
        <f t="shared" si="60"/>
        <v/>
      </c>
      <c r="AI581" s="52"/>
      <c r="AJ581" s="56"/>
      <c r="AK581" s="59"/>
      <c r="AL581" s="60"/>
      <c r="AM581" s="54"/>
      <c r="AN581" s="14"/>
      <c r="AO581" s="15"/>
      <c r="AP581" s="91"/>
      <c r="AQ581" s="87"/>
      <c r="AR581" s="26"/>
      <c r="AS581" s="65"/>
      <c r="AT581" s="88"/>
      <c r="AU581" s="67"/>
      <c r="DA581" t="str" cm="1">
        <f t="array" ref="DA581">IF(U581&lt;&gt;"", TRANSPOSE(_xlfn._xlws.FILTER(CZ:CZ, CY:CY=U581, "")), "")</f>
        <v/>
      </c>
    </row>
    <row r="582" spans="2:105" ht="15" customHeight="1">
      <c r="B582" s="35">
        <v>578</v>
      </c>
      <c r="C582" s="36" t="s">
        <v>2447</v>
      </c>
      <c r="D582" s="76"/>
      <c r="E582" s="37" t="str">
        <f>IF(Table5[[#This Row],[Query Date]]&lt;&gt;"", TEXT(Table5[[#This Row],[Query Date]], "dddd"), "")</f>
        <v/>
      </c>
      <c r="F582" s="37" t="str">
        <f>IF(Table5[[#This Row],[Query Date]]&lt;&gt;"", TEXT(Table5[[#This Row],[Query Date]], "mmmm"), "")</f>
        <v/>
      </c>
      <c r="G582" s="28"/>
      <c r="H582" s="28"/>
      <c r="I582" s="28"/>
      <c r="J582" s="28"/>
      <c r="K582" s="28"/>
      <c r="L582" s="25"/>
      <c r="M582" s="25"/>
      <c r="N582" s="25"/>
      <c r="O582" s="130"/>
      <c r="P582" s="47"/>
      <c r="Q582" s="77"/>
      <c r="R582" s="77" t="str">
        <f>IF(Table5[[#This Row],[Tour Starting Date]]&lt;&gt;"", TEXT(Table5[[#This Row],[Tour Starting Date]], "dddd"), "")</f>
        <v/>
      </c>
      <c r="S582" s="77"/>
      <c r="T582" s="25" t="str">
        <f>IF(Table5[[#This Row],[Tour Ending Date]]&lt;&gt;"", TEXT(Table5[[#This Row],[Tour Ending Date]], "dddd"), "")</f>
        <v/>
      </c>
      <c r="U58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82" s="37" t="str">
        <f>IF(Table5[[#This Row],[Tour Starting Date]]&lt;&gt;"", TEXT(Table5[[#This Row],[Tour Starting Date]], "mmmm"), "")</f>
        <v/>
      </c>
      <c r="W582" s="80" t="str" cm="1">
        <f t="array" ref="W582">IF(Q582&lt;&gt;"", INDEX(CI:CI, MATCH(1, (Q582&gt;=CG:CG)*(Q582&lt;=CH:CH), 0)), "")</f>
        <v/>
      </c>
      <c r="X582" s="39"/>
      <c r="Y582" s="74"/>
      <c r="Z582" s="74" t="str">
        <f>IF(OR(Table5[[#This Row],[Per Person Package Cost]]="", Table5[[#This Row],[No. of Pax]]=""), "", Table5[[#This Row],[Per Person Package Cost]] * Table5[[#This Row],[No. of Pax]])</f>
        <v/>
      </c>
      <c r="AA582" s="52"/>
      <c r="AB582" s="52"/>
      <c r="AC582" s="52"/>
      <c r="AD582" s="52"/>
      <c r="AE582" s="51" t="str">
        <f t="shared" si="61"/>
        <v/>
      </c>
      <c r="AF582" s="51" t="str">
        <f t="shared" si="62"/>
        <v/>
      </c>
      <c r="AG582" s="74" t="str">
        <f t="shared" si="63"/>
        <v/>
      </c>
      <c r="AH582" s="73" t="str">
        <f t="shared" si="60"/>
        <v/>
      </c>
      <c r="AI582" s="52"/>
      <c r="AJ582" s="56"/>
      <c r="AK582" s="59"/>
      <c r="AL582" s="60"/>
      <c r="AM582" s="54"/>
      <c r="AN582" s="14"/>
      <c r="AO582" s="15"/>
      <c r="AP582" s="91"/>
      <c r="AQ582" s="87"/>
      <c r="AR582" s="26"/>
      <c r="AS582" s="65"/>
      <c r="AT582" s="88"/>
      <c r="AU582" s="67"/>
      <c r="DA582" t="str" cm="1">
        <f t="array" ref="DA582">IF(U582&lt;&gt;"", TRANSPOSE(_xlfn._xlws.FILTER(CZ:CZ, CY:CY=U582, "")), "")</f>
        <v/>
      </c>
    </row>
    <row r="583" spans="2:105" ht="15" customHeight="1">
      <c r="B583" s="34">
        <v>579</v>
      </c>
      <c r="C583" s="36" t="s">
        <v>2448</v>
      </c>
      <c r="D583" s="76"/>
      <c r="E583" s="37" t="str">
        <f>IF(Table5[[#This Row],[Query Date]]&lt;&gt;"", TEXT(Table5[[#This Row],[Query Date]], "dddd"), "")</f>
        <v/>
      </c>
      <c r="F583" s="37" t="str">
        <f>IF(Table5[[#This Row],[Query Date]]&lt;&gt;"", TEXT(Table5[[#This Row],[Query Date]], "mmmm"), "")</f>
        <v/>
      </c>
      <c r="G583" s="28"/>
      <c r="H583" s="28"/>
      <c r="I583" s="28"/>
      <c r="J583" s="28"/>
      <c r="K583" s="28"/>
      <c r="L583" s="25"/>
      <c r="M583" s="25"/>
      <c r="N583" s="25"/>
      <c r="O583" s="130"/>
      <c r="P583" s="47"/>
      <c r="Q583" s="77"/>
      <c r="R583" s="77" t="str">
        <f>IF(Table5[[#This Row],[Tour Starting Date]]&lt;&gt;"", TEXT(Table5[[#This Row],[Tour Starting Date]], "dddd"), "")</f>
        <v/>
      </c>
      <c r="S583" s="77"/>
      <c r="T583" s="25" t="str">
        <f>IF(Table5[[#This Row],[Tour Ending Date]]&lt;&gt;"", TEXT(Table5[[#This Row],[Tour Ending Date]], "dddd"), "")</f>
        <v/>
      </c>
      <c r="U58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83" s="37" t="str">
        <f>IF(Table5[[#This Row],[Tour Starting Date]]&lt;&gt;"", TEXT(Table5[[#This Row],[Tour Starting Date]], "mmmm"), "")</f>
        <v/>
      </c>
      <c r="W583" s="80" t="str" cm="1">
        <f t="array" ref="W583">IF(Q583&lt;&gt;"", INDEX(CI:CI, MATCH(1, (Q583&gt;=CG:CG)*(Q583&lt;=CH:CH), 0)), "")</f>
        <v/>
      </c>
      <c r="X583" s="39"/>
      <c r="Y583" s="74"/>
      <c r="Z583" s="74" t="str">
        <f>IF(OR(Table5[[#This Row],[Per Person Package Cost]]="", Table5[[#This Row],[No. of Pax]]=""), "", Table5[[#This Row],[Per Person Package Cost]] * Table5[[#This Row],[No. of Pax]])</f>
        <v/>
      </c>
      <c r="AA583" s="52"/>
      <c r="AB583" s="52"/>
      <c r="AC583" s="52"/>
      <c r="AD583" s="52"/>
      <c r="AE583" s="51" t="str">
        <f t="shared" si="61"/>
        <v/>
      </c>
      <c r="AF583" s="51" t="str">
        <f t="shared" si="62"/>
        <v/>
      </c>
      <c r="AG583" s="74" t="str">
        <f t="shared" si="63"/>
        <v/>
      </c>
      <c r="AH583" s="73" t="str">
        <f t="shared" si="60"/>
        <v/>
      </c>
      <c r="AI583" s="52"/>
      <c r="AJ583" s="56"/>
      <c r="AK583" s="59"/>
      <c r="AL583" s="60"/>
      <c r="AM583" s="54"/>
      <c r="AN583" s="14"/>
      <c r="AO583" s="15"/>
      <c r="AP583" s="91"/>
      <c r="AQ583" s="87"/>
      <c r="AR583" s="26"/>
      <c r="AS583" s="65"/>
      <c r="AT583" s="88"/>
      <c r="AU583" s="67"/>
      <c r="DA583" t="str" cm="1">
        <f t="array" ref="DA583">IF(U583&lt;&gt;"", TRANSPOSE(_xlfn._xlws.FILTER(CZ:CZ, CY:CY=U583, "")), "")</f>
        <v/>
      </c>
    </row>
    <row r="584" spans="2:105" ht="15" customHeight="1">
      <c r="B584" s="35">
        <v>580</v>
      </c>
      <c r="C584" s="36" t="s">
        <v>2449</v>
      </c>
      <c r="D584" s="76"/>
      <c r="E584" s="37" t="str">
        <f>IF(Table5[[#This Row],[Query Date]]&lt;&gt;"", TEXT(Table5[[#This Row],[Query Date]], "dddd"), "")</f>
        <v/>
      </c>
      <c r="F584" s="37" t="str">
        <f>IF(Table5[[#This Row],[Query Date]]&lt;&gt;"", TEXT(Table5[[#This Row],[Query Date]], "mmmm"), "")</f>
        <v/>
      </c>
      <c r="G584" s="28"/>
      <c r="H584" s="28"/>
      <c r="I584" s="28"/>
      <c r="J584" s="28"/>
      <c r="K584" s="28"/>
      <c r="L584" s="25"/>
      <c r="M584" s="25"/>
      <c r="N584" s="25"/>
      <c r="O584" s="130"/>
      <c r="P584" s="47"/>
      <c r="Q584" s="77"/>
      <c r="R584" s="77" t="str">
        <f>IF(Table5[[#This Row],[Tour Starting Date]]&lt;&gt;"", TEXT(Table5[[#This Row],[Tour Starting Date]], "dddd"), "")</f>
        <v/>
      </c>
      <c r="S584" s="77"/>
      <c r="T584" s="25" t="str">
        <f>IF(Table5[[#This Row],[Tour Ending Date]]&lt;&gt;"", TEXT(Table5[[#This Row],[Tour Ending Date]], "dddd"), "")</f>
        <v/>
      </c>
      <c r="U58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84" s="37" t="str">
        <f>IF(Table5[[#This Row],[Tour Starting Date]]&lt;&gt;"", TEXT(Table5[[#This Row],[Tour Starting Date]], "mmmm"), "")</f>
        <v/>
      </c>
      <c r="W584" s="80" t="str" cm="1">
        <f t="array" ref="W584">IF(Q584&lt;&gt;"", INDEX(CI:CI, MATCH(1, (Q584&gt;=CG:CG)*(Q584&lt;=CH:CH), 0)), "")</f>
        <v/>
      </c>
      <c r="X584" s="39"/>
      <c r="Y584" s="74"/>
      <c r="Z584" s="74" t="str">
        <f>IF(OR(Table5[[#This Row],[Per Person Package Cost]]="", Table5[[#This Row],[No. of Pax]]=""), "", Table5[[#This Row],[Per Person Package Cost]] * Table5[[#This Row],[No. of Pax]])</f>
        <v/>
      </c>
      <c r="AA584" s="52"/>
      <c r="AB584" s="52"/>
      <c r="AC584" s="52"/>
      <c r="AD584" s="52"/>
      <c r="AE584" s="51" t="str">
        <f t="shared" si="61"/>
        <v/>
      </c>
      <c r="AF584" s="51" t="str">
        <f t="shared" si="62"/>
        <v/>
      </c>
      <c r="AG584" s="74" t="str">
        <f t="shared" si="63"/>
        <v/>
      </c>
      <c r="AH584" s="73" t="str">
        <f t="shared" si="60"/>
        <v/>
      </c>
      <c r="AI584" s="52"/>
      <c r="AJ584" s="56"/>
      <c r="AK584" s="59"/>
      <c r="AL584" s="60"/>
      <c r="AM584" s="54"/>
      <c r="AN584" s="14"/>
      <c r="AO584" s="15"/>
      <c r="AP584" s="91"/>
      <c r="AQ584" s="87"/>
      <c r="AR584" s="26"/>
      <c r="AS584" s="65"/>
      <c r="AT584" s="88"/>
      <c r="AU584" s="67"/>
      <c r="DA584" t="str" cm="1">
        <f t="array" ref="DA584">IF(U584&lt;&gt;"", TRANSPOSE(_xlfn._xlws.FILTER(CZ:CZ, CY:CY=U584, "")), "")</f>
        <v/>
      </c>
    </row>
    <row r="585" spans="2:105" ht="15" customHeight="1">
      <c r="B585" s="34">
        <v>581</v>
      </c>
      <c r="C585" s="36" t="s">
        <v>2450</v>
      </c>
      <c r="D585" s="76"/>
      <c r="E585" s="37" t="str">
        <f>IF(Table5[[#This Row],[Query Date]]&lt;&gt;"", TEXT(Table5[[#This Row],[Query Date]], "dddd"), "")</f>
        <v/>
      </c>
      <c r="F585" s="37" t="str">
        <f>IF(Table5[[#This Row],[Query Date]]&lt;&gt;"", TEXT(Table5[[#This Row],[Query Date]], "mmmm"), "")</f>
        <v/>
      </c>
      <c r="G585" s="28"/>
      <c r="H585" s="28"/>
      <c r="I585" s="28"/>
      <c r="J585" s="28"/>
      <c r="K585" s="28"/>
      <c r="L585" s="25"/>
      <c r="M585" s="25"/>
      <c r="N585" s="25"/>
      <c r="O585" s="130"/>
      <c r="P585" s="47"/>
      <c r="Q585" s="77"/>
      <c r="R585" s="77" t="str">
        <f>IF(Table5[[#This Row],[Tour Starting Date]]&lt;&gt;"", TEXT(Table5[[#This Row],[Tour Starting Date]], "dddd"), "")</f>
        <v/>
      </c>
      <c r="S585" s="77"/>
      <c r="T585" s="25" t="str">
        <f>IF(Table5[[#This Row],[Tour Ending Date]]&lt;&gt;"", TEXT(Table5[[#This Row],[Tour Ending Date]], "dddd"), "")</f>
        <v/>
      </c>
      <c r="U58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85" s="37" t="str">
        <f>IF(Table5[[#This Row],[Tour Starting Date]]&lt;&gt;"", TEXT(Table5[[#This Row],[Tour Starting Date]], "mmmm"), "")</f>
        <v/>
      </c>
      <c r="W585" s="80" t="str" cm="1">
        <f t="array" ref="W585">IF(Q585&lt;&gt;"", INDEX(CI:CI, MATCH(1, (Q585&gt;=CG:CG)*(Q585&lt;=CH:CH), 0)), "")</f>
        <v/>
      </c>
      <c r="X585" s="39"/>
      <c r="Y585" s="74"/>
      <c r="Z585" s="74" t="str">
        <f>IF(OR(Table5[[#This Row],[Per Person Package Cost]]="", Table5[[#This Row],[No. of Pax]]=""), "", Table5[[#This Row],[Per Person Package Cost]] * Table5[[#This Row],[No. of Pax]])</f>
        <v/>
      </c>
      <c r="AA585" s="52"/>
      <c r="AB585" s="52"/>
      <c r="AC585" s="52"/>
      <c r="AD585" s="52"/>
      <c r="AE585" s="51" t="str">
        <f t="shared" si="61"/>
        <v/>
      </c>
      <c r="AF585" s="51" t="str">
        <f t="shared" si="62"/>
        <v/>
      </c>
      <c r="AG585" s="74" t="str">
        <f t="shared" si="63"/>
        <v/>
      </c>
      <c r="AH585" s="73" t="str">
        <f t="shared" si="60"/>
        <v/>
      </c>
      <c r="AI585" s="52"/>
      <c r="AJ585" s="56"/>
      <c r="AK585" s="59"/>
      <c r="AL585" s="60"/>
      <c r="AM585" s="54"/>
      <c r="AN585" s="14"/>
      <c r="AO585" s="15"/>
      <c r="AP585" s="91"/>
      <c r="AQ585" s="87"/>
      <c r="AR585" s="26"/>
      <c r="AS585" s="65"/>
      <c r="AT585" s="88"/>
      <c r="AU585" s="67"/>
      <c r="DA585" t="str" cm="1">
        <f t="array" ref="DA585">IF(U585&lt;&gt;"", TRANSPOSE(_xlfn._xlws.FILTER(CZ:CZ, CY:CY=U585, "")), "")</f>
        <v/>
      </c>
    </row>
    <row r="586" spans="2:105" ht="15" customHeight="1">
      <c r="B586" s="35">
        <v>582</v>
      </c>
      <c r="C586" s="36" t="s">
        <v>2451</v>
      </c>
      <c r="D586" s="76"/>
      <c r="E586" s="37" t="str">
        <f>IF(Table5[[#This Row],[Query Date]]&lt;&gt;"", TEXT(Table5[[#This Row],[Query Date]], "dddd"), "")</f>
        <v/>
      </c>
      <c r="F586" s="37" t="str">
        <f>IF(Table5[[#This Row],[Query Date]]&lt;&gt;"", TEXT(Table5[[#This Row],[Query Date]], "mmmm"), "")</f>
        <v/>
      </c>
      <c r="G586" s="28"/>
      <c r="H586" s="28"/>
      <c r="I586" s="28"/>
      <c r="J586" s="28"/>
      <c r="K586" s="28"/>
      <c r="L586" s="25"/>
      <c r="M586" s="25"/>
      <c r="N586" s="25"/>
      <c r="O586" s="130"/>
      <c r="P586" s="47"/>
      <c r="Q586" s="77"/>
      <c r="R586" s="77" t="str">
        <f>IF(Table5[[#This Row],[Tour Starting Date]]&lt;&gt;"", TEXT(Table5[[#This Row],[Tour Starting Date]], "dddd"), "")</f>
        <v/>
      </c>
      <c r="S586" s="77"/>
      <c r="T586" s="25" t="str">
        <f>IF(Table5[[#This Row],[Tour Ending Date]]&lt;&gt;"", TEXT(Table5[[#This Row],[Tour Ending Date]], "dddd"), "")</f>
        <v/>
      </c>
      <c r="U58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86" s="37" t="str">
        <f>IF(Table5[[#This Row],[Tour Starting Date]]&lt;&gt;"", TEXT(Table5[[#This Row],[Tour Starting Date]], "mmmm"), "")</f>
        <v/>
      </c>
      <c r="W586" s="80" t="str" cm="1">
        <f t="array" ref="W586">IF(Q586&lt;&gt;"", INDEX(CI:CI, MATCH(1, (Q586&gt;=CG:CG)*(Q586&lt;=CH:CH), 0)), "")</f>
        <v/>
      </c>
      <c r="X586" s="39"/>
      <c r="Y586" s="74"/>
      <c r="Z586" s="74" t="str">
        <f>IF(OR(Table5[[#This Row],[Per Person Package Cost]]="", Table5[[#This Row],[No. of Pax]]=""), "", Table5[[#This Row],[Per Person Package Cost]] * Table5[[#This Row],[No. of Pax]])</f>
        <v/>
      </c>
      <c r="AA586" s="52"/>
      <c r="AB586" s="52"/>
      <c r="AC586" s="52"/>
      <c r="AD586" s="52"/>
      <c r="AE586" s="51" t="str">
        <f t="shared" si="61"/>
        <v/>
      </c>
      <c r="AF586" s="51" t="str">
        <f t="shared" si="62"/>
        <v/>
      </c>
      <c r="AG586" s="74" t="str">
        <f t="shared" si="63"/>
        <v/>
      </c>
      <c r="AH586" s="73" t="str">
        <f t="shared" si="60"/>
        <v/>
      </c>
      <c r="AI586" s="52"/>
      <c r="AJ586" s="56"/>
      <c r="AK586" s="59"/>
      <c r="AL586" s="60"/>
      <c r="AM586" s="54"/>
      <c r="AN586" s="62"/>
      <c r="AO586" s="63"/>
      <c r="AP586" s="96"/>
      <c r="AQ586" s="87"/>
      <c r="AR586" s="26"/>
      <c r="AS586" s="65"/>
      <c r="AT586" s="88"/>
      <c r="AU586" s="67"/>
      <c r="DA586" t="str" cm="1">
        <f t="array" ref="DA586">IF(U586&lt;&gt;"", TRANSPOSE(_xlfn._xlws.FILTER(CZ:CZ, CY:CY=U586, "")), "")</f>
        <v/>
      </c>
    </row>
    <row r="587" spans="2:105" ht="15" customHeight="1">
      <c r="B587" s="34">
        <v>583</v>
      </c>
      <c r="C587" s="36" t="s">
        <v>2452</v>
      </c>
      <c r="D587" s="76"/>
      <c r="E587" s="37" t="str">
        <f>IF(Table5[[#This Row],[Query Date]]&lt;&gt;"", TEXT(Table5[[#This Row],[Query Date]], "dddd"), "")</f>
        <v/>
      </c>
      <c r="F587" s="37" t="str">
        <f>IF(Table5[[#This Row],[Query Date]]&lt;&gt;"", TEXT(Table5[[#This Row],[Query Date]], "mmmm"), "")</f>
        <v/>
      </c>
      <c r="G587" s="28"/>
      <c r="H587" s="28"/>
      <c r="I587" s="28"/>
      <c r="J587" s="28"/>
      <c r="K587" s="28"/>
      <c r="L587" s="25"/>
      <c r="M587" s="25"/>
      <c r="N587" s="25"/>
      <c r="O587" s="130"/>
      <c r="P587" s="47"/>
      <c r="Q587" s="77"/>
      <c r="R587" s="77" t="str">
        <f>IF(Table5[[#This Row],[Tour Starting Date]]&lt;&gt;"", TEXT(Table5[[#This Row],[Tour Starting Date]], "dddd"), "")</f>
        <v/>
      </c>
      <c r="S587" s="77"/>
      <c r="T587" s="25" t="str">
        <f>IF(Table5[[#This Row],[Tour Ending Date]]&lt;&gt;"", TEXT(Table5[[#This Row],[Tour Ending Date]], "dddd"), "")</f>
        <v/>
      </c>
      <c r="U58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87" s="37" t="str">
        <f>IF(Table5[[#This Row],[Tour Starting Date]]&lt;&gt;"", TEXT(Table5[[#This Row],[Tour Starting Date]], "mmmm"), "")</f>
        <v/>
      </c>
      <c r="W587" s="80" t="str" cm="1">
        <f t="array" ref="W587">IF(Q587&lt;&gt;"", INDEX(CI:CI, MATCH(1, (Q587&gt;=CG:CG)*(Q587&lt;=CH:CH), 0)), "")</f>
        <v/>
      </c>
      <c r="X587" s="39"/>
      <c r="Y587" s="74"/>
      <c r="Z587" s="74" t="str">
        <f>IF(OR(Table5[[#This Row],[Per Person Package Cost]]="", Table5[[#This Row],[No. of Pax]]=""), "", Table5[[#This Row],[Per Person Package Cost]] * Table5[[#This Row],[No. of Pax]])</f>
        <v/>
      </c>
      <c r="AA587" s="52"/>
      <c r="AB587" s="52"/>
      <c r="AC587" s="52"/>
      <c r="AD587" s="52"/>
      <c r="AE587" s="51" t="str">
        <f t="shared" si="61"/>
        <v/>
      </c>
      <c r="AF587" s="51" t="str">
        <f t="shared" si="62"/>
        <v/>
      </c>
      <c r="AG587" s="74" t="str">
        <f t="shared" si="63"/>
        <v/>
      </c>
      <c r="AH587" s="73" t="str">
        <f t="shared" si="60"/>
        <v/>
      </c>
      <c r="AI587" s="52"/>
      <c r="AJ587" s="56"/>
      <c r="AK587" s="59"/>
      <c r="AL587" s="60"/>
      <c r="AM587" s="54"/>
      <c r="AN587" s="64"/>
      <c r="AO587" s="26"/>
      <c r="AP587" s="93"/>
      <c r="AQ587" s="87"/>
      <c r="AR587" s="26"/>
      <c r="AS587" s="65"/>
      <c r="AT587" s="88"/>
      <c r="AU587" s="67"/>
      <c r="DA587" t="str" cm="1">
        <f t="array" ref="DA587">IF(U587&lt;&gt;"", TRANSPOSE(_xlfn._xlws.FILTER(CZ:CZ, CY:CY=U587, "")), "")</f>
        <v/>
      </c>
    </row>
    <row r="588" spans="2:105" ht="15" customHeight="1">
      <c r="B588" s="35">
        <v>584</v>
      </c>
      <c r="C588" s="36" t="s">
        <v>2453</v>
      </c>
      <c r="D588" s="76"/>
      <c r="E588" s="37" t="str">
        <f>IF(Table5[[#This Row],[Query Date]]&lt;&gt;"", TEXT(Table5[[#This Row],[Query Date]], "dddd"), "")</f>
        <v/>
      </c>
      <c r="F588" s="37" t="str">
        <f>IF(Table5[[#This Row],[Query Date]]&lt;&gt;"", TEXT(Table5[[#This Row],[Query Date]], "mmmm"), "")</f>
        <v/>
      </c>
      <c r="G588" s="28"/>
      <c r="H588" s="28"/>
      <c r="I588" s="28"/>
      <c r="J588" s="28"/>
      <c r="K588" s="28"/>
      <c r="L588" s="25"/>
      <c r="M588" s="25"/>
      <c r="N588" s="25"/>
      <c r="O588" s="130"/>
      <c r="P588" s="47"/>
      <c r="Q588" s="77"/>
      <c r="R588" s="77" t="str">
        <f>IF(Table5[[#This Row],[Tour Starting Date]]&lt;&gt;"", TEXT(Table5[[#This Row],[Tour Starting Date]], "dddd"), "")</f>
        <v/>
      </c>
      <c r="S588" s="77"/>
      <c r="T588" s="25" t="str">
        <f>IF(Table5[[#This Row],[Tour Ending Date]]&lt;&gt;"", TEXT(Table5[[#This Row],[Tour Ending Date]], "dddd"), "")</f>
        <v/>
      </c>
      <c r="U58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88" s="37" t="str">
        <f>IF(Table5[[#This Row],[Tour Starting Date]]&lt;&gt;"", TEXT(Table5[[#This Row],[Tour Starting Date]], "mmmm"), "")</f>
        <v/>
      </c>
      <c r="W588" s="80" t="str" cm="1">
        <f t="array" ref="W588">IF(Q588&lt;&gt;"", INDEX(CI:CI, MATCH(1, (Q588&gt;=CG:CG)*(Q588&lt;=CH:CH), 0)), "")</f>
        <v/>
      </c>
      <c r="X588" s="39"/>
      <c r="Y588" s="74"/>
      <c r="Z588" s="74" t="str">
        <f>IF(OR(Table5[[#This Row],[Per Person Package Cost]]="", Table5[[#This Row],[No. of Pax]]=""), "", Table5[[#This Row],[Per Person Package Cost]] * Table5[[#This Row],[No. of Pax]])</f>
        <v/>
      </c>
      <c r="AA588" s="52"/>
      <c r="AB588" s="52"/>
      <c r="AC588" s="52"/>
      <c r="AD588" s="52"/>
      <c r="AE588" s="51" t="str">
        <f t="shared" si="61"/>
        <v/>
      </c>
      <c r="AF588" s="51" t="str">
        <f t="shared" si="62"/>
        <v/>
      </c>
      <c r="AG588" s="74" t="str">
        <f t="shared" si="63"/>
        <v/>
      </c>
      <c r="AH588" s="73" t="str">
        <f t="shared" si="60"/>
        <v/>
      </c>
      <c r="AI588" s="52"/>
      <c r="AJ588" s="56"/>
      <c r="AK588" s="59"/>
      <c r="AL588" s="60"/>
      <c r="AM588" s="54"/>
      <c r="AN588" s="64"/>
      <c r="AO588" s="26"/>
      <c r="AP588" s="93"/>
      <c r="AQ588" s="87"/>
      <c r="AR588" s="26"/>
      <c r="AS588" s="65"/>
      <c r="AT588" s="88"/>
      <c r="AU588" s="67"/>
      <c r="DA588" t="str" cm="1">
        <f t="array" ref="DA588">IF(U588&lt;&gt;"", TRANSPOSE(_xlfn._xlws.FILTER(CZ:CZ, CY:CY=U588, "")), "")</f>
        <v/>
      </c>
    </row>
    <row r="589" spans="2:105" ht="15" customHeight="1">
      <c r="B589" s="34">
        <v>585</v>
      </c>
      <c r="C589" s="36" t="s">
        <v>2454</v>
      </c>
      <c r="D589" s="76"/>
      <c r="E589" s="37" t="str">
        <f>IF(Table5[[#This Row],[Query Date]]&lt;&gt;"", TEXT(Table5[[#This Row],[Query Date]], "dddd"), "")</f>
        <v/>
      </c>
      <c r="F589" s="37" t="str">
        <f>IF(Table5[[#This Row],[Query Date]]&lt;&gt;"", TEXT(Table5[[#This Row],[Query Date]], "mmmm"), "")</f>
        <v/>
      </c>
      <c r="G589" s="28"/>
      <c r="H589" s="28"/>
      <c r="I589" s="28"/>
      <c r="J589" s="28"/>
      <c r="K589" s="28"/>
      <c r="L589" s="25"/>
      <c r="M589" s="25"/>
      <c r="N589" s="25"/>
      <c r="O589" s="130"/>
      <c r="P589" s="47"/>
      <c r="Q589" s="77"/>
      <c r="R589" s="77" t="str">
        <f>IF(Table5[[#This Row],[Tour Starting Date]]&lt;&gt;"", TEXT(Table5[[#This Row],[Tour Starting Date]], "dddd"), "")</f>
        <v/>
      </c>
      <c r="S589" s="77"/>
      <c r="T589" s="25" t="str">
        <f>IF(Table5[[#This Row],[Tour Ending Date]]&lt;&gt;"", TEXT(Table5[[#This Row],[Tour Ending Date]], "dddd"), "")</f>
        <v/>
      </c>
      <c r="U58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89" s="37" t="str">
        <f>IF(Table5[[#This Row],[Tour Starting Date]]&lt;&gt;"", TEXT(Table5[[#This Row],[Tour Starting Date]], "mmmm"), "")</f>
        <v/>
      </c>
      <c r="W589" s="80" t="str" cm="1">
        <f t="array" ref="W589">IF(Q589&lt;&gt;"", INDEX(CI:CI, MATCH(1, (Q589&gt;=CG:CG)*(Q589&lt;=CH:CH), 0)), "")</f>
        <v/>
      </c>
      <c r="X589" s="39"/>
      <c r="Y589" s="74"/>
      <c r="Z589" s="74" t="str">
        <f>IF(OR(Table5[[#This Row],[Per Person Package Cost]]="", Table5[[#This Row],[No. of Pax]]=""), "", Table5[[#This Row],[Per Person Package Cost]] * Table5[[#This Row],[No. of Pax]])</f>
        <v/>
      </c>
      <c r="AA589" s="52"/>
      <c r="AB589" s="52"/>
      <c r="AC589" s="52"/>
      <c r="AD589" s="52"/>
      <c r="AE589" s="51" t="str">
        <f t="shared" si="61"/>
        <v/>
      </c>
      <c r="AF589" s="51" t="str">
        <f t="shared" si="62"/>
        <v/>
      </c>
      <c r="AG589" s="74" t="str">
        <f t="shared" si="63"/>
        <v/>
      </c>
      <c r="AH589" s="73" t="str">
        <f t="shared" si="60"/>
        <v/>
      </c>
      <c r="AI589" s="52"/>
      <c r="AJ589" s="56"/>
      <c r="AK589" s="59"/>
      <c r="AL589" s="60"/>
      <c r="AM589" s="54"/>
      <c r="AN589" s="64"/>
      <c r="AO589" s="26"/>
      <c r="AP589" s="93"/>
      <c r="AQ589" s="87"/>
      <c r="AR589" s="26"/>
      <c r="AS589" s="65"/>
      <c r="AT589" s="88"/>
      <c r="AU589" s="67"/>
      <c r="DA589" t="str" cm="1">
        <f t="array" ref="DA589">IF(U589&lt;&gt;"", TRANSPOSE(_xlfn._xlws.FILTER(CZ:CZ, CY:CY=U589, "")), "")</f>
        <v/>
      </c>
    </row>
    <row r="590" spans="2:105" ht="15" customHeight="1">
      <c r="B590" s="35">
        <v>586</v>
      </c>
      <c r="C590" s="36" t="s">
        <v>2455</v>
      </c>
      <c r="D590" s="76"/>
      <c r="E590" s="37" t="str">
        <f>IF(Table5[[#This Row],[Query Date]]&lt;&gt;"", TEXT(Table5[[#This Row],[Query Date]], "dddd"), "")</f>
        <v/>
      </c>
      <c r="F590" s="37" t="str">
        <f>IF(Table5[[#This Row],[Query Date]]&lt;&gt;"", TEXT(Table5[[#This Row],[Query Date]], "mmmm"), "")</f>
        <v/>
      </c>
      <c r="G590" s="28"/>
      <c r="H590" s="28"/>
      <c r="I590" s="28"/>
      <c r="J590" s="28"/>
      <c r="K590" s="28"/>
      <c r="L590" s="25"/>
      <c r="M590" s="25"/>
      <c r="N590" s="25"/>
      <c r="O590" s="130"/>
      <c r="P590" s="47"/>
      <c r="Q590" s="77"/>
      <c r="R590" s="77" t="str">
        <f>IF(Table5[[#This Row],[Tour Starting Date]]&lt;&gt;"", TEXT(Table5[[#This Row],[Tour Starting Date]], "dddd"), "")</f>
        <v/>
      </c>
      <c r="S590" s="77"/>
      <c r="T590" s="25" t="str">
        <f>IF(Table5[[#This Row],[Tour Ending Date]]&lt;&gt;"", TEXT(Table5[[#This Row],[Tour Ending Date]], "dddd"), "")</f>
        <v/>
      </c>
      <c r="U59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90" s="37" t="str">
        <f>IF(Table5[[#This Row],[Tour Starting Date]]&lt;&gt;"", TEXT(Table5[[#This Row],[Tour Starting Date]], "mmmm"), "")</f>
        <v/>
      </c>
      <c r="W590" s="80" t="str" cm="1">
        <f t="array" ref="W590">IF(Q590&lt;&gt;"", INDEX(CI:CI, MATCH(1, (Q590&gt;=CG:CG)*(Q590&lt;=CH:CH), 0)), "")</f>
        <v/>
      </c>
      <c r="X590" s="39"/>
      <c r="Y590" s="74"/>
      <c r="Z590" s="74" t="str">
        <f>IF(OR(Table5[[#This Row],[Per Person Package Cost]]="", Table5[[#This Row],[No. of Pax]]=""), "", Table5[[#This Row],[Per Person Package Cost]] * Table5[[#This Row],[No. of Pax]])</f>
        <v/>
      </c>
      <c r="AA590" s="52"/>
      <c r="AB590" s="52"/>
      <c r="AC590" s="52"/>
      <c r="AD590" s="52"/>
      <c r="AE590" s="51" t="str">
        <f t="shared" si="61"/>
        <v/>
      </c>
      <c r="AF590" s="51" t="str">
        <f t="shared" si="62"/>
        <v/>
      </c>
      <c r="AG590" s="74" t="str">
        <f t="shared" si="63"/>
        <v/>
      </c>
      <c r="AH590" s="73" t="str">
        <f t="shared" si="60"/>
        <v/>
      </c>
      <c r="AI590" s="52"/>
      <c r="AJ590" s="56"/>
      <c r="AK590" s="59"/>
      <c r="AL590" s="60"/>
      <c r="AM590" s="54"/>
      <c r="AN590" s="64"/>
      <c r="AO590" s="26"/>
      <c r="AP590" s="93"/>
      <c r="AQ590" s="87"/>
      <c r="AR590" s="26"/>
      <c r="AS590" s="65"/>
      <c r="AT590" s="88"/>
      <c r="AU590" s="67"/>
      <c r="DA590" t="str" cm="1">
        <f t="array" ref="DA590">IF(U590&lt;&gt;"", TRANSPOSE(_xlfn._xlws.FILTER(CZ:CZ, CY:CY=U590, "")), "")</f>
        <v/>
      </c>
    </row>
    <row r="591" spans="2:105" ht="15" customHeight="1">
      <c r="B591" s="34">
        <v>587</v>
      </c>
      <c r="C591" s="36" t="s">
        <v>2456</v>
      </c>
      <c r="D591" s="76"/>
      <c r="E591" s="37" t="str">
        <f>IF(Table5[[#This Row],[Query Date]]&lt;&gt;"", TEXT(Table5[[#This Row],[Query Date]], "dddd"), "")</f>
        <v/>
      </c>
      <c r="F591" s="37" t="str">
        <f>IF(Table5[[#This Row],[Query Date]]&lt;&gt;"", TEXT(Table5[[#This Row],[Query Date]], "mmmm"), "")</f>
        <v/>
      </c>
      <c r="G591" s="28"/>
      <c r="H591" s="28"/>
      <c r="I591" s="28"/>
      <c r="J591" s="28"/>
      <c r="K591" s="28"/>
      <c r="L591" s="25"/>
      <c r="M591" s="25"/>
      <c r="N591" s="25"/>
      <c r="O591" s="130"/>
      <c r="P591" s="47"/>
      <c r="Q591" s="77"/>
      <c r="R591" s="77" t="str">
        <f>IF(Table5[[#This Row],[Tour Starting Date]]&lt;&gt;"", TEXT(Table5[[#This Row],[Tour Starting Date]], "dddd"), "")</f>
        <v/>
      </c>
      <c r="S591" s="77"/>
      <c r="T591" s="25" t="str">
        <f>IF(Table5[[#This Row],[Tour Ending Date]]&lt;&gt;"", TEXT(Table5[[#This Row],[Tour Ending Date]], "dddd"), "")</f>
        <v/>
      </c>
      <c r="U59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91" s="37" t="str">
        <f>IF(Table5[[#This Row],[Tour Starting Date]]&lt;&gt;"", TEXT(Table5[[#This Row],[Tour Starting Date]], "mmmm"), "")</f>
        <v/>
      </c>
      <c r="W591" s="80" t="str" cm="1">
        <f t="array" ref="W591">IF(Q591&lt;&gt;"", INDEX(CI:CI, MATCH(1, (Q591&gt;=CG:CG)*(Q591&lt;=CH:CH), 0)), "")</f>
        <v/>
      </c>
      <c r="X591" s="39"/>
      <c r="Y591" s="74"/>
      <c r="Z591" s="74" t="str">
        <f>IF(OR(Table5[[#This Row],[Per Person Package Cost]]="", Table5[[#This Row],[No. of Pax]]=""), "", Table5[[#This Row],[Per Person Package Cost]] * Table5[[#This Row],[No. of Pax]])</f>
        <v/>
      </c>
      <c r="AA591" s="52"/>
      <c r="AB591" s="52"/>
      <c r="AC591" s="52"/>
      <c r="AD591" s="52"/>
      <c r="AE591" s="51" t="str">
        <f t="shared" si="61"/>
        <v/>
      </c>
      <c r="AF591" s="51" t="str">
        <f t="shared" si="62"/>
        <v/>
      </c>
      <c r="AG591" s="74" t="str">
        <f t="shared" si="63"/>
        <v/>
      </c>
      <c r="AH591" s="73" t="str">
        <f t="shared" si="60"/>
        <v/>
      </c>
      <c r="AI591" s="52"/>
      <c r="AJ591" s="56"/>
      <c r="AK591" s="59"/>
      <c r="AL591" s="60"/>
      <c r="AM591" s="54"/>
      <c r="AN591" s="64"/>
      <c r="AO591" s="26"/>
      <c r="AP591" s="93"/>
      <c r="AQ591" s="87"/>
      <c r="AR591" s="26"/>
      <c r="AS591" s="65"/>
      <c r="AT591" s="88"/>
      <c r="AU591" s="67"/>
      <c r="DA591" t="str" cm="1">
        <f t="array" ref="DA591">IF(U591&lt;&gt;"", TRANSPOSE(_xlfn._xlws.FILTER(CZ:CZ, CY:CY=U591, "")), "")</f>
        <v/>
      </c>
    </row>
    <row r="592" spans="2:105" ht="15" customHeight="1">
      <c r="B592" s="35">
        <v>588</v>
      </c>
      <c r="C592" s="36" t="s">
        <v>2457</v>
      </c>
      <c r="D592" s="76"/>
      <c r="E592" s="37" t="str">
        <f>IF(Table5[[#This Row],[Query Date]]&lt;&gt;"", TEXT(Table5[[#This Row],[Query Date]], "dddd"), "")</f>
        <v/>
      </c>
      <c r="F592" s="37" t="str">
        <f>IF(Table5[[#This Row],[Query Date]]&lt;&gt;"", TEXT(Table5[[#This Row],[Query Date]], "mmmm"), "")</f>
        <v/>
      </c>
      <c r="G592" s="28"/>
      <c r="H592" s="28"/>
      <c r="I592" s="28"/>
      <c r="J592" s="28"/>
      <c r="K592" s="28"/>
      <c r="L592" s="25"/>
      <c r="M592" s="25"/>
      <c r="N592" s="25"/>
      <c r="O592" s="130"/>
      <c r="P592" s="47"/>
      <c r="Q592" s="77"/>
      <c r="R592" s="77" t="str">
        <f>IF(Table5[[#This Row],[Tour Starting Date]]&lt;&gt;"", TEXT(Table5[[#This Row],[Tour Starting Date]], "dddd"), "")</f>
        <v/>
      </c>
      <c r="S592" s="77"/>
      <c r="T592" s="25" t="str">
        <f>IF(Table5[[#This Row],[Tour Ending Date]]&lt;&gt;"", TEXT(Table5[[#This Row],[Tour Ending Date]], "dddd"), "")</f>
        <v/>
      </c>
      <c r="U59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92" s="37" t="str">
        <f>IF(Table5[[#This Row],[Tour Starting Date]]&lt;&gt;"", TEXT(Table5[[#This Row],[Tour Starting Date]], "mmmm"), "")</f>
        <v/>
      </c>
      <c r="W592" s="80" t="str" cm="1">
        <f t="array" ref="W592">IF(Q592&lt;&gt;"", INDEX(CI:CI, MATCH(1, (Q592&gt;=CG:CG)*(Q592&lt;=CH:CH), 0)), "")</f>
        <v/>
      </c>
      <c r="X592" s="39"/>
      <c r="Y592" s="74"/>
      <c r="Z592" s="74" t="str">
        <f>IF(OR(Table5[[#This Row],[Per Person Package Cost]]="", Table5[[#This Row],[No. of Pax]]=""), "", Table5[[#This Row],[Per Person Package Cost]] * Table5[[#This Row],[No. of Pax]])</f>
        <v/>
      </c>
      <c r="AA592" s="52"/>
      <c r="AB592" s="52"/>
      <c r="AC592" s="52"/>
      <c r="AD592" s="52"/>
      <c r="AE592" s="51" t="str">
        <f t="shared" si="61"/>
        <v/>
      </c>
      <c r="AF592" s="51" t="str">
        <f t="shared" si="62"/>
        <v/>
      </c>
      <c r="AG592" s="74" t="str">
        <f t="shared" si="63"/>
        <v/>
      </c>
      <c r="AH592" s="73" t="str">
        <f t="shared" si="60"/>
        <v/>
      </c>
      <c r="AI592" s="52"/>
      <c r="AJ592" s="56"/>
      <c r="AK592" s="59"/>
      <c r="AL592" s="60"/>
      <c r="AM592" s="54"/>
      <c r="AN592" s="64"/>
      <c r="AO592" s="26"/>
      <c r="AP592" s="93"/>
      <c r="AQ592" s="87"/>
      <c r="AR592" s="26"/>
      <c r="AS592" s="65"/>
      <c r="AT592" s="88"/>
      <c r="AU592" s="67"/>
      <c r="DA592" t="str" cm="1">
        <f t="array" ref="DA592">IF(U592&lt;&gt;"", TRANSPOSE(_xlfn._xlws.FILTER(CZ:CZ, CY:CY=U592, "")), "")</f>
        <v/>
      </c>
    </row>
    <row r="593" spans="2:105" ht="15" customHeight="1">
      <c r="B593" s="34">
        <v>589</v>
      </c>
      <c r="C593" s="36" t="s">
        <v>2458</v>
      </c>
      <c r="D593" s="76"/>
      <c r="E593" s="37" t="str">
        <f>IF(Table5[[#This Row],[Query Date]]&lt;&gt;"", TEXT(Table5[[#This Row],[Query Date]], "dddd"), "")</f>
        <v/>
      </c>
      <c r="F593" s="37" t="str">
        <f>IF(Table5[[#This Row],[Query Date]]&lt;&gt;"", TEXT(Table5[[#This Row],[Query Date]], "mmmm"), "")</f>
        <v/>
      </c>
      <c r="G593" s="28"/>
      <c r="H593" s="28"/>
      <c r="I593" s="28"/>
      <c r="J593" s="28"/>
      <c r="K593" s="28"/>
      <c r="L593" s="25"/>
      <c r="M593" s="25"/>
      <c r="N593" s="25"/>
      <c r="O593" s="130"/>
      <c r="P593" s="47"/>
      <c r="Q593" s="77"/>
      <c r="R593" s="77" t="str">
        <f>IF(Table5[[#This Row],[Tour Starting Date]]&lt;&gt;"", TEXT(Table5[[#This Row],[Tour Starting Date]], "dddd"), "")</f>
        <v/>
      </c>
      <c r="S593" s="77"/>
      <c r="T593" s="25" t="str">
        <f>IF(Table5[[#This Row],[Tour Ending Date]]&lt;&gt;"", TEXT(Table5[[#This Row],[Tour Ending Date]], "dddd"), "")</f>
        <v/>
      </c>
      <c r="U59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93" s="37" t="str">
        <f>IF(Table5[[#This Row],[Tour Starting Date]]&lt;&gt;"", TEXT(Table5[[#This Row],[Tour Starting Date]], "mmmm"), "")</f>
        <v/>
      </c>
      <c r="W593" s="80" t="str" cm="1">
        <f t="array" ref="W593">IF(Q593&lt;&gt;"", INDEX(CI:CI, MATCH(1, (Q593&gt;=CG:CG)*(Q593&lt;=CH:CH), 0)), "")</f>
        <v/>
      </c>
      <c r="X593" s="39"/>
      <c r="Y593" s="74"/>
      <c r="Z593" s="74" t="str">
        <f>IF(OR(Table5[[#This Row],[Per Person Package Cost]]="", Table5[[#This Row],[No. of Pax]]=""), "", Table5[[#This Row],[Per Person Package Cost]] * Table5[[#This Row],[No. of Pax]])</f>
        <v/>
      </c>
      <c r="AA593" s="52"/>
      <c r="AB593" s="52"/>
      <c r="AC593" s="52"/>
      <c r="AD593" s="52"/>
      <c r="AE593" s="51" t="str">
        <f t="shared" si="61"/>
        <v/>
      </c>
      <c r="AF593" s="51" t="str">
        <f t="shared" si="62"/>
        <v/>
      </c>
      <c r="AG593" s="74" t="str">
        <f t="shared" si="63"/>
        <v/>
      </c>
      <c r="AH593" s="73" t="str">
        <f t="shared" si="60"/>
        <v/>
      </c>
      <c r="AI593" s="52"/>
      <c r="AJ593" s="56"/>
      <c r="AK593" s="59"/>
      <c r="AL593" s="60"/>
      <c r="AM593" s="54"/>
      <c r="AN593" s="64"/>
      <c r="AO593" s="26"/>
      <c r="AP593" s="93"/>
      <c r="AQ593" s="87"/>
      <c r="AR593" s="26"/>
      <c r="AS593" s="65"/>
      <c r="AT593" s="88"/>
      <c r="AU593" s="67"/>
      <c r="DA593" t="str" cm="1">
        <f t="array" ref="DA593">IF(U593&lt;&gt;"", TRANSPOSE(_xlfn._xlws.FILTER(CZ:CZ, CY:CY=U593, "")), "")</f>
        <v/>
      </c>
    </row>
    <row r="594" spans="2:105" ht="15" customHeight="1">
      <c r="B594" s="35">
        <v>590</v>
      </c>
      <c r="C594" s="36" t="s">
        <v>2459</v>
      </c>
      <c r="D594" s="76"/>
      <c r="E594" s="37" t="str">
        <f>IF(Table5[[#This Row],[Query Date]]&lt;&gt;"", TEXT(Table5[[#This Row],[Query Date]], "dddd"), "")</f>
        <v/>
      </c>
      <c r="F594" s="37" t="str">
        <f>IF(Table5[[#This Row],[Query Date]]&lt;&gt;"", TEXT(Table5[[#This Row],[Query Date]], "mmmm"), "")</f>
        <v/>
      </c>
      <c r="G594" s="28"/>
      <c r="H594" s="28"/>
      <c r="I594" s="28"/>
      <c r="J594" s="28"/>
      <c r="K594" s="28"/>
      <c r="L594" s="25"/>
      <c r="M594" s="25"/>
      <c r="N594" s="25"/>
      <c r="O594" s="130"/>
      <c r="P594" s="47"/>
      <c r="Q594" s="77"/>
      <c r="R594" s="77" t="str">
        <f>IF(Table5[[#This Row],[Tour Starting Date]]&lt;&gt;"", TEXT(Table5[[#This Row],[Tour Starting Date]], "dddd"), "")</f>
        <v/>
      </c>
      <c r="S594" s="77"/>
      <c r="T594" s="25" t="str">
        <f>IF(Table5[[#This Row],[Tour Ending Date]]&lt;&gt;"", TEXT(Table5[[#This Row],[Tour Ending Date]], "dddd"), "")</f>
        <v/>
      </c>
      <c r="U59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94" s="37" t="str">
        <f>IF(Table5[[#This Row],[Tour Starting Date]]&lt;&gt;"", TEXT(Table5[[#This Row],[Tour Starting Date]], "mmmm"), "")</f>
        <v/>
      </c>
      <c r="W594" s="80" t="str" cm="1">
        <f t="array" ref="W594">IF(Q594&lt;&gt;"", INDEX(CI:CI, MATCH(1, (Q594&gt;=CG:CG)*(Q594&lt;=CH:CH), 0)), "")</f>
        <v/>
      </c>
      <c r="X594" s="39"/>
      <c r="Y594" s="74"/>
      <c r="Z594" s="74" t="str">
        <f>IF(OR(Table5[[#This Row],[Per Person Package Cost]]="", Table5[[#This Row],[No. of Pax]]=""), "", Table5[[#This Row],[Per Person Package Cost]] * Table5[[#This Row],[No. of Pax]])</f>
        <v/>
      </c>
      <c r="AA594" s="52"/>
      <c r="AB594" s="52"/>
      <c r="AC594" s="52"/>
      <c r="AD594" s="52"/>
      <c r="AE594" s="51" t="str">
        <f t="shared" si="61"/>
        <v/>
      </c>
      <c r="AF594" s="51" t="str">
        <f t="shared" si="62"/>
        <v/>
      </c>
      <c r="AG594" s="74" t="str">
        <f t="shared" si="63"/>
        <v/>
      </c>
      <c r="AH594" s="73" t="str">
        <f t="shared" si="60"/>
        <v/>
      </c>
      <c r="AI594" s="52"/>
      <c r="AJ594" s="56"/>
      <c r="AK594" s="59"/>
      <c r="AL594" s="60"/>
      <c r="AM594" s="54"/>
      <c r="AN594" s="64"/>
      <c r="AO594" s="26"/>
      <c r="AP594" s="93"/>
      <c r="AQ594" s="87"/>
      <c r="AR594" s="26"/>
      <c r="AS594" s="65"/>
      <c r="AT594" s="88"/>
      <c r="AU594" s="67"/>
      <c r="DA594" t="str" cm="1">
        <f t="array" ref="DA594">IF(U594&lt;&gt;"", TRANSPOSE(_xlfn._xlws.FILTER(CZ:CZ, CY:CY=U594, "")), "")</f>
        <v/>
      </c>
    </row>
    <row r="595" spans="2:105" ht="15" customHeight="1">
      <c r="B595" s="34">
        <v>591</v>
      </c>
      <c r="C595" s="36" t="s">
        <v>2460</v>
      </c>
      <c r="D595" s="76"/>
      <c r="E595" s="37" t="str">
        <f>IF(Table5[[#This Row],[Query Date]]&lt;&gt;"", TEXT(Table5[[#This Row],[Query Date]], "dddd"), "")</f>
        <v/>
      </c>
      <c r="F595" s="37" t="str">
        <f>IF(Table5[[#This Row],[Query Date]]&lt;&gt;"", TEXT(Table5[[#This Row],[Query Date]], "mmmm"), "")</f>
        <v/>
      </c>
      <c r="G595" s="28"/>
      <c r="H595" s="28"/>
      <c r="I595" s="28"/>
      <c r="J595" s="28"/>
      <c r="K595" s="28"/>
      <c r="L595" s="25"/>
      <c r="M595" s="25"/>
      <c r="N595" s="25"/>
      <c r="O595" s="130"/>
      <c r="P595" s="47"/>
      <c r="Q595" s="77"/>
      <c r="R595" s="77" t="str">
        <f>IF(Table5[[#This Row],[Tour Starting Date]]&lt;&gt;"", TEXT(Table5[[#This Row],[Tour Starting Date]], "dddd"), "")</f>
        <v/>
      </c>
      <c r="S595" s="77"/>
      <c r="T595" s="25" t="str">
        <f>IF(Table5[[#This Row],[Tour Ending Date]]&lt;&gt;"", TEXT(Table5[[#This Row],[Tour Ending Date]], "dddd"), "")</f>
        <v/>
      </c>
      <c r="U59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95" s="37" t="str">
        <f>IF(Table5[[#This Row],[Tour Starting Date]]&lt;&gt;"", TEXT(Table5[[#This Row],[Tour Starting Date]], "mmmm"), "")</f>
        <v/>
      </c>
      <c r="W595" s="80" t="str" cm="1">
        <f t="array" ref="W595">IF(Q595&lt;&gt;"", INDEX(CI:CI, MATCH(1, (Q595&gt;=CG:CG)*(Q595&lt;=CH:CH), 0)), "")</f>
        <v/>
      </c>
      <c r="X595" s="39"/>
      <c r="Y595" s="74"/>
      <c r="Z595" s="74" t="str">
        <f>IF(OR(Table5[[#This Row],[Per Person Package Cost]]="", Table5[[#This Row],[No. of Pax]]=""), "", Table5[[#This Row],[Per Person Package Cost]] * Table5[[#This Row],[No. of Pax]])</f>
        <v/>
      </c>
      <c r="AA595" s="52"/>
      <c r="AB595" s="52"/>
      <c r="AC595" s="52"/>
      <c r="AD595" s="52"/>
      <c r="AE595" s="51" t="str">
        <f t="shared" si="61"/>
        <v/>
      </c>
      <c r="AF595" s="51" t="str">
        <f t="shared" si="62"/>
        <v/>
      </c>
      <c r="AG595" s="74" t="str">
        <f t="shared" si="63"/>
        <v/>
      </c>
      <c r="AH595" s="73" t="str">
        <f t="shared" si="60"/>
        <v/>
      </c>
      <c r="AI595" s="52"/>
      <c r="AJ595" s="56"/>
      <c r="AK595" s="59"/>
      <c r="AL595" s="60"/>
      <c r="AM595" s="54"/>
      <c r="AN595" s="64"/>
      <c r="AO595" s="26"/>
      <c r="AP595" s="93"/>
      <c r="AQ595" s="87"/>
      <c r="AR595" s="26"/>
      <c r="AS595" s="65"/>
      <c r="AT595" s="88"/>
      <c r="AU595" s="67"/>
      <c r="DA595" t="str" cm="1">
        <f t="array" ref="DA595">IF(U595&lt;&gt;"", TRANSPOSE(_xlfn._xlws.FILTER(CZ:CZ, CY:CY=U595, "")), "")</f>
        <v/>
      </c>
    </row>
    <row r="596" spans="2:105" ht="15" customHeight="1">
      <c r="B596" s="35">
        <v>592</v>
      </c>
      <c r="C596" s="36" t="s">
        <v>2461</v>
      </c>
      <c r="D596" s="76"/>
      <c r="E596" s="37" t="str">
        <f>IF(Table5[[#This Row],[Query Date]]&lt;&gt;"", TEXT(Table5[[#This Row],[Query Date]], "dddd"), "")</f>
        <v/>
      </c>
      <c r="F596" s="37" t="str">
        <f>IF(Table5[[#This Row],[Query Date]]&lt;&gt;"", TEXT(Table5[[#This Row],[Query Date]], "mmmm"), "")</f>
        <v/>
      </c>
      <c r="G596" s="28"/>
      <c r="H596" s="28"/>
      <c r="I596" s="28"/>
      <c r="J596" s="28"/>
      <c r="K596" s="28"/>
      <c r="L596" s="25"/>
      <c r="M596" s="25"/>
      <c r="N596" s="25"/>
      <c r="O596" s="130"/>
      <c r="P596" s="47"/>
      <c r="Q596" s="77"/>
      <c r="R596" s="77" t="str">
        <f>IF(Table5[[#This Row],[Tour Starting Date]]&lt;&gt;"", TEXT(Table5[[#This Row],[Tour Starting Date]], "dddd"), "")</f>
        <v/>
      </c>
      <c r="S596" s="77"/>
      <c r="T596" s="25" t="str">
        <f>IF(Table5[[#This Row],[Tour Ending Date]]&lt;&gt;"", TEXT(Table5[[#This Row],[Tour Ending Date]], "dddd"), "")</f>
        <v/>
      </c>
      <c r="U59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96" s="37" t="str">
        <f>IF(Table5[[#This Row],[Tour Starting Date]]&lt;&gt;"", TEXT(Table5[[#This Row],[Tour Starting Date]], "mmmm"), "")</f>
        <v/>
      </c>
      <c r="W596" s="80" t="str" cm="1">
        <f t="array" ref="W596">IF(Q596&lt;&gt;"", INDEX(CI:CI, MATCH(1, (Q596&gt;=CG:CG)*(Q596&lt;=CH:CH), 0)), "")</f>
        <v/>
      </c>
      <c r="X596" s="39"/>
      <c r="Y596" s="74"/>
      <c r="Z596" s="74" t="str">
        <f>IF(OR(Table5[[#This Row],[Per Person Package Cost]]="", Table5[[#This Row],[No. of Pax]]=""), "", Table5[[#This Row],[Per Person Package Cost]] * Table5[[#This Row],[No. of Pax]])</f>
        <v/>
      </c>
      <c r="AA596" s="52"/>
      <c r="AB596" s="52"/>
      <c r="AC596" s="52"/>
      <c r="AD596" s="52"/>
      <c r="AE596" s="51" t="str">
        <f t="shared" si="61"/>
        <v/>
      </c>
      <c r="AF596" s="51" t="str">
        <f t="shared" si="62"/>
        <v/>
      </c>
      <c r="AG596" s="74" t="str">
        <f t="shared" si="63"/>
        <v/>
      </c>
      <c r="AH596" s="73" t="str">
        <f t="shared" ref="AH596:AH659" si="64">IF(AD596&lt;&gt;"", INDEX(CV:CV, MATCH(AD596, CZ:CZ, 0)), "")</f>
        <v/>
      </c>
      <c r="AI596" s="52"/>
      <c r="AJ596" s="56"/>
      <c r="AK596" s="59"/>
      <c r="AL596" s="60"/>
      <c r="AM596" s="54"/>
      <c r="AN596" s="64"/>
      <c r="AO596" s="26"/>
      <c r="AP596" s="93"/>
      <c r="AQ596" s="87"/>
      <c r="AR596" s="26"/>
      <c r="AS596" s="65"/>
      <c r="AT596" s="88"/>
      <c r="AU596" s="67"/>
      <c r="DA596" t="str" cm="1">
        <f t="array" ref="DA596">IF(U596&lt;&gt;"", TRANSPOSE(_xlfn._xlws.FILTER(CZ:CZ, CY:CY=U596, "")), "")</f>
        <v/>
      </c>
    </row>
    <row r="597" spans="2:105" ht="15" customHeight="1">
      <c r="B597" s="34">
        <v>593</v>
      </c>
      <c r="C597" s="36" t="s">
        <v>2462</v>
      </c>
      <c r="D597" s="76"/>
      <c r="E597" s="37" t="str">
        <f>IF(Table5[[#This Row],[Query Date]]&lt;&gt;"", TEXT(Table5[[#This Row],[Query Date]], "dddd"), "")</f>
        <v/>
      </c>
      <c r="F597" s="37" t="str">
        <f>IF(Table5[[#This Row],[Query Date]]&lt;&gt;"", TEXT(Table5[[#This Row],[Query Date]], "mmmm"), "")</f>
        <v/>
      </c>
      <c r="G597" s="28"/>
      <c r="H597" s="28"/>
      <c r="I597" s="28"/>
      <c r="J597" s="28"/>
      <c r="K597" s="28"/>
      <c r="L597" s="25"/>
      <c r="M597" s="25"/>
      <c r="N597" s="25"/>
      <c r="O597" s="130"/>
      <c r="P597" s="47"/>
      <c r="Q597" s="77"/>
      <c r="R597" s="77" t="str">
        <f>IF(Table5[[#This Row],[Tour Starting Date]]&lt;&gt;"", TEXT(Table5[[#This Row],[Tour Starting Date]], "dddd"), "")</f>
        <v/>
      </c>
      <c r="S597" s="77"/>
      <c r="T597" s="25" t="str">
        <f>IF(Table5[[#This Row],[Tour Ending Date]]&lt;&gt;"", TEXT(Table5[[#This Row],[Tour Ending Date]], "dddd"), "")</f>
        <v/>
      </c>
      <c r="U59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97" s="37" t="str">
        <f>IF(Table5[[#This Row],[Tour Starting Date]]&lt;&gt;"", TEXT(Table5[[#This Row],[Tour Starting Date]], "mmmm"), "")</f>
        <v/>
      </c>
      <c r="W597" s="80" t="str" cm="1">
        <f t="array" ref="W597">IF(Q597&lt;&gt;"", INDEX(CI:CI, MATCH(1, (Q597&gt;=CG:CG)*(Q597&lt;=CH:CH), 0)), "")</f>
        <v/>
      </c>
      <c r="X597" s="39"/>
      <c r="Y597" s="74"/>
      <c r="Z597" s="74" t="str">
        <f>IF(OR(Table5[[#This Row],[Per Person Package Cost]]="", Table5[[#This Row],[No. of Pax]]=""), "", Table5[[#This Row],[Per Person Package Cost]] * Table5[[#This Row],[No. of Pax]])</f>
        <v/>
      </c>
      <c r="AA597" s="52"/>
      <c r="AB597" s="52"/>
      <c r="AC597" s="52"/>
      <c r="AD597" s="52"/>
      <c r="AE597" s="51" t="str">
        <f t="shared" si="61"/>
        <v/>
      </c>
      <c r="AF597" s="51" t="str">
        <f t="shared" si="62"/>
        <v/>
      </c>
      <c r="AG597" s="74" t="str">
        <f t="shared" si="63"/>
        <v/>
      </c>
      <c r="AH597" s="73" t="str">
        <f t="shared" si="64"/>
        <v/>
      </c>
      <c r="AI597" s="52"/>
      <c r="AJ597" s="56"/>
      <c r="AK597" s="59"/>
      <c r="AL597" s="60"/>
      <c r="AM597" s="54"/>
      <c r="AN597" s="64"/>
      <c r="AO597" s="26"/>
      <c r="AP597" s="93"/>
      <c r="AQ597" s="87"/>
      <c r="AR597" s="26"/>
      <c r="AS597" s="65"/>
      <c r="AT597" s="88"/>
      <c r="AU597" s="67"/>
      <c r="DA597" t="str" cm="1">
        <f t="array" ref="DA597">IF(U597&lt;&gt;"", TRANSPOSE(_xlfn._xlws.FILTER(CZ:CZ, CY:CY=U597, "")), "")</f>
        <v/>
      </c>
    </row>
    <row r="598" spans="2:105" ht="15" customHeight="1">
      <c r="B598" s="35">
        <v>594</v>
      </c>
      <c r="C598" s="36" t="s">
        <v>2463</v>
      </c>
      <c r="D598" s="76"/>
      <c r="E598" s="37" t="str">
        <f>IF(Table5[[#This Row],[Query Date]]&lt;&gt;"", TEXT(Table5[[#This Row],[Query Date]], "dddd"), "")</f>
        <v/>
      </c>
      <c r="F598" s="37" t="str">
        <f>IF(Table5[[#This Row],[Query Date]]&lt;&gt;"", TEXT(Table5[[#This Row],[Query Date]], "mmmm"), "")</f>
        <v/>
      </c>
      <c r="G598" s="28"/>
      <c r="H598" s="28"/>
      <c r="I598" s="28"/>
      <c r="J598" s="28"/>
      <c r="K598" s="28"/>
      <c r="L598" s="25"/>
      <c r="M598" s="25"/>
      <c r="N598" s="25"/>
      <c r="O598" s="130"/>
      <c r="P598" s="47"/>
      <c r="Q598" s="77"/>
      <c r="R598" s="77" t="str">
        <f>IF(Table5[[#This Row],[Tour Starting Date]]&lt;&gt;"", TEXT(Table5[[#This Row],[Tour Starting Date]], "dddd"), "")</f>
        <v/>
      </c>
      <c r="S598" s="77"/>
      <c r="T598" s="25" t="str">
        <f>IF(Table5[[#This Row],[Tour Ending Date]]&lt;&gt;"", TEXT(Table5[[#This Row],[Tour Ending Date]], "dddd"), "")</f>
        <v/>
      </c>
      <c r="U59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98" s="37" t="str">
        <f>IF(Table5[[#This Row],[Tour Starting Date]]&lt;&gt;"", TEXT(Table5[[#This Row],[Tour Starting Date]], "mmmm"), "")</f>
        <v/>
      </c>
      <c r="W598" s="80" t="str" cm="1">
        <f t="array" ref="W598">IF(Q598&lt;&gt;"", INDEX(CI:CI, MATCH(1, (Q598&gt;=CG:CG)*(Q598&lt;=CH:CH), 0)), "")</f>
        <v/>
      </c>
      <c r="X598" s="39"/>
      <c r="Y598" s="74"/>
      <c r="Z598" s="74" t="str">
        <f>IF(OR(Table5[[#This Row],[Per Person Package Cost]]="", Table5[[#This Row],[No. of Pax]]=""), "", Table5[[#This Row],[Per Person Package Cost]] * Table5[[#This Row],[No. of Pax]])</f>
        <v/>
      </c>
      <c r="AA598" s="52"/>
      <c r="AB598" s="52"/>
      <c r="AC598" s="52"/>
      <c r="AD598" s="52"/>
      <c r="AE598" s="51" t="str">
        <f t="shared" si="61"/>
        <v/>
      </c>
      <c r="AF598" s="51" t="str">
        <f t="shared" si="62"/>
        <v/>
      </c>
      <c r="AG598" s="74" t="str">
        <f t="shared" si="63"/>
        <v/>
      </c>
      <c r="AH598" s="73" t="str">
        <f t="shared" si="64"/>
        <v/>
      </c>
      <c r="AI598" s="52"/>
      <c r="AJ598" s="56"/>
      <c r="AK598" s="59"/>
      <c r="AL598" s="60"/>
      <c r="AM598" s="54"/>
      <c r="AN598" s="64"/>
      <c r="AO598" s="26"/>
      <c r="AP598" s="93"/>
      <c r="AQ598" s="87"/>
      <c r="AR598" s="26"/>
      <c r="AS598" s="65"/>
      <c r="AT598" s="88"/>
      <c r="AU598" s="67"/>
      <c r="DA598" t="str" cm="1">
        <f t="array" ref="DA598">IF(U598&lt;&gt;"", TRANSPOSE(_xlfn._xlws.FILTER(CZ:CZ, CY:CY=U598, "")), "")</f>
        <v/>
      </c>
    </row>
    <row r="599" spans="2:105" ht="15" customHeight="1">
      <c r="B599" s="34">
        <v>595</v>
      </c>
      <c r="C599" s="36" t="s">
        <v>2464</v>
      </c>
      <c r="D599" s="76"/>
      <c r="E599" s="37" t="str">
        <f>IF(Table5[[#This Row],[Query Date]]&lt;&gt;"", TEXT(Table5[[#This Row],[Query Date]], "dddd"), "")</f>
        <v/>
      </c>
      <c r="F599" s="37" t="str">
        <f>IF(Table5[[#This Row],[Query Date]]&lt;&gt;"", TEXT(Table5[[#This Row],[Query Date]], "mmmm"), "")</f>
        <v/>
      </c>
      <c r="G599" s="28"/>
      <c r="H599" s="28"/>
      <c r="I599" s="28"/>
      <c r="J599" s="28"/>
      <c r="K599" s="28"/>
      <c r="L599" s="25"/>
      <c r="M599" s="25"/>
      <c r="N599" s="25"/>
      <c r="O599" s="130"/>
      <c r="P599" s="47"/>
      <c r="Q599" s="77"/>
      <c r="R599" s="77" t="str">
        <f>IF(Table5[[#This Row],[Tour Starting Date]]&lt;&gt;"", TEXT(Table5[[#This Row],[Tour Starting Date]], "dddd"), "")</f>
        <v/>
      </c>
      <c r="S599" s="77"/>
      <c r="T599" s="25" t="str">
        <f>IF(Table5[[#This Row],[Tour Ending Date]]&lt;&gt;"", TEXT(Table5[[#This Row],[Tour Ending Date]], "dddd"), "")</f>
        <v/>
      </c>
      <c r="U59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599" s="37" t="str">
        <f>IF(Table5[[#This Row],[Tour Starting Date]]&lt;&gt;"", TEXT(Table5[[#This Row],[Tour Starting Date]], "mmmm"), "")</f>
        <v/>
      </c>
      <c r="W599" s="80" t="str" cm="1">
        <f t="array" ref="W599">IF(Q599&lt;&gt;"", INDEX(CI:CI, MATCH(1, (Q599&gt;=CG:CG)*(Q599&lt;=CH:CH), 0)), "")</f>
        <v/>
      </c>
      <c r="X599" s="39"/>
      <c r="Y599" s="74"/>
      <c r="Z599" s="74" t="str">
        <f>IF(OR(Table5[[#This Row],[Per Person Package Cost]]="", Table5[[#This Row],[No. of Pax]]=""), "", Table5[[#This Row],[Per Person Package Cost]] * Table5[[#This Row],[No. of Pax]])</f>
        <v/>
      </c>
      <c r="AA599" s="52"/>
      <c r="AB599" s="52"/>
      <c r="AC599" s="52"/>
      <c r="AD599" s="52"/>
      <c r="AE599" s="51" t="str">
        <f t="shared" si="61"/>
        <v/>
      </c>
      <c r="AF599" s="51" t="str">
        <f t="shared" si="62"/>
        <v/>
      </c>
      <c r="AG599" s="74" t="str">
        <f t="shared" si="63"/>
        <v/>
      </c>
      <c r="AH599" s="73" t="str">
        <f t="shared" si="64"/>
        <v/>
      </c>
      <c r="AI599" s="52"/>
      <c r="AJ599" s="56"/>
      <c r="AK599" s="59"/>
      <c r="AL599" s="60"/>
      <c r="AM599" s="54"/>
      <c r="AN599" s="64"/>
      <c r="AO599" s="26"/>
      <c r="AP599" s="93"/>
      <c r="AQ599" s="87"/>
      <c r="AR599" s="26"/>
      <c r="AS599" s="65"/>
      <c r="AT599" s="88"/>
      <c r="AU599" s="67"/>
      <c r="DA599" t="str" cm="1">
        <f t="array" ref="DA599">IF(U599&lt;&gt;"", TRANSPOSE(_xlfn._xlws.FILTER(CZ:CZ, CY:CY=U599, "")), "")</f>
        <v/>
      </c>
    </row>
    <row r="600" spans="2:105" ht="15" customHeight="1">
      <c r="B600" s="35">
        <v>596</v>
      </c>
      <c r="C600" s="36" t="s">
        <v>2465</v>
      </c>
      <c r="D600" s="76"/>
      <c r="E600" s="37" t="str">
        <f>IF(Table5[[#This Row],[Query Date]]&lt;&gt;"", TEXT(Table5[[#This Row],[Query Date]], "dddd"), "")</f>
        <v/>
      </c>
      <c r="F600" s="37" t="str">
        <f>IF(Table5[[#This Row],[Query Date]]&lt;&gt;"", TEXT(Table5[[#This Row],[Query Date]], "mmmm"), "")</f>
        <v/>
      </c>
      <c r="G600" s="28"/>
      <c r="H600" s="28"/>
      <c r="I600" s="28"/>
      <c r="J600" s="28"/>
      <c r="K600" s="28"/>
      <c r="L600" s="25"/>
      <c r="M600" s="25"/>
      <c r="N600" s="25"/>
      <c r="O600" s="130"/>
      <c r="P600" s="47"/>
      <c r="Q600" s="77"/>
      <c r="R600" s="77" t="str">
        <f>IF(Table5[[#This Row],[Tour Starting Date]]&lt;&gt;"", TEXT(Table5[[#This Row],[Tour Starting Date]], "dddd"), "")</f>
        <v/>
      </c>
      <c r="S600" s="77"/>
      <c r="T600" s="25" t="str">
        <f>IF(Table5[[#This Row],[Tour Ending Date]]&lt;&gt;"", TEXT(Table5[[#This Row],[Tour Ending Date]], "dddd"), "")</f>
        <v/>
      </c>
      <c r="U60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00" s="37" t="str">
        <f>IF(Table5[[#This Row],[Tour Starting Date]]&lt;&gt;"", TEXT(Table5[[#This Row],[Tour Starting Date]], "mmmm"), "")</f>
        <v/>
      </c>
      <c r="W600" s="80" t="str" cm="1">
        <f t="array" ref="W600">IF(Q600&lt;&gt;"", INDEX(CI:CI, MATCH(1, (Q600&gt;=CG:CG)*(Q600&lt;=CH:CH), 0)), "")</f>
        <v/>
      </c>
      <c r="X600" s="39"/>
      <c r="Y600" s="74"/>
      <c r="Z600" s="74" t="str">
        <f>IF(OR(Table5[[#This Row],[Per Person Package Cost]]="", Table5[[#This Row],[No. of Pax]]=""), "", Table5[[#This Row],[Per Person Package Cost]] * Table5[[#This Row],[No. of Pax]])</f>
        <v/>
      </c>
      <c r="AA600" s="52"/>
      <c r="AB600" s="52"/>
      <c r="AC600" s="52"/>
      <c r="AD600" s="52"/>
      <c r="AE600" s="51" t="str">
        <f t="shared" si="61"/>
        <v/>
      </c>
      <c r="AF600" s="51" t="str">
        <f t="shared" si="62"/>
        <v/>
      </c>
      <c r="AG600" s="74" t="str">
        <f t="shared" si="63"/>
        <v/>
      </c>
      <c r="AH600" s="73" t="str">
        <f t="shared" si="64"/>
        <v/>
      </c>
      <c r="AI600" s="52"/>
      <c r="AJ600" s="56"/>
      <c r="AK600" s="59"/>
      <c r="AL600" s="60"/>
      <c r="AM600" s="54"/>
      <c r="AN600" s="64"/>
      <c r="AO600" s="26"/>
      <c r="AP600" s="93"/>
      <c r="AQ600" s="87"/>
      <c r="AR600" s="26"/>
      <c r="AS600" s="65"/>
      <c r="AT600" s="88"/>
      <c r="AU600" s="67"/>
      <c r="DA600" t="str" cm="1">
        <f t="array" ref="DA600">IF(U600&lt;&gt;"", TRANSPOSE(_xlfn._xlws.FILTER(CZ:CZ, CY:CY=U600, "")), "")</f>
        <v/>
      </c>
    </row>
    <row r="601" spans="2:105" ht="15" customHeight="1">
      <c r="B601" s="34">
        <v>597</v>
      </c>
      <c r="C601" s="36" t="s">
        <v>2466</v>
      </c>
      <c r="D601" s="76"/>
      <c r="E601" s="37" t="str">
        <f>IF(Table5[[#This Row],[Query Date]]&lt;&gt;"", TEXT(Table5[[#This Row],[Query Date]], "dddd"), "")</f>
        <v/>
      </c>
      <c r="F601" s="37" t="str">
        <f>IF(Table5[[#This Row],[Query Date]]&lt;&gt;"", TEXT(Table5[[#This Row],[Query Date]], "mmmm"), "")</f>
        <v/>
      </c>
      <c r="G601" s="28"/>
      <c r="H601" s="28"/>
      <c r="I601" s="28"/>
      <c r="J601" s="28"/>
      <c r="K601" s="28"/>
      <c r="L601" s="25"/>
      <c r="M601" s="25"/>
      <c r="N601" s="25"/>
      <c r="O601" s="130"/>
      <c r="P601" s="47"/>
      <c r="Q601" s="77"/>
      <c r="R601" s="77" t="str">
        <f>IF(Table5[[#This Row],[Tour Starting Date]]&lt;&gt;"", TEXT(Table5[[#This Row],[Tour Starting Date]], "dddd"), "")</f>
        <v/>
      </c>
      <c r="S601" s="77"/>
      <c r="T601" s="25" t="str">
        <f>IF(Table5[[#This Row],[Tour Ending Date]]&lt;&gt;"", TEXT(Table5[[#This Row],[Tour Ending Date]], "dddd"), "")</f>
        <v/>
      </c>
      <c r="U60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01" s="37" t="str">
        <f>IF(Table5[[#This Row],[Tour Starting Date]]&lt;&gt;"", TEXT(Table5[[#This Row],[Tour Starting Date]], "mmmm"), "")</f>
        <v/>
      </c>
      <c r="W601" s="80" t="str" cm="1">
        <f t="array" ref="W601">IF(Q601&lt;&gt;"", INDEX(CI:CI, MATCH(1, (Q601&gt;=CG:CG)*(Q601&lt;=CH:CH), 0)), "")</f>
        <v/>
      </c>
      <c r="X601" s="39"/>
      <c r="Y601" s="74"/>
      <c r="Z601" s="74" t="str">
        <f>IF(OR(Table5[[#This Row],[Per Person Package Cost]]="", Table5[[#This Row],[No. of Pax]]=""), "", Table5[[#This Row],[Per Person Package Cost]] * Table5[[#This Row],[No. of Pax]])</f>
        <v/>
      </c>
      <c r="AA601" s="52"/>
      <c r="AB601" s="52"/>
      <c r="AC601" s="52"/>
      <c r="AD601" s="52"/>
      <c r="AE601" s="51" t="str">
        <f t="shared" si="61"/>
        <v/>
      </c>
      <c r="AF601" s="51" t="str">
        <f t="shared" si="62"/>
        <v/>
      </c>
      <c r="AG601" s="74" t="str">
        <f t="shared" si="63"/>
        <v/>
      </c>
      <c r="AH601" s="73" t="str">
        <f t="shared" si="64"/>
        <v/>
      </c>
      <c r="AI601" s="52"/>
      <c r="AJ601" s="56"/>
      <c r="AK601" s="59"/>
      <c r="AL601" s="60"/>
      <c r="AM601" s="54"/>
      <c r="AN601" s="64"/>
      <c r="AO601" s="26"/>
      <c r="AP601" s="93"/>
      <c r="AQ601" s="87"/>
      <c r="AR601" s="26"/>
      <c r="AS601" s="65"/>
      <c r="AT601" s="88"/>
      <c r="AU601" s="67"/>
      <c r="DA601" t="str" cm="1">
        <f t="array" ref="DA601">IF(U601&lt;&gt;"", TRANSPOSE(_xlfn._xlws.FILTER(CZ:CZ, CY:CY=U601, "")), "")</f>
        <v/>
      </c>
    </row>
    <row r="602" spans="2:105" ht="15" customHeight="1">
      <c r="B602" s="35">
        <v>598</v>
      </c>
      <c r="C602" s="36" t="s">
        <v>2467</v>
      </c>
      <c r="D602" s="76"/>
      <c r="E602" s="37" t="str">
        <f>IF(Table5[[#This Row],[Query Date]]&lt;&gt;"", TEXT(Table5[[#This Row],[Query Date]], "dddd"), "")</f>
        <v/>
      </c>
      <c r="F602" s="37" t="str">
        <f>IF(Table5[[#This Row],[Query Date]]&lt;&gt;"", TEXT(Table5[[#This Row],[Query Date]], "mmmm"), "")</f>
        <v/>
      </c>
      <c r="G602" s="28"/>
      <c r="H602" s="28"/>
      <c r="I602" s="28"/>
      <c r="J602" s="28"/>
      <c r="K602" s="28"/>
      <c r="L602" s="25"/>
      <c r="M602" s="25"/>
      <c r="N602" s="25"/>
      <c r="O602" s="130"/>
      <c r="P602" s="47"/>
      <c r="Q602" s="77"/>
      <c r="R602" s="77" t="str">
        <f>IF(Table5[[#This Row],[Tour Starting Date]]&lt;&gt;"", TEXT(Table5[[#This Row],[Tour Starting Date]], "dddd"), "")</f>
        <v/>
      </c>
      <c r="S602" s="77"/>
      <c r="T602" s="25" t="str">
        <f>IF(Table5[[#This Row],[Tour Ending Date]]&lt;&gt;"", TEXT(Table5[[#This Row],[Tour Ending Date]], "dddd"), "")</f>
        <v/>
      </c>
      <c r="U60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02" s="37" t="str">
        <f>IF(Table5[[#This Row],[Tour Starting Date]]&lt;&gt;"", TEXT(Table5[[#This Row],[Tour Starting Date]], "mmmm"), "")</f>
        <v/>
      </c>
      <c r="W602" s="80" t="str" cm="1">
        <f t="array" ref="W602">IF(Q602&lt;&gt;"", INDEX(CI:CI, MATCH(1, (Q602&gt;=CG:CG)*(Q602&lt;=CH:CH), 0)), "")</f>
        <v/>
      </c>
      <c r="X602" s="39"/>
      <c r="Y602" s="74"/>
      <c r="Z602" s="74" t="str">
        <f>IF(OR(Table5[[#This Row],[Per Person Package Cost]]="", Table5[[#This Row],[No. of Pax]]=""), "", Table5[[#This Row],[Per Person Package Cost]] * Table5[[#This Row],[No. of Pax]])</f>
        <v/>
      </c>
      <c r="AA602" s="52"/>
      <c r="AB602" s="52"/>
      <c r="AC602" s="52"/>
      <c r="AD602" s="52"/>
      <c r="AE602" s="51" t="str">
        <f t="shared" si="61"/>
        <v/>
      </c>
      <c r="AF602" s="51" t="str">
        <f t="shared" si="62"/>
        <v/>
      </c>
      <c r="AG602" s="74" t="str">
        <f t="shared" si="63"/>
        <v/>
      </c>
      <c r="AH602" s="73" t="str">
        <f t="shared" si="64"/>
        <v/>
      </c>
      <c r="AI602" s="52"/>
      <c r="AJ602" s="56"/>
      <c r="AK602" s="59"/>
      <c r="AL602" s="60"/>
      <c r="AM602" s="54"/>
      <c r="AN602" s="64"/>
      <c r="AO602" s="26"/>
      <c r="AP602" s="93"/>
      <c r="AQ602" s="87"/>
      <c r="AR602" s="26"/>
      <c r="AS602" s="65"/>
      <c r="AT602" s="88"/>
      <c r="AU602" s="67"/>
      <c r="DA602" t="str" cm="1">
        <f t="array" ref="DA602">IF(U602&lt;&gt;"", TRANSPOSE(_xlfn._xlws.FILTER(CZ:CZ, CY:CY=U602, "")), "")</f>
        <v/>
      </c>
    </row>
    <row r="603" spans="2:105" ht="15" customHeight="1">
      <c r="B603" s="34">
        <v>599</v>
      </c>
      <c r="C603" s="36" t="s">
        <v>2468</v>
      </c>
      <c r="D603" s="76"/>
      <c r="E603" s="37" t="str">
        <f>IF(Table5[[#This Row],[Query Date]]&lt;&gt;"", TEXT(Table5[[#This Row],[Query Date]], "dddd"), "")</f>
        <v/>
      </c>
      <c r="F603" s="37" t="str">
        <f>IF(Table5[[#This Row],[Query Date]]&lt;&gt;"", TEXT(Table5[[#This Row],[Query Date]], "mmmm"), "")</f>
        <v/>
      </c>
      <c r="G603" s="28"/>
      <c r="H603" s="28"/>
      <c r="I603" s="28"/>
      <c r="J603" s="28"/>
      <c r="K603" s="28"/>
      <c r="L603" s="25"/>
      <c r="M603" s="25"/>
      <c r="N603" s="25"/>
      <c r="O603" s="130"/>
      <c r="P603" s="47"/>
      <c r="Q603" s="77"/>
      <c r="R603" s="77" t="str">
        <f>IF(Table5[[#This Row],[Tour Starting Date]]&lt;&gt;"", TEXT(Table5[[#This Row],[Tour Starting Date]], "dddd"), "")</f>
        <v/>
      </c>
      <c r="S603" s="77"/>
      <c r="T603" s="25" t="str">
        <f>IF(Table5[[#This Row],[Tour Ending Date]]&lt;&gt;"", TEXT(Table5[[#This Row],[Tour Ending Date]], "dddd"), "")</f>
        <v/>
      </c>
      <c r="U60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03" s="37" t="str">
        <f>IF(Table5[[#This Row],[Tour Starting Date]]&lt;&gt;"", TEXT(Table5[[#This Row],[Tour Starting Date]], "mmmm"), "")</f>
        <v/>
      </c>
      <c r="W603" s="80" t="str" cm="1">
        <f t="array" ref="W603">IF(Q603&lt;&gt;"", INDEX(CI:CI, MATCH(1, (Q603&gt;=CG:CG)*(Q603&lt;=CH:CH), 0)), "")</f>
        <v/>
      </c>
      <c r="X603" s="39"/>
      <c r="Y603" s="74"/>
      <c r="Z603" s="74" t="str">
        <f>IF(OR(Table5[[#This Row],[Per Person Package Cost]]="", Table5[[#This Row],[No. of Pax]]=""), "", Table5[[#This Row],[Per Person Package Cost]] * Table5[[#This Row],[No. of Pax]])</f>
        <v/>
      </c>
      <c r="AA603" s="52"/>
      <c r="AB603" s="52"/>
      <c r="AC603" s="52"/>
      <c r="AD603" s="52"/>
      <c r="AE603" s="51" t="str">
        <f t="shared" si="61"/>
        <v/>
      </c>
      <c r="AF603" s="51" t="str">
        <f t="shared" si="62"/>
        <v/>
      </c>
      <c r="AG603" s="74" t="str">
        <f t="shared" si="63"/>
        <v/>
      </c>
      <c r="AH603" s="73" t="str">
        <f t="shared" si="64"/>
        <v/>
      </c>
      <c r="AI603" s="52"/>
      <c r="AJ603" s="56"/>
      <c r="AK603" s="59"/>
      <c r="AL603" s="60"/>
      <c r="AM603" s="54"/>
      <c r="AN603" s="64"/>
      <c r="AO603" s="26"/>
      <c r="AP603" s="93"/>
      <c r="AQ603" s="87"/>
      <c r="AR603" s="26"/>
      <c r="AS603" s="65"/>
      <c r="AT603" s="88"/>
      <c r="AU603" s="67"/>
      <c r="DA603" t="str" cm="1">
        <f t="array" ref="DA603">IF(U603&lt;&gt;"", TRANSPOSE(_xlfn._xlws.FILTER(CZ:CZ, CY:CY=U603, "")), "")</f>
        <v/>
      </c>
    </row>
    <row r="604" spans="2:105" ht="15" customHeight="1">
      <c r="B604" s="35">
        <v>600</v>
      </c>
      <c r="C604" s="36" t="s">
        <v>2469</v>
      </c>
      <c r="D604" s="76"/>
      <c r="E604" s="37" t="str">
        <f>IF(Table5[[#This Row],[Query Date]]&lt;&gt;"", TEXT(Table5[[#This Row],[Query Date]], "dddd"), "")</f>
        <v/>
      </c>
      <c r="F604" s="37" t="str">
        <f>IF(Table5[[#This Row],[Query Date]]&lt;&gt;"", TEXT(Table5[[#This Row],[Query Date]], "mmmm"), "")</f>
        <v/>
      </c>
      <c r="G604" s="28"/>
      <c r="H604" s="28"/>
      <c r="I604" s="28"/>
      <c r="J604" s="28"/>
      <c r="K604" s="28"/>
      <c r="L604" s="25"/>
      <c r="M604" s="25"/>
      <c r="N604" s="25"/>
      <c r="O604" s="130"/>
      <c r="P604" s="47"/>
      <c r="Q604" s="77"/>
      <c r="R604" s="77" t="str">
        <f>IF(Table5[[#This Row],[Tour Starting Date]]&lt;&gt;"", TEXT(Table5[[#This Row],[Tour Starting Date]], "dddd"), "")</f>
        <v/>
      </c>
      <c r="S604" s="77"/>
      <c r="T604" s="25" t="str">
        <f>IF(Table5[[#This Row],[Tour Ending Date]]&lt;&gt;"", TEXT(Table5[[#This Row],[Tour Ending Date]], "dddd"), "")</f>
        <v/>
      </c>
      <c r="U60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04" s="37" t="str">
        <f>IF(Table5[[#This Row],[Tour Starting Date]]&lt;&gt;"", TEXT(Table5[[#This Row],[Tour Starting Date]], "mmmm"), "")</f>
        <v/>
      </c>
      <c r="W604" s="80" t="str" cm="1">
        <f t="array" ref="W604">IF(Q604&lt;&gt;"", INDEX(CI:CI, MATCH(1, (Q604&gt;=CG:CG)*(Q604&lt;=CH:CH), 0)), "")</f>
        <v/>
      </c>
      <c r="X604" s="39"/>
      <c r="Y604" s="74"/>
      <c r="Z604" s="74" t="str">
        <f>IF(OR(Table5[[#This Row],[Per Person Package Cost]]="", Table5[[#This Row],[No. of Pax]]=""), "", Table5[[#This Row],[Per Person Package Cost]] * Table5[[#This Row],[No. of Pax]])</f>
        <v/>
      </c>
      <c r="AA604" s="52"/>
      <c r="AB604" s="52"/>
      <c r="AC604" s="52"/>
      <c r="AD604" s="52"/>
      <c r="AE604" s="51" t="str">
        <f t="shared" si="61"/>
        <v/>
      </c>
      <c r="AF604" s="51" t="str">
        <f t="shared" si="62"/>
        <v/>
      </c>
      <c r="AG604" s="74" t="str">
        <f t="shared" si="63"/>
        <v/>
      </c>
      <c r="AH604" s="73" t="str">
        <f t="shared" si="64"/>
        <v/>
      </c>
      <c r="AI604" s="52"/>
      <c r="AJ604" s="56"/>
      <c r="AK604" s="59"/>
      <c r="AL604" s="60"/>
      <c r="AM604" s="54"/>
      <c r="AN604" s="64"/>
      <c r="AO604" s="26"/>
      <c r="AP604" s="93"/>
      <c r="AQ604" s="87"/>
      <c r="AR604" s="26"/>
      <c r="AS604" s="65"/>
      <c r="AT604" s="88"/>
      <c r="AU604" s="67"/>
      <c r="DA604" t="str" cm="1">
        <f t="array" ref="DA604">IF(U604&lt;&gt;"", TRANSPOSE(_xlfn._xlws.FILTER(CZ:CZ, CY:CY=U604, "")), "")</f>
        <v/>
      </c>
    </row>
    <row r="605" spans="2:105" ht="15" customHeight="1">
      <c r="B605" s="34">
        <v>601</v>
      </c>
      <c r="C605" s="36" t="s">
        <v>2470</v>
      </c>
      <c r="D605" s="76"/>
      <c r="E605" s="37" t="str">
        <f>IF(Table5[[#This Row],[Query Date]]&lt;&gt;"", TEXT(Table5[[#This Row],[Query Date]], "dddd"), "")</f>
        <v/>
      </c>
      <c r="F605" s="37" t="str">
        <f>IF(Table5[[#This Row],[Query Date]]&lt;&gt;"", TEXT(Table5[[#This Row],[Query Date]], "mmmm"), "")</f>
        <v/>
      </c>
      <c r="G605" s="28"/>
      <c r="H605" s="28"/>
      <c r="I605" s="28"/>
      <c r="J605" s="28"/>
      <c r="K605" s="28"/>
      <c r="L605" s="25"/>
      <c r="M605" s="25"/>
      <c r="N605" s="25"/>
      <c r="O605" s="130"/>
      <c r="P605" s="47"/>
      <c r="Q605" s="77"/>
      <c r="R605" s="77" t="str">
        <f>IF(Table5[[#This Row],[Tour Starting Date]]&lt;&gt;"", TEXT(Table5[[#This Row],[Tour Starting Date]], "dddd"), "")</f>
        <v/>
      </c>
      <c r="S605" s="77"/>
      <c r="T605" s="25" t="str">
        <f>IF(Table5[[#This Row],[Tour Ending Date]]&lt;&gt;"", TEXT(Table5[[#This Row],[Tour Ending Date]], "dddd"), "")</f>
        <v/>
      </c>
      <c r="U60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05" s="37" t="str">
        <f>IF(Table5[[#This Row],[Tour Starting Date]]&lt;&gt;"", TEXT(Table5[[#This Row],[Tour Starting Date]], "mmmm"), "")</f>
        <v/>
      </c>
      <c r="W605" s="80" t="str" cm="1">
        <f t="array" ref="W605">IF(Q605&lt;&gt;"", INDEX(CI:CI, MATCH(1, (Q605&gt;=CG:CG)*(Q605&lt;=CH:CH), 0)), "")</f>
        <v/>
      </c>
      <c r="X605" s="39"/>
      <c r="Y605" s="74"/>
      <c r="Z605" s="74" t="str">
        <f>IF(OR(Table5[[#This Row],[Per Person Package Cost]]="", Table5[[#This Row],[No. of Pax]]=""), "", Table5[[#This Row],[Per Person Package Cost]] * Table5[[#This Row],[No. of Pax]])</f>
        <v/>
      </c>
      <c r="AA605" s="52"/>
      <c r="AB605" s="52"/>
      <c r="AC605" s="52"/>
      <c r="AD605" s="52"/>
      <c r="AE605" s="51" t="str">
        <f t="shared" si="61"/>
        <v/>
      </c>
      <c r="AF605" s="51" t="str">
        <f t="shared" si="62"/>
        <v/>
      </c>
      <c r="AG605" s="74" t="str">
        <f t="shared" si="63"/>
        <v/>
      </c>
      <c r="AH605" s="73" t="str">
        <f t="shared" si="64"/>
        <v/>
      </c>
      <c r="AI605" s="52"/>
      <c r="AJ605" s="56"/>
      <c r="AK605" s="59"/>
      <c r="AL605" s="60"/>
      <c r="AM605" s="54"/>
      <c r="AN605" s="64"/>
      <c r="AO605" s="26"/>
      <c r="AP605" s="93"/>
      <c r="AQ605" s="87"/>
      <c r="AR605" s="26"/>
      <c r="AS605" s="65"/>
      <c r="AT605" s="88"/>
      <c r="AU605" s="67"/>
      <c r="DA605" t="str" cm="1">
        <f t="array" ref="DA605">IF(U605&lt;&gt;"", TRANSPOSE(_xlfn._xlws.FILTER(CZ:CZ, CY:CY=U605, "")), "")</f>
        <v/>
      </c>
    </row>
    <row r="606" spans="2:105" ht="15" customHeight="1">
      <c r="B606" s="35">
        <v>602</v>
      </c>
      <c r="C606" s="36" t="s">
        <v>2471</v>
      </c>
      <c r="D606" s="76"/>
      <c r="E606" s="37" t="str">
        <f>IF(Table5[[#This Row],[Query Date]]&lt;&gt;"", TEXT(Table5[[#This Row],[Query Date]], "dddd"), "")</f>
        <v/>
      </c>
      <c r="F606" s="37" t="str">
        <f>IF(Table5[[#This Row],[Query Date]]&lt;&gt;"", TEXT(Table5[[#This Row],[Query Date]], "mmmm"), "")</f>
        <v/>
      </c>
      <c r="G606" s="28"/>
      <c r="H606" s="28"/>
      <c r="I606" s="28"/>
      <c r="J606" s="28"/>
      <c r="K606" s="28"/>
      <c r="L606" s="25"/>
      <c r="M606" s="25"/>
      <c r="N606" s="25"/>
      <c r="O606" s="130"/>
      <c r="P606" s="47"/>
      <c r="Q606" s="77"/>
      <c r="R606" s="77" t="str">
        <f>IF(Table5[[#This Row],[Tour Starting Date]]&lt;&gt;"", TEXT(Table5[[#This Row],[Tour Starting Date]], "dddd"), "")</f>
        <v/>
      </c>
      <c r="S606" s="77"/>
      <c r="T606" s="25" t="str">
        <f>IF(Table5[[#This Row],[Tour Ending Date]]&lt;&gt;"", TEXT(Table5[[#This Row],[Tour Ending Date]], "dddd"), "")</f>
        <v/>
      </c>
      <c r="U60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06" s="37" t="str">
        <f>IF(Table5[[#This Row],[Tour Starting Date]]&lt;&gt;"", TEXT(Table5[[#This Row],[Tour Starting Date]], "mmmm"), "")</f>
        <v/>
      </c>
      <c r="W606" s="80" t="str" cm="1">
        <f t="array" ref="W606">IF(Q606&lt;&gt;"", INDEX(CI:CI, MATCH(1, (Q606&gt;=CG:CG)*(Q606&lt;=CH:CH), 0)), "")</f>
        <v/>
      </c>
      <c r="X606" s="39"/>
      <c r="Y606" s="74"/>
      <c r="Z606" s="74" t="str">
        <f>IF(OR(Table5[[#This Row],[Per Person Package Cost]]="", Table5[[#This Row],[No. of Pax]]=""), "", Table5[[#This Row],[Per Person Package Cost]] * Table5[[#This Row],[No. of Pax]])</f>
        <v/>
      </c>
      <c r="AA606" s="52"/>
      <c r="AB606" s="52"/>
      <c r="AC606" s="52"/>
      <c r="AD606" s="52"/>
      <c r="AE606" s="51" t="str">
        <f t="shared" si="61"/>
        <v/>
      </c>
      <c r="AF606" s="51" t="str">
        <f t="shared" si="62"/>
        <v/>
      </c>
      <c r="AG606" s="74" t="str">
        <f t="shared" si="63"/>
        <v/>
      </c>
      <c r="AH606" s="73" t="str">
        <f t="shared" si="64"/>
        <v/>
      </c>
      <c r="AI606" s="52"/>
      <c r="AJ606" s="56"/>
      <c r="AK606" s="59"/>
      <c r="AL606" s="60"/>
      <c r="AM606" s="54"/>
      <c r="AN606" s="64"/>
      <c r="AO606" s="26"/>
      <c r="AP606" s="93"/>
      <c r="AQ606" s="87"/>
      <c r="AR606" s="26"/>
      <c r="AS606" s="65"/>
      <c r="AT606" s="88"/>
      <c r="AU606" s="67"/>
      <c r="DA606" t="str" cm="1">
        <f t="array" ref="DA606">IF(U606&lt;&gt;"", TRANSPOSE(_xlfn._xlws.FILTER(CZ:CZ, CY:CY=U606, "")), "")</f>
        <v/>
      </c>
    </row>
    <row r="607" spans="2:105" ht="15" customHeight="1">
      <c r="B607" s="34">
        <v>603</v>
      </c>
      <c r="C607" s="36" t="s">
        <v>2472</v>
      </c>
      <c r="D607" s="76"/>
      <c r="E607" s="37" t="str">
        <f>IF(Table5[[#This Row],[Query Date]]&lt;&gt;"", TEXT(Table5[[#This Row],[Query Date]], "dddd"), "")</f>
        <v/>
      </c>
      <c r="F607" s="37" t="str">
        <f>IF(Table5[[#This Row],[Query Date]]&lt;&gt;"", TEXT(Table5[[#This Row],[Query Date]], "mmmm"), "")</f>
        <v/>
      </c>
      <c r="G607" s="28"/>
      <c r="H607" s="28"/>
      <c r="I607" s="28"/>
      <c r="J607" s="28"/>
      <c r="K607" s="28"/>
      <c r="L607" s="25"/>
      <c r="M607" s="25"/>
      <c r="N607" s="25"/>
      <c r="O607" s="130"/>
      <c r="P607" s="47"/>
      <c r="Q607" s="77"/>
      <c r="R607" s="77" t="str">
        <f>IF(Table5[[#This Row],[Tour Starting Date]]&lt;&gt;"", TEXT(Table5[[#This Row],[Tour Starting Date]], "dddd"), "")</f>
        <v/>
      </c>
      <c r="S607" s="77"/>
      <c r="T607" s="25" t="str">
        <f>IF(Table5[[#This Row],[Tour Ending Date]]&lt;&gt;"", TEXT(Table5[[#This Row],[Tour Ending Date]], "dddd"), "")</f>
        <v/>
      </c>
      <c r="U60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07" s="37" t="str">
        <f>IF(Table5[[#This Row],[Tour Starting Date]]&lt;&gt;"", TEXT(Table5[[#This Row],[Tour Starting Date]], "mmmm"), "")</f>
        <v/>
      </c>
      <c r="W607" s="80" t="str" cm="1">
        <f t="array" ref="W607">IF(Q607&lt;&gt;"", INDEX(CI:CI, MATCH(1, (Q607&gt;=CG:CG)*(Q607&lt;=CH:CH), 0)), "")</f>
        <v/>
      </c>
      <c r="X607" s="39"/>
      <c r="Y607" s="74"/>
      <c r="Z607" s="74" t="str">
        <f>IF(OR(Table5[[#This Row],[Per Person Package Cost]]="", Table5[[#This Row],[No. of Pax]]=""), "", Table5[[#This Row],[Per Person Package Cost]] * Table5[[#This Row],[No. of Pax]])</f>
        <v/>
      </c>
      <c r="AA607" s="52"/>
      <c r="AB607" s="52"/>
      <c r="AC607" s="52"/>
      <c r="AD607" s="52"/>
      <c r="AE607" s="51" t="str">
        <f t="shared" si="61"/>
        <v/>
      </c>
      <c r="AF607" s="51" t="str">
        <f t="shared" si="62"/>
        <v/>
      </c>
      <c r="AG607" s="74" t="str">
        <f t="shared" si="63"/>
        <v/>
      </c>
      <c r="AH607" s="73" t="str">
        <f t="shared" si="64"/>
        <v/>
      </c>
      <c r="AI607" s="52"/>
      <c r="AJ607" s="56"/>
      <c r="AK607" s="59"/>
      <c r="AL607" s="60"/>
      <c r="AM607" s="54"/>
      <c r="AN607" s="64"/>
      <c r="AO607" s="26"/>
      <c r="AP607" s="93"/>
      <c r="AQ607" s="87"/>
      <c r="AR607" s="26"/>
      <c r="AS607" s="65"/>
      <c r="AT607" s="88"/>
      <c r="AU607" s="67"/>
      <c r="DA607" t="str" cm="1">
        <f t="array" ref="DA607">IF(U607&lt;&gt;"", TRANSPOSE(_xlfn._xlws.FILTER(CZ:CZ, CY:CY=U607, "")), "")</f>
        <v/>
      </c>
    </row>
    <row r="608" spans="2:105" ht="15" customHeight="1">
      <c r="B608" s="35">
        <v>604</v>
      </c>
      <c r="C608" s="36" t="s">
        <v>2473</v>
      </c>
      <c r="D608" s="76"/>
      <c r="E608" s="37" t="str">
        <f>IF(Table5[[#This Row],[Query Date]]&lt;&gt;"", TEXT(Table5[[#This Row],[Query Date]], "dddd"), "")</f>
        <v/>
      </c>
      <c r="F608" s="37" t="str">
        <f>IF(Table5[[#This Row],[Query Date]]&lt;&gt;"", TEXT(Table5[[#This Row],[Query Date]], "mmmm"), "")</f>
        <v/>
      </c>
      <c r="G608" s="28"/>
      <c r="H608" s="28"/>
      <c r="I608" s="28"/>
      <c r="J608" s="28"/>
      <c r="K608" s="28"/>
      <c r="L608" s="25"/>
      <c r="M608" s="25"/>
      <c r="N608" s="25"/>
      <c r="O608" s="130"/>
      <c r="P608" s="47"/>
      <c r="Q608" s="77"/>
      <c r="R608" s="77" t="str">
        <f>IF(Table5[[#This Row],[Tour Starting Date]]&lt;&gt;"", TEXT(Table5[[#This Row],[Tour Starting Date]], "dddd"), "")</f>
        <v/>
      </c>
      <c r="S608" s="77"/>
      <c r="T608" s="25" t="str">
        <f>IF(Table5[[#This Row],[Tour Ending Date]]&lt;&gt;"", TEXT(Table5[[#This Row],[Tour Ending Date]], "dddd"), "")</f>
        <v/>
      </c>
      <c r="U60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08" s="37" t="str">
        <f>IF(Table5[[#This Row],[Tour Starting Date]]&lt;&gt;"", TEXT(Table5[[#This Row],[Tour Starting Date]], "mmmm"), "")</f>
        <v/>
      </c>
      <c r="W608" s="80" t="str" cm="1">
        <f t="array" ref="W608">IF(Q608&lt;&gt;"", INDEX(CI:CI, MATCH(1, (Q608&gt;=CG:CG)*(Q608&lt;=CH:CH), 0)), "")</f>
        <v/>
      </c>
      <c r="X608" s="39"/>
      <c r="Y608" s="74"/>
      <c r="Z608" s="74" t="str">
        <f>IF(OR(Table5[[#This Row],[Per Person Package Cost]]="", Table5[[#This Row],[No. of Pax]]=""), "", Table5[[#This Row],[Per Person Package Cost]] * Table5[[#This Row],[No. of Pax]])</f>
        <v/>
      </c>
      <c r="AA608" s="52"/>
      <c r="AB608" s="52"/>
      <c r="AC608" s="52"/>
      <c r="AD608" s="52"/>
      <c r="AE608" s="51" t="str">
        <f t="shared" si="61"/>
        <v/>
      </c>
      <c r="AF608" s="51" t="str">
        <f t="shared" si="62"/>
        <v/>
      </c>
      <c r="AG608" s="74" t="str">
        <f t="shared" si="63"/>
        <v/>
      </c>
      <c r="AH608" s="73" t="str">
        <f t="shared" si="64"/>
        <v/>
      </c>
      <c r="AI608" s="52"/>
      <c r="AJ608" s="56"/>
      <c r="AK608" s="59"/>
      <c r="AL608" s="60"/>
      <c r="AM608" s="54"/>
      <c r="AN608" s="64"/>
      <c r="AO608" s="26"/>
      <c r="AP608" s="93"/>
      <c r="AQ608" s="87"/>
      <c r="AR608" s="26"/>
      <c r="AS608" s="65"/>
      <c r="AT608" s="88"/>
      <c r="AU608" s="67"/>
      <c r="DA608" t="str" cm="1">
        <f t="array" ref="DA608">IF(U608&lt;&gt;"", TRANSPOSE(_xlfn._xlws.FILTER(CZ:CZ, CY:CY=U608, "")), "")</f>
        <v/>
      </c>
    </row>
    <row r="609" spans="2:105" ht="15" customHeight="1">
      <c r="B609" s="34">
        <v>605</v>
      </c>
      <c r="C609" s="36" t="s">
        <v>2474</v>
      </c>
      <c r="D609" s="76"/>
      <c r="E609" s="37" t="str">
        <f>IF(Table5[[#This Row],[Query Date]]&lt;&gt;"", TEXT(Table5[[#This Row],[Query Date]], "dddd"), "")</f>
        <v/>
      </c>
      <c r="F609" s="37" t="str">
        <f>IF(Table5[[#This Row],[Query Date]]&lt;&gt;"", TEXT(Table5[[#This Row],[Query Date]], "mmmm"), "")</f>
        <v/>
      </c>
      <c r="G609" s="28"/>
      <c r="H609" s="28"/>
      <c r="I609" s="28"/>
      <c r="J609" s="28"/>
      <c r="K609" s="28"/>
      <c r="L609" s="25"/>
      <c r="M609" s="25"/>
      <c r="N609" s="25"/>
      <c r="O609" s="130"/>
      <c r="P609" s="47"/>
      <c r="Q609" s="77"/>
      <c r="R609" s="77" t="str">
        <f>IF(Table5[[#This Row],[Tour Starting Date]]&lt;&gt;"", TEXT(Table5[[#This Row],[Tour Starting Date]], "dddd"), "")</f>
        <v/>
      </c>
      <c r="S609" s="77"/>
      <c r="T609" s="25" t="str">
        <f>IF(Table5[[#This Row],[Tour Ending Date]]&lt;&gt;"", TEXT(Table5[[#This Row],[Tour Ending Date]], "dddd"), "")</f>
        <v/>
      </c>
      <c r="U60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09" s="37" t="str">
        <f>IF(Table5[[#This Row],[Tour Starting Date]]&lt;&gt;"", TEXT(Table5[[#This Row],[Tour Starting Date]], "mmmm"), "")</f>
        <v/>
      </c>
      <c r="W609" s="80" t="str" cm="1">
        <f t="array" ref="W609">IF(Q609&lt;&gt;"", INDEX(CI:CI, MATCH(1, (Q609&gt;=CG:CG)*(Q609&lt;=CH:CH), 0)), "")</f>
        <v/>
      </c>
      <c r="X609" s="39"/>
      <c r="Y609" s="74"/>
      <c r="Z609" s="74" t="str">
        <f>IF(OR(Table5[[#This Row],[Per Person Package Cost]]="", Table5[[#This Row],[No. of Pax]]=""), "", Table5[[#This Row],[Per Person Package Cost]] * Table5[[#This Row],[No. of Pax]])</f>
        <v/>
      </c>
      <c r="AA609" s="52"/>
      <c r="AB609" s="52"/>
      <c r="AC609" s="52"/>
      <c r="AD609" s="52"/>
      <c r="AE609" s="51" t="str">
        <f t="shared" si="61"/>
        <v/>
      </c>
      <c r="AF609" s="51" t="str">
        <f t="shared" si="62"/>
        <v/>
      </c>
      <c r="AG609" s="74" t="str">
        <f t="shared" si="63"/>
        <v/>
      </c>
      <c r="AH609" s="73" t="str">
        <f t="shared" si="64"/>
        <v/>
      </c>
      <c r="AI609" s="52"/>
      <c r="AJ609" s="56"/>
      <c r="AK609" s="59"/>
      <c r="AL609" s="60"/>
      <c r="AM609" s="54"/>
      <c r="AN609" s="64"/>
      <c r="AO609" s="26"/>
      <c r="AP609" s="93"/>
      <c r="AQ609" s="87"/>
      <c r="AR609" s="26"/>
      <c r="AS609" s="65"/>
      <c r="AT609" s="88"/>
      <c r="AU609" s="67"/>
      <c r="DA609" t="str" cm="1">
        <f t="array" ref="DA609">IF(U609&lt;&gt;"", TRANSPOSE(_xlfn._xlws.FILTER(CZ:CZ, CY:CY=U609, "")), "")</f>
        <v/>
      </c>
    </row>
    <row r="610" spans="2:105" ht="15" customHeight="1">
      <c r="B610" s="35">
        <v>606</v>
      </c>
      <c r="C610" s="36" t="s">
        <v>2475</v>
      </c>
      <c r="D610" s="76"/>
      <c r="E610" s="37" t="str">
        <f>IF(Table5[[#This Row],[Query Date]]&lt;&gt;"", TEXT(Table5[[#This Row],[Query Date]], "dddd"), "")</f>
        <v/>
      </c>
      <c r="F610" s="37" t="str">
        <f>IF(Table5[[#This Row],[Query Date]]&lt;&gt;"", TEXT(Table5[[#This Row],[Query Date]], "mmmm"), "")</f>
        <v/>
      </c>
      <c r="G610" s="28"/>
      <c r="H610" s="28"/>
      <c r="I610" s="28"/>
      <c r="J610" s="28"/>
      <c r="K610" s="28"/>
      <c r="L610" s="25"/>
      <c r="M610" s="25"/>
      <c r="N610" s="25"/>
      <c r="O610" s="130"/>
      <c r="P610" s="47"/>
      <c r="Q610" s="77"/>
      <c r="R610" s="77" t="str">
        <f>IF(Table5[[#This Row],[Tour Starting Date]]&lt;&gt;"", TEXT(Table5[[#This Row],[Tour Starting Date]], "dddd"), "")</f>
        <v/>
      </c>
      <c r="S610" s="77"/>
      <c r="T610" s="25" t="str">
        <f>IF(Table5[[#This Row],[Tour Ending Date]]&lt;&gt;"", TEXT(Table5[[#This Row],[Tour Ending Date]], "dddd"), "")</f>
        <v/>
      </c>
      <c r="U61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10" s="37" t="str">
        <f>IF(Table5[[#This Row],[Tour Starting Date]]&lt;&gt;"", TEXT(Table5[[#This Row],[Tour Starting Date]], "mmmm"), "")</f>
        <v/>
      </c>
      <c r="W610" s="80" t="str" cm="1">
        <f t="array" ref="W610">IF(Q610&lt;&gt;"", INDEX(CI:CI, MATCH(1, (Q610&gt;=CG:CG)*(Q610&lt;=CH:CH), 0)), "")</f>
        <v/>
      </c>
      <c r="X610" s="39"/>
      <c r="Y610" s="74"/>
      <c r="Z610" s="74" t="str">
        <f>IF(OR(Table5[[#This Row],[Per Person Package Cost]]="", Table5[[#This Row],[No. of Pax]]=""), "", Table5[[#This Row],[Per Person Package Cost]] * Table5[[#This Row],[No. of Pax]])</f>
        <v/>
      </c>
      <c r="AA610" s="52"/>
      <c r="AB610" s="52"/>
      <c r="AC610" s="52"/>
      <c r="AD610" s="52"/>
      <c r="AE610" s="51" t="str">
        <f t="shared" si="61"/>
        <v/>
      </c>
      <c r="AF610" s="51" t="str">
        <f t="shared" si="62"/>
        <v/>
      </c>
      <c r="AG610" s="74" t="str">
        <f t="shared" si="63"/>
        <v/>
      </c>
      <c r="AH610" s="73" t="str">
        <f t="shared" si="64"/>
        <v/>
      </c>
      <c r="AI610" s="52"/>
      <c r="AJ610" s="56"/>
      <c r="AK610" s="59"/>
      <c r="AL610" s="60"/>
      <c r="AM610" s="54"/>
      <c r="AN610" s="64"/>
      <c r="AO610" s="26"/>
      <c r="AP610" s="93"/>
      <c r="AQ610" s="87"/>
      <c r="AR610" s="26"/>
      <c r="AS610" s="65"/>
      <c r="AT610" s="88"/>
      <c r="AU610" s="67"/>
      <c r="DA610" t="str" cm="1">
        <f t="array" ref="DA610">IF(U610&lt;&gt;"", TRANSPOSE(_xlfn._xlws.FILTER(CZ:CZ, CY:CY=U610, "")), "")</f>
        <v/>
      </c>
    </row>
    <row r="611" spans="2:105" ht="15" customHeight="1">
      <c r="B611" s="34">
        <v>607</v>
      </c>
      <c r="C611" s="36" t="s">
        <v>2476</v>
      </c>
      <c r="D611" s="76"/>
      <c r="E611" s="37" t="str">
        <f>IF(Table5[[#This Row],[Query Date]]&lt;&gt;"", TEXT(Table5[[#This Row],[Query Date]], "dddd"), "")</f>
        <v/>
      </c>
      <c r="F611" s="37" t="str">
        <f>IF(Table5[[#This Row],[Query Date]]&lt;&gt;"", TEXT(Table5[[#This Row],[Query Date]], "mmmm"), "")</f>
        <v/>
      </c>
      <c r="G611" s="28"/>
      <c r="H611" s="28"/>
      <c r="I611" s="28"/>
      <c r="J611" s="28"/>
      <c r="K611" s="28"/>
      <c r="L611" s="25"/>
      <c r="M611" s="25"/>
      <c r="N611" s="25"/>
      <c r="O611" s="130"/>
      <c r="P611" s="47"/>
      <c r="Q611" s="77"/>
      <c r="R611" s="77" t="str">
        <f>IF(Table5[[#This Row],[Tour Starting Date]]&lt;&gt;"", TEXT(Table5[[#This Row],[Tour Starting Date]], "dddd"), "")</f>
        <v/>
      </c>
      <c r="S611" s="77"/>
      <c r="T611" s="25" t="str">
        <f>IF(Table5[[#This Row],[Tour Ending Date]]&lt;&gt;"", TEXT(Table5[[#This Row],[Tour Ending Date]], "dddd"), "")</f>
        <v/>
      </c>
      <c r="U61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11" s="37" t="str">
        <f>IF(Table5[[#This Row],[Tour Starting Date]]&lt;&gt;"", TEXT(Table5[[#This Row],[Tour Starting Date]], "mmmm"), "")</f>
        <v/>
      </c>
      <c r="W611" s="80" t="str" cm="1">
        <f t="array" ref="W611">IF(Q611&lt;&gt;"", INDEX(CI:CI, MATCH(1, (Q611&gt;=CG:CG)*(Q611&lt;=CH:CH), 0)), "")</f>
        <v/>
      </c>
      <c r="X611" s="39"/>
      <c r="Y611" s="74"/>
      <c r="Z611" s="74" t="str">
        <f>IF(OR(Table5[[#This Row],[Per Person Package Cost]]="", Table5[[#This Row],[No. of Pax]]=""), "", Table5[[#This Row],[Per Person Package Cost]] * Table5[[#This Row],[No. of Pax]])</f>
        <v/>
      </c>
      <c r="AA611" s="52"/>
      <c r="AB611" s="52"/>
      <c r="AC611" s="52"/>
      <c r="AD611" s="52"/>
      <c r="AE611" s="51" t="str">
        <f t="shared" si="61"/>
        <v/>
      </c>
      <c r="AF611" s="51" t="str">
        <f t="shared" si="62"/>
        <v/>
      </c>
      <c r="AG611" s="74" t="str">
        <f t="shared" si="63"/>
        <v/>
      </c>
      <c r="AH611" s="73" t="str">
        <f t="shared" si="64"/>
        <v/>
      </c>
      <c r="AI611" s="52"/>
      <c r="AJ611" s="56"/>
      <c r="AK611" s="59"/>
      <c r="AL611" s="60"/>
      <c r="AM611" s="54"/>
      <c r="AN611" s="64"/>
      <c r="AO611" s="26"/>
      <c r="AP611" s="93"/>
      <c r="AQ611" s="87"/>
      <c r="AR611" s="26"/>
      <c r="AS611" s="65"/>
      <c r="AT611" s="88"/>
      <c r="AU611" s="67"/>
      <c r="DA611" t="str" cm="1">
        <f t="array" ref="DA611">IF(U611&lt;&gt;"", TRANSPOSE(_xlfn._xlws.FILTER(CZ:CZ, CY:CY=U611, "")), "")</f>
        <v/>
      </c>
    </row>
    <row r="612" spans="2:105" ht="15" customHeight="1">
      <c r="B612" s="35">
        <v>608</v>
      </c>
      <c r="C612" s="36" t="s">
        <v>2477</v>
      </c>
      <c r="D612" s="76"/>
      <c r="E612" s="37" t="str">
        <f>IF(Table5[[#This Row],[Query Date]]&lt;&gt;"", TEXT(Table5[[#This Row],[Query Date]], "dddd"), "")</f>
        <v/>
      </c>
      <c r="F612" s="37" t="str">
        <f>IF(Table5[[#This Row],[Query Date]]&lt;&gt;"", TEXT(Table5[[#This Row],[Query Date]], "mmmm"), "")</f>
        <v/>
      </c>
      <c r="G612" s="28"/>
      <c r="H612" s="28"/>
      <c r="I612" s="28"/>
      <c r="J612" s="28"/>
      <c r="K612" s="28"/>
      <c r="L612" s="25"/>
      <c r="M612" s="25"/>
      <c r="N612" s="25"/>
      <c r="O612" s="130"/>
      <c r="P612" s="47"/>
      <c r="Q612" s="77"/>
      <c r="R612" s="77" t="str">
        <f>IF(Table5[[#This Row],[Tour Starting Date]]&lt;&gt;"", TEXT(Table5[[#This Row],[Tour Starting Date]], "dddd"), "")</f>
        <v/>
      </c>
      <c r="S612" s="77"/>
      <c r="T612" s="25" t="str">
        <f>IF(Table5[[#This Row],[Tour Ending Date]]&lt;&gt;"", TEXT(Table5[[#This Row],[Tour Ending Date]], "dddd"), "")</f>
        <v/>
      </c>
      <c r="U61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12" s="37" t="str">
        <f>IF(Table5[[#This Row],[Tour Starting Date]]&lt;&gt;"", TEXT(Table5[[#This Row],[Tour Starting Date]], "mmmm"), "")</f>
        <v/>
      </c>
      <c r="W612" s="80" t="str" cm="1">
        <f t="array" ref="W612">IF(Q612&lt;&gt;"", INDEX(CI:CI, MATCH(1, (Q612&gt;=CG:CG)*(Q612&lt;=CH:CH), 0)), "")</f>
        <v/>
      </c>
      <c r="X612" s="39"/>
      <c r="Y612" s="74"/>
      <c r="Z612" s="74" t="str">
        <f>IF(OR(Table5[[#This Row],[Per Person Package Cost]]="", Table5[[#This Row],[No. of Pax]]=""), "", Table5[[#This Row],[Per Person Package Cost]] * Table5[[#This Row],[No. of Pax]])</f>
        <v/>
      </c>
      <c r="AA612" s="52"/>
      <c r="AB612" s="52"/>
      <c r="AC612" s="52"/>
      <c r="AD612" s="52"/>
      <c r="AE612" s="51" t="str">
        <f t="shared" si="61"/>
        <v/>
      </c>
      <c r="AF612" s="51" t="str">
        <f t="shared" si="62"/>
        <v/>
      </c>
      <c r="AG612" s="74" t="str">
        <f t="shared" si="63"/>
        <v/>
      </c>
      <c r="AH612" s="73" t="str">
        <f t="shared" si="64"/>
        <v/>
      </c>
      <c r="AI612" s="52"/>
      <c r="AJ612" s="56"/>
      <c r="AK612" s="59"/>
      <c r="AL612" s="60"/>
      <c r="AM612" s="54"/>
      <c r="AN612" s="64"/>
      <c r="AO612" s="26"/>
      <c r="AP612" s="93"/>
      <c r="AQ612" s="87"/>
      <c r="AR612" s="26"/>
      <c r="AS612" s="65"/>
      <c r="AT612" s="88"/>
      <c r="AU612" s="67"/>
      <c r="DA612" t="str" cm="1">
        <f t="array" ref="DA612">IF(U612&lt;&gt;"", TRANSPOSE(_xlfn._xlws.FILTER(CZ:CZ, CY:CY=U612, "")), "")</f>
        <v/>
      </c>
    </row>
    <row r="613" spans="2:105" ht="15" customHeight="1">
      <c r="B613" s="34">
        <v>609</v>
      </c>
      <c r="C613" s="36" t="s">
        <v>2478</v>
      </c>
      <c r="D613" s="76"/>
      <c r="E613" s="37" t="str">
        <f>IF(Table5[[#This Row],[Query Date]]&lt;&gt;"", TEXT(Table5[[#This Row],[Query Date]], "dddd"), "")</f>
        <v/>
      </c>
      <c r="F613" s="37" t="str">
        <f>IF(Table5[[#This Row],[Query Date]]&lt;&gt;"", TEXT(Table5[[#This Row],[Query Date]], "mmmm"), "")</f>
        <v/>
      </c>
      <c r="G613" s="28"/>
      <c r="H613" s="28"/>
      <c r="I613" s="28"/>
      <c r="J613" s="28"/>
      <c r="K613" s="28"/>
      <c r="L613" s="25"/>
      <c r="M613" s="25"/>
      <c r="N613" s="25"/>
      <c r="O613" s="130"/>
      <c r="P613" s="47"/>
      <c r="Q613" s="77"/>
      <c r="R613" s="77" t="str">
        <f>IF(Table5[[#This Row],[Tour Starting Date]]&lt;&gt;"", TEXT(Table5[[#This Row],[Tour Starting Date]], "dddd"), "")</f>
        <v/>
      </c>
      <c r="S613" s="77"/>
      <c r="T613" s="25" t="str">
        <f>IF(Table5[[#This Row],[Tour Ending Date]]&lt;&gt;"", TEXT(Table5[[#This Row],[Tour Ending Date]], "dddd"), "")</f>
        <v/>
      </c>
      <c r="U61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13" s="37" t="str">
        <f>IF(Table5[[#This Row],[Tour Starting Date]]&lt;&gt;"", TEXT(Table5[[#This Row],[Tour Starting Date]], "mmmm"), "")</f>
        <v/>
      </c>
      <c r="W613" s="80" t="str" cm="1">
        <f t="array" ref="W613">IF(Q613&lt;&gt;"", INDEX(CI:CI, MATCH(1, (Q613&gt;=CG:CG)*(Q613&lt;=CH:CH), 0)), "")</f>
        <v/>
      </c>
      <c r="X613" s="39"/>
      <c r="Y613" s="74"/>
      <c r="Z613" s="74" t="str">
        <f>IF(OR(Table5[[#This Row],[Per Person Package Cost]]="", Table5[[#This Row],[No. of Pax]]=""), "", Table5[[#This Row],[Per Person Package Cost]] * Table5[[#This Row],[No. of Pax]])</f>
        <v/>
      </c>
      <c r="AA613" s="52"/>
      <c r="AB613" s="52"/>
      <c r="AC613" s="52"/>
      <c r="AD613" s="52"/>
      <c r="AE613" s="51" t="str">
        <f t="shared" si="61"/>
        <v/>
      </c>
      <c r="AF613" s="51" t="str">
        <f t="shared" si="62"/>
        <v/>
      </c>
      <c r="AG613" s="74" t="str">
        <f t="shared" si="63"/>
        <v/>
      </c>
      <c r="AH613" s="73" t="str">
        <f t="shared" si="64"/>
        <v/>
      </c>
      <c r="AI613" s="52"/>
      <c r="AJ613" s="56"/>
      <c r="AK613" s="59"/>
      <c r="AL613" s="60"/>
      <c r="AM613" s="54"/>
      <c r="AN613" s="64"/>
      <c r="AO613" s="26"/>
      <c r="AP613" s="93"/>
      <c r="AQ613" s="87"/>
      <c r="AR613" s="26"/>
      <c r="AS613" s="65"/>
      <c r="AT613" s="88"/>
      <c r="AU613" s="67"/>
      <c r="DA613" t="str" cm="1">
        <f t="array" ref="DA613">IF(U613&lt;&gt;"", TRANSPOSE(_xlfn._xlws.FILTER(CZ:CZ, CY:CY=U613, "")), "")</f>
        <v/>
      </c>
    </row>
    <row r="614" spans="2:105" ht="15" customHeight="1">
      <c r="B614" s="35">
        <v>610</v>
      </c>
      <c r="C614" s="36" t="s">
        <v>2479</v>
      </c>
      <c r="D614" s="76"/>
      <c r="E614" s="37" t="str">
        <f>IF(Table5[[#This Row],[Query Date]]&lt;&gt;"", TEXT(Table5[[#This Row],[Query Date]], "dddd"), "")</f>
        <v/>
      </c>
      <c r="F614" s="37" t="str">
        <f>IF(Table5[[#This Row],[Query Date]]&lt;&gt;"", TEXT(Table5[[#This Row],[Query Date]], "mmmm"), "")</f>
        <v/>
      </c>
      <c r="G614" s="28"/>
      <c r="H614" s="28"/>
      <c r="I614" s="28"/>
      <c r="J614" s="28"/>
      <c r="K614" s="28"/>
      <c r="L614" s="25"/>
      <c r="M614" s="25"/>
      <c r="N614" s="25"/>
      <c r="O614" s="130"/>
      <c r="P614" s="47"/>
      <c r="Q614" s="77"/>
      <c r="R614" s="77" t="str">
        <f>IF(Table5[[#This Row],[Tour Starting Date]]&lt;&gt;"", TEXT(Table5[[#This Row],[Tour Starting Date]], "dddd"), "")</f>
        <v/>
      </c>
      <c r="S614" s="77"/>
      <c r="T614" s="25" t="str">
        <f>IF(Table5[[#This Row],[Tour Ending Date]]&lt;&gt;"", TEXT(Table5[[#This Row],[Tour Ending Date]], "dddd"), "")</f>
        <v/>
      </c>
      <c r="U61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14" s="37" t="str">
        <f>IF(Table5[[#This Row],[Tour Starting Date]]&lt;&gt;"", TEXT(Table5[[#This Row],[Tour Starting Date]], "mmmm"), "")</f>
        <v/>
      </c>
      <c r="W614" s="80" t="str" cm="1">
        <f t="array" ref="W614">IF(Q614&lt;&gt;"", INDEX(CI:CI, MATCH(1, (Q614&gt;=CG:CG)*(Q614&lt;=CH:CH), 0)), "")</f>
        <v/>
      </c>
      <c r="X614" s="39"/>
      <c r="Y614" s="74"/>
      <c r="Z614" s="74" t="str">
        <f>IF(OR(Table5[[#This Row],[Per Person Package Cost]]="", Table5[[#This Row],[No. of Pax]]=""), "", Table5[[#This Row],[Per Person Package Cost]] * Table5[[#This Row],[No. of Pax]])</f>
        <v/>
      </c>
      <c r="AA614" s="52"/>
      <c r="AB614" s="52"/>
      <c r="AC614" s="52"/>
      <c r="AD614" s="52"/>
      <c r="AE614" s="51" t="str">
        <f t="shared" si="61"/>
        <v/>
      </c>
      <c r="AF614" s="51" t="str">
        <f t="shared" si="62"/>
        <v/>
      </c>
      <c r="AG614" s="74" t="str">
        <f t="shared" si="63"/>
        <v/>
      </c>
      <c r="AH614" s="73" t="str">
        <f t="shared" si="64"/>
        <v/>
      </c>
      <c r="AI614" s="52"/>
      <c r="AJ614" s="56"/>
      <c r="AK614" s="59"/>
      <c r="AL614" s="60"/>
      <c r="AM614" s="54"/>
      <c r="AN614" s="64"/>
      <c r="AO614" s="26"/>
      <c r="AP614" s="93"/>
      <c r="AQ614" s="87"/>
      <c r="AR614" s="26"/>
      <c r="AS614" s="65"/>
      <c r="AT614" s="88"/>
      <c r="AU614" s="67"/>
      <c r="DA614" t="str" cm="1">
        <f t="array" ref="DA614">IF(U614&lt;&gt;"", TRANSPOSE(_xlfn._xlws.FILTER(CZ:CZ, CY:CY=U614, "")), "")</f>
        <v/>
      </c>
    </row>
    <row r="615" spans="2:105" ht="15" customHeight="1">
      <c r="B615" s="34">
        <v>611</v>
      </c>
      <c r="C615" s="36" t="s">
        <v>2480</v>
      </c>
      <c r="D615" s="76"/>
      <c r="E615" s="37" t="str">
        <f>IF(Table5[[#This Row],[Query Date]]&lt;&gt;"", TEXT(Table5[[#This Row],[Query Date]], "dddd"), "")</f>
        <v/>
      </c>
      <c r="F615" s="37" t="str">
        <f>IF(Table5[[#This Row],[Query Date]]&lt;&gt;"", TEXT(Table5[[#This Row],[Query Date]], "mmmm"), "")</f>
        <v/>
      </c>
      <c r="G615" s="28"/>
      <c r="H615" s="28"/>
      <c r="I615" s="28"/>
      <c r="J615" s="28"/>
      <c r="K615" s="28"/>
      <c r="L615" s="25"/>
      <c r="M615" s="25"/>
      <c r="N615" s="25"/>
      <c r="O615" s="130"/>
      <c r="P615" s="47"/>
      <c r="Q615" s="77"/>
      <c r="R615" s="77" t="str">
        <f>IF(Table5[[#This Row],[Tour Starting Date]]&lt;&gt;"", TEXT(Table5[[#This Row],[Tour Starting Date]], "dddd"), "")</f>
        <v/>
      </c>
      <c r="S615" s="77"/>
      <c r="T615" s="25" t="str">
        <f>IF(Table5[[#This Row],[Tour Ending Date]]&lt;&gt;"", TEXT(Table5[[#This Row],[Tour Ending Date]], "dddd"), "")</f>
        <v/>
      </c>
      <c r="U61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15" s="37" t="str">
        <f>IF(Table5[[#This Row],[Tour Starting Date]]&lt;&gt;"", TEXT(Table5[[#This Row],[Tour Starting Date]], "mmmm"), "")</f>
        <v/>
      </c>
      <c r="W615" s="80" t="str" cm="1">
        <f t="array" ref="W615">IF(Q615&lt;&gt;"", INDEX(CI:CI, MATCH(1, (Q615&gt;=CG:CG)*(Q615&lt;=CH:CH), 0)), "")</f>
        <v/>
      </c>
      <c r="X615" s="39"/>
      <c r="Y615" s="74"/>
      <c r="Z615" s="74" t="str">
        <f>IF(OR(Table5[[#This Row],[Per Person Package Cost]]="", Table5[[#This Row],[No. of Pax]]=""), "", Table5[[#This Row],[Per Person Package Cost]] * Table5[[#This Row],[No. of Pax]])</f>
        <v/>
      </c>
      <c r="AA615" s="52"/>
      <c r="AB615" s="52"/>
      <c r="AC615" s="52"/>
      <c r="AD615" s="52"/>
      <c r="AE615" s="51" t="str">
        <f t="shared" si="61"/>
        <v/>
      </c>
      <c r="AF615" s="51" t="str">
        <f t="shared" si="62"/>
        <v/>
      </c>
      <c r="AG615" s="74" t="str">
        <f t="shared" si="63"/>
        <v/>
      </c>
      <c r="AH615" s="73" t="str">
        <f t="shared" si="64"/>
        <v/>
      </c>
      <c r="AI615" s="52"/>
      <c r="AJ615" s="56"/>
      <c r="AK615" s="59"/>
      <c r="AL615" s="60"/>
      <c r="AM615" s="54"/>
      <c r="AN615" s="64"/>
      <c r="AO615" s="26"/>
      <c r="AP615" s="93"/>
      <c r="AQ615" s="87"/>
      <c r="AR615" s="26"/>
      <c r="AS615" s="65"/>
      <c r="AT615" s="88"/>
      <c r="AU615" s="67"/>
      <c r="DA615" t="str" cm="1">
        <f t="array" ref="DA615">IF(U615&lt;&gt;"", TRANSPOSE(_xlfn._xlws.FILTER(CZ:CZ, CY:CY=U615, "")), "")</f>
        <v/>
      </c>
    </row>
    <row r="616" spans="2:105" ht="15" customHeight="1">
      <c r="B616" s="35">
        <v>612</v>
      </c>
      <c r="C616" s="36" t="s">
        <v>2481</v>
      </c>
      <c r="D616" s="76"/>
      <c r="E616" s="37" t="str">
        <f>IF(Table5[[#This Row],[Query Date]]&lt;&gt;"", TEXT(Table5[[#This Row],[Query Date]], "dddd"), "")</f>
        <v/>
      </c>
      <c r="F616" s="37" t="str">
        <f>IF(Table5[[#This Row],[Query Date]]&lt;&gt;"", TEXT(Table5[[#This Row],[Query Date]], "mmmm"), "")</f>
        <v/>
      </c>
      <c r="G616" s="28"/>
      <c r="H616" s="28"/>
      <c r="I616" s="28"/>
      <c r="J616" s="28"/>
      <c r="K616" s="28"/>
      <c r="L616" s="25"/>
      <c r="M616" s="25"/>
      <c r="N616" s="25"/>
      <c r="O616" s="130"/>
      <c r="P616" s="47"/>
      <c r="Q616" s="77"/>
      <c r="R616" s="77" t="str">
        <f>IF(Table5[[#This Row],[Tour Starting Date]]&lt;&gt;"", TEXT(Table5[[#This Row],[Tour Starting Date]], "dddd"), "")</f>
        <v/>
      </c>
      <c r="S616" s="77"/>
      <c r="T616" s="25" t="str">
        <f>IF(Table5[[#This Row],[Tour Ending Date]]&lt;&gt;"", TEXT(Table5[[#This Row],[Tour Ending Date]], "dddd"), "")</f>
        <v/>
      </c>
      <c r="U61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16" s="37" t="str">
        <f>IF(Table5[[#This Row],[Tour Starting Date]]&lt;&gt;"", TEXT(Table5[[#This Row],[Tour Starting Date]], "mmmm"), "")</f>
        <v/>
      </c>
      <c r="W616" s="80" t="str" cm="1">
        <f t="array" ref="W616">IF(Q616&lt;&gt;"", INDEX(CI:CI, MATCH(1, (Q616&gt;=CG:CG)*(Q616&lt;=CH:CH), 0)), "")</f>
        <v/>
      </c>
      <c r="X616" s="39"/>
      <c r="Y616" s="74"/>
      <c r="Z616" s="74" t="str">
        <f>IF(OR(Table5[[#This Row],[Per Person Package Cost]]="", Table5[[#This Row],[No. of Pax]]=""), "", Table5[[#This Row],[Per Person Package Cost]] * Table5[[#This Row],[No. of Pax]])</f>
        <v/>
      </c>
      <c r="AA616" s="52"/>
      <c r="AB616" s="52"/>
      <c r="AC616" s="52"/>
      <c r="AD616" s="52"/>
      <c r="AE616" s="51" t="str">
        <f t="shared" si="61"/>
        <v/>
      </c>
      <c r="AF616" s="51" t="str">
        <f t="shared" si="62"/>
        <v/>
      </c>
      <c r="AG616" s="74" t="str">
        <f t="shared" si="63"/>
        <v/>
      </c>
      <c r="AH616" s="73" t="str">
        <f t="shared" si="64"/>
        <v/>
      </c>
      <c r="AI616" s="52"/>
      <c r="AJ616" s="56"/>
      <c r="AK616" s="59"/>
      <c r="AL616" s="60"/>
      <c r="AM616" s="54"/>
      <c r="AN616" s="64"/>
      <c r="AO616" s="26"/>
      <c r="AP616" s="93"/>
      <c r="AQ616" s="87"/>
      <c r="AR616" s="26"/>
      <c r="AS616" s="65"/>
      <c r="AT616" s="88"/>
      <c r="AU616" s="67"/>
      <c r="DA616" t="str" cm="1">
        <f t="array" ref="DA616">IF(U616&lt;&gt;"", TRANSPOSE(_xlfn._xlws.FILTER(CZ:CZ, CY:CY=U616, "")), "")</f>
        <v/>
      </c>
    </row>
    <row r="617" spans="2:105" ht="15" customHeight="1">
      <c r="B617" s="34">
        <v>613</v>
      </c>
      <c r="C617" s="36" t="s">
        <v>2482</v>
      </c>
      <c r="D617" s="76"/>
      <c r="E617" s="37" t="str">
        <f>IF(Table5[[#This Row],[Query Date]]&lt;&gt;"", TEXT(Table5[[#This Row],[Query Date]], "dddd"), "")</f>
        <v/>
      </c>
      <c r="F617" s="37" t="str">
        <f>IF(Table5[[#This Row],[Query Date]]&lt;&gt;"", TEXT(Table5[[#This Row],[Query Date]], "mmmm"), "")</f>
        <v/>
      </c>
      <c r="G617" s="28"/>
      <c r="H617" s="28"/>
      <c r="I617" s="28"/>
      <c r="J617" s="28"/>
      <c r="K617" s="28"/>
      <c r="L617" s="25"/>
      <c r="M617" s="25"/>
      <c r="N617" s="25"/>
      <c r="O617" s="130"/>
      <c r="P617" s="47"/>
      <c r="Q617" s="77"/>
      <c r="R617" s="77" t="str">
        <f>IF(Table5[[#This Row],[Tour Starting Date]]&lt;&gt;"", TEXT(Table5[[#This Row],[Tour Starting Date]], "dddd"), "")</f>
        <v/>
      </c>
      <c r="S617" s="77"/>
      <c r="T617" s="25" t="str">
        <f>IF(Table5[[#This Row],[Tour Ending Date]]&lt;&gt;"", TEXT(Table5[[#This Row],[Tour Ending Date]], "dddd"), "")</f>
        <v/>
      </c>
      <c r="U61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17" s="37" t="str">
        <f>IF(Table5[[#This Row],[Tour Starting Date]]&lt;&gt;"", TEXT(Table5[[#This Row],[Tour Starting Date]], "mmmm"), "")</f>
        <v/>
      </c>
      <c r="W617" s="80" t="str" cm="1">
        <f t="array" ref="W617">IF(Q617&lt;&gt;"", INDEX(CI:CI, MATCH(1, (Q617&gt;=CG:CG)*(Q617&lt;=CH:CH), 0)), "")</f>
        <v/>
      </c>
      <c r="X617" s="39"/>
      <c r="Y617" s="74"/>
      <c r="Z617" s="74" t="str">
        <f>IF(OR(Table5[[#This Row],[Per Person Package Cost]]="", Table5[[#This Row],[No. of Pax]]=""), "", Table5[[#This Row],[Per Person Package Cost]] * Table5[[#This Row],[No. of Pax]])</f>
        <v/>
      </c>
      <c r="AA617" s="52"/>
      <c r="AB617" s="52"/>
      <c r="AC617" s="52"/>
      <c r="AD617" s="52"/>
      <c r="AE617" s="51" t="str">
        <f t="shared" si="61"/>
        <v/>
      </c>
      <c r="AF617" s="51" t="str">
        <f t="shared" si="62"/>
        <v/>
      </c>
      <c r="AG617" s="74" t="str">
        <f t="shared" si="63"/>
        <v/>
      </c>
      <c r="AH617" s="73" t="str">
        <f t="shared" si="64"/>
        <v/>
      </c>
      <c r="AI617" s="52"/>
      <c r="AJ617" s="56"/>
      <c r="AK617" s="59"/>
      <c r="AL617" s="60"/>
      <c r="AM617" s="54"/>
      <c r="AN617" s="64"/>
      <c r="AO617" s="26"/>
      <c r="AP617" s="93"/>
      <c r="AQ617" s="87"/>
      <c r="AR617" s="26"/>
      <c r="AS617" s="65"/>
      <c r="AT617" s="88"/>
      <c r="AU617" s="67"/>
      <c r="DA617" t="str" cm="1">
        <f t="array" ref="DA617">IF(U617&lt;&gt;"", TRANSPOSE(_xlfn._xlws.FILTER(CZ:CZ, CY:CY=U617, "")), "")</f>
        <v/>
      </c>
    </row>
    <row r="618" spans="2:105" ht="15" customHeight="1">
      <c r="B618" s="35">
        <v>614</v>
      </c>
      <c r="C618" s="36" t="s">
        <v>2483</v>
      </c>
      <c r="D618" s="76"/>
      <c r="E618" s="37" t="str">
        <f>IF(Table5[[#This Row],[Query Date]]&lt;&gt;"", TEXT(Table5[[#This Row],[Query Date]], "dddd"), "")</f>
        <v/>
      </c>
      <c r="F618" s="37" t="str">
        <f>IF(Table5[[#This Row],[Query Date]]&lt;&gt;"", TEXT(Table5[[#This Row],[Query Date]], "mmmm"), "")</f>
        <v/>
      </c>
      <c r="G618" s="28"/>
      <c r="H618" s="28"/>
      <c r="I618" s="28"/>
      <c r="J618" s="28"/>
      <c r="K618" s="28"/>
      <c r="L618" s="25"/>
      <c r="M618" s="25"/>
      <c r="N618" s="25"/>
      <c r="O618" s="130"/>
      <c r="P618" s="47"/>
      <c r="Q618" s="77"/>
      <c r="R618" s="77" t="str">
        <f>IF(Table5[[#This Row],[Tour Starting Date]]&lt;&gt;"", TEXT(Table5[[#This Row],[Tour Starting Date]], "dddd"), "")</f>
        <v/>
      </c>
      <c r="S618" s="77"/>
      <c r="T618" s="25" t="str">
        <f>IF(Table5[[#This Row],[Tour Ending Date]]&lt;&gt;"", TEXT(Table5[[#This Row],[Tour Ending Date]], "dddd"), "")</f>
        <v/>
      </c>
      <c r="U61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18" s="37" t="str">
        <f>IF(Table5[[#This Row],[Tour Starting Date]]&lt;&gt;"", TEXT(Table5[[#This Row],[Tour Starting Date]], "mmmm"), "")</f>
        <v/>
      </c>
      <c r="W618" s="80" t="str" cm="1">
        <f t="array" ref="W618">IF(Q618&lt;&gt;"", INDEX(CI:CI, MATCH(1, (Q618&gt;=CG:CG)*(Q618&lt;=CH:CH), 0)), "")</f>
        <v/>
      </c>
      <c r="X618" s="39"/>
      <c r="Y618" s="74"/>
      <c r="Z618" s="74" t="str">
        <f>IF(OR(Table5[[#This Row],[Per Person Package Cost]]="", Table5[[#This Row],[No. of Pax]]=""), "", Table5[[#This Row],[Per Person Package Cost]] * Table5[[#This Row],[No. of Pax]])</f>
        <v/>
      </c>
      <c r="AA618" s="52"/>
      <c r="AB618" s="52"/>
      <c r="AC618" s="52"/>
      <c r="AD618" s="52"/>
      <c r="AE618" s="51" t="str">
        <f t="shared" si="61"/>
        <v/>
      </c>
      <c r="AF618" s="51" t="str">
        <f t="shared" si="62"/>
        <v/>
      </c>
      <c r="AG618" s="74" t="str">
        <f t="shared" si="63"/>
        <v/>
      </c>
      <c r="AH618" s="73" t="str">
        <f t="shared" si="64"/>
        <v/>
      </c>
      <c r="AI618" s="52"/>
      <c r="AJ618" s="56"/>
      <c r="AK618" s="59"/>
      <c r="AL618" s="60"/>
      <c r="AM618" s="54"/>
      <c r="AN618" s="64"/>
      <c r="AO618" s="26"/>
      <c r="AP618" s="93"/>
      <c r="AQ618" s="87"/>
      <c r="AR618" s="26"/>
      <c r="AS618" s="65"/>
      <c r="AT618" s="88"/>
      <c r="AU618" s="67"/>
      <c r="DA618" t="str" cm="1">
        <f t="array" ref="DA618">IF(U618&lt;&gt;"", TRANSPOSE(_xlfn._xlws.FILTER(CZ:CZ, CY:CY=U618, "")), "")</f>
        <v/>
      </c>
    </row>
    <row r="619" spans="2:105" ht="15" customHeight="1">
      <c r="B619" s="34">
        <v>615</v>
      </c>
      <c r="C619" s="36" t="s">
        <v>2484</v>
      </c>
      <c r="D619" s="76"/>
      <c r="E619" s="37" t="str">
        <f>IF(Table5[[#This Row],[Query Date]]&lt;&gt;"", TEXT(Table5[[#This Row],[Query Date]], "dddd"), "")</f>
        <v/>
      </c>
      <c r="F619" s="37" t="str">
        <f>IF(Table5[[#This Row],[Query Date]]&lt;&gt;"", TEXT(Table5[[#This Row],[Query Date]], "mmmm"), "")</f>
        <v/>
      </c>
      <c r="G619" s="28"/>
      <c r="H619" s="28"/>
      <c r="I619" s="28"/>
      <c r="J619" s="28"/>
      <c r="K619" s="28"/>
      <c r="L619" s="25"/>
      <c r="M619" s="25"/>
      <c r="N619" s="25"/>
      <c r="O619" s="130"/>
      <c r="P619" s="47"/>
      <c r="Q619" s="77"/>
      <c r="R619" s="77" t="str">
        <f>IF(Table5[[#This Row],[Tour Starting Date]]&lt;&gt;"", TEXT(Table5[[#This Row],[Tour Starting Date]], "dddd"), "")</f>
        <v/>
      </c>
      <c r="S619" s="77"/>
      <c r="T619" s="25" t="str">
        <f>IF(Table5[[#This Row],[Tour Ending Date]]&lt;&gt;"", TEXT(Table5[[#This Row],[Tour Ending Date]], "dddd"), "")</f>
        <v/>
      </c>
      <c r="U61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19" s="37" t="str">
        <f>IF(Table5[[#This Row],[Tour Starting Date]]&lt;&gt;"", TEXT(Table5[[#This Row],[Tour Starting Date]], "mmmm"), "")</f>
        <v/>
      </c>
      <c r="W619" s="80" t="str" cm="1">
        <f t="array" ref="W619">IF(Q619&lt;&gt;"", INDEX(CI:CI, MATCH(1, (Q619&gt;=CG:CG)*(Q619&lt;=CH:CH), 0)), "")</f>
        <v/>
      </c>
      <c r="X619" s="39"/>
      <c r="Y619" s="74"/>
      <c r="Z619" s="74" t="str">
        <f>IF(OR(Table5[[#This Row],[Per Person Package Cost]]="", Table5[[#This Row],[No. of Pax]]=""), "", Table5[[#This Row],[Per Person Package Cost]] * Table5[[#This Row],[No. of Pax]])</f>
        <v/>
      </c>
      <c r="AA619" s="52"/>
      <c r="AB619" s="52"/>
      <c r="AC619" s="52"/>
      <c r="AD619" s="52"/>
      <c r="AE619" s="51" t="str">
        <f t="shared" si="61"/>
        <v/>
      </c>
      <c r="AF619" s="51" t="str">
        <f t="shared" si="62"/>
        <v/>
      </c>
      <c r="AG619" s="74" t="str">
        <f t="shared" si="63"/>
        <v/>
      </c>
      <c r="AH619" s="73" t="str">
        <f t="shared" si="64"/>
        <v/>
      </c>
      <c r="AI619" s="52"/>
      <c r="AJ619" s="56"/>
      <c r="AK619" s="59"/>
      <c r="AL619" s="60"/>
      <c r="AM619" s="54"/>
      <c r="AN619" s="64"/>
      <c r="AO619" s="26"/>
      <c r="AP619" s="93"/>
      <c r="AQ619" s="87"/>
      <c r="AR619" s="26"/>
      <c r="AS619" s="65"/>
      <c r="AT619" s="88"/>
      <c r="AU619" s="67"/>
      <c r="DA619" t="str" cm="1">
        <f t="array" ref="DA619">IF(U619&lt;&gt;"", TRANSPOSE(_xlfn._xlws.FILTER(CZ:CZ, CY:CY=U619, "")), "")</f>
        <v/>
      </c>
    </row>
    <row r="620" spans="2:105" ht="15" customHeight="1">
      <c r="B620" s="35">
        <v>616</v>
      </c>
      <c r="C620" s="36" t="s">
        <v>2485</v>
      </c>
      <c r="D620" s="76"/>
      <c r="E620" s="37" t="str">
        <f>IF(Table5[[#This Row],[Query Date]]&lt;&gt;"", TEXT(Table5[[#This Row],[Query Date]], "dddd"), "")</f>
        <v/>
      </c>
      <c r="F620" s="37" t="str">
        <f>IF(Table5[[#This Row],[Query Date]]&lt;&gt;"", TEXT(Table5[[#This Row],[Query Date]], "mmmm"), "")</f>
        <v/>
      </c>
      <c r="G620" s="28"/>
      <c r="H620" s="28"/>
      <c r="I620" s="28"/>
      <c r="J620" s="28"/>
      <c r="K620" s="28"/>
      <c r="L620" s="25"/>
      <c r="M620" s="25"/>
      <c r="N620" s="25"/>
      <c r="O620" s="130"/>
      <c r="P620" s="47"/>
      <c r="Q620" s="77"/>
      <c r="R620" s="77" t="str">
        <f>IF(Table5[[#This Row],[Tour Starting Date]]&lt;&gt;"", TEXT(Table5[[#This Row],[Tour Starting Date]], "dddd"), "")</f>
        <v/>
      </c>
      <c r="S620" s="77"/>
      <c r="T620" s="25" t="str">
        <f>IF(Table5[[#This Row],[Tour Ending Date]]&lt;&gt;"", TEXT(Table5[[#This Row],[Tour Ending Date]], "dddd"), "")</f>
        <v/>
      </c>
      <c r="U62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20" s="37" t="str">
        <f>IF(Table5[[#This Row],[Tour Starting Date]]&lt;&gt;"", TEXT(Table5[[#This Row],[Tour Starting Date]], "mmmm"), "")</f>
        <v/>
      </c>
      <c r="W620" s="80" t="str" cm="1">
        <f t="array" ref="W620">IF(Q620&lt;&gt;"", INDEX(CI:CI, MATCH(1, (Q620&gt;=CG:CG)*(Q620&lt;=CH:CH), 0)), "")</f>
        <v/>
      </c>
      <c r="X620" s="39"/>
      <c r="Y620" s="74"/>
      <c r="Z620" s="74" t="str">
        <f>IF(OR(Table5[[#This Row],[Per Person Package Cost]]="", Table5[[#This Row],[No. of Pax]]=""), "", Table5[[#This Row],[Per Person Package Cost]] * Table5[[#This Row],[No. of Pax]])</f>
        <v/>
      </c>
      <c r="AA620" s="52"/>
      <c r="AB620" s="52"/>
      <c r="AC620" s="52"/>
      <c r="AD620" s="52"/>
      <c r="AE620" s="51" t="str">
        <f t="shared" si="61"/>
        <v/>
      </c>
      <c r="AF620" s="51" t="str">
        <f t="shared" si="62"/>
        <v/>
      </c>
      <c r="AG620" s="74" t="str">
        <f t="shared" si="63"/>
        <v/>
      </c>
      <c r="AH620" s="73" t="str">
        <f t="shared" si="64"/>
        <v/>
      </c>
      <c r="AI620" s="52"/>
      <c r="AJ620" s="56"/>
      <c r="AK620" s="59"/>
      <c r="AL620" s="60"/>
      <c r="AM620" s="54"/>
      <c r="AN620" s="64"/>
      <c r="AO620" s="26"/>
      <c r="AP620" s="93"/>
      <c r="AQ620" s="87"/>
      <c r="AR620" s="26"/>
      <c r="AS620" s="65"/>
      <c r="AT620" s="88"/>
      <c r="AU620" s="67"/>
      <c r="DA620" t="str" cm="1">
        <f t="array" ref="DA620">IF(U620&lt;&gt;"", TRANSPOSE(_xlfn._xlws.FILTER(CZ:CZ, CY:CY=U620, "")), "")</f>
        <v/>
      </c>
    </row>
    <row r="621" spans="2:105" ht="15" customHeight="1">
      <c r="B621" s="34">
        <v>617</v>
      </c>
      <c r="C621" s="36" t="s">
        <v>2486</v>
      </c>
      <c r="D621" s="76"/>
      <c r="E621" s="37" t="str">
        <f>IF(Table5[[#This Row],[Query Date]]&lt;&gt;"", TEXT(Table5[[#This Row],[Query Date]], "dddd"), "")</f>
        <v/>
      </c>
      <c r="F621" s="37" t="str">
        <f>IF(Table5[[#This Row],[Query Date]]&lt;&gt;"", TEXT(Table5[[#This Row],[Query Date]], "mmmm"), "")</f>
        <v/>
      </c>
      <c r="G621" s="28"/>
      <c r="H621" s="28"/>
      <c r="I621" s="28"/>
      <c r="J621" s="28"/>
      <c r="K621" s="28"/>
      <c r="L621" s="25"/>
      <c r="M621" s="25"/>
      <c r="N621" s="25"/>
      <c r="O621" s="130"/>
      <c r="P621" s="47"/>
      <c r="Q621" s="77"/>
      <c r="R621" s="77" t="str">
        <f>IF(Table5[[#This Row],[Tour Starting Date]]&lt;&gt;"", TEXT(Table5[[#This Row],[Tour Starting Date]], "dddd"), "")</f>
        <v/>
      </c>
      <c r="S621" s="77"/>
      <c r="T621" s="25" t="str">
        <f>IF(Table5[[#This Row],[Tour Ending Date]]&lt;&gt;"", TEXT(Table5[[#This Row],[Tour Ending Date]], "dddd"), "")</f>
        <v/>
      </c>
      <c r="U62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21" s="37" t="str">
        <f>IF(Table5[[#This Row],[Tour Starting Date]]&lt;&gt;"", TEXT(Table5[[#This Row],[Tour Starting Date]], "mmmm"), "")</f>
        <v/>
      </c>
      <c r="W621" s="80" t="str" cm="1">
        <f t="array" ref="W621">IF(Q621&lt;&gt;"", INDEX(CI:CI, MATCH(1, (Q621&gt;=CG:CG)*(Q621&lt;=CH:CH), 0)), "")</f>
        <v/>
      </c>
      <c r="X621" s="39"/>
      <c r="Y621" s="74"/>
      <c r="Z621" s="74" t="str">
        <f>IF(OR(Table5[[#This Row],[Per Person Package Cost]]="", Table5[[#This Row],[No. of Pax]]=""), "", Table5[[#This Row],[Per Person Package Cost]] * Table5[[#This Row],[No. of Pax]])</f>
        <v/>
      </c>
      <c r="AA621" s="52"/>
      <c r="AB621" s="52"/>
      <c r="AC621" s="52"/>
      <c r="AD621" s="52"/>
      <c r="AE621" s="51" t="str">
        <f t="shared" si="61"/>
        <v/>
      </c>
      <c r="AF621" s="51" t="str">
        <f t="shared" si="62"/>
        <v/>
      </c>
      <c r="AG621" s="74" t="str">
        <f t="shared" si="63"/>
        <v/>
      </c>
      <c r="AH621" s="73" t="str">
        <f t="shared" si="64"/>
        <v/>
      </c>
      <c r="AI621" s="52"/>
      <c r="AJ621" s="56"/>
      <c r="AK621" s="59"/>
      <c r="AL621" s="60"/>
      <c r="AM621" s="54"/>
      <c r="AN621" s="64"/>
      <c r="AO621" s="26"/>
      <c r="AP621" s="93"/>
      <c r="AQ621" s="87"/>
      <c r="AR621" s="26"/>
      <c r="AS621" s="65"/>
      <c r="AT621" s="88"/>
      <c r="AU621" s="67"/>
      <c r="DA621" t="str" cm="1">
        <f t="array" ref="DA621">IF(U621&lt;&gt;"", TRANSPOSE(_xlfn._xlws.FILTER(CZ:CZ, CY:CY=U621, "")), "")</f>
        <v/>
      </c>
    </row>
    <row r="622" spans="2:105" ht="15" customHeight="1">
      <c r="B622" s="35">
        <v>618</v>
      </c>
      <c r="C622" s="36" t="s">
        <v>2487</v>
      </c>
      <c r="D622" s="76"/>
      <c r="E622" s="37" t="str">
        <f>IF(Table5[[#This Row],[Query Date]]&lt;&gt;"", TEXT(Table5[[#This Row],[Query Date]], "dddd"), "")</f>
        <v/>
      </c>
      <c r="F622" s="37" t="str">
        <f>IF(Table5[[#This Row],[Query Date]]&lt;&gt;"", TEXT(Table5[[#This Row],[Query Date]], "mmmm"), "")</f>
        <v/>
      </c>
      <c r="G622" s="28"/>
      <c r="H622" s="28"/>
      <c r="I622" s="28"/>
      <c r="J622" s="28"/>
      <c r="K622" s="28"/>
      <c r="L622" s="25"/>
      <c r="M622" s="25"/>
      <c r="N622" s="25"/>
      <c r="O622" s="130"/>
      <c r="P622" s="47"/>
      <c r="Q622" s="77"/>
      <c r="R622" s="77" t="str">
        <f>IF(Table5[[#This Row],[Tour Starting Date]]&lt;&gt;"", TEXT(Table5[[#This Row],[Tour Starting Date]], "dddd"), "")</f>
        <v/>
      </c>
      <c r="S622" s="77"/>
      <c r="T622" s="25" t="str">
        <f>IF(Table5[[#This Row],[Tour Ending Date]]&lt;&gt;"", TEXT(Table5[[#This Row],[Tour Ending Date]], "dddd"), "")</f>
        <v/>
      </c>
      <c r="U62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22" s="37" t="str">
        <f>IF(Table5[[#This Row],[Tour Starting Date]]&lt;&gt;"", TEXT(Table5[[#This Row],[Tour Starting Date]], "mmmm"), "")</f>
        <v/>
      </c>
      <c r="W622" s="80" t="str" cm="1">
        <f t="array" ref="W622">IF(Q622&lt;&gt;"", INDEX(CI:CI, MATCH(1, (Q622&gt;=CG:CG)*(Q622&lt;=CH:CH), 0)), "")</f>
        <v/>
      </c>
      <c r="X622" s="39"/>
      <c r="Y622" s="74"/>
      <c r="Z622" s="74" t="str">
        <f>IF(OR(Table5[[#This Row],[Per Person Package Cost]]="", Table5[[#This Row],[No. of Pax]]=""), "", Table5[[#This Row],[Per Person Package Cost]] * Table5[[#This Row],[No. of Pax]])</f>
        <v/>
      </c>
      <c r="AA622" s="52"/>
      <c r="AB622" s="52"/>
      <c r="AC622" s="52"/>
      <c r="AD622" s="52"/>
      <c r="AE622" s="51" t="str">
        <f t="shared" si="61"/>
        <v/>
      </c>
      <c r="AF622" s="51" t="str">
        <f t="shared" si="62"/>
        <v/>
      </c>
      <c r="AG622" s="74" t="str">
        <f t="shared" si="63"/>
        <v/>
      </c>
      <c r="AH622" s="73" t="str">
        <f t="shared" si="64"/>
        <v/>
      </c>
      <c r="AI622" s="52"/>
      <c r="AJ622" s="56"/>
      <c r="AK622" s="59"/>
      <c r="AL622" s="60"/>
      <c r="AM622" s="54"/>
      <c r="AN622" s="64"/>
      <c r="AO622" s="26"/>
      <c r="AP622" s="93"/>
      <c r="AQ622" s="87"/>
      <c r="AR622" s="26"/>
      <c r="AS622" s="65"/>
      <c r="AT622" s="88"/>
      <c r="AU622" s="67"/>
      <c r="DA622" t="str" cm="1">
        <f t="array" ref="DA622">IF(U622&lt;&gt;"", TRANSPOSE(_xlfn._xlws.FILTER(CZ:CZ, CY:CY=U622, "")), "")</f>
        <v/>
      </c>
    </row>
    <row r="623" spans="2:105" ht="15" customHeight="1">
      <c r="B623" s="34">
        <v>619</v>
      </c>
      <c r="C623" s="36" t="s">
        <v>2488</v>
      </c>
      <c r="D623" s="76"/>
      <c r="E623" s="37" t="str">
        <f>IF(Table5[[#This Row],[Query Date]]&lt;&gt;"", TEXT(Table5[[#This Row],[Query Date]], "dddd"), "")</f>
        <v/>
      </c>
      <c r="F623" s="37" t="str">
        <f>IF(Table5[[#This Row],[Query Date]]&lt;&gt;"", TEXT(Table5[[#This Row],[Query Date]], "mmmm"), "")</f>
        <v/>
      </c>
      <c r="G623" s="28"/>
      <c r="H623" s="28"/>
      <c r="I623" s="28"/>
      <c r="J623" s="28"/>
      <c r="K623" s="28"/>
      <c r="L623" s="25"/>
      <c r="M623" s="25"/>
      <c r="N623" s="25"/>
      <c r="O623" s="130"/>
      <c r="P623" s="47"/>
      <c r="Q623" s="77"/>
      <c r="R623" s="77" t="str">
        <f>IF(Table5[[#This Row],[Tour Starting Date]]&lt;&gt;"", TEXT(Table5[[#This Row],[Tour Starting Date]], "dddd"), "")</f>
        <v/>
      </c>
      <c r="S623" s="77"/>
      <c r="T623" s="25" t="str">
        <f>IF(Table5[[#This Row],[Tour Ending Date]]&lt;&gt;"", TEXT(Table5[[#This Row],[Tour Ending Date]], "dddd"), "")</f>
        <v/>
      </c>
      <c r="U62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23" s="37" t="str">
        <f>IF(Table5[[#This Row],[Tour Starting Date]]&lt;&gt;"", TEXT(Table5[[#This Row],[Tour Starting Date]], "mmmm"), "")</f>
        <v/>
      </c>
      <c r="W623" s="80" t="str" cm="1">
        <f t="array" ref="W623">IF(Q623&lt;&gt;"", INDEX(CI:CI, MATCH(1, (Q623&gt;=CG:CG)*(Q623&lt;=CH:CH), 0)), "")</f>
        <v/>
      </c>
      <c r="X623" s="39"/>
      <c r="Y623" s="74"/>
      <c r="Z623" s="74" t="str">
        <f>IF(OR(Table5[[#This Row],[Per Person Package Cost]]="", Table5[[#This Row],[No. of Pax]]=""), "", Table5[[#This Row],[Per Person Package Cost]] * Table5[[#This Row],[No. of Pax]])</f>
        <v/>
      </c>
      <c r="AA623" s="52"/>
      <c r="AB623" s="52"/>
      <c r="AC623" s="52"/>
      <c r="AD623" s="52"/>
      <c r="AE623" s="51" t="str">
        <f t="shared" si="61"/>
        <v/>
      </c>
      <c r="AF623" s="51" t="str">
        <f t="shared" si="62"/>
        <v/>
      </c>
      <c r="AG623" s="74" t="str">
        <f t="shared" si="63"/>
        <v/>
      </c>
      <c r="AH623" s="73" t="str">
        <f t="shared" si="64"/>
        <v/>
      </c>
      <c r="AI623" s="52"/>
      <c r="AJ623" s="56"/>
      <c r="AK623" s="59"/>
      <c r="AL623" s="60"/>
      <c r="AM623" s="54"/>
      <c r="AN623" s="64"/>
      <c r="AO623" s="26"/>
      <c r="AP623" s="93"/>
      <c r="AQ623" s="87"/>
      <c r="AR623" s="26"/>
      <c r="AS623" s="65"/>
      <c r="AT623" s="88"/>
      <c r="AU623" s="67"/>
      <c r="DA623" t="str" cm="1">
        <f t="array" ref="DA623">IF(U623&lt;&gt;"", TRANSPOSE(_xlfn._xlws.FILTER(CZ:CZ, CY:CY=U623, "")), "")</f>
        <v/>
      </c>
    </row>
    <row r="624" spans="2:105" ht="15" customHeight="1">
      <c r="B624" s="35">
        <v>620</v>
      </c>
      <c r="C624" s="36" t="s">
        <v>2489</v>
      </c>
      <c r="D624" s="76"/>
      <c r="E624" s="37" t="str">
        <f>IF(Table5[[#This Row],[Query Date]]&lt;&gt;"", TEXT(Table5[[#This Row],[Query Date]], "dddd"), "")</f>
        <v/>
      </c>
      <c r="F624" s="37" t="str">
        <f>IF(Table5[[#This Row],[Query Date]]&lt;&gt;"", TEXT(Table5[[#This Row],[Query Date]], "mmmm"), "")</f>
        <v/>
      </c>
      <c r="G624" s="28"/>
      <c r="H624" s="28"/>
      <c r="I624" s="28"/>
      <c r="J624" s="28"/>
      <c r="K624" s="28"/>
      <c r="L624" s="25"/>
      <c r="M624" s="25"/>
      <c r="N624" s="25"/>
      <c r="O624" s="130"/>
      <c r="P624" s="47"/>
      <c r="Q624" s="77"/>
      <c r="R624" s="77" t="str">
        <f>IF(Table5[[#This Row],[Tour Starting Date]]&lt;&gt;"", TEXT(Table5[[#This Row],[Tour Starting Date]], "dddd"), "")</f>
        <v/>
      </c>
      <c r="S624" s="77"/>
      <c r="T624" s="25" t="str">
        <f>IF(Table5[[#This Row],[Tour Ending Date]]&lt;&gt;"", TEXT(Table5[[#This Row],[Tour Ending Date]], "dddd"), "")</f>
        <v/>
      </c>
      <c r="U62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24" s="37" t="str">
        <f>IF(Table5[[#This Row],[Tour Starting Date]]&lt;&gt;"", TEXT(Table5[[#This Row],[Tour Starting Date]], "mmmm"), "")</f>
        <v/>
      </c>
      <c r="W624" s="80" t="str" cm="1">
        <f t="array" ref="W624">IF(Q624&lt;&gt;"", INDEX(CI:CI, MATCH(1, (Q624&gt;=CG:CG)*(Q624&lt;=CH:CH), 0)), "")</f>
        <v/>
      </c>
      <c r="X624" s="39"/>
      <c r="Y624" s="74"/>
      <c r="Z624" s="74" t="str">
        <f>IF(OR(Table5[[#This Row],[Per Person Package Cost]]="", Table5[[#This Row],[No. of Pax]]=""), "", Table5[[#This Row],[Per Person Package Cost]] * Table5[[#This Row],[No. of Pax]])</f>
        <v/>
      </c>
      <c r="AA624" s="52"/>
      <c r="AB624" s="52"/>
      <c r="AC624" s="52"/>
      <c r="AD624" s="52"/>
      <c r="AE624" s="51" t="str">
        <f t="shared" si="61"/>
        <v/>
      </c>
      <c r="AF624" s="51" t="str">
        <f t="shared" si="62"/>
        <v/>
      </c>
      <c r="AG624" s="74" t="str">
        <f t="shared" si="63"/>
        <v/>
      </c>
      <c r="AH624" s="73" t="str">
        <f t="shared" si="64"/>
        <v/>
      </c>
      <c r="AI624" s="52"/>
      <c r="AJ624" s="56"/>
      <c r="AK624" s="59"/>
      <c r="AL624" s="60"/>
      <c r="AM624" s="54"/>
      <c r="AN624" s="64"/>
      <c r="AO624" s="26"/>
      <c r="AP624" s="93"/>
      <c r="AQ624" s="87"/>
      <c r="AR624" s="26"/>
      <c r="AS624" s="65"/>
      <c r="AT624" s="88"/>
      <c r="AU624" s="67"/>
      <c r="DA624" t="str" cm="1">
        <f t="array" ref="DA624">IF(U624&lt;&gt;"", TRANSPOSE(_xlfn._xlws.FILTER(CZ:CZ, CY:CY=U624, "")), "")</f>
        <v/>
      </c>
    </row>
    <row r="625" spans="2:105" ht="15" customHeight="1">
      <c r="B625" s="34">
        <v>621</v>
      </c>
      <c r="C625" s="36" t="s">
        <v>2490</v>
      </c>
      <c r="D625" s="76"/>
      <c r="E625" s="37" t="str">
        <f>IF(Table5[[#This Row],[Query Date]]&lt;&gt;"", TEXT(Table5[[#This Row],[Query Date]], "dddd"), "")</f>
        <v/>
      </c>
      <c r="F625" s="37" t="str">
        <f>IF(Table5[[#This Row],[Query Date]]&lt;&gt;"", TEXT(Table5[[#This Row],[Query Date]], "mmmm"), "")</f>
        <v/>
      </c>
      <c r="G625" s="28"/>
      <c r="H625" s="28"/>
      <c r="I625" s="28"/>
      <c r="J625" s="28"/>
      <c r="K625" s="28"/>
      <c r="L625" s="25"/>
      <c r="M625" s="25"/>
      <c r="N625" s="25"/>
      <c r="O625" s="130"/>
      <c r="P625" s="47"/>
      <c r="Q625" s="77"/>
      <c r="R625" s="77" t="str">
        <f>IF(Table5[[#This Row],[Tour Starting Date]]&lt;&gt;"", TEXT(Table5[[#This Row],[Tour Starting Date]], "dddd"), "")</f>
        <v/>
      </c>
      <c r="S625" s="77"/>
      <c r="T625" s="25" t="str">
        <f>IF(Table5[[#This Row],[Tour Ending Date]]&lt;&gt;"", TEXT(Table5[[#This Row],[Tour Ending Date]], "dddd"), "")</f>
        <v/>
      </c>
      <c r="U62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25" s="37" t="str">
        <f>IF(Table5[[#This Row],[Tour Starting Date]]&lt;&gt;"", TEXT(Table5[[#This Row],[Tour Starting Date]], "mmmm"), "")</f>
        <v/>
      </c>
      <c r="W625" s="80" t="str" cm="1">
        <f t="array" ref="W625">IF(Q625&lt;&gt;"", INDEX(CI:CI, MATCH(1, (Q625&gt;=CG:CG)*(Q625&lt;=CH:CH), 0)), "")</f>
        <v/>
      </c>
      <c r="X625" s="39"/>
      <c r="Y625" s="74"/>
      <c r="Z625" s="74" t="str">
        <f>IF(OR(Table5[[#This Row],[Per Person Package Cost]]="", Table5[[#This Row],[No. of Pax]]=""), "", Table5[[#This Row],[Per Person Package Cost]] * Table5[[#This Row],[No. of Pax]])</f>
        <v/>
      </c>
      <c r="AA625" s="52"/>
      <c r="AB625" s="52"/>
      <c r="AC625" s="52"/>
      <c r="AD625" s="52"/>
      <c r="AE625" s="51" t="str">
        <f t="shared" si="61"/>
        <v/>
      </c>
      <c r="AF625" s="51" t="str">
        <f t="shared" si="62"/>
        <v/>
      </c>
      <c r="AG625" s="74" t="str">
        <f t="shared" si="63"/>
        <v/>
      </c>
      <c r="AH625" s="73" t="str">
        <f t="shared" si="64"/>
        <v/>
      </c>
      <c r="AI625" s="52"/>
      <c r="AJ625" s="56"/>
      <c r="AK625" s="59"/>
      <c r="AL625" s="60"/>
      <c r="AM625" s="54"/>
      <c r="AN625" s="64"/>
      <c r="AO625" s="26"/>
      <c r="AP625" s="93"/>
      <c r="AQ625" s="87"/>
      <c r="AR625" s="26"/>
      <c r="AS625" s="65"/>
      <c r="AT625" s="88"/>
      <c r="AU625" s="67"/>
      <c r="DA625" t="str" cm="1">
        <f t="array" ref="DA625">IF(U625&lt;&gt;"", TRANSPOSE(_xlfn._xlws.FILTER(CZ:CZ, CY:CY=U625, "")), "")</f>
        <v/>
      </c>
    </row>
    <row r="626" spans="2:105" ht="15" customHeight="1">
      <c r="B626" s="35">
        <v>622</v>
      </c>
      <c r="C626" s="36" t="s">
        <v>2491</v>
      </c>
      <c r="D626" s="76"/>
      <c r="E626" s="37" t="str">
        <f>IF(Table5[[#This Row],[Query Date]]&lt;&gt;"", TEXT(Table5[[#This Row],[Query Date]], "dddd"), "")</f>
        <v/>
      </c>
      <c r="F626" s="37" t="str">
        <f>IF(Table5[[#This Row],[Query Date]]&lt;&gt;"", TEXT(Table5[[#This Row],[Query Date]], "mmmm"), "")</f>
        <v/>
      </c>
      <c r="G626" s="28"/>
      <c r="H626" s="28"/>
      <c r="I626" s="28"/>
      <c r="J626" s="28"/>
      <c r="K626" s="28"/>
      <c r="L626" s="25"/>
      <c r="M626" s="25"/>
      <c r="N626" s="25"/>
      <c r="O626" s="130"/>
      <c r="P626" s="47"/>
      <c r="Q626" s="77"/>
      <c r="R626" s="77" t="str">
        <f>IF(Table5[[#This Row],[Tour Starting Date]]&lt;&gt;"", TEXT(Table5[[#This Row],[Tour Starting Date]], "dddd"), "")</f>
        <v/>
      </c>
      <c r="S626" s="77"/>
      <c r="T626" s="25" t="str">
        <f>IF(Table5[[#This Row],[Tour Ending Date]]&lt;&gt;"", TEXT(Table5[[#This Row],[Tour Ending Date]], "dddd"), "")</f>
        <v/>
      </c>
      <c r="U62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26" s="37" t="str">
        <f>IF(Table5[[#This Row],[Tour Starting Date]]&lt;&gt;"", TEXT(Table5[[#This Row],[Tour Starting Date]], "mmmm"), "")</f>
        <v/>
      </c>
      <c r="W626" s="80" t="str" cm="1">
        <f t="array" ref="W626">IF(Q626&lt;&gt;"", INDEX(CI:CI, MATCH(1, (Q626&gt;=CG:CG)*(Q626&lt;=CH:CH), 0)), "")</f>
        <v/>
      </c>
      <c r="X626" s="39"/>
      <c r="Y626" s="74"/>
      <c r="Z626" s="74" t="str">
        <f>IF(OR(Table5[[#This Row],[Per Person Package Cost]]="", Table5[[#This Row],[No. of Pax]]=""), "", Table5[[#This Row],[Per Person Package Cost]] * Table5[[#This Row],[No. of Pax]])</f>
        <v/>
      </c>
      <c r="AA626" s="52"/>
      <c r="AB626" s="52"/>
      <c r="AC626" s="52"/>
      <c r="AD626" s="52"/>
      <c r="AE626" s="51" t="str">
        <f t="shared" si="61"/>
        <v/>
      </c>
      <c r="AF626" s="51" t="str">
        <f t="shared" si="62"/>
        <v/>
      </c>
      <c r="AG626" s="74" t="str">
        <f t="shared" si="63"/>
        <v/>
      </c>
      <c r="AH626" s="73" t="str">
        <f t="shared" si="64"/>
        <v/>
      </c>
      <c r="AI626" s="52"/>
      <c r="AJ626" s="56"/>
      <c r="AK626" s="59"/>
      <c r="AL626" s="60"/>
      <c r="AM626" s="54"/>
      <c r="AN626" s="64"/>
      <c r="AO626" s="26"/>
      <c r="AP626" s="93"/>
      <c r="AQ626" s="87"/>
      <c r="AR626" s="26"/>
      <c r="AS626" s="65"/>
      <c r="AT626" s="88"/>
      <c r="AU626" s="67"/>
      <c r="DA626" t="str" cm="1">
        <f t="array" ref="DA626">IF(U626&lt;&gt;"", TRANSPOSE(_xlfn._xlws.FILTER(CZ:CZ, CY:CY=U626, "")), "")</f>
        <v/>
      </c>
    </row>
    <row r="627" spans="2:105" ht="15" customHeight="1">
      <c r="B627" s="34">
        <v>623</v>
      </c>
      <c r="C627" s="36" t="s">
        <v>2492</v>
      </c>
      <c r="D627" s="76"/>
      <c r="E627" s="37" t="str">
        <f>IF(Table5[[#This Row],[Query Date]]&lt;&gt;"", TEXT(Table5[[#This Row],[Query Date]], "dddd"), "")</f>
        <v/>
      </c>
      <c r="F627" s="37" t="str">
        <f>IF(Table5[[#This Row],[Query Date]]&lt;&gt;"", TEXT(Table5[[#This Row],[Query Date]], "mmmm"), "")</f>
        <v/>
      </c>
      <c r="G627" s="28"/>
      <c r="H627" s="28"/>
      <c r="I627" s="28"/>
      <c r="J627" s="28"/>
      <c r="K627" s="28"/>
      <c r="L627" s="25"/>
      <c r="M627" s="25"/>
      <c r="N627" s="25"/>
      <c r="O627" s="130"/>
      <c r="P627" s="47"/>
      <c r="Q627" s="77"/>
      <c r="R627" s="77" t="str">
        <f>IF(Table5[[#This Row],[Tour Starting Date]]&lt;&gt;"", TEXT(Table5[[#This Row],[Tour Starting Date]], "dddd"), "")</f>
        <v/>
      </c>
      <c r="S627" s="77"/>
      <c r="T627" s="25" t="str">
        <f>IF(Table5[[#This Row],[Tour Ending Date]]&lt;&gt;"", TEXT(Table5[[#This Row],[Tour Ending Date]], "dddd"), "")</f>
        <v/>
      </c>
      <c r="U62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27" s="37" t="str">
        <f>IF(Table5[[#This Row],[Tour Starting Date]]&lt;&gt;"", TEXT(Table5[[#This Row],[Tour Starting Date]], "mmmm"), "")</f>
        <v/>
      </c>
      <c r="W627" s="80" t="str" cm="1">
        <f t="array" ref="W627">IF(Q627&lt;&gt;"", INDEX(CI:CI, MATCH(1, (Q627&gt;=CG:CG)*(Q627&lt;=CH:CH), 0)), "")</f>
        <v/>
      </c>
      <c r="X627" s="39"/>
      <c r="Y627" s="74"/>
      <c r="Z627" s="74" t="str">
        <f>IF(OR(Table5[[#This Row],[Per Person Package Cost]]="", Table5[[#This Row],[No. of Pax]]=""), "", Table5[[#This Row],[Per Person Package Cost]] * Table5[[#This Row],[No. of Pax]])</f>
        <v/>
      </c>
      <c r="AA627" s="52"/>
      <c r="AB627" s="52"/>
      <c r="AC627" s="52"/>
      <c r="AD627" s="52"/>
      <c r="AE627" s="51" t="str">
        <f t="shared" si="61"/>
        <v/>
      </c>
      <c r="AF627" s="51" t="str">
        <f t="shared" si="62"/>
        <v/>
      </c>
      <c r="AG627" s="74" t="str">
        <f t="shared" si="63"/>
        <v/>
      </c>
      <c r="AH627" s="73" t="str">
        <f t="shared" si="64"/>
        <v/>
      </c>
      <c r="AI627" s="52"/>
      <c r="AJ627" s="56"/>
      <c r="AK627" s="59"/>
      <c r="AL627" s="60"/>
      <c r="AM627" s="54"/>
      <c r="AN627" s="64"/>
      <c r="AO627" s="26"/>
      <c r="AP627" s="93"/>
      <c r="AQ627" s="87"/>
      <c r="AR627" s="26"/>
      <c r="AS627" s="65"/>
      <c r="AT627" s="88"/>
      <c r="AU627" s="67"/>
      <c r="DA627" t="str" cm="1">
        <f t="array" ref="DA627">IF(U627&lt;&gt;"", TRANSPOSE(_xlfn._xlws.FILTER(CZ:CZ, CY:CY=U627, "")), "")</f>
        <v/>
      </c>
    </row>
    <row r="628" spans="2:105" ht="15" customHeight="1">
      <c r="B628" s="35">
        <v>624</v>
      </c>
      <c r="C628" s="36" t="s">
        <v>2493</v>
      </c>
      <c r="D628" s="76"/>
      <c r="E628" s="37" t="str">
        <f>IF(Table5[[#This Row],[Query Date]]&lt;&gt;"", TEXT(Table5[[#This Row],[Query Date]], "dddd"), "")</f>
        <v/>
      </c>
      <c r="F628" s="37" t="str">
        <f>IF(Table5[[#This Row],[Query Date]]&lt;&gt;"", TEXT(Table5[[#This Row],[Query Date]], "mmmm"), "")</f>
        <v/>
      </c>
      <c r="G628" s="28"/>
      <c r="H628" s="28"/>
      <c r="I628" s="28"/>
      <c r="J628" s="28"/>
      <c r="K628" s="28"/>
      <c r="L628" s="25"/>
      <c r="M628" s="25"/>
      <c r="N628" s="25"/>
      <c r="O628" s="130"/>
      <c r="P628" s="47"/>
      <c r="Q628" s="77"/>
      <c r="R628" s="77" t="str">
        <f>IF(Table5[[#This Row],[Tour Starting Date]]&lt;&gt;"", TEXT(Table5[[#This Row],[Tour Starting Date]], "dddd"), "")</f>
        <v/>
      </c>
      <c r="S628" s="77"/>
      <c r="T628" s="25" t="str">
        <f>IF(Table5[[#This Row],[Tour Ending Date]]&lt;&gt;"", TEXT(Table5[[#This Row],[Tour Ending Date]], "dddd"), "")</f>
        <v/>
      </c>
      <c r="U62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28" s="37" t="str">
        <f>IF(Table5[[#This Row],[Tour Starting Date]]&lt;&gt;"", TEXT(Table5[[#This Row],[Tour Starting Date]], "mmmm"), "")</f>
        <v/>
      </c>
      <c r="W628" s="80" t="str" cm="1">
        <f t="array" ref="W628">IF(Q628&lt;&gt;"", INDEX(CI:CI, MATCH(1, (Q628&gt;=CG:CG)*(Q628&lt;=CH:CH), 0)), "")</f>
        <v/>
      </c>
      <c r="X628" s="39"/>
      <c r="Y628" s="74"/>
      <c r="Z628" s="74" t="str">
        <f>IF(OR(Table5[[#This Row],[Per Person Package Cost]]="", Table5[[#This Row],[No. of Pax]]=""), "", Table5[[#This Row],[Per Person Package Cost]] * Table5[[#This Row],[No. of Pax]])</f>
        <v/>
      </c>
      <c r="AA628" s="52"/>
      <c r="AB628" s="52"/>
      <c r="AC628" s="52"/>
      <c r="AD628" s="52"/>
      <c r="AE628" s="51" t="str">
        <f t="shared" si="61"/>
        <v/>
      </c>
      <c r="AF628" s="51" t="str">
        <f t="shared" si="62"/>
        <v/>
      </c>
      <c r="AG628" s="74" t="str">
        <f t="shared" si="63"/>
        <v/>
      </c>
      <c r="AH628" s="73" t="str">
        <f t="shared" si="64"/>
        <v/>
      </c>
      <c r="AI628" s="52"/>
      <c r="AJ628" s="56"/>
      <c r="AK628" s="59"/>
      <c r="AL628" s="60"/>
      <c r="AM628" s="54"/>
      <c r="AN628" s="64"/>
      <c r="AO628" s="26"/>
      <c r="AP628" s="93"/>
      <c r="AQ628" s="87"/>
      <c r="AR628" s="26"/>
      <c r="AS628" s="65"/>
      <c r="AT628" s="88"/>
      <c r="AU628" s="67"/>
      <c r="DA628" t="str" cm="1">
        <f t="array" ref="DA628">IF(U628&lt;&gt;"", TRANSPOSE(_xlfn._xlws.FILTER(CZ:CZ, CY:CY=U628, "")), "")</f>
        <v/>
      </c>
    </row>
    <row r="629" spans="2:105" ht="15" customHeight="1">
      <c r="B629" s="34">
        <v>625</v>
      </c>
      <c r="C629" s="36" t="s">
        <v>2494</v>
      </c>
      <c r="D629" s="76"/>
      <c r="E629" s="37" t="str">
        <f>IF(Table5[[#This Row],[Query Date]]&lt;&gt;"", TEXT(Table5[[#This Row],[Query Date]], "dddd"), "")</f>
        <v/>
      </c>
      <c r="F629" s="37" t="str">
        <f>IF(Table5[[#This Row],[Query Date]]&lt;&gt;"", TEXT(Table5[[#This Row],[Query Date]], "mmmm"), "")</f>
        <v/>
      </c>
      <c r="G629" s="28"/>
      <c r="H629" s="28"/>
      <c r="I629" s="28"/>
      <c r="J629" s="28"/>
      <c r="K629" s="28"/>
      <c r="L629" s="25"/>
      <c r="M629" s="25"/>
      <c r="N629" s="25"/>
      <c r="O629" s="130"/>
      <c r="P629" s="106"/>
      <c r="Q629" s="77"/>
      <c r="R629" s="77" t="str">
        <f>IF(Table5[[#This Row],[Tour Starting Date]]&lt;&gt;"", TEXT(Table5[[#This Row],[Tour Starting Date]], "dddd"), "")</f>
        <v/>
      </c>
      <c r="S629" s="77"/>
      <c r="T629" s="25" t="str">
        <f>IF(Table5[[#This Row],[Tour Ending Date]]&lt;&gt;"", TEXT(Table5[[#This Row],[Tour Ending Date]], "dddd"), "")</f>
        <v/>
      </c>
      <c r="U62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29" s="37" t="str">
        <f>IF(Table5[[#This Row],[Tour Starting Date]]&lt;&gt;"", TEXT(Table5[[#This Row],[Tour Starting Date]], "mmmm"), "")</f>
        <v/>
      </c>
      <c r="W629" s="80" t="str" cm="1">
        <f t="array" ref="W629">IF(Q629&lt;&gt;"", INDEX(CI:CI, MATCH(1, (Q629&gt;=CG:CG)*(Q629&lt;=CH:CH), 0)), "")</f>
        <v/>
      </c>
      <c r="X629" s="39"/>
      <c r="Y629" s="74"/>
      <c r="Z629" s="74" t="str">
        <f>IF(OR(Table5[[#This Row],[Per Person Package Cost]]="", Table5[[#This Row],[No. of Pax]]=""), "", Table5[[#This Row],[Per Person Package Cost]] * Table5[[#This Row],[No. of Pax]])</f>
        <v/>
      </c>
      <c r="AA629" s="52"/>
      <c r="AB629" s="52"/>
      <c r="AC629" s="52"/>
      <c r="AD629" s="52"/>
      <c r="AE629" s="51" t="str">
        <f t="shared" si="61"/>
        <v/>
      </c>
      <c r="AF629" s="51" t="str">
        <f t="shared" si="62"/>
        <v/>
      </c>
      <c r="AG629" s="74" t="str">
        <f t="shared" si="63"/>
        <v/>
      </c>
      <c r="AH629" s="73" t="str">
        <f t="shared" si="64"/>
        <v/>
      </c>
      <c r="AI629" s="52"/>
      <c r="AJ629" s="56"/>
      <c r="AK629" s="59"/>
      <c r="AL629" s="60"/>
      <c r="AM629" s="54"/>
      <c r="AN629" s="64"/>
      <c r="AO629" s="26"/>
      <c r="AP629" s="93"/>
      <c r="AQ629" s="87"/>
      <c r="AR629" s="26"/>
      <c r="AS629" s="65"/>
      <c r="AT629" s="88"/>
      <c r="AU629" s="67"/>
      <c r="DA629" t="str" cm="1">
        <f t="array" ref="DA629">IF(U629&lt;&gt;"", TRANSPOSE(_xlfn._xlws.FILTER(CZ:CZ, CY:CY=U629, "")), "")</f>
        <v/>
      </c>
    </row>
    <row r="630" spans="2:105" ht="15" customHeight="1">
      <c r="B630" s="35">
        <v>626</v>
      </c>
      <c r="C630" s="36" t="s">
        <v>2495</v>
      </c>
      <c r="D630" s="76"/>
      <c r="E630" s="37" t="str">
        <f>IF(Table5[[#This Row],[Query Date]]&lt;&gt;"", TEXT(Table5[[#This Row],[Query Date]], "dddd"), "")</f>
        <v/>
      </c>
      <c r="F630" s="37" t="str">
        <f>IF(Table5[[#This Row],[Query Date]]&lt;&gt;"", TEXT(Table5[[#This Row],[Query Date]], "mmmm"), "")</f>
        <v/>
      </c>
      <c r="G630" s="28"/>
      <c r="H630" s="28"/>
      <c r="I630" s="28"/>
      <c r="J630" s="28"/>
      <c r="K630" s="28"/>
      <c r="L630" s="25"/>
      <c r="M630" s="25"/>
      <c r="N630" s="25"/>
      <c r="O630" s="130"/>
      <c r="P630" s="47"/>
      <c r="Q630" s="77"/>
      <c r="R630" s="77" t="str">
        <f>IF(Table5[[#This Row],[Tour Starting Date]]&lt;&gt;"", TEXT(Table5[[#This Row],[Tour Starting Date]], "dddd"), "")</f>
        <v/>
      </c>
      <c r="S630" s="77"/>
      <c r="T630" s="25" t="str">
        <f>IF(Table5[[#This Row],[Tour Ending Date]]&lt;&gt;"", TEXT(Table5[[#This Row],[Tour Ending Date]], "dddd"), "")</f>
        <v/>
      </c>
      <c r="U63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30" s="37" t="str">
        <f>IF(Table5[[#This Row],[Tour Starting Date]]&lt;&gt;"", TEXT(Table5[[#This Row],[Tour Starting Date]], "mmmm"), "")</f>
        <v/>
      </c>
      <c r="W630" s="80" t="str" cm="1">
        <f t="array" ref="W630">IF(Q630&lt;&gt;"", INDEX(CI:CI, MATCH(1, (Q630&gt;=CG:CG)*(Q630&lt;=CH:CH), 0)), "")</f>
        <v/>
      </c>
      <c r="X630" s="39"/>
      <c r="Y630" s="74"/>
      <c r="Z630" s="74" t="str">
        <f>IF(OR(Table5[[#This Row],[Per Person Package Cost]]="", Table5[[#This Row],[No. of Pax]]=""), "", Table5[[#This Row],[Per Person Package Cost]] * Table5[[#This Row],[No. of Pax]])</f>
        <v/>
      </c>
      <c r="AA630" s="52"/>
      <c r="AB630" s="52"/>
      <c r="AC630" s="52"/>
      <c r="AD630" s="52"/>
      <c r="AE630" s="51" t="str">
        <f t="shared" si="61"/>
        <v/>
      </c>
      <c r="AF630" s="51" t="str">
        <f t="shared" si="62"/>
        <v/>
      </c>
      <c r="AG630" s="74" t="str">
        <f t="shared" si="63"/>
        <v/>
      </c>
      <c r="AH630" s="73" t="str">
        <f t="shared" si="64"/>
        <v/>
      </c>
      <c r="AI630" s="52"/>
      <c r="AJ630" s="56"/>
      <c r="AK630" s="59"/>
      <c r="AL630" s="60"/>
      <c r="AM630" s="54"/>
      <c r="AN630" s="64"/>
      <c r="AO630" s="26"/>
      <c r="AP630" s="93"/>
      <c r="AQ630" s="87"/>
      <c r="AR630" s="26"/>
      <c r="AS630" s="65"/>
      <c r="AT630" s="88"/>
      <c r="AU630" s="67"/>
      <c r="DA630" t="str" cm="1">
        <f t="array" ref="DA630">IF(U630&lt;&gt;"", TRANSPOSE(_xlfn._xlws.FILTER(CZ:CZ, CY:CY=U630, "")), "")</f>
        <v/>
      </c>
    </row>
    <row r="631" spans="2:105" ht="15" customHeight="1">
      <c r="B631" s="34">
        <v>627</v>
      </c>
      <c r="C631" s="36" t="s">
        <v>2496</v>
      </c>
      <c r="D631" s="76"/>
      <c r="E631" s="37" t="str">
        <f>IF(Table5[[#This Row],[Query Date]]&lt;&gt;"", TEXT(Table5[[#This Row],[Query Date]], "dddd"), "")</f>
        <v/>
      </c>
      <c r="F631" s="37" t="str">
        <f>IF(Table5[[#This Row],[Query Date]]&lt;&gt;"", TEXT(Table5[[#This Row],[Query Date]], "mmmm"), "")</f>
        <v/>
      </c>
      <c r="G631" s="28"/>
      <c r="H631" s="28"/>
      <c r="I631" s="28"/>
      <c r="J631" s="28"/>
      <c r="K631" s="28"/>
      <c r="L631" s="25"/>
      <c r="M631" s="25"/>
      <c r="N631" s="25"/>
      <c r="O631" s="130"/>
      <c r="P631" s="47"/>
      <c r="Q631" s="77"/>
      <c r="R631" s="77" t="str">
        <f>IF(Table5[[#This Row],[Tour Starting Date]]&lt;&gt;"", TEXT(Table5[[#This Row],[Tour Starting Date]], "dddd"), "")</f>
        <v/>
      </c>
      <c r="S631" s="77"/>
      <c r="T631" s="25" t="str">
        <f>IF(Table5[[#This Row],[Tour Ending Date]]&lt;&gt;"", TEXT(Table5[[#This Row],[Tour Ending Date]], "dddd"), "")</f>
        <v/>
      </c>
      <c r="U63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31" s="37" t="str">
        <f>IF(Table5[[#This Row],[Tour Starting Date]]&lt;&gt;"", TEXT(Table5[[#This Row],[Tour Starting Date]], "mmmm"), "")</f>
        <v/>
      </c>
      <c r="W631" s="80" t="str" cm="1">
        <f t="array" ref="W631">IF(Q631&lt;&gt;"", INDEX(CI:CI, MATCH(1, (Q631&gt;=CG:CG)*(Q631&lt;=CH:CH), 0)), "")</f>
        <v/>
      </c>
      <c r="X631" s="39"/>
      <c r="Y631" s="74"/>
      <c r="Z631" s="74" t="str">
        <f>IF(OR(Table5[[#This Row],[Per Person Package Cost]]="", Table5[[#This Row],[No. of Pax]]=""), "", Table5[[#This Row],[Per Person Package Cost]] * Table5[[#This Row],[No. of Pax]])</f>
        <v/>
      </c>
      <c r="AA631" s="52"/>
      <c r="AB631" s="52"/>
      <c r="AC631" s="52"/>
      <c r="AD631" s="52"/>
      <c r="AE631" s="51" t="str">
        <f t="shared" si="61"/>
        <v/>
      </c>
      <c r="AF631" s="51" t="str">
        <f t="shared" si="62"/>
        <v/>
      </c>
      <c r="AG631" s="74" t="str">
        <f t="shared" si="63"/>
        <v/>
      </c>
      <c r="AH631" s="73" t="str">
        <f t="shared" si="64"/>
        <v/>
      </c>
      <c r="AI631" s="52"/>
      <c r="AJ631" s="56"/>
      <c r="AK631" s="59"/>
      <c r="AL631" s="60"/>
      <c r="AM631" s="54"/>
      <c r="AN631" s="64"/>
      <c r="AO631" s="26"/>
      <c r="AP631" s="93"/>
      <c r="AQ631" s="87"/>
      <c r="AR631" s="26"/>
      <c r="AS631" s="65"/>
      <c r="AT631" s="88"/>
      <c r="AU631" s="67"/>
      <c r="DA631" t="str" cm="1">
        <f t="array" ref="DA631">IF(U631&lt;&gt;"", TRANSPOSE(_xlfn._xlws.FILTER(CZ:CZ, CY:CY=U631, "")), "")</f>
        <v/>
      </c>
    </row>
    <row r="632" spans="2:105" ht="15" customHeight="1">
      <c r="B632" s="35">
        <v>628</v>
      </c>
      <c r="C632" s="36" t="s">
        <v>2497</v>
      </c>
      <c r="D632" s="76"/>
      <c r="E632" s="37" t="str">
        <f>IF(Table5[[#This Row],[Query Date]]&lt;&gt;"", TEXT(Table5[[#This Row],[Query Date]], "dddd"), "")</f>
        <v/>
      </c>
      <c r="F632" s="37" t="str">
        <f>IF(Table5[[#This Row],[Query Date]]&lt;&gt;"", TEXT(Table5[[#This Row],[Query Date]], "mmmm"), "")</f>
        <v/>
      </c>
      <c r="G632" s="28"/>
      <c r="H632" s="28"/>
      <c r="I632" s="28"/>
      <c r="J632" s="28"/>
      <c r="K632" s="28"/>
      <c r="L632" s="25"/>
      <c r="M632" s="25"/>
      <c r="N632" s="25"/>
      <c r="O632" s="130"/>
      <c r="P632" s="47"/>
      <c r="Q632" s="77"/>
      <c r="R632" s="77" t="str">
        <f>IF(Table5[[#This Row],[Tour Starting Date]]&lt;&gt;"", TEXT(Table5[[#This Row],[Tour Starting Date]], "dddd"), "")</f>
        <v/>
      </c>
      <c r="S632" s="77"/>
      <c r="T632" s="25" t="str">
        <f>IF(Table5[[#This Row],[Tour Ending Date]]&lt;&gt;"", TEXT(Table5[[#This Row],[Tour Ending Date]], "dddd"), "")</f>
        <v/>
      </c>
      <c r="U63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32" s="37" t="str">
        <f>IF(Table5[[#This Row],[Tour Starting Date]]&lt;&gt;"", TEXT(Table5[[#This Row],[Tour Starting Date]], "mmmm"), "")</f>
        <v/>
      </c>
      <c r="W632" s="80" t="str" cm="1">
        <f t="array" ref="W632">IF(Q632&lt;&gt;"", INDEX(CI:CI, MATCH(1, (Q632&gt;=CG:CG)*(Q632&lt;=CH:CH), 0)), "")</f>
        <v/>
      </c>
      <c r="X632" s="39"/>
      <c r="Y632" s="74"/>
      <c r="Z632" s="74" t="str">
        <f>IF(OR(Table5[[#This Row],[Per Person Package Cost]]="", Table5[[#This Row],[No. of Pax]]=""), "", Table5[[#This Row],[Per Person Package Cost]] * Table5[[#This Row],[No. of Pax]])</f>
        <v/>
      </c>
      <c r="AA632" s="52"/>
      <c r="AB632" s="52"/>
      <c r="AC632" s="52"/>
      <c r="AD632" s="52"/>
      <c r="AE632" s="51" t="str">
        <f t="shared" si="61"/>
        <v/>
      </c>
      <c r="AF632" s="51" t="str">
        <f t="shared" si="62"/>
        <v/>
      </c>
      <c r="AG632" s="74" t="str">
        <f t="shared" si="63"/>
        <v/>
      </c>
      <c r="AH632" s="73" t="str">
        <f t="shared" si="64"/>
        <v/>
      </c>
      <c r="AI632" s="52"/>
      <c r="AJ632" s="56"/>
      <c r="AK632" s="59"/>
      <c r="AL632" s="60"/>
      <c r="AM632" s="54"/>
      <c r="AN632" s="64"/>
      <c r="AO632" s="26"/>
      <c r="AP632" s="93"/>
      <c r="AQ632" s="87"/>
      <c r="AR632" s="26"/>
      <c r="AS632" s="65"/>
      <c r="AT632" s="88"/>
      <c r="AU632" s="67"/>
      <c r="DA632" t="str" cm="1">
        <f t="array" ref="DA632">IF(U632&lt;&gt;"", TRANSPOSE(_xlfn._xlws.FILTER(CZ:CZ, CY:CY=U632, "")), "")</f>
        <v/>
      </c>
    </row>
    <row r="633" spans="2:105" ht="15" customHeight="1">
      <c r="B633" s="34">
        <v>629</v>
      </c>
      <c r="C633" s="36" t="s">
        <v>2498</v>
      </c>
      <c r="D633" s="76"/>
      <c r="E633" s="37" t="str">
        <f>IF(Table5[[#This Row],[Query Date]]&lt;&gt;"", TEXT(Table5[[#This Row],[Query Date]], "dddd"), "")</f>
        <v/>
      </c>
      <c r="F633" s="37" t="str">
        <f>IF(Table5[[#This Row],[Query Date]]&lt;&gt;"", TEXT(Table5[[#This Row],[Query Date]], "mmmm"), "")</f>
        <v/>
      </c>
      <c r="G633" s="28"/>
      <c r="H633" s="28"/>
      <c r="I633" s="28"/>
      <c r="J633" s="28"/>
      <c r="K633" s="28"/>
      <c r="L633" s="25"/>
      <c r="M633" s="25"/>
      <c r="N633" s="25"/>
      <c r="O633" s="130"/>
      <c r="P633" s="47"/>
      <c r="Q633" s="77"/>
      <c r="R633" s="77" t="str">
        <f>IF(Table5[[#This Row],[Tour Starting Date]]&lt;&gt;"", TEXT(Table5[[#This Row],[Tour Starting Date]], "dddd"), "")</f>
        <v/>
      </c>
      <c r="S633" s="77"/>
      <c r="T633" s="25" t="str">
        <f>IF(Table5[[#This Row],[Tour Ending Date]]&lt;&gt;"", TEXT(Table5[[#This Row],[Tour Ending Date]], "dddd"), "")</f>
        <v/>
      </c>
      <c r="U63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33" s="37" t="str">
        <f>IF(Table5[[#This Row],[Tour Starting Date]]&lt;&gt;"", TEXT(Table5[[#This Row],[Tour Starting Date]], "mmmm"), "")</f>
        <v/>
      </c>
      <c r="W633" s="80" t="str" cm="1">
        <f t="array" ref="W633">IF(Q633&lt;&gt;"", INDEX(CI:CI, MATCH(1, (Q633&gt;=CG:CG)*(Q633&lt;=CH:CH), 0)), "")</f>
        <v/>
      </c>
      <c r="X633" s="39"/>
      <c r="Y633" s="74"/>
      <c r="Z633" s="74" t="str">
        <f>IF(OR(Table5[[#This Row],[Per Person Package Cost]]="", Table5[[#This Row],[No. of Pax]]=""), "", Table5[[#This Row],[Per Person Package Cost]] * Table5[[#This Row],[No. of Pax]])</f>
        <v/>
      </c>
      <c r="AA633" s="52"/>
      <c r="AB633" s="52"/>
      <c r="AC633" s="52"/>
      <c r="AD633" s="52"/>
      <c r="AE633" s="51" t="str">
        <f t="shared" si="61"/>
        <v/>
      </c>
      <c r="AF633" s="51" t="str">
        <f t="shared" si="62"/>
        <v/>
      </c>
      <c r="AG633" s="74" t="str">
        <f t="shared" si="63"/>
        <v/>
      </c>
      <c r="AH633" s="73" t="str">
        <f t="shared" si="64"/>
        <v/>
      </c>
      <c r="AI633" s="52"/>
      <c r="AJ633" s="56"/>
      <c r="AK633" s="59"/>
      <c r="AL633" s="60"/>
      <c r="AM633" s="54"/>
      <c r="AN633" s="64"/>
      <c r="AO633" s="26"/>
      <c r="AP633" s="93"/>
      <c r="AQ633" s="87"/>
      <c r="AR633" s="26"/>
      <c r="AS633" s="65"/>
      <c r="AT633" s="88"/>
      <c r="AU633" s="67"/>
      <c r="DA633" t="str" cm="1">
        <f t="array" ref="DA633">IF(U633&lt;&gt;"", TRANSPOSE(_xlfn._xlws.FILTER(CZ:CZ, CY:CY=U633, "")), "")</f>
        <v/>
      </c>
    </row>
    <row r="634" spans="2:105" ht="15" customHeight="1">
      <c r="B634" s="35">
        <v>630</v>
      </c>
      <c r="C634" s="36" t="s">
        <v>2499</v>
      </c>
      <c r="D634" s="76"/>
      <c r="E634" s="37" t="str">
        <f>IF(Table5[[#This Row],[Query Date]]&lt;&gt;"", TEXT(Table5[[#This Row],[Query Date]], "dddd"), "")</f>
        <v/>
      </c>
      <c r="F634" s="37" t="str">
        <f>IF(Table5[[#This Row],[Query Date]]&lt;&gt;"", TEXT(Table5[[#This Row],[Query Date]], "mmmm"), "")</f>
        <v/>
      </c>
      <c r="G634" s="28"/>
      <c r="H634" s="28"/>
      <c r="I634" s="28"/>
      <c r="J634" s="28"/>
      <c r="K634" s="28"/>
      <c r="L634" s="25"/>
      <c r="M634" s="25"/>
      <c r="N634" s="25"/>
      <c r="O634" s="130"/>
      <c r="P634" s="47"/>
      <c r="Q634" s="77"/>
      <c r="R634" s="77" t="str">
        <f>IF(Table5[[#This Row],[Tour Starting Date]]&lt;&gt;"", TEXT(Table5[[#This Row],[Tour Starting Date]], "dddd"), "")</f>
        <v/>
      </c>
      <c r="S634" s="77"/>
      <c r="T634" s="25" t="str">
        <f>IF(Table5[[#This Row],[Tour Ending Date]]&lt;&gt;"", TEXT(Table5[[#This Row],[Tour Ending Date]], "dddd"), "")</f>
        <v/>
      </c>
      <c r="U63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34" s="37" t="str">
        <f>IF(Table5[[#This Row],[Tour Starting Date]]&lt;&gt;"", TEXT(Table5[[#This Row],[Tour Starting Date]], "mmmm"), "")</f>
        <v/>
      </c>
      <c r="W634" s="80" t="str" cm="1">
        <f t="array" ref="W634">IF(Q634&lt;&gt;"", INDEX(CI:CI, MATCH(1, (Q634&gt;=CG:CG)*(Q634&lt;=CH:CH), 0)), "")</f>
        <v/>
      </c>
      <c r="X634" s="39"/>
      <c r="Y634" s="74"/>
      <c r="Z634" s="74" t="str">
        <f>IF(OR(Table5[[#This Row],[Per Person Package Cost]]="", Table5[[#This Row],[No. of Pax]]=""), "", Table5[[#This Row],[Per Person Package Cost]] * Table5[[#This Row],[No. of Pax]])</f>
        <v/>
      </c>
      <c r="AA634" s="52"/>
      <c r="AB634" s="52"/>
      <c r="AC634" s="52"/>
      <c r="AD634" s="52"/>
      <c r="AE634" s="51" t="str">
        <f t="shared" si="61"/>
        <v/>
      </c>
      <c r="AF634" s="51" t="str">
        <f t="shared" si="62"/>
        <v/>
      </c>
      <c r="AG634" s="74" t="str">
        <f t="shared" si="63"/>
        <v/>
      </c>
      <c r="AH634" s="73" t="str">
        <f t="shared" si="64"/>
        <v/>
      </c>
      <c r="AI634" s="52"/>
      <c r="AJ634" s="56"/>
      <c r="AK634" s="59"/>
      <c r="AL634" s="60"/>
      <c r="AM634" s="54"/>
      <c r="AN634" s="64"/>
      <c r="AO634" s="26"/>
      <c r="AP634" s="93"/>
      <c r="AQ634" s="87"/>
      <c r="AR634" s="26"/>
      <c r="AS634" s="65"/>
      <c r="AT634" s="88"/>
      <c r="AU634" s="67"/>
      <c r="DA634" t="str" cm="1">
        <f t="array" ref="DA634">IF(U634&lt;&gt;"", TRANSPOSE(_xlfn._xlws.FILTER(CZ:CZ, CY:CY=U634, "")), "")</f>
        <v/>
      </c>
    </row>
    <row r="635" spans="2:105" ht="15" customHeight="1">
      <c r="B635" s="34">
        <v>631</v>
      </c>
      <c r="C635" s="36" t="s">
        <v>2500</v>
      </c>
      <c r="D635" s="76"/>
      <c r="E635" s="37" t="str">
        <f>IF(Table5[[#This Row],[Query Date]]&lt;&gt;"", TEXT(Table5[[#This Row],[Query Date]], "dddd"), "")</f>
        <v/>
      </c>
      <c r="F635" s="37" t="str">
        <f>IF(Table5[[#This Row],[Query Date]]&lt;&gt;"", TEXT(Table5[[#This Row],[Query Date]], "mmmm"), "")</f>
        <v/>
      </c>
      <c r="G635" s="28"/>
      <c r="H635" s="28"/>
      <c r="I635" s="28"/>
      <c r="J635" s="28"/>
      <c r="K635" s="28"/>
      <c r="L635" s="25"/>
      <c r="M635" s="25"/>
      <c r="N635" s="25"/>
      <c r="O635" s="130"/>
      <c r="P635" s="47"/>
      <c r="Q635" s="77"/>
      <c r="R635" s="77" t="str">
        <f>IF(Table5[[#This Row],[Tour Starting Date]]&lt;&gt;"", TEXT(Table5[[#This Row],[Tour Starting Date]], "dddd"), "")</f>
        <v/>
      </c>
      <c r="S635" s="77"/>
      <c r="T635" s="25" t="str">
        <f>IF(Table5[[#This Row],[Tour Ending Date]]&lt;&gt;"", TEXT(Table5[[#This Row],[Tour Ending Date]], "dddd"), "")</f>
        <v/>
      </c>
      <c r="U63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35" s="37" t="str">
        <f>IF(Table5[[#This Row],[Tour Starting Date]]&lt;&gt;"", TEXT(Table5[[#This Row],[Tour Starting Date]], "mmmm"), "")</f>
        <v/>
      </c>
      <c r="W635" s="80" t="str" cm="1">
        <f t="array" ref="W635">IF(Q635&lt;&gt;"", INDEX(CI:CI, MATCH(1, (Q635&gt;=CG:CG)*(Q635&lt;=CH:CH), 0)), "")</f>
        <v/>
      </c>
      <c r="X635" s="39"/>
      <c r="Y635" s="74"/>
      <c r="Z635" s="74" t="str">
        <f>IF(OR(Table5[[#This Row],[Per Person Package Cost]]="", Table5[[#This Row],[No. of Pax]]=""), "", Table5[[#This Row],[Per Person Package Cost]] * Table5[[#This Row],[No. of Pax]])</f>
        <v/>
      </c>
      <c r="AA635" s="52"/>
      <c r="AB635" s="52"/>
      <c r="AC635" s="52"/>
      <c r="AD635" s="52"/>
      <c r="AE635" s="51" t="str">
        <f t="shared" si="61"/>
        <v/>
      </c>
      <c r="AF635" s="51" t="str">
        <f t="shared" si="62"/>
        <v/>
      </c>
      <c r="AG635" s="74" t="str">
        <f t="shared" si="63"/>
        <v/>
      </c>
      <c r="AH635" s="73" t="str">
        <f t="shared" si="64"/>
        <v/>
      </c>
      <c r="AI635" s="52"/>
      <c r="AJ635" s="56"/>
      <c r="AK635" s="59"/>
      <c r="AL635" s="60"/>
      <c r="AM635" s="54"/>
      <c r="AN635" s="64"/>
      <c r="AO635" s="26"/>
      <c r="AP635" s="93"/>
      <c r="AQ635" s="87"/>
      <c r="AR635" s="26"/>
      <c r="AS635" s="65"/>
      <c r="AT635" s="88"/>
      <c r="AU635" s="67"/>
      <c r="DA635" t="str" cm="1">
        <f t="array" ref="DA635">IF(U635&lt;&gt;"", TRANSPOSE(_xlfn._xlws.FILTER(CZ:CZ, CY:CY=U635, "")), "")</f>
        <v/>
      </c>
    </row>
    <row r="636" spans="2:105" ht="15" customHeight="1">
      <c r="B636" s="35">
        <v>632</v>
      </c>
      <c r="C636" s="36" t="s">
        <v>2501</v>
      </c>
      <c r="D636" s="76"/>
      <c r="E636" s="37" t="str">
        <f>IF(Table5[[#This Row],[Query Date]]&lt;&gt;"", TEXT(Table5[[#This Row],[Query Date]], "dddd"), "")</f>
        <v/>
      </c>
      <c r="F636" s="37" t="str">
        <f>IF(Table5[[#This Row],[Query Date]]&lt;&gt;"", TEXT(Table5[[#This Row],[Query Date]], "mmmm"), "")</f>
        <v/>
      </c>
      <c r="G636" s="28"/>
      <c r="H636" s="28"/>
      <c r="I636" s="28"/>
      <c r="J636" s="28"/>
      <c r="K636" s="28"/>
      <c r="L636" s="25"/>
      <c r="M636" s="25"/>
      <c r="N636" s="25"/>
      <c r="O636" s="130"/>
      <c r="P636" s="47"/>
      <c r="Q636" s="77"/>
      <c r="R636" s="77" t="str">
        <f>IF(Table5[[#This Row],[Tour Starting Date]]&lt;&gt;"", TEXT(Table5[[#This Row],[Tour Starting Date]], "dddd"), "")</f>
        <v/>
      </c>
      <c r="S636" s="77"/>
      <c r="T636" s="25" t="str">
        <f>IF(Table5[[#This Row],[Tour Ending Date]]&lt;&gt;"", TEXT(Table5[[#This Row],[Tour Ending Date]], "dddd"), "")</f>
        <v/>
      </c>
      <c r="U63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36" s="37" t="str">
        <f>IF(Table5[[#This Row],[Tour Starting Date]]&lt;&gt;"", TEXT(Table5[[#This Row],[Tour Starting Date]], "mmmm"), "")</f>
        <v/>
      </c>
      <c r="W636" s="80" t="str" cm="1">
        <f t="array" ref="W636">IF(Q636&lt;&gt;"", INDEX(CI:CI, MATCH(1, (Q636&gt;=CG:CG)*(Q636&lt;=CH:CH), 0)), "")</f>
        <v/>
      </c>
      <c r="X636" s="39"/>
      <c r="Y636" s="74"/>
      <c r="Z636" s="74" t="str">
        <f>IF(OR(Table5[[#This Row],[Per Person Package Cost]]="", Table5[[#This Row],[No. of Pax]]=""), "", Table5[[#This Row],[Per Person Package Cost]] * Table5[[#This Row],[No. of Pax]])</f>
        <v/>
      </c>
      <c r="AA636" s="52"/>
      <c r="AB636" s="52"/>
      <c r="AC636" s="52"/>
      <c r="AD636" s="52"/>
      <c r="AE636" s="51" t="str">
        <f t="shared" si="61"/>
        <v/>
      </c>
      <c r="AF636" s="51" t="str">
        <f t="shared" si="62"/>
        <v/>
      </c>
      <c r="AG636" s="74" t="str">
        <f t="shared" si="63"/>
        <v/>
      </c>
      <c r="AH636" s="73" t="str">
        <f t="shared" si="64"/>
        <v/>
      </c>
      <c r="AI636" s="52"/>
      <c r="AJ636" s="56"/>
      <c r="AK636" s="59"/>
      <c r="AL636" s="60"/>
      <c r="AM636" s="54"/>
      <c r="AN636" s="64"/>
      <c r="AO636" s="26"/>
      <c r="AP636" s="93"/>
      <c r="AQ636" s="87"/>
      <c r="AR636" s="26"/>
      <c r="AS636" s="65"/>
      <c r="AT636" s="88"/>
      <c r="AU636" s="67"/>
      <c r="DA636" t="str" cm="1">
        <f t="array" ref="DA636">IF(U636&lt;&gt;"", TRANSPOSE(_xlfn._xlws.FILTER(CZ:CZ, CY:CY=U636, "")), "")</f>
        <v/>
      </c>
    </row>
    <row r="637" spans="2:105" ht="15" customHeight="1">
      <c r="B637" s="34">
        <v>633</v>
      </c>
      <c r="C637" s="36" t="s">
        <v>2502</v>
      </c>
      <c r="D637" s="76"/>
      <c r="E637" s="37" t="str">
        <f>IF(Table5[[#This Row],[Query Date]]&lt;&gt;"", TEXT(Table5[[#This Row],[Query Date]], "dddd"), "")</f>
        <v/>
      </c>
      <c r="F637" s="37" t="str">
        <f>IF(Table5[[#This Row],[Query Date]]&lt;&gt;"", TEXT(Table5[[#This Row],[Query Date]], "mmmm"), "")</f>
        <v/>
      </c>
      <c r="G637" s="28"/>
      <c r="H637" s="28"/>
      <c r="I637" s="28"/>
      <c r="J637" s="28"/>
      <c r="K637" s="28"/>
      <c r="L637" s="25"/>
      <c r="M637" s="25"/>
      <c r="N637" s="25"/>
      <c r="O637" s="130"/>
      <c r="P637" s="47"/>
      <c r="Q637" s="77"/>
      <c r="R637" s="77" t="str">
        <f>IF(Table5[[#This Row],[Tour Starting Date]]&lt;&gt;"", TEXT(Table5[[#This Row],[Tour Starting Date]], "dddd"), "")</f>
        <v/>
      </c>
      <c r="S637" s="77"/>
      <c r="T637" s="25" t="str">
        <f>IF(Table5[[#This Row],[Tour Ending Date]]&lt;&gt;"", TEXT(Table5[[#This Row],[Tour Ending Date]], "dddd"), "")</f>
        <v/>
      </c>
      <c r="U63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37" s="37" t="str">
        <f>IF(Table5[[#This Row],[Tour Starting Date]]&lt;&gt;"", TEXT(Table5[[#This Row],[Tour Starting Date]], "mmmm"), "")</f>
        <v/>
      </c>
      <c r="W637" s="80" t="str" cm="1">
        <f t="array" ref="W637">IF(Q637&lt;&gt;"", INDEX(CI:CI, MATCH(1, (Q637&gt;=CG:CG)*(Q637&lt;=CH:CH), 0)), "")</f>
        <v/>
      </c>
      <c r="X637" s="39"/>
      <c r="Y637" s="74"/>
      <c r="Z637" s="74" t="str">
        <f>IF(OR(Table5[[#This Row],[Per Person Package Cost]]="", Table5[[#This Row],[No. of Pax]]=""), "", Table5[[#This Row],[Per Person Package Cost]] * Table5[[#This Row],[No. of Pax]])</f>
        <v/>
      </c>
      <c r="AA637" s="52"/>
      <c r="AB637" s="52"/>
      <c r="AC637" s="52"/>
      <c r="AD637" s="52"/>
      <c r="AE637" s="51" t="str">
        <f t="shared" si="61"/>
        <v/>
      </c>
      <c r="AF637" s="51" t="str">
        <f t="shared" si="62"/>
        <v/>
      </c>
      <c r="AG637" s="74" t="str">
        <f t="shared" si="63"/>
        <v/>
      </c>
      <c r="AH637" s="73" t="str">
        <f t="shared" si="64"/>
        <v/>
      </c>
      <c r="AI637" s="52"/>
      <c r="AJ637" s="56"/>
      <c r="AK637" s="59"/>
      <c r="AL637" s="60"/>
      <c r="AM637" s="54"/>
      <c r="AN637" s="64"/>
      <c r="AO637" s="26"/>
      <c r="AP637" s="93"/>
      <c r="AQ637" s="87"/>
      <c r="AR637" s="26"/>
      <c r="AS637" s="65"/>
      <c r="AT637" s="88"/>
      <c r="AU637" s="67"/>
      <c r="DA637" t="str" cm="1">
        <f t="array" ref="DA637">IF(U637&lt;&gt;"", TRANSPOSE(_xlfn._xlws.FILTER(CZ:CZ, CY:CY=U637, "")), "")</f>
        <v/>
      </c>
    </row>
    <row r="638" spans="2:105" ht="15" customHeight="1">
      <c r="B638" s="35">
        <v>634</v>
      </c>
      <c r="C638" s="36" t="s">
        <v>2503</v>
      </c>
      <c r="D638" s="76"/>
      <c r="E638" s="37" t="str">
        <f>IF(Table5[[#This Row],[Query Date]]&lt;&gt;"", TEXT(Table5[[#This Row],[Query Date]], "dddd"), "")</f>
        <v/>
      </c>
      <c r="F638" s="37" t="str">
        <f>IF(Table5[[#This Row],[Query Date]]&lt;&gt;"", TEXT(Table5[[#This Row],[Query Date]], "mmmm"), "")</f>
        <v/>
      </c>
      <c r="G638" s="28"/>
      <c r="H638" s="28"/>
      <c r="I638" s="28"/>
      <c r="J638" s="28"/>
      <c r="K638" s="28"/>
      <c r="L638" s="25"/>
      <c r="M638" s="25"/>
      <c r="N638" s="25"/>
      <c r="O638" s="130"/>
      <c r="P638" s="47"/>
      <c r="Q638" s="77"/>
      <c r="R638" s="77" t="str">
        <f>IF(Table5[[#This Row],[Tour Starting Date]]&lt;&gt;"", TEXT(Table5[[#This Row],[Tour Starting Date]], "dddd"), "")</f>
        <v/>
      </c>
      <c r="S638" s="77"/>
      <c r="T638" s="25" t="str">
        <f>IF(Table5[[#This Row],[Tour Ending Date]]&lt;&gt;"", TEXT(Table5[[#This Row],[Tour Ending Date]], "dddd"), "")</f>
        <v/>
      </c>
      <c r="U63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38" s="37" t="str">
        <f>IF(Table5[[#This Row],[Tour Starting Date]]&lt;&gt;"", TEXT(Table5[[#This Row],[Tour Starting Date]], "mmmm"), "")</f>
        <v/>
      </c>
      <c r="W638" s="80" t="str" cm="1">
        <f t="array" ref="W638">IF(Q638&lt;&gt;"", INDEX(CI:CI, MATCH(1, (Q638&gt;=CG:CG)*(Q638&lt;=CH:CH), 0)), "")</f>
        <v/>
      </c>
      <c r="X638" s="39"/>
      <c r="Y638" s="74"/>
      <c r="Z638" s="74" t="str">
        <f>IF(OR(Table5[[#This Row],[Per Person Package Cost]]="", Table5[[#This Row],[No. of Pax]]=""), "", Table5[[#This Row],[Per Person Package Cost]] * Table5[[#This Row],[No. of Pax]])</f>
        <v/>
      </c>
      <c r="AA638" s="52"/>
      <c r="AB638" s="52"/>
      <c r="AC638" s="52"/>
      <c r="AD638" s="52"/>
      <c r="AE638" s="51" t="str">
        <f t="shared" si="61"/>
        <v/>
      </c>
      <c r="AF638" s="51" t="str">
        <f t="shared" si="62"/>
        <v/>
      </c>
      <c r="AG638" s="74" t="str">
        <f t="shared" si="63"/>
        <v/>
      </c>
      <c r="AH638" s="73" t="str">
        <f t="shared" si="64"/>
        <v/>
      </c>
      <c r="AI638" s="52"/>
      <c r="AJ638" s="56"/>
      <c r="AK638" s="59"/>
      <c r="AL638" s="60"/>
      <c r="AM638" s="54"/>
      <c r="AN638" s="64"/>
      <c r="AO638" s="26"/>
      <c r="AP638" s="93"/>
      <c r="AQ638" s="87"/>
      <c r="AR638" s="26"/>
      <c r="AS638" s="65"/>
      <c r="AT638" s="88"/>
      <c r="AU638" s="67"/>
      <c r="DA638" t="str" cm="1">
        <f t="array" ref="DA638">IF(U638&lt;&gt;"", TRANSPOSE(_xlfn._xlws.FILTER(CZ:CZ, CY:CY=U638, "")), "")</f>
        <v/>
      </c>
    </row>
    <row r="639" spans="2:105" ht="15" customHeight="1">
      <c r="B639" s="34">
        <v>635</v>
      </c>
      <c r="C639" s="36" t="s">
        <v>2504</v>
      </c>
      <c r="D639" s="76"/>
      <c r="E639" s="37" t="str">
        <f>IF(Table5[[#This Row],[Query Date]]&lt;&gt;"", TEXT(Table5[[#This Row],[Query Date]], "dddd"), "")</f>
        <v/>
      </c>
      <c r="F639" s="37" t="str">
        <f>IF(Table5[[#This Row],[Query Date]]&lt;&gt;"", TEXT(Table5[[#This Row],[Query Date]], "mmmm"), "")</f>
        <v/>
      </c>
      <c r="G639" s="28"/>
      <c r="H639" s="28"/>
      <c r="I639" s="28"/>
      <c r="J639" s="28"/>
      <c r="K639" s="28"/>
      <c r="L639" s="25"/>
      <c r="M639" s="25"/>
      <c r="N639" s="25"/>
      <c r="O639" s="130"/>
      <c r="P639" s="47"/>
      <c r="Q639" s="77"/>
      <c r="R639" s="77" t="str">
        <f>IF(Table5[[#This Row],[Tour Starting Date]]&lt;&gt;"", TEXT(Table5[[#This Row],[Tour Starting Date]], "dddd"), "")</f>
        <v/>
      </c>
      <c r="S639" s="77"/>
      <c r="T639" s="25" t="str">
        <f>IF(Table5[[#This Row],[Tour Ending Date]]&lt;&gt;"", TEXT(Table5[[#This Row],[Tour Ending Date]], "dddd"), "")</f>
        <v/>
      </c>
      <c r="U63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39" s="37" t="str">
        <f>IF(Table5[[#This Row],[Tour Starting Date]]&lt;&gt;"", TEXT(Table5[[#This Row],[Tour Starting Date]], "mmmm"), "")</f>
        <v/>
      </c>
      <c r="W639" s="80" t="str" cm="1">
        <f t="array" ref="W639">IF(Q639&lt;&gt;"", INDEX(CI:CI, MATCH(1, (Q639&gt;=CG:CG)*(Q639&lt;=CH:CH), 0)), "")</f>
        <v/>
      </c>
      <c r="X639" s="39"/>
      <c r="Y639" s="74"/>
      <c r="Z639" s="74" t="str">
        <f>IF(OR(Table5[[#This Row],[Per Person Package Cost]]="", Table5[[#This Row],[No. of Pax]]=""), "", Table5[[#This Row],[Per Person Package Cost]] * Table5[[#This Row],[No. of Pax]])</f>
        <v/>
      </c>
      <c r="AA639" s="52"/>
      <c r="AB639" s="52"/>
      <c r="AC639" s="52"/>
      <c r="AD639" s="52"/>
      <c r="AE639" s="51" t="str">
        <f t="shared" si="61"/>
        <v/>
      </c>
      <c r="AF639" s="51" t="str">
        <f t="shared" si="62"/>
        <v/>
      </c>
      <c r="AG639" s="74" t="str">
        <f t="shared" si="63"/>
        <v/>
      </c>
      <c r="AH639" s="73" t="str">
        <f t="shared" si="64"/>
        <v/>
      </c>
      <c r="AI639" s="52"/>
      <c r="AJ639" s="56"/>
      <c r="AK639" s="59"/>
      <c r="AL639" s="60"/>
      <c r="AM639" s="54"/>
      <c r="AN639" s="64"/>
      <c r="AO639" s="26"/>
      <c r="AP639" s="93"/>
      <c r="AQ639" s="87"/>
      <c r="AR639" s="26"/>
      <c r="AS639" s="65"/>
      <c r="AT639" s="88"/>
      <c r="AU639" s="67"/>
      <c r="DA639" t="str" cm="1">
        <f t="array" ref="DA639">IF(U639&lt;&gt;"", TRANSPOSE(_xlfn._xlws.FILTER(CZ:CZ, CY:CY=U639, "")), "")</f>
        <v/>
      </c>
    </row>
    <row r="640" spans="2:105" ht="15" customHeight="1">
      <c r="B640" s="35">
        <v>636</v>
      </c>
      <c r="C640" s="36" t="s">
        <v>2505</v>
      </c>
      <c r="D640" s="76"/>
      <c r="E640" s="37" t="str">
        <f>IF(Table5[[#This Row],[Query Date]]&lt;&gt;"", TEXT(Table5[[#This Row],[Query Date]], "dddd"), "")</f>
        <v/>
      </c>
      <c r="F640" s="37" t="str">
        <f>IF(Table5[[#This Row],[Query Date]]&lt;&gt;"", TEXT(Table5[[#This Row],[Query Date]], "mmmm"), "")</f>
        <v/>
      </c>
      <c r="G640" s="28"/>
      <c r="H640" s="28"/>
      <c r="I640" s="28"/>
      <c r="J640" s="28"/>
      <c r="K640" s="28"/>
      <c r="L640" s="25"/>
      <c r="M640" s="25"/>
      <c r="N640" s="25"/>
      <c r="O640" s="130"/>
      <c r="P640" s="47"/>
      <c r="Q640" s="77"/>
      <c r="R640" s="77" t="str">
        <f>IF(Table5[[#This Row],[Tour Starting Date]]&lt;&gt;"", TEXT(Table5[[#This Row],[Tour Starting Date]], "dddd"), "")</f>
        <v/>
      </c>
      <c r="S640" s="77"/>
      <c r="T640" s="25" t="str">
        <f>IF(Table5[[#This Row],[Tour Ending Date]]&lt;&gt;"", TEXT(Table5[[#This Row],[Tour Ending Date]], "dddd"), "")</f>
        <v/>
      </c>
      <c r="U64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40" s="37" t="str">
        <f>IF(Table5[[#This Row],[Tour Starting Date]]&lt;&gt;"", TEXT(Table5[[#This Row],[Tour Starting Date]], "mmmm"), "")</f>
        <v/>
      </c>
      <c r="W640" s="80" t="str" cm="1">
        <f t="array" ref="W640">IF(Q640&lt;&gt;"", INDEX(CI:CI, MATCH(1, (Q640&gt;=CG:CG)*(Q640&lt;=CH:CH), 0)), "")</f>
        <v/>
      </c>
      <c r="X640" s="39"/>
      <c r="Y640" s="74"/>
      <c r="Z640" s="74" t="str">
        <f>IF(OR(Table5[[#This Row],[Per Person Package Cost]]="", Table5[[#This Row],[No. of Pax]]=""), "", Table5[[#This Row],[Per Person Package Cost]] * Table5[[#This Row],[No. of Pax]])</f>
        <v/>
      </c>
      <c r="AA640" s="52"/>
      <c r="AB640" s="52"/>
      <c r="AC640" s="52"/>
      <c r="AD640" s="52"/>
      <c r="AE640" s="51" t="str">
        <f t="shared" si="61"/>
        <v/>
      </c>
      <c r="AF640" s="51" t="str">
        <f t="shared" si="62"/>
        <v/>
      </c>
      <c r="AG640" s="74" t="str">
        <f t="shared" si="63"/>
        <v/>
      </c>
      <c r="AH640" s="73" t="str">
        <f t="shared" si="64"/>
        <v/>
      </c>
      <c r="AI640" s="52"/>
      <c r="AJ640" s="56"/>
      <c r="AK640" s="59"/>
      <c r="AL640" s="60"/>
      <c r="AM640" s="54"/>
      <c r="AN640" s="64"/>
      <c r="AO640" s="26"/>
      <c r="AP640" s="93"/>
      <c r="AQ640" s="87"/>
      <c r="AR640" s="26"/>
      <c r="AS640" s="65"/>
      <c r="AT640" s="88"/>
      <c r="AU640" s="67"/>
      <c r="DA640" t="str" cm="1">
        <f t="array" ref="DA640">IF(U640&lt;&gt;"", TRANSPOSE(_xlfn._xlws.FILTER(CZ:CZ, CY:CY=U640, "")), "")</f>
        <v/>
      </c>
    </row>
    <row r="641" spans="2:105" ht="15" customHeight="1">
      <c r="B641" s="34">
        <v>637</v>
      </c>
      <c r="C641" s="36" t="s">
        <v>2506</v>
      </c>
      <c r="D641" s="76"/>
      <c r="E641" s="37" t="str">
        <f>IF(Table5[[#This Row],[Query Date]]&lt;&gt;"", TEXT(Table5[[#This Row],[Query Date]], "dddd"), "")</f>
        <v/>
      </c>
      <c r="F641" s="37" t="str">
        <f>IF(Table5[[#This Row],[Query Date]]&lt;&gt;"", TEXT(Table5[[#This Row],[Query Date]], "mmmm"), "")</f>
        <v/>
      </c>
      <c r="G641" s="28"/>
      <c r="H641" s="28"/>
      <c r="I641" s="28"/>
      <c r="J641" s="28"/>
      <c r="K641" s="28"/>
      <c r="L641" s="25"/>
      <c r="M641" s="25"/>
      <c r="N641" s="25"/>
      <c r="O641" s="130"/>
      <c r="P641" s="47"/>
      <c r="Q641" s="77"/>
      <c r="R641" s="77" t="str">
        <f>IF(Table5[[#This Row],[Tour Starting Date]]&lt;&gt;"", TEXT(Table5[[#This Row],[Tour Starting Date]], "dddd"), "")</f>
        <v/>
      </c>
      <c r="S641" s="77"/>
      <c r="T641" s="25" t="str">
        <f>IF(Table5[[#This Row],[Tour Ending Date]]&lt;&gt;"", TEXT(Table5[[#This Row],[Tour Ending Date]], "dddd"), "")</f>
        <v/>
      </c>
      <c r="U64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41" s="37" t="str">
        <f>IF(Table5[[#This Row],[Tour Starting Date]]&lt;&gt;"", TEXT(Table5[[#This Row],[Tour Starting Date]], "mmmm"), "")</f>
        <v/>
      </c>
      <c r="W641" s="80" t="str" cm="1">
        <f t="array" ref="W641">IF(Q641&lt;&gt;"", INDEX(CI:CI, MATCH(1, (Q641&gt;=CG:CG)*(Q641&lt;=CH:CH), 0)), "")</f>
        <v/>
      </c>
      <c r="X641" s="39"/>
      <c r="Y641" s="74"/>
      <c r="Z641" s="74" t="str">
        <f>IF(OR(Table5[[#This Row],[Per Person Package Cost]]="", Table5[[#This Row],[No. of Pax]]=""), "", Table5[[#This Row],[Per Person Package Cost]] * Table5[[#This Row],[No. of Pax]])</f>
        <v/>
      </c>
      <c r="AA641" s="52"/>
      <c r="AB641" s="52"/>
      <c r="AC641" s="52"/>
      <c r="AD641" s="52"/>
      <c r="AE641" s="51" t="str">
        <f t="shared" si="61"/>
        <v/>
      </c>
      <c r="AF641" s="51" t="str">
        <f t="shared" si="62"/>
        <v/>
      </c>
      <c r="AG641" s="74" t="str">
        <f t="shared" si="63"/>
        <v/>
      </c>
      <c r="AH641" s="73" t="str">
        <f t="shared" si="64"/>
        <v/>
      </c>
      <c r="AI641" s="52"/>
      <c r="AJ641" s="56"/>
      <c r="AK641" s="59"/>
      <c r="AL641" s="60"/>
      <c r="AM641" s="54"/>
      <c r="AN641" s="64"/>
      <c r="AO641" s="26"/>
      <c r="AP641" s="93"/>
      <c r="AQ641" s="87"/>
      <c r="AR641" s="26"/>
      <c r="AS641" s="65"/>
      <c r="AT641" s="88"/>
      <c r="AU641" s="67"/>
      <c r="DA641" t="str" cm="1">
        <f t="array" ref="DA641">IF(U641&lt;&gt;"", TRANSPOSE(_xlfn._xlws.FILTER(CZ:CZ, CY:CY=U641, "")), "")</f>
        <v/>
      </c>
    </row>
    <row r="642" spans="2:105" ht="15" customHeight="1">
      <c r="B642" s="35">
        <v>638</v>
      </c>
      <c r="C642" s="36" t="s">
        <v>2507</v>
      </c>
      <c r="D642" s="76"/>
      <c r="E642" s="37" t="str">
        <f>IF(Table5[[#This Row],[Query Date]]&lt;&gt;"", TEXT(Table5[[#This Row],[Query Date]], "dddd"), "")</f>
        <v/>
      </c>
      <c r="F642" s="37" t="str">
        <f>IF(Table5[[#This Row],[Query Date]]&lt;&gt;"", TEXT(Table5[[#This Row],[Query Date]], "mmmm"), "")</f>
        <v/>
      </c>
      <c r="G642" s="28"/>
      <c r="H642" s="28"/>
      <c r="I642" s="28"/>
      <c r="J642" s="28"/>
      <c r="K642" s="28"/>
      <c r="L642" s="25"/>
      <c r="M642" s="25"/>
      <c r="N642" s="25"/>
      <c r="O642" s="130"/>
      <c r="P642" s="47"/>
      <c r="Q642" s="77"/>
      <c r="R642" s="77" t="str">
        <f>IF(Table5[[#This Row],[Tour Starting Date]]&lt;&gt;"", TEXT(Table5[[#This Row],[Tour Starting Date]], "dddd"), "")</f>
        <v/>
      </c>
      <c r="S642" s="77"/>
      <c r="T642" s="25" t="str">
        <f>IF(Table5[[#This Row],[Tour Ending Date]]&lt;&gt;"", TEXT(Table5[[#This Row],[Tour Ending Date]], "dddd"), "")</f>
        <v/>
      </c>
      <c r="U64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42" s="37" t="str">
        <f>IF(Table5[[#This Row],[Tour Starting Date]]&lt;&gt;"", TEXT(Table5[[#This Row],[Tour Starting Date]], "mmmm"), "")</f>
        <v/>
      </c>
      <c r="W642" s="80" t="str" cm="1">
        <f t="array" ref="W642">IF(Q642&lt;&gt;"", INDEX(CI:CI, MATCH(1, (Q642&gt;=CG:CG)*(Q642&lt;=CH:CH), 0)), "")</f>
        <v/>
      </c>
      <c r="X642" s="39"/>
      <c r="Y642" s="74"/>
      <c r="Z642" s="74" t="str">
        <f>IF(OR(Table5[[#This Row],[Per Person Package Cost]]="", Table5[[#This Row],[No. of Pax]]=""), "", Table5[[#This Row],[Per Person Package Cost]] * Table5[[#This Row],[No. of Pax]])</f>
        <v/>
      </c>
      <c r="AA642" s="52"/>
      <c r="AB642" s="52"/>
      <c r="AC642" s="52"/>
      <c r="AD642" s="52"/>
      <c r="AE642" s="51" t="str">
        <f t="shared" si="61"/>
        <v/>
      </c>
      <c r="AF642" s="51" t="str">
        <f t="shared" si="62"/>
        <v/>
      </c>
      <c r="AG642" s="74" t="str">
        <f t="shared" si="63"/>
        <v/>
      </c>
      <c r="AH642" s="73" t="str">
        <f t="shared" si="64"/>
        <v/>
      </c>
      <c r="AI642" s="52"/>
      <c r="AJ642" s="56"/>
      <c r="AK642" s="59"/>
      <c r="AL642" s="60"/>
      <c r="AM642" s="54"/>
      <c r="AN642" s="64"/>
      <c r="AO642" s="26"/>
      <c r="AP642" s="93"/>
      <c r="AQ642" s="87"/>
      <c r="AR642" s="26"/>
      <c r="AS642" s="65"/>
      <c r="AT642" s="88"/>
      <c r="AU642" s="67"/>
      <c r="DA642" t="str" cm="1">
        <f t="array" ref="DA642">IF(U642&lt;&gt;"", TRANSPOSE(_xlfn._xlws.FILTER(CZ:CZ, CY:CY=U642, "")), "")</f>
        <v/>
      </c>
    </row>
    <row r="643" spans="2:105" ht="15" customHeight="1">
      <c r="B643" s="34">
        <v>639</v>
      </c>
      <c r="C643" s="36" t="s">
        <v>2508</v>
      </c>
      <c r="D643" s="76"/>
      <c r="E643" s="37" t="str">
        <f>IF(Table5[[#This Row],[Query Date]]&lt;&gt;"", TEXT(Table5[[#This Row],[Query Date]], "dddd"), "")</f>
        <v/>
      </c>
      <c r="F643" s="37" t="str">
        <f>IF(Table5[[#This Row],[Query Date]]&lt;&gt;"", TEXT(Table5[[#This Row],[Query Date]], "mmmm"), "")</f>
        <v/>
      </c>
      <c r="G643" s="28"/>
      <c r="H643" s="28"/>
      <c r="I643" s="28"/>
      <c r="J643" s="28"/>
      <c r="K643" s="28"/>
      <c r="L643" s="25"/>
      <c r="M643" s="25"/>
      <c r="N643" s="25"/>
      <c r="O643" s="130"/>
      <c r="P643" s="47"/>
      <c r="Q643" s="77"/>
      <c r="R643" s="77" t="str">
        <f>IF(Table5[[#This Row],[Tour Starting Date]]&lt;&gt;"", TEXT(Table5[[#This Row],[Tour Starting Date]], "dddd"), "")</f>
        <v/>
      </c>
      <c r="S643" s="77"/>
      <c r="T643" s="25" t="str">
        <f>IF(Table5[[#This Row],[Tour Ending Date]]&lt;&gt;"", TEXT(Table5[[#This Row],[Tour Ending Date]], "dddd"), "")</f>
        <v/>
      </c>
      <c r="U64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43" s="37" t="str">
        <f>IF(Table5[[#This Row],[Tour Starting Date]]&lt;&gt;"", TEXT(Table5[[#This Row],[Tour Starting Date]], "mmmm"), "")</f>
        <v/>
      </c>
      <c r="W643" s="80" t="str" cm="1">
        <f t="array" ref="W643">IF(Q643&lt;&gt;"", INDEX(CI:CI, MATCH(1, (Q643&gt;=CG:CG)*(Q643&lt;=CH:CH), 0)), "")</f>
        <v/>
      </c>
      <c r="X643" s="39"/>
      <c r="Y643" s="74"/>
      <c r="Z643" s="74" t="str">
        <f>IF(OR(Table5[[#This Row],[Per Person Package Cost]]="", Table5[[#This Row],[No. of Pax]]=""), "", Table5[[#This Row],[Per Person Package Cost]] * Table5[[#This Row],[No. of Pax]])</f>
        <v/>
      </c>
      <c r="AA643" s="52"/>
      <c r="AB643" s="52"/>
      <c r="AC643" s="52"/>
      <c r="AD643" s="52"/>
      <c r="AE643" s="51" t="str">
        <f t="shared" si="61"/>
        <v/>
      </c>
      <c r="AF643" s="51" t="str">
        <f t="shared" si="62"/>
        <v/>
      </c>
      <c r="AG643" s="74" t="str">
        <f t="shared" si="63"/>
        <v/>
      </c>
      <c r="AH643" s="73" t="str">
        <f t="shared" si="64"/>
        <v/>
      </c>
      <c r="AI643" s="52"/>
      <c r="AJ643" s="56"/>
      <c r="AK643" s="59"/>
      <c r="AL643" s="60"/>
      <c r="AM643" s="54"/>
      <c r="AN643" s="64"/>
      <c r="AO643" s="26"/>
      <c r="AP643" s="93"/>
      <c r="AQ643" s="87"/>
      <c r="AR643" s="26"/>
      <c r="AS643" s="65"/>
      <c r="AT643" s="88"/>
      <c r="AU643" s="67"/>
      <c r="DA643" t="str" cm="1">
        <f t="array" ref="DA643">IF(U643&lt;&gt;"", TRANSPOSE(_xlfn._xlws.FILTER(CZ:CZ, CY:CY=U643, "")), "")</f>
        <v/>
      </c>
    </row>
    <row r="644" spans="2:105" ht="15" customHeight="1">
      <c r="B644" s="35">
        <v>640</v>
      </c>
      <c r="C644" s="36" t="s">
        <v>2509</v>
      </c>
      <c r="D644" s="76"/>
      <c r="E644" s="37" t="str">
        <f>IF(Table5[[#This Row],[Query Date]]&lt;&gt;"", TEXT(Table5[[#This Row],[Query Date]], "dddd"), "")</f>
        <v/>
      </c>
      <c r="F644" s="37" t="str">
        <f>IF(Table5[[#This Row],[Query Date]]&lt;&gt;"", TEXT(Table5[[#This Row],[Query Date]], "mmmm"), "")</f>
        <v/>
      </c>
      <c r="G644" s="28"/>
      <c r="H644" s="28"/>
      <c r="I644" s="28"/>
      <c r="J644" s="28"/>
      <c r="K644" s="28"/>
      <c r="L644" s="25"/>
      <c r="M644" s="25"/>
      <c r="N644" s="25"/>
      <c r="O644" s="130"/>
      <c r="P644" s="47"/>
      <c r="Q644" s="77"/>
      <c r="R644" s="77" t="str">
        <f>IF(Table5[[#This Row],[Tour Starting Date]]&lt;&gt;"", TEXT(Table5[[#This Row],[Tour Starting Date]], "dddd"), "")</f>
        <v/>
      </c>
      <c r="S644" s="77"/>
      <c r="T644" s="25" t="str">
        <f>IF(Table5[[#This Row],[Tour Ending Date]]&lt;&gt;"", TEXT(Table5[[#This Row],[Tour Ending Date]], "dddd"), "")</f>
        <v/>
      </c>
      <c r="U64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44" s="37" t="str">
        <f>IF(Table5[[#This Row],[Tour Starting Date]]&lt;&gt;"", TEXT(Table5[[#This Row],[Tour Starting Date]], "mmmm"), "")</f>
        <v/>
      </c>
      <c r="W644" s="80" t="str" cm="1">
        <f t="array" ref="W644">IF(Q644&lt;&gt;"", INDEX(CI:CI, MATCH(1, (Q644&gt;=CG:CG)*(Q644&lt;=CH:CH), 0)), "")</f>
        <v/>
      </c>
      <c r="X644" s="39"/>
      <c r="Y644" s="74"/>
      <c r="Z644" s="74" t="str">
        <f>IF(OR(Table5[[#This Row],[Per Person Package Cost]]="", Table5[[#This Row],[No. of Pax]]=""), "", Table5[[#This Row],[Per Person Package Cost]] * Table5[[#This Row],[No. of Pax]])</f>
        <v/>
      </c>
      <c r="AA644" s="52"/>
      <c r="AB644" s="52"/>
      <c r="AC644" s="52"/>
      <c r="AD644" s="52"/>
      <c r="AE644" s="51" t="str">
        <f t="shared" si="61"/>
        <v/>
      </c>
      <c r="AF644" s="51" t="str">
        <f t="shared" si="62"/>
        <v/>
      </c>
      <c r="AG644" s="74" t="str">
        <f t="shared" si="63"/>
        <v/>
      </c>
      <c r="AH644" s="73" t="str">
        <f t="shared" si="64"/>
        <v/>
      </c>
      <c r="AI644" s="52"/>
      <c r="AJ644" s="56"/>
      <c r="AK644" s="59"/>
      <c r="AL644" s="60"/>
      <c r="AM644" s="54"/>
      <c r="AN644" s="64"/>
      <c r="AO644" s="26"/>
      <c r="AP644" s="93"/>
      <c r="AQ644" s="87"/>
      <c r="AR644" s="26"/>
      <c r="AS644" s="65"/>
      <c r="AT644" s="88"/>
      <c r="AU644" s="67"/>
      <c r="DA644" t="str" cm="1">
        <f t="array" ref="DA644">IF(U644&lt;&gt;"", TRANSPOSE(_xlfn._xlws.FILTER(CZ:CZ, CY:CY=U644, "")), "")</f>
        <v/>
      </c>
    </row>
    <row r="645" spans="2:105" ht="15" customHeight="1">
      <c r="B645" s="34">
        <v>641</v>
      </c>
      <c r="C645" s="36" t="s">
        <v>2510</v>
      </c>
      <c r="D645" s="76"/>
      <c r="E645" s="37" t="str">
        <f>IF(Table5[[#This Row],[Query Date]]&lt;&gt;"", TEXT(Table5[[#This Row],[Query Date]], "dddd"), "")</f>
        <v/>
      </c>
      <c r="F645" s="37" t="str">
        <f>IF(Table5[[#This Row],[Query Date]]&lt;&gt;"", TEXT(Table5[[#This Row],[Query Date]], "mmmm"), "")</f>
        <v/>
      </c>
      <c r="G645" s="28"/>
      <c r="H645" s="28"/>
      <c r="I645" s="28"/>
      <c r="J645" s="28"/>
      <c r="K645" s="28"/>
      <c r="L645" s="25"/>
      <c r="M645" s="25"/>
      <c r="N645" s="25"/>
      <c r="O645" s="130"/>
      <c r="P645" s="47"/>
      <c r="Q645" s="77"/>
      <c r="R645" s="77" t="str">
        <f>IF(Table5[[#This Row],[Tour Starting Date]]&lt;&gt;"", TEXT(Table5[[#This Row],[Tour Starting Date]], "dddd"), "")</f>
        <v/>
      </c>
      <c r="S645" s="77"/>
      <c r="T645" s="25" t="str">
        <f>IF(Table5[[#This Row],[Tour Ending Date]]&lt;&gt;"", TEXT(Table5[[#This Row],[Tour Ending Date]], "dddd"), "")</f>
        <v/>
      </c>
      <c r="U64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45" s="37" t="str">
        <f>IF(Table5[[#This Row],[Tour Starting Date]]&lt;&gt;"", TEXT(Table5[[#This Row],[Tour Starting Date]], "mmmm"), "")</f>
        <v/>
      </c>
      <c r="W645" s="80" t="str" cm="1">
        <f t="array" ref="W645">IF(Q645&lt;&gt;"", INDEX(CI:CI, MATCH(1, (Q645&gt;=CG:CG)*(Q645&lt;=CH:CH), 0)), "")</f>
        <v/>
      </c>
      <c r="X645" s="39"/>
      <c r="Y645" s="74"/>
      <c r="Z645" s="74" t="str">
        <f>IF(OR(Table5[[#This Row],[Per Person Package Cost]]="", Table5[[#This Row],[No. of Pax]]=""), "", Table5[[#This Row],[Per Person Package Cost]] * Table5[[#This Row],[No. of Pax]])</f>
        <v/>
      </c>
      <c r="AA645" s="52"/>
      <c r="AB645" s="52"/>
      <c r="AC645" s="52"/>
      <c r="AD645" s="52"/>
      <c r="AE645" s="51" t="str">
        <f t="shared" ref="AE645:AE708" si="65">IF(AD645&lt;&gt;"", INDEX(CW:CW, MATCH(AD645, CZ:CZ, 0)), "")</f>
        <v/>
      </c>
      <c r="AF645" s="51" t="str">
        <f t="shared" ref="AF645:AF708" si="66">IF(AD645&lt;&gt;"", INDEX(CX:CX, MATCH(AD645, CZ:CZ, 0)), "")</f>
        <v/>
      </c>
      <c r="AG645" s="74" t="str">
        <f t="shared" ref="AG645:AG708" si="67">IF(AE645&lt;&gt;"", INDEX(CU:CU, MATCH(AE645, CW:CW, 0)), "")</f>
        <v/>
      </c>
      <c r="AH645" s="73" t="str">
        <f t="shared" si="64"/>
        <v/>
      </c>
      <c r="AI645" s="52"/>
      <c r="AJ645" s="56"/>
      <c r="AK645" s="59"/>
      <c r="AL645" s="60"/>
      <c r="AM645" s="54"/>
      <c r="AN645" s="64"/>
      <c r="AO645" s="26"/>
      <c r="AP645" s="93"/>
      <c r="AQ645" s="87"/>
      <c r="AR645" s="26"/>
      <c r="AS645" s="65"/>
      <c r="AT645" s="88"/>
      <c r="AU645" s="67"/>
      <c r="DA645" t="str" cm="1">
        <f t="array" ref="DA645">IF(U645&lt;&gt;"", TRANSPOSE(_xlfn._xlws.FILTER(CZ:CZ, CY:CY=U645, "")), "")</f>
        <v/>
      </c>
    </row>
    <row r="646" spans="2:105" ht="15" customHeight="1">
      <c r="B646" s="35">
        <v>642</v>
      </c>
      <c r="C646" s="36" t="s">
        <v>2511</v>
      </c>
      <c r="D646" s="76"/>
      <c r="E646" s="37" t="str">
        <f>IF(Table5[[#This Row],[Query Date]]&lt;&gt;"", TEXT(Table5[[#This Row],[Query Date]], "dddd"), "")</f>
        <v/>
      </c>
      <c r="F646" s="37" t="str">
        <f>IF(Table5[[#This Row],[Query Date]]&lt;&gt;"", TEXT(Table5[[#This Row],[Query Date]], "mmmm"), "")</f>
        <v/>
      </c>
      <c r="G646" s="28"/>
      <c r="H646" s="28"/>
      <c r="I646" s="28"/>
      <c r="J646" s="28"/>
      <c r="K646" s="28"/>
      <c r="L646" s="25"/>
      <c r="M646" s="25"/>
      <c r="N646" s="25"/>
      <c r="O646" s="130"/>
      <c r="P646" s="47"/>
      <c r="Q646" s="77"/>
      <c r="R646" s="77" t="str">
        <f>IF(Table5[[#This Row],[Tour Starting Date]]&lt;&gt;"", TEXT(Table5[[#This Row],[Tour Starting Date]], "dddd"), "")</f>
        <v/>
      </c>
      <c r="S646" s="77"/>
      <c r="T646" s="25" t="str">
        <f>IF(Table5[[#This Row],[Tour Ending Date]]&lt;&gt;"", TEXT(Table5[[#This Row],[Tour Ending Date]], "dddd"), "")</f>
        <v/>
      </c>
      <c r="U64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46" s="37" t="str">
        <f>IF(Table5[[#This Row],[Tour Starting Date]]&lt;&gt;"", TEXT(Table5[[#This Row],[Tour Starting Date]], "mmmm"), "")</f>
        <v/>
      </c>
      <c r="W646" s="80" t="str" cm="1">
        <f t="array" ref="W646">IF(Q646&lt;&gt;"", INDEX(CI:CI, MATCH(1, (Q646&gt;=CG:CG)*(Q646&lt;=CH:CH), 0)), "")</f>
        <v/>
      </c>
      <c r="X646" s="39"/>
      <c r="Y646" s="74"/>
      <c r="Z646" s="74" t="str">
        <f>IF(OR(Table5[[#This Row],[Per Person Package Cost]]="", Table5[[#This Row],[No. of Pax]]=""), "", Table5[[#This Row],[Per Person Package Cost]] * Table5[[#This Row],[No. of Pax]])</f>
        <v/>
      </c>
      <c r="AA646" s="52"/>
      <c r="AB646" s="52"/>
      <c r="AC646" s="52"/>
      <c r="AD646" s="52"/>
      <c r="AE646" s="51" t="str">
        <f t="shared" si="65"/>
        <v/>
      </c>
      <c r="AF646" s="51" t="str">
        <f t="shared" si="66"/>
        <v/>
      </c>
      <c r="AG646" s="74" t="str">
        <f t="shared" si="67"/>
        <v/>
      </c>
      <c r="AH646" s="73" t="str">
        <f t="shared" si="64"/>
        <v/>
      </c>
      <c r="AI646" s="52"/>
      <c r="AJ646" s="56"/>
      <c r="AK646" s="59"/>
      <c r="AL646" s="60"/>
      <c r="AM646" s="54"/>
      <c r="AN646" s="64"/>
      <c r="AO646" s="26"/>
      <c r="AP646" s="93"/>
      <c r="AQ646" s="87"/>
      <c r="AR646" s="26"/>
      <c r="AS646" s="65"/>
      <c r="AT646" s="88"/>
      <c r="AU646" s="67"/>
      <c r="DA646" t="str" cm="1">
        <f t="array" ref="DA646">IF(U646&lt;&gt;"", TRANSPOSE(_xlfn._xlws.FILTER(CZ:CZ, CY:CY=U646, "")), "")</f>
        <v/>
      </c>
    </row>
    <row r="647" spans="2:105" ht="15" customHeight="1">
      <c r="B647" s="34">
        <v>643</v>
      </c>
      <c r="C647" s="36" t="s">
        <v>2512</v>
      </c>
      <c r="D647" s="76"/>
      <c r="E647" s="37" t="str">
        <f>IF(Table5[[#This Row],[Query Date]]&lt;&gt;"", TEXT(Table5[[#This Row],[Query Date]], "dddd"), "")</f>
        <v/>
      </c>
      <c r="F647" s="37" t="str">
        <f>IF(Table5[[#This Row],[Query Date]]&lt;&gt;"", TEXT(Table5[[#This Row],[Query Date]], "mmmm"), "")</f>
        <v/>
      </c>
      <c r="G647" s="28"/>
      <c r="H647" s="28"/>
      <c r="I647" s="28"/>
      <c r="J647" s="28"/>
      <c r="K647" s="28"/>
      <c r="L647" s="25"/>
      <c r="M647" s="25"/>
      <c r="N647" s="25"/>
      <c r="O647" s="130"/>
      <c r="P647" s="47"/>
      <c r="Q647" s="77"/>
      <c r="R647" s="77" t="str">
        <f>IF(Table5[[#This Row],[Tour Starting Date]]&lt;&gt;"", TEXT(Table5[[#This Row],[Tour Starting Date]], "dddd"), "")</f>
        <v/>
      </c>
      <c r="S647" s="77"/>
      <c r="T647" s="25" t="str">
        <f>IF(Table5[[#This Row],[Tour Ending Date]]&lt;&gt;"", TEXT(Table5[[#This Row],[Tour Ending Date]], "dddd"), "")</f>
        <v/>
      </c>
      <c r="U64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47" s="37" t="str">
        <f>IF(Table5[[#This Row],[Tour Starting Date]]&lt;&gt;"", TEXT(Table5[[#This Row],[Tour Starting Date]], "mmmm"), "")</f>
        <v/>
      </c>
      <c r="W647" s="80" t="str" cm="1">
        <f t="array" ref="W647">IF(Q647&lt;&gt;"", INDEX(CI:CI, MATCH(1, (Q647&gt;=CG:CG)*(Q647&lt;=CH:CH), 0)), "")</f>
        <v/>
      </c>
      <c r="X647" s="39"/>
      <c r="Y647" s="74"/>
      <c r="Z647" s="74" t="str">
        <f>IF(OR(Table5[[#This Row],[Per Person Package Cost]]="", Table5[[#This Row],[No. of Pax]]=""), "", Table5[[#This Row],[Per Person Package Cost]] * Table5[[#This Row],[No. of Pax]])</f>
        <v/>
      </c>
      <c r="AA647" s="52"/>
      <c r="AB647" s="52"/>
      <c r="AC647" s="52"/>
      <c r="AD647" s="52"/>
      <c r="AE647" s="51" t="str">
        <f t="shared" si="65"/>
        <v/>
      </c>
      <c r="AF647" s="51" t="str">
        <f t="shared" si="66"/>
        <v/>
      </c>
      <c r="AG647" s="74" t="str">
        <f t="shared" si="67"/>
        <v/>
      </c>
      <c r="AH647" s="73" t="str">
        <f t="shared" si="64"/>
        <v/>
      </c>
      <c r="AI647" s="52"/>
      <c r="AJ647" s="56"/>
      <c r="AK647" s="59"/>
      <c r="AL647" s="60"/>
      <c r="AM647" s="54"/>
      <c r="AN647" s="64"/>
      <c r="AO647" s="26"/>
      <c r="AP647" s="93"/>
      <c r="AQ647" s="87"/>
      <c r="AR647" s="26"/>
      <c r="AS647" s="65"/>
      <c r="AT647" s="88"/>
      <c r="AU647" s="67"/>
      <c r="DA647" t="str" cm="1">
        <f t="array" ref="DA647">IF(U647&lt;&gt;"", TRANSPOSE(_xlfn._xlws.FILTER(CZ:CZ, CY:CY=U647, "")), "")</f>
        <v/>
      </c>
    </row>
    <row r="648" spans="2:105" ht="15" customHeight="1">
      <c r="B648" s="35">
        <v>644</v>
      </c>
      <c r="C648" s="36" t="s">
        <v>2513</v>
      </c>
      <c r="D648" s="76"/>
      <c r="E648" s="37" t="str">
        <f>IF(Table5[[#This Row],[Query Date]]&lt;&gt;"", TEXT(Table5[[#This Row],[Query Date]], "dddd"), "")</f>
        <v/>
      </c>
      <c r="F648" s="37" t="str">
        <f>IF(Table5[[#This Row],[Query Date]]&lt;&gt;"", TEXT(Table5[[#This Row],[Query Date]], "mmmm"), "")</f>
        <v/>
      </c>
      <c r="G648" s="28"/>
      <c r="H648" s="28"/>
      <c r="I648" s="28"/>
      <c r="J648" s="28"/>
      <c r="K648" s="28"/>
      <c r="L648" s="25"/>
      <c r="M648" s="25"/>
      <c r="N648" s="25"/>
      <c r="O648" s="130"/>
      <c r="P648" s="47"/>
      <c r="Q648" s="77"/>
      <c r="R648" s="77" t="str">
        <f>IF(Table5[[#This Row],[Tour Starting Date]]&lt;&gt;"", TEXT(Table5[[#This Row],[Tour Starting Date]], "dddd"), "")</f>
        <v/>
      </c>
      <c r="S648" s="77"/>
      <c r="T648" s="25" t="str">
        <f>IF(Table5[[#This Row],[Tour Ending Date]]&lt;&gt;"", TEXT(Table5[[#This Row],[Tour Ending Date]], "dddd"), "")</f>
        <v/>
      </c>
      <c r="U64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48" s="37" t="str">
        <f>IF(Table5[[#This Row],[Tour Starting Date]]&lt;&gt;"", TEXT(Table5[[#This Row],[Tour Starting Date]], "mmmm"), "")</f>
        <v/>
      </c>
      <c r="W648" s="80" t="str" cm="1">
        <f t="array" ref="W648">IF(Q648&lt;&gt;"", INDEX(CI:CI, MATCH(1, (Q648&gt;=CG:CG)*(Q648&lt;=CH:CH), 0)), "")</f>
        <v/>
      </c>
      <c r="X648" s="39"/>
      <c r="Y648" s="74"/>
      <c r="Z648" s="74" t="str">
        <f>IF(OR(Table5[[#This Row],[Per Person Package Cost]]="", Table5[[#This Row],[No. of Pax]]=""), "", Table5[[#This Row],[Per Person Package Cost]] * Table5[[#This Row],[No. of Pax]])</f>
        <v/>
      </c>
      <c r="AA648" s="52"/>
      <c r="AB648" s="52"/>
      <c r="AC648" s="52"/>
      <c r="AD648" s="52"/>
      <c r="AE648" s="51" t="str">
        <f t="shared" si="65"/>
        <v/>
      </c>
      <c r="AF648" s="51" t="str">
        <f t="shared" si="66"/>
        <v/>
      </c>
      <c r="AG648" s="74" t="str">
        <f t="shared" si="67"/>
        <v/>
      </c>
      <c r="AH648" s="73" t="str">
        <f t="shared" si="64"/>
        <v/>
      </c>
      <c r="AI648" s="52"/>
      <c r="AJ648" s="56"/>
      <c r="AK648" s="59"/>
      <c r="AL648" s="60"/>
      <c r="AM648" s="54"/>
      <c r="AN648" s="64"/>
      <c r="AO648" s="26"/>
      <c r="AP648" s="93"/>
      <c r="AQ648" s="87"/>
      <c r="AR648" s="26"/>
      <c r="AS648" s="65"/>
      <c r="AT648" s="88"/>
      <c r="AU648" s="67"/>
      <c r="DA648" t="str" cm="1">
        <f t="array" ref="DA648">IF(U648&lt;&gt;"", TRANSPOSE(_xlfn._xlws.FILTER(CZ:CZ, CY:CY=U648, "")), "")</f>
        <v/>
      </c>
    </row>
    <row r="649" spans="2:105" ht="15" customHeight="1">
      <c r="B649" s="34">
        <v>645</v>
      </c>
      <c r="C649" s="36" t="s">
        <v>2514</v>
      </c>
      <c r="D649" s="76"/>
      <c r="E649" s="37" t="str">
        <f>IF(Table5[[#This Row],[Query Date]]&lt;&gt;"", TEXT(Table5[[#This Row],[Query Date]], "dddd"), "")</f>
        <v/>
      </c>
      <c r="F649" s="37" t="str">
        <f>IF(Table5[[#This Row],[Query Date]]&lt;&gt;"", TEXT(Table5[[#This Row],[Query Date]], "mmmm"), "")</f>
        <v/>
      </c>
      <c r="G649" s="28"/>
      <c r="H649" s="28"/>
      <c r="I649" s="28"/>
      <c r="J649" s="28"/>
      <c r="K649" s="28"/>
      <c r="L649" s="25"/>
      <c r="M649" s="25"/>
      <c r="N649" s="25"/>
      <c r="O649" s="130"/>
      <c r="P649" s="47"/>
      <c r="Q649" s="77"/>
      <c r="R649" s="77" t="str">
        <f>IF(Table5[[#This Row],[Tour Starting Date]]&lt;&gt;"", TEXT(Table5[[#This Row],[Tour Starting Date]], "dddd"), "")</f>
        <v/>
      </c>
      <c r="S649" s="77"/>
      <c r="T649" s="25" t="str">
        <f>IF(Table5[[#This Row],[Tour Ending Date]]&lt;&gt;"", TEXT(Table5[[#This Row],[Tour Ending Date]], "dddd"), "")</f>
        <v/>
      </c>
      <c r="U64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49" s="37" t="str">
        <f>IF(Table5[[#This Row],[Tour Starting Date]]&lt;&gt;"", TEXT(Table5[[#This Row],[Tour Starting Date]], "mmmm"), "")</f>
        <v/>
      </c>
      <c r="W649" s="80" t="str" cm="1">
        <f t="array" ref="W649">IF(Q649&lt;&gt;"", INDEX(CI:CI, MATCH(1, (Q649&gt;=CG:CG)*(Q649&lt;=CH:CH), 0)), "")</f>
        <v/>
      </c>
      <c r="X649" s="39"/>
      <c r="Y649" s="74"/>
      <c r="Z649" s="74" t="str">
        <f>IF(OR(Table5[[#This Row],[Per Person Package Cost]]="", Table5[[#This Row],[No. of Pax]]=""), "", Table5[[#This Row],[Per Person Package Cost]] * Table5[[#This Row],[No. of Pax]])</f>
        <v/>
      </c>
      <c r="AA649" s="52"/>
      <c r="AB649" s="52"/>
      <c r="AC649" s="52"/>
      <c r="AD649" s="52"/>
      <c r="AE649" s="51" t="str">
        <f t="shared" si="65"/>
        <v/>
      </c>
      <c r="AF649" s="51" t="str">
        <f t="shared" si="66"/>
        <v/>
      </c>
      <c r="AG649" s="74" t="str">
        <f t="shared" si="67"/>
        <v/>
      </c>
      <c r="AH649" s="73" t="str">
        <f t="shared" si="64"/>
        <v/>
      </c>
      <c r="AI649" s="52"/>
      <c r="AJ649" s="56"/>
      <c r="AK649" s="59"/>
      <c r="AL649" s="60"/>
      <c r="AM649" s="54"/>
      <c r="AN649" s="64"/>
      <c r="AO649" s="26"/>
      <c r="AP649" s="93"/>
      <c r="AQ649" s="87"/>
      <c r="AR649" s="26"/>
      <c r="AS649" s="65"/>
      <c r="AT649" s="88"/>
      <c r="AU649" s="67"/>
      <c r="DA649" t="str" cm="1">
        <f t="array" ref="DA649">IF(U649&lt;&gt;"", TRANSPOSE(_xlfn._xlws.FILTER(CZ:CZ, CY:CY=U649, "")), "")</f>
        <v/>
      </c>
    </row>
    <row r="650" spans="2:105" ht="15" customHeight="1">
      <c r="B650" s="35">
        <v>646</v>
      </c>
      <c r="C650" s="36" t="s">
        <v>2515</v>
      </c>
      <c r="D650" s="76"/>
      <c r="E650" s="37" t="str">
        <f>IF(Table5[[#This Row],[Query Date]]&lt;&gt;"", TEXT(Table5[[#This Row],[Query Date]], "dddd"), "")</f>
        <v/>
      </c>
      <c r="F650" s="37" t="str">
        <f>IF(Table5[[#This Row],[Query Date]]&lt;&gt;"", TEXT(Table5[[#This Row],[Query Date]], "mmmm"), "")</f>
        <v/>
      </c>
      <c r="G650" s="28"/>
      <c r="H650" s="28"/>
      <c r="I650" s="28"/>
      <c r="J650" s="28"/>
      <c r="K650" s="28"/>
      <c r="L650" s="25"/>
      <c r="M650" s="25"/>
      <c r="N650" s="25"/>
      <c r="O650" s="130"/>
      <c r="P650" s="47"/>
      <c r="Q650" s="77"/>
      <c r="R650" s="77" t="str">
        <f>IF(Table5[[#This Row],[Tour Starting Date]]&lt;&gt;"", TEXT(Table5[[#This Row],[Tour Starting Date]], "dddd"), "")</f>
        <v/>
      </c>
      <c r="S650" s="77"/>
      <c r="T650" s="25" t="str">
        <f>IF(Table5[[#This Row],[Tour Ending Date]]&lt;&gt;"", TEXT(Table5[[#This Row],[Tour Ending Date]], "dddd"), "")</f>
        <v/>
      </c>
      <c r="U65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50" s="37" t="str">
        <f>IF(Table5[[#This Row],[Tour Starting Date]]&lt;&gt;"", TEXT(Table5[[#This Row],[Tour Starting Date]], "mmmm"), "")</f>
        <v/>
      </c>
      <c r="W650" s="80" t="str" cm="1">
        <f t="array" ref="W650">IF(Q650&lt;&gt;"", INDEX(CI:CI, MATCH(1, (Q650&gt;=CG:CG)*(Q650&lt;=CH:CH), 0)), "")</f>
        <v/>
      </c>
      <c r="X650" s="39"/>
      <c r="Y650" s="74"/>
      <c r="Z650" s="74" t="str">
        <f>IF(OR(Table5[[#This Row],[Per Person Package Cost]]="", Table5[[#This Row],[No. of Pax]]=""), "", Table5[[#This Row],[Per Person Package Cost]] * Table5[[#This Row],[No. of Pax]])</f>
        <v/>
      </c>
      <c r="AA650" s="52"/>
      <c r="AB650" s="52"/>
      <c r="AC650" s="52"/>
      <c r="AD650" s="52"/>
      <c r="AE650" s="51" t="str">
        <f t="shared" si="65"/>
        <v/>
      </c>
      <c r="AF650" s="51" t="str">
        <f t="shared" si="66"/>
        <v/>
      </c>
      <c r="AG650" s="74" t="str">
        <f t="shared" si="67"/>
        <v/>
      </c>
      <c r="AH650" s="73" t="str">
        <f t="shared" si="64"/>
        <v/>
      </c>
      <c r="AI650" s="52"/>
      <c r="AJ650" s="56"/>
      <c r="AK650" s="59"/>
      <c r="AL650" s="60"/>
      <c r="AM650" s="54"/>
      <c r="AN650" s="64"/>
      <c r="AO650" s="26"/>
      <c r="AP650" s="93"/>
      <c r="AQ650" s="87"/>
      <c r="AR650" s="26"/>
      <c r="AS650" s="65"/>
      <c r="AT650" s="88"/>
      <c r="AU650" s="67"/>
      <c r="DA650" t="str" cm="1">
        <f t="array" ref="DA650">IF(U650&lt;&gt;"", TRANSPOSE(_xlfn._xlws.FILTER(CZ:CZ, CY:CY=U650, "")), "")</f>
        <v/>
      </c>
    </row>
    <row r="651" spans="2:105" ht="15" customHeight="1">
      <c r="B651" s="34">
        <v>647</v>
      </c>
      <c r="C651" s="36" t="s">
        <v>2516</v>
      </c>
      <c r="D651" s="76"/>
      <c r="E651" s="37" t="str">
        <f>IF(Table5[[#This Row],[Query Date]]&lt;&gt;"", TEXT(Table5[[#This Row],[Query Date]], "dddd"), "")</f>
        <v/>
      </c>
      <c r="F651" s="37" t="str">
        <f>IF(Table5[[#This Row],[Query Date]]&lt;&gt;"", TEXT(Table5[[#This Row],[Query Date]], "mmmm"), "")</f>
        <v/>
      </c>
      <c r="G651" s="28"/>
      <c r="H651" s="28"/>
      <c r="I651" s="28"/>
      <c r="J651" s="28"/>
      <c r="K651" s="28"/>
      <c r="L651" s="25"/>
      <c r="M651" s="25"/>
      <c r="N651" s="25"/>
      <c r="O651" s="130"/>
      <c r="P651" s="47"/>
      <c r="Q651" s="77"/>
      <c r="R651" s="77" t="str">
        <f>IF(Table5[[#This Row],[Tour Starting Date]]&lt;&gt;"", TEXT(Table5[[#This Row],[Tour Starting Date]], "dddd"), "")</f>
        <v/>
      </c>
      <c r="S651" s="77"/>
      <c r="T651" s="25" t="str">
        <f>IF(Table5[[#This Row],[Tour Ending Date]]&lt;&gt;"", TEXT(Table5[[#This Row],[Tour Ending Date]], "dddd"), "")</f>
        <v/>
      </c>
      <c r="U65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51" s="37" t="str">
        <f>IF(Table5[[#This Row],[Tour Starting Date]]&lt;&gt;"", TEXT(Table5[[#This Row],[Tour Starting Date]], "mmmm"), "")</f>
        <v/>
      </c>
      <c r="W651" s="80" t="str" cm="1">
        <f t="array" ref="W651">IF(Q651&lt;&gt;"", INDEX(CI:CI, MATCH(1, (Q651&gt;=CG:CG)*(Q651&lt;=CH:CH), 0)), "")</f>
        <v/>
      </c>
      <c r="X651" s="39"/>
      <c r="Y651" s="74"/>
      <c r="Z651" s="74" t="str">
        <f>IF(OR(Table5[[#This Row],[Per Person Package Cost]]="", Table5[[#This Row],[No. of Pax]]=""), "", Table5[[#This Row],[Per Person Package Cost]] * Table5[[#This Row],[No. of Pax]])</f>
        <v/>
      </c>
      <c r="AA651" s="52"/>
      <c r="AB651" s="52"/>
      <c r="AC651" s="52"/>
      <c r="AD651" s="52"/>
      <c r="AE651" s="51" t="str">
        <f t="shared" si="65"/>
        <v/>
      </c>
      <c r="AF651" s="51" t="str">
        <f t="shared" si="66"/>
        <v/>
      </c>
      <c r="AG651" s="74" t="str">
        <f t="shared" si="67"/>
        <v/>
      </c>
      <c r="AH651" s="73" t="str">
        <f t="shared" si="64"/>
        <v/>
      </c>
      <c r="AI651" s="52"/>
      <c r="AJ651" s="56"/>
      <c r="AK651" s="59"/>
      <c r="AL651" s="60"/>
      <c r="AM651" s="54"/>
      <c r="AN651" s="64"/>
      <c r="AO651" s="26"/>
      <c r="AP651" s="93"/>
      <c r="AQ651" s="87"/>
      <c r="AR651" s="26"/>
      <c r="AS651" s="65"/>
      <c r="AT651" s="88"/>
      <c r="AU651" s="67"/>
      <c r="DA651" t="str" cm="1">
        <f t="array" ref="DA651">IF(U651&lt;&gt;"", TRANSPOSE(_xlfn._xlws.FILTER(CZ:CZ, CY:CY=U651, "")), "")</f>
        <v/>
      </c>
    </row>
    <row r="652" spans="2:105" ht="15" customHeight="1">
      <c r="B652" s="35">
        <v>648</v>
      </c>
      <c r="C652" s="36" t="s">
        <v>2517</v>
      </c>
      <c r="D652" s="76"/>
      <c r="E652" s="37" t="str">
        <f>IF(Table5[[#This Row],[Query Date]]&lt;&gt;"", TEXT(Table5[[#This Row],[Query Date]], "dddd"), "")</f>
        <v/>
      </c>
      <c r="F652" s="37" t="str">
        <f>IF(Table5[[#This Row],[Query Date]]&lt;&gt;"", TEXT(Table5[[#This Row],[Query Date]], "mmmm"), "")</f>
        <v/>
      </c>
      <c r="G652" s="28"/>
      <c r="H652" s="28"/>
      <c r="I652" s="28"/>
      <c r="J652" s="28"/>
      <c r="K652" s="28"/>
      <c r="L652" s="25"/>
      <c r="M652" s="25"/>
      <c r="N652" s="25"/>
      <c r="O652" s="130"/>
      <c r="P652" s="47"/>
      <c r="Q652" s="77"/>
      <c r="R652" s="77" t="str">
        <f>IF(Table5[[#This Row],[Tour Starting Date]]&lt;&gt;"", TEXT(Table5[[#This Row],[Tour Starting Date]], "dddd"), "")</f>
        <v/>
      </c>
      <c r="S652" s="77"/>
      <c r="T652" s="25" t="str">
        <f>IF(Table5[[#This Row],[Tour Ending Date]]&lt;&gt;"", TEXT(Table5[[#This Row],[Tour Ending Date]], "dddd"), "")</f>
        <v/>
      </c>
      <c r="U65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52" s="37" t="str">
        <f>IF(Table5[[#This Row],[Tour Starting Date]]&lt;&gt;"", TEXT(Table5[[#This Row],[Tour Starting Date]], "mmmm"), "")</f>
        <v/>
      </c>
      <c r="W652" s="80" t="str" cm="1">
        <f t="array" ref="W652">IF(Q652&lt;&gt;"", INDEX(CI:CI, MATCH(1, (Q652&gt;=CG:CG)*(Q652&lt;=CH:CH), 0)), "")</f>
        <v/>
      </c>
      <c r="X652" s="39"/>
      <c r="Y652" s="74"/>
      <c r="Z652" s="74" t="str">
        <f>IF(OR(Table5[[#This Row],[Per Person Package Cost]]="", Table5[[#This Row],[No. of Pax]]=""), "", Table5[[#This Row],[Per Person Package Cost]] * Table5[[#This Row],[No. of Pax]])</f>
        <v/>
      </c>
      <c r="AA652" s="52"/>
      <c r="AB652" s="52"/>
      <c r="AC652" s="52"/>
      <c r="AD652" s="52"/>
      <c r="AE652" s="51" t="str">
        <f t="shared" si="65"/>
        <v/>
      </c>
      <c r="AF652" s="51" t="str">
        <f t="shared" si="66"/>
        <v/>
      </c>
      <c r="AG652" s="74" t="str">
        <f t="shared" si="67"/>
        <v/>
      </c>
      <c r="AH652" s="73" t="str">
        <f t="shared" si="64"/>
        <v/>
      </c>
      <c r="AI652" s="52"/>
      <c r="AJ652" s="56"/>
      <c r="AK652" s="59"/>
      <c r="AL652" s="60"/>
      <c r="AM652" s="54"/>
      <c r="AN652" s="64"/>
      <c r="AO652" s="26"/>
      <c r="AP652" s="93"/>
      <c r="AQ652" s="87"/>
      <c r="AR652" s="26"/>
      <c r="AS652" s="65"/>
      <c r="AT652" s="88"/>
      <c r="AU652" s="67"/>
      <c r="DA652" t="str" cm="1">
        <f t="array" ref="DA652">IF(U652&lt;&gt;"", TRANSPOSE(_xlfn._xlws.FILTER(CZ:CZ, CY:CY=U652, "")), "")</f>
        <v/>
      </c>
    </row>
    <row r="653" spans="2:105" ht="15" customHeight="1">
      <c r="B653" s="34">
        <v>649</v>
      </c>
      <c r="C653" s="36" t="s">
        <v>2518</v>
      </c>
      <c r="D653" s="76"/>
      <c r="E653" s="37" t="str">
        <f>IF(Table5[[#This Row],[Query Date]]&lt;&gt;"", TEXT(Table5[[#This Row],[Query Date]], "dddd"), "")</f>
        <v/>
      </c>
      <c r="F653" s="37" t="str">
        <f>IF(Table5[[#This Row],[Query Date]]&lt;&gt;"", TEXT(Table5[[#This Row],[Query Date]], "mmmm"), "")</f>
        <v/>
      </c>
      <c r="G653" s="28"/>
      <c r="H653" s="28"/>
      <c r="I653" s="28"/>
      <c r="J653" s="28"/>
      <c r="K653" s="28"/>
      <c r="L653" s="25"/>
      <c r="M653" s="25"/>
      <c r="N653" s="25"/>
      <c r="O653" s="130"/>
      <c r="P653" s="47"/>
      <c r="Q653" s="77"/>
      <c r="R653" s="77" t="str">
        <f>IF(Table5[[#This Row],[Tour Starting Date]]&lt;&gt;"", TEXT(Table5[[#This Row],[Tour Starting Date]], "dddd"), "")</f>
        <v/>
      </c>
      <c r="S653" s="77"/>
      <c r="T653" s="25" t="str">
        <f>IF(Table5[[#This Row],[Tour Ending Date]]&lt;&gt;"", TEXT(Table5[[#This Row],[Tour Ending Date]], "dddd"), "")</f>
        <v/>
      </c>
      <c r="U65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53" s="37" t="str">
        <f>IF(Table5[[#This Row],[Tour Starting Date]]&lt;&gt;"", TEXT(Table5[[#This Row],[Tour Starting Date]], "mmmm"), "")</f>
        <v/>
      </c>
      <c r="W653" s="80" t="str" cm="1">
        <f t="array" ref="W653">IF(Q653&lt;&gt;"", INDEX(CI:CI, MATCH(1, (Q653&gt;=CG:CG)*(Q653&lt;=CH:CH), 0)), "")</f>
        <v/>
      </c>
      <c r="X653" s="39"/>
      <c r="Y653" s="74"/>
      <c r="Z653" s="74" t="str">
        <f>IF(OR(Table5[[#This Row],[Per Person Package Cost]]="", Table5[[#This Row],[No. of Pax]]=""), "", Table5[[#This Row],[Per Person Package Cost]] * Table5[[#This Row],[No. of Pax]])</f>
        <v/>
      </c>
      <c r="AA653" s="52"/>
      <c r="AB653" s="52"/>
      <c r="AC653" s="52"/>
      <c r="AD653" s="52"/>
      <c r="AE653" s="51" t="str">
        <f t="shared" si="65"/>
        <v/>
      </c>
      <c r="AF653" s="51" t="str">
        <f t="shared" si="66"/>
        <v/>
      </c>
      <c r="AG653" s="74" t="str">
        <f t="shared" si="67"/>
        <v/>
      </c>
      <c r="AH653" s="73" t="str">
        <f t="shared" si="64"/>
        <v/>
      </c>
      <c r="AI653" s="52"/>
      <c r="AJ653" s="56"/>
      <c r="AK653" s="59"/>
      <c r="AL653" s="60"/>
      <c r="AM653" s="54"/>
      <c r="AN653" s="64"/>
      <c r="AO653" s="26"/>
      <c r="AP653" s="93"/>
      <c r="AQ653" s="87"/>
      <c r="AR653" s="26"/>
      <c r="AS653" s="65"/>
      <c r="AT653" s="88"/>
      <c r="AU653" s="67"/>
      <c r="DA653" t="str" cm="1">
        <f t="array" ref="DA653">IF(U653&lt;&gt;"", TRANSPOSE(_xlfn._xlws.FILTER(CZ:CZ, CY:CY=U653, "")), "")</f>
        <v/>
      </c>
    </row>
    <row r="654" spans="2:105" ht="15" customHeight="1">
      <c r="B654" s="35">
        <v>650</v>
      </c>
      <c r="C654" s="36" t="s">
        <v>2519</v>
      </c>
      <c r="D654" s="76"/>
      <c r="E654" s="37" t="str">
        <f>IF(Table5[[#This Row],[Query Date]]&lt;&gt;"", TEXT(Table5[[#This Row],[Query Date]], "dddd"), "")</f>
        <v/>
      </c>
      <c r="F654" s="37" t="str">
        <f>IF(Table5[[#This Row],[Query Date]]&lt;&gt;"", TEXT(Table5[[#This Row],[Query Date]], "mmmm"), "")</f>
        <v/>
      </c>
      <c r="G654" s="28"/>
      <c r="H654" s="28"/>
      <c r="I654" s="28"/>
      <c r="J654" s="28"/>
      <c r="K654" s="28"/>
      <c r="L654" s="25"/>
      <c r="M654" s="25"/>
      <c r="N654" s="25"/>
      <c r="O654" s="130"/>
      <c r="P654" s="47"/>
      <c r="Q654" s="77"/>
      <c r="R654" s="77" t="str">
        <f>IF(Table5[[#This Row],[Tour Starting Date]]&lt;&gt;"", TEXT(Table5[[#This Row],[Tour Starting Date]], "dddd"), "")</f>
        <v/>
      </c>
      <c r="S654" s="77"/>
      <c r="T654" s="25" t="str">
        <f>IF(Table5[[#This Row],[Tour Ending Date]]&lt;&gt;"", TEXT(Table5[[#This Row],[Tour Ending Date]], "dddd"), "")</f>
        <v/>
      </c>
      <c r="U65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54" s="37" t="str">
        <f>IF(Table5[[#This Row],[Tour Starting Date]]&lt;&gt;"", TEXT(Table5[[#This Row],[Tour Starting Date]], "mmmm"), "")</f>
        <v/>
      </c>
      <c r="W654" s="80" t="str" cm="1">
        <f t="array" ref="W654">IF(Q654&lt;&gt;"", INDEX(CI:CI, MATCH(1, (Q654&gt;=CG:CG)*(Q654&lt;=CH:CH), 0)), "")</f>
        <v/>
      </c>
      <c r="X654" s="39"/>
      <c r="Y654" s="74"/>
      <c r="Z654" s="74" t="str">
        <f>IF(OR(Table5[[#This Row],[Per Person Package Cost]]="", Table5[[#This Row],[No. of Pax]]=""), "", Table5[[#This Row],[Per Person Package Cost]] * Table5[[#This Row],[No. of Pax]])</f>
        <v/>
      </c>
      <c r="AA654" s="52"/>
      <c r="AB654" s="52"/>
      <c r="AC654" s="52"/>
      <c r="AD654" s="52"/>
      <c r="AE654" s="51" t="str">
        <f t="shared" si="65"/>
        <v/>
      </c>
      <c r="AF654" s="51" t="str">
        <f t="shared" si="66"/>
        <v/>
      </c>
      <c r="AG654" s="74" t="str">
        <f t="shared" si="67"/>
        <v/>
      </c>
      <c r="AH654" s="73" t="str">
        <f t="shared" si="64"/>
        <v/>
      </c>
      <c r="AI654" s="52"/>
      <c r="AJ654" s="56"/>
      <c r="AK654" s="59"/>
      <c r="AL654" s="60"/>
      <c r="AM654" s="54"/>
      <c r="AN654" s="64"/>
      <c r="AO654" s="26"/>
      <c r="AP654" s="93"/>
      <c r="AQ654" s="87"/>
      <c r="AR654" s="26"/>
      <c r="AS654" s="65"/>
      <c r="AT654" s="88"/>
      <c r="AU654" s="67"/>
      <c r="DA654" t="str" cm="1">
        <f t="array" ref="DA654">IF(U654&lt;&gt;"", TRANSPOSE(_xlfn._xlws.FILTER(CZ:CZ, CY:CY=U654, "")), "")</f>
        <v/>
      </c>
    </row>
    <row r="655" spans="2:105" ht="15" customHeight="1">
      <c r="B655" s="34">
        <v>651</v>
      </c>
      <c r="C655" s="36" t="s">
        <v>2520</v>
      </c>
      <c r="D655" s="76"/>
      <c r="E655" s="37" t="str">
        <f>IF(Table5[[#This Row],[Query Date]]&lt;&gt;"", TEXT(Table5[[#This Row],[Query Date]], "dddd"), "")</f>
        <v/>
      </c>
      <c r="F655" s="37" t="str">
        <f>IF(Table5[[#This Row],[Query Date]]&lt;&gt;"", TEXT(Table5[[#This Row],[Query Date]], "mmmm"), "")</f>
        <v/>
      </c>
      <c r="G655" s="28"/>
      <c r="H655" s="28"/>
      <c r="I655" s="28"/>
      <c r="J655" s="28"/>
      <c r="K655" s="28"/>
      <c r="L655" s="25"/>
      <c r="M655" s="25"/>
      <c r="N655" s="25"/>
      <c r="O655" s="130"/>
      <c r="P655" s="47"/>
      <c r="Q655" s="77"/>
      <c r="R655" s="77" t="str">
        <f>IF(Table5[[#This Row],[Tour Starting Date]]&lt;&gt;"", TEXT(Table5[[#This Row],[Tour Starting Date]], "dddd"), "")</f>
        <v/>
      </c>
      <c r="S655" s="77"/>
      <c r="T655" s="25" t="str">
        <f>IF(Table5[[#This Row],[Tour Ending Date]]&lt;&gt;"", TEXT(Table5[[#This Row],[Tour Ending Date]], "dddd"), "")</f>
        <v/>
      </c>
      <c r="U65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55" s="37" t="str">
        <f>IF(Table5[[#This Row],[Tour Starting Date]]&lt;&gt;"", TEXT(Table5[[#This Row],[Tour Starting Date]], "mmmm"), "")</f>
        <v/>
      </c>
      <c r="W655" s="80" t="str" cm="1">
        <f t="array" ref="W655">IF(Q655&lt;&gt;"", INDEX(CI:CI, MATCH(1, (Q655&gt;=CG:CG)*(Q655&lt;=CH:CH), 0)), "")</f>
        <v/>
      </c>
      <c r="X655" s="39"/>
      <c r="Y655" s="74"/>
      <c r="Z655" s="74" t="str">
        <f>IF(OR(Table5[[#This Row],[Per Person Package Cost]]="", Table5[[#This Row],[No. of Pax]]=""), "", Table5[[#This Row],[Per Person Package Cost]] * Table5[[#This Row],[No. of Pax]])</f>
        <v/>
      </c>
      <c r="AA655" s="52"/>
      <c r="AB655" s="52"/>
      <c r="AC655" s="52"/>
      <c r="AD655" s="52"/>
      <c r="AE655" s="51" t="str">
        <f t="shared" si="65"/>
        <v/>
      </c>
      <c r="AF655" s="51" t="str">
        <f t="shared" si="66"/>
        <v/>
      </c>
      <c r="AG655" s="74" t="str">
        <f t="shared" si="67"/>
        <v/>
      </c>
      <c r="AH655" s="73" t="str">
        <f t="shared" si="64"/>
        <v/>
      </c>
      <c r="AI655" s="52"/>
      <c r="AJ655" s="56"/>
      <c r="AK655" s="59"/>
      <c r="AL655" s="60"/>
      <c r="AM655" s="54"/>
      <c r="AN655" s="64"/>
      <c r="AO655" s="26"/>
      <c r="AP655" s="93"/>
      <c r="AQ655" s="87"/>
      <c r="AR655" s="26"/>
      <c r="AS655" s="65"/>
      <c r="AT655" s="88"/>
      <c r="AU655" s="67"/>
      <c r="DA655" t="str" cm="1">
        <f t="array" ref="DA655">IF(U655&lt;&gt;"", TRANSPOSE(_xlfn._xlws.FILTER(CZ:CZ, CY:CY=U655, "")), "")</f>
        <v/>
      </c>
    </row>
    <row r="656" spans="2:105" ht="15" customHeight="1">
      <c r="B656" s="35">
        <v>652</v>
      </c>
      <c r="C656" s="36" t="s">
        <v>2521</v>
      </c>
      <c r="D656" s="76"/>
      <c r="E656" s="37" t="str">
        <f>IF(Table5[[#This Row],[Query Date]]&lt;&gt;"", TEXT(Table5[[#This Row],[Query Date]], "dddd"), "")</f>
        <v/>
      </c>
      <c r="F656" s="37" t="str">
        <f>IF(Table5[[#This Row],[Query Date]]&lt;&gt;"", TEXT(Table5[[#This Row],[Query Date]], "mmmm"), "")</f>
        <v/>
      </c>
      <c r="G656" s="28"/>
      <c r="H656" s="28"/>
      <c r="I656" s="28"/>
      <c r="J656" s="28"/>
      <c r="K656" s="28"/>
      <c r="L656" s="25"/>
      <c r="M656" s="25"/>
      <c r="N656" s="25"/>
      <c r="O656" s="130"/>
      <c r="P656" s="47"/>
      <c r="Q656" s="77"/>
      <c r="R656" s="77" t="str">
        <f>IF(Table5[[#This Row],[Tour Starting Date]]&lt;&gt;"", TEXT(Table5[[#This Row],[Tour Starting Date]], "dddd"), "")</f>
        <v/>
      </c>
      <c r="S656" s="77"/>
      <c r="T656" s="25" t="str">
        <f>IF(Table5[[#This Row],[Tour Ending Date]]&lt;&gt;"", TEXT(Table5[[#This Row],[Tour Ending Date]], "dddd"), "")</f>
        <v/>
      </c>
      <c r="U65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56" s="37" t="str">
        <f>IF(Table5[[#This Row],[Tour Starting Date]]&lt;&gt;"", TEXT(Table5[[#This Row],[Tour Starting Date]], "mmmm"), "")</f>
        <v/>
      </c>
      <c r="W656" s="80" t="str" cm="1">
        <f t="array" ref="W656">IF(Q656&lt;&gt;"", INDEX(CI:CI, MATCH(1, (Q656&gt;=CG:CG)*(Q656&lt;=CH:CH), 0)), "")</f>
        <v/>
      </c>
      <c r="X656" s="39"/>
      <c r="Y656" s="74"/>
      <c r="Z656" s="74" t="str">
        <f>IF(OR(Table5[[#This Row],[Per Person Package Cost]]="", Table5[[#This Row],[No. of Pax]]=""), "", Table5[[#This Row],[Per Person Package Cost]] * Table5[[#This Row],[No. of Pax]])</f>
        <v/>
      </c>
      <c r="AA656" s="52"/>
      <c r="AB656" s="52"/>
      <c r="AC656" s="52"/>
      <c r="AD656" s="52"/>
      <c r="AE656" s="51" t="str">
        <f t="shared" si="65"/>
        <v/>
      </c>
      <c r="AF656" s="51" t="str">
        <f t="shared" si="66"/>
        <v/>
      </c>
      <c r="AG656" s="74" t="str">
        <f t="shared" si="67"/>
        <v/>
      </c>
      <c r="AH656" s="73" t="str">
        <f t="shared" si="64"/>
        <v/>
      </c>
      <c r="AI656" s="52"/>
      <c r="AJ656" s="56"/>
      <c r="AK656" s="59"/>
      <c r="AL656" s="60"/>
      <c r="AM656" s="54"/>
      <c r="AN656" s="64"/>
      <c r="AO656" s="26"/>
      <c r="AP656" s="93"/>
      <c r="AQ656" s="87"/>
      <c r="AR656" s="26"/>
      <c r="AS656" s="65"/>
      <c r="AT656" s="88"/>
      <c r="AU656" s="67"/>
      <c r="DA656" t="str" cm="1">
        <f t="array" ref="DA656">IF(U656&lt;&gt;"", TRANSPOSE(_xlfn._xlws.FILTER(CZ:CZ, CY:CY=U656, "")), "")</f>
        <v/>
      </c>
    </row>
    <row r="657" spans="2:105" ht="15" customHeight="1">
      <c r="B657" s="34">
        <v>653</v>
      </c>
      <c r="C657" s="36" t="s">
        <v>2522</v>
      </c>
      <c r="D657" s="76"/>
      <c r="E657" s="37" t="str">
        <f>IF(Table5[[#This Row],[Query Date]]&lt;&gt;"", TEXT(Table5[[#This Row],[Query Date]], "dddd"), "")</f>
        <v/>
      </c>
      <c r="F657" s="37" t="str">
        <f>IF(Table5[[#This Row],[Query Date]]&lt;&gt;"", TEXT(Table5[[#This Row],[Query Date]], "mmmm"), "")</f>
        <v/>
      </c>
      <c r="G657" s="28"/>
      <c r="H657" s="28"/>
      <c r="I657" s="28"/>
      <c r="J657" s="28"/>
      <c r="K657" s="28"/>
      <c r="L657" s="25"/>
      <c r="M657" s="25"/>
      <c r="N657" s="25"/>
      <c r="O657" s="130"/>
      <c r="P657" s="47"/>
      <c r="Q657" s="77"/>
      <c r="R657" s="77" t="str">
        <f>IF(Table5[[#This Row],[Tour Starting Date]]&lt;&gt;"", TEXT(Table5[[#This Row],[Tour Starting Date]], "dddd"), "")</f>
        <v/>
      </c>
      <c r="S657" s="77"/>
      <c r="T657" s="25" t="str">
        <f>IF(Table5[[#This Row],[Tour Ending Date]]&lt;&gt;"", TEXT(Table5[[#This Row],[Tour Ending Date]], "dddd"), "")</f>
        <v/>
      </c>
      <c r="U65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57" s="37" t="str">
        <f>IF(Table5[[#This Row],[Tour Starting Date]]&lt;&gt;"", TEXT(Table5[[#This Row],[Tour Starting Date]], "mmmm"), "")</f>
        <v/>
      </c>
      <c r="W657" s="80" t="str" cm="1">
        <f t="array" ref="W657">IF(Q657&lt;&gt;"", INDEX(CI:CI, MATCH(1, (Q657&gt;=CG:CG)*(Q657&lt;=CH:CH), 0)), "")</f>
        <v/>
      </c>
      <c r="X657" s="39"/>
      <c r="Y657" s="74"/>
      <c r="Z657" s="74" t="str">
        <f>IF(OR(Table5[[#This Row],[Per Person Package Cost]]="", Table5[[#This Row],[No. of Pax]]=""), "", Table5[[#This Row],[Per Person Package Cost]] * Table5[[#This Row],[No. of Pax]])</f>
        <v/>
      </c>
      <c r="AA657" s="52"/>
      <c r="AB657" s="52"/>
      <c r="AC657" s="52"/>
      <c r="AD657" s="52"/>
      <c r="AE657" s="51" t="str">
        <f t="shared" si="65"/>
        <v/>
      </c>
      <c r="AF657" s="51" t="str">
        <f t="shared" si="66"/>
        <v/>
      </c>
      <c r="AG657" s="74" t="str">
        <f t="shared" si="67"/>
        <v/>
      </c>
      <c r="AH657" s="73" t="str">
        <f t="shared" si="64"/>
        <v/>
      </c>
      <c r="AI657" s="52"/>
      <c r="AJ657" s="56"/>
      <c r="AK657" s="59"/>
      <c r="AL657" s="60"/>
      <c r="AM657" s="54"/>
      <c r="AN657" s="64"/>
      <c r="AO657" s="26"/>
      <c r="AP657" s="93"/>
      <c r="AQ657" s="87"/>
      <c r="AR657" s="26"/>
      <c r="AS657" s="65"/>
      <c r="AT657" s="88"/>
      <c r="AU657" s="67"/>
      <c r="DA657" t="str" cm="1">
        <f t="array" ref="DA657">IF(U657&lt;&gt;"", TRANSPOSE(_xlfn._xlws.FILTER(CZ:CZ, CY:CY=U657, "")), "")</f>
        <v/>
      </c>
    </row>
    <row r="658" spans="2:105" ht="15" customHeight="1">
      <c r="B658" s="35">
        <v>654</v>
      </c>
      <c r="C658" s="36" t="s">
        <v>2523</v>
      </c>
      <c r="D658" s="76"/>
      <c r="E658" s="37" t="str">
        <f>IF(Table5[[#This Row],[Query Date]]&lt;&gt;"", TEXT(Table5[[#This Row],[Query Date]], "dddd"), "")</f>
        <v/>
      </c>
      <c r="F658" s="37" t="str">
        <f>IF(Table5[[#This Row],[Query Date]]&lt;&gt;"", TEXT(Table5[[#This Row],[Query Date]], "mmmm"), "")</f>
        <v/>
      </c>
      <c r="G658" s="28"/>
      <c r="H658" s="28"/>
      <c r="I658" s="28"/>
      <c r="J658" s="28"/>
      <c r="K658" s="28"/>
      <c r="L658" s="25"/>
      <c r="M658" s="25"/>
      <c r="N658" s="25"/>
      <c r="O658" s="130"/>
      <c r="P658" s="47"/>
      <c r="Q658" s="77"/>
      <c r="R658" s="77" t="str">
        <f>IF(Table5[[#This Row],[Tour Starting Date]]&lt;&gt;"", TEXT(Table5[[#This Row],[Tour Starting Date]], "dddd"), "")</f>
        <v/>
      </c>
      <c r="S658" s="77"/>
      <c r="T658" s="25" t="str">
        <f>IF(Table5[[#This Row],[Tour Ending Date]]&lt;&gt;"", TEXT(Table5[[#This Row],[Tour Ending Date]], "dddd"), "")</f>
        <v/>
      </c>
      <c r="U65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58" s="37" t="str">
        <f>IF(Table5[[#This Row],[Tour Starting Date]]&lt;&gt;"", TEXT(Table5[[#This Row],[Tour Starting Date]], "mmmm"), "")</f>
        <v/>
      </c>
      <c r="W658" s="80" t="str" cm="1">
        <f t="array" ref="W658">IF(Q658&lt;&gt;"", INDEX(CI:CI, MATCH(1, (Q658&gt;=CG:CG)*(Q658&lt;=CH:CH), 0)), "")</f>
        <v/>
      </c>
      <c r="X658" s="39"/>
      <c r="Y658" s="74"/>
      <c r="Z658" s="74" t="str">
        <f>IF(OR(Table5[[#This Row],[Per Person Package Cost]]="", Table5[[#This Row],[No. of Pax]]=""), "", Table5[[#This Row],[Per Person Package Cost]] * Table5[[#This Row],[No. of Pax]])</f>
        <v/>
      </c>
      <c r="AA658" s="52"/>
      <c r="AB658" s="52"/>
      <c r="AC658" s="52"/>
      <c r="AD658" s="52"/>
      <c r="AE658" s="51" t="str">
        <f t="shared" si="65"/>
        <v/>
      </c>
      <c r="AF658" s="51" t="str">
        <f t="shared" si="66"/>
        <v/>
      </c>
      <c r="AG658" s="74" t="str">
        <f t="shared" si="67"/>
        <v/>
      </c>
      <c r="AH658" s="73" t="str">
        <f t="shared" si="64"/>
        <v/>
      </c>
      <c r="AI658" s="52"/>
      <c r="AJ658" s="56"/>
      <c r="AK658" s="59"/>
      <c r="AL658" s="60"/>
      <c r="AM658" s="54"/>
      <c r="AN658" s="64"/>
      <c r="AO658" s="26"/>
      <c r="AP658" s="93"/>
      <c r="AQ658" s="87"/>
      <c r="AR658" s="26"/>
      <c r="AS658" s="65"/>
      <c r="AT658" s="88"/>
      <c r="AU658" s="67"/>
      <c r="DA658" t="str" cm="1">
        <f t="array" ref="DA658">IF(U658&lt;&gt;"", TRANSPOSE(_xlfn._xlws.FILTER(CZ:CZ, CY:CY=U658, "")), "")</f>
        <v/>
      </c>
    </row>
    <row r="659" spans="2:105" ht="15" customHeight="1">
      <c r="B659" s="34">
        <v>655</v>
      </c>
      <c r="C659" s="36" t="s">
        <v>2524</v>
      </c>
      <c r="D659" s="76"/>
      <c r="E659" s="37" t="str">
        <f>IF(Table5[[#This Row],[Query Date]]&lt;&gt;"", TEXT(Table5[[#This Row],[Query Date]], "dddd"), "")</f>
        <v/>
      </c>
      <c r="F659" s="37" t="str">
        <f>IF(Table5[[#This Row],[Query Date]]&lt;&gt;"", TEXT(Table5[[#This Row],[Query Date]], "mmmm"), "")</f>
        <v/>
      </c>
      <c r="G659" s="28"/>
      <c r="H659" s="28"/>
      <c r="I659" s="28"/>
      <c r="J659" s="28"/>
      <c r="K659" s="28"/>
      <c r="L659" s="25"/>
      <c r="M659" s="25"/>
      <c r="N659" s="25"/>
      <c r="O659" s="130"/>
      <c r="P659" s="47"/>
      <c r="Q659" s="77"/>
      <c r="R659" s="77" t="str">
        <f>IF(Table5[[#This Row],[Tour Starting Date]]&lt;&gt;"", TEXT(Table5[[#This Row],[Tour Starting Date]], "dddd"), "")</f>
        <v/>
      </c>
      <c r="S659" s="77"/>
      <c r="T659" s="25" t="str">
        <f>IF(Table5[[#This Row],[Tour Ending Date]]&lt;&gt;"", TEXT(Table5[[#This Row],[Tour Ending Date]], "dddd"), "")</f>
        <v/>
      </c>
      <c r="U65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59" s="37" t="str">
        <f>IF(Table5[[#This Row],[Tour Starting Date]]&lt;&gt;"", TEXT(Table5[[#This Row],[Tour Starting Date]], "mmmm"), "")</f>
        <v/>
      </c>
      <c r="W659" s="80" t="str" cm="1">
        <f t="array" ref="W659">IF(Q659&lt;&gt;"", INDEX(CI:CI, MATCH(1, (Q659&gt;=CG:CG)*(Q659&lt;=CH:CH), 0)), "")</f>
        <v/>
      </c>
      <c r="X659" s="39"/>
      <c r="Y659" s="74"/>
      <c r="Z659" s="74" t="str">
        <f>IF(OR(Table5[[#This Row],[Per Person Package Cost]]="", Table5[[#This Row],[No. of Pax]]=""), "", Table5[[#This Row],[Per Person Package Cost]] * Table5[[#This Row],[No. of Pax]])</f>
        <v/>
      </c>
      <c r="AA659" s="52"/>
      <c r="AB659" s="52"/>
      <c r="AC659" s="52"/>
      <c r="AD659" s="52"/>
      <c r="AE659" s="51" t="str">
        <f t="shared" si="65"/>
        <v/>
      </c>
      <c r="AF659" s="51" t="str">
        <f t="shared" si="66"/>
        <v/>
      </c>
      <c r="AG659" s="74" t="str">
        <f t="shared" si="67"/>
        <v/>
      </c>
      <c r="AH659" s="73" t="str">
        <f t="shared" si="64"/>
        <v/>
      </c>
      <c r="AI659" s="52"/>
      <c r="AJ659" s="56"/>
      <c r="AK659" s="59"/>
      <c r="AL659" s="60"/>
      <c r="AM659" s="54"/>
      <c r="AN659" s="64"/>
      <c r="AO659" s="26"/>
      <c r="AP659" s="93"/>
      <c r="AQ659" s="87"/>
      <c r="AR659" s="26"/>
      <c r="AS659" s="65"/>
      <c r="AT659" s="88"/>
      <c r="AU659" s="67"/>
      <c r="DA659" t="str" cm="1">
        <f t="array" ref="DA659">IF(U659&lt;&gt;"", TRANSPOSE(_xlfn._xlws.FILTER(CZ:CZ, CY:CY=U659, "")), "")</f>
        <v/>
      </c>
    </row>
    <row r="660" spans="2:105" ht="15" customHeight="1">
      <c r="B660" s="35">
        <v>656</v>
      </c>
      <c r="C660" s="36" t="s">
        <v>2525</v>
      </c>
      <c r="D660" s="76"/>
      <c r="E660" s="37" t="str">
        <f>IF(Table5[[#This Row],[Query Date]]&lt;&gt;"", TEXT(Table5[[#This Row],[Query Date]], "dddd"), "")</f>
        <v/>
      </c>
      <c r="F660" s="37" t="str">
        <f>IF(Table5[[#This Row],[Query Date]]&lt;&gt;"", TEXT(Table5[[#This Row],[Query Date]], "mmmm"), "")</f>
        <v/>
      </c>
      <c r="G660" s="28"/>
      <c r="H660" s="28"/>
      <c r="I660" s="28"/>
      <c r="J660" s="28"/>
      <c r="K660" s="28"/>
      <c r="L660" s="25"/>
      <c r="M660" s="25"/>
      <c r="N660" s="25"/>
      <c r="O660" s="130"/>
      <c r="P660" s="47"/>
      <c r="Q660" s="77"/>
      <c r="R660" s="77" t="str">
        <f>IF(Table5[[#This Row],[Tour Starting Date]]&lt;&gt;"", TEXT(Table5[[#This Row],[Tour Starting Date]], "dddd"), "")</f>
        <v/>
      </c>
      <c r="S660" s="77"/>
      <c r="T660" s="25" t="str">
        <f>IF(Table5[[#This Row],[Tour Ending Date]]&lt;&gt;"", TEXT(Table5[[#This Row],[Tour Ending Date]], "dddd"), "")</f>
        <v/>
      </c>
      <c r="U66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60" s="37" t="str">
        <f>IF(Table5[[#This Row],[Tour Starting Date]]&lt;&gt;"", TEXT(Table5[[#This Row],[Tour Starting Date]], "mmmm"), "")</f>
        <v/>
      </c>
      <c r="W660" s="80" t="str" cm="1">
        <f t="array" ref="W660">IF(Q660&lt;&gt;"", INDEX(CI:CI, MATCH(1, (Q660&gt;=CG:CG)*(Q660&lt;=CH:CH), 0)), "")</f>
        <v/>
      </c>
      <c r="X660" s="39"/>
      <c r="Y660" s="74"/>
      <c r="Z660" s="74" t="str">
        <f>IF(OR(Table5[[#This Row],[Per Person Package Cost]]="", Table5[[#This Row],[No. of Pax]]=""), "", Table5[[#This Row],[Per Person Package Cost]] * Table5[[#This Row],[No. of Pax]])</f>
        <v/>
      </c>
      <c r="AA660" s="52"/>
      <c r="AB660" s="52"/>
      <c r="AC660" s="52"/>
      <c r="AD660" s="52"/>
      <c r="AE660" s="51" t="str">
        <f t="shared" si="65"/>
        <v/>
      </c>
      <c r="AF660" s="51" t="str">
        <f t="shared" si="66"/>
        <v/>
      </c>
      <c r="AG660" s="74" t="str">
        <f t="shared" si="67"/>
        <v/>
      </c>
      <c r="AH660" s="73" t="str">
        <f t="shared" ref="AH660:AH723" si="68">IF(AD660&lt;&gt;"", INDEX(CV:CV, MATCH(AD660, CZ:CZ, 0)), "")</f>
        <v/>
      </c>
      <c r="AI660" s="52"/>
      <c r="AJ660" s="56"/>
      <c r="AK660" s="59"/>
      <c r="AL660" s="60"/>
      <c r="AM660" s="54"/>
      <c r="AN660" s="64"/>
      <c r="AO660" s="26"/>
      <c r="AP660" s="93"/>
      <c r="AQ660" s="87"/>
      <c r="AR660" s="26"/>
      <c r="AS660" s="65"/>
      <c r="AT660" s="88"/>
      <c r="AU660" s="67"/>
      <c r="DA660" t="str" cm="1">
        <f t="array" ref="DA660">IF(U660&lt;&gt;"", TRANSPOSE(_xlfn._xlws.FILTER(CZ:CZ, CY:CY=U660, "")), "")</f>
        <v/>
      </c>
    </row>
    <row r="661" spans="2:105" ht="15" customHeight="1">
      <c r="B661" s="34">
        <v>657</v>
      </c>
      <c r="C661" s="36" t="s">
        <v>2526</v>
      </c>
      <c r="D661" s="76"/>
      <c r="E661" s="37" t="str">
        <f>IF(Table5[[#This Row],[Query Date]]&lt;&gt;"", TEXT(Table5[[#This Row],[Query Date]], "dddd"), "")</f>
        <v/>
      </c>
      <c r="F661" s="37" t="str">
        <f>IF(Table5[[#This Row],[Query Date]]&lt;&gt;"", TEXT(Table5[[#This Row],[Query Date]], "mmmm"), "")</f>
        <v/>
      </c>
      <c r="G661" s="28"/>
      <c r="H661" s="28"/>
      <c r="I661" s="28"/>
      <c r="J661" s="28"/>
      <c r="K661" s="28"/>
      <c r="L661" s="25"/>
      <c r="M661" s="25"/>
      <c r="N661" s="25"/>
      <c r="O661" s="130"/>
      <c r="P661" s="47"/>
      <c r="Q661" s="77"/>
      <c r="R661" s="77" t="str">
        <f>IF(Table5[[#This Row],[Tour Starting Date]]&lt;&gt;"", TEXT(Table5[[#This Row],[Tour Starting Date]], "dddd"), "")</f>
        <v/>
      </c>
      <c r="S661" s="77"/>
      <c r="T661" s="25" t="str">
        <f>IF(Table5[[#This Row],[Tour Ending Date]]&lt;&gt;"", TEXT(Table5[[#This Row],[Tour Ending Date]], "dddd"), "")</f>
        <v/>
      </c>
      <c r="U66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61" s="37" t="str">
        <f>IF(Table5[[#This Row],[Tour Starting Date]]&lt;&gt;"", TEXT(Table5[[#This Row],[Tour Starting Date]], "mmmm"), "")</f>
        <v/>
      </c>
      <c r="W661" s="80" t="str" cm="1">
        <f t="array" ref="W661">IF(Q661&lt;&gt;"", INDEX(CI:CI, MATCH(1, (Q661&gt;=CG:CG)*(Q661&lt;=CH:CH), 0)), "")</f>
        <v/>
      </c>
      <c r="X661" s="39"/>
      <c r="Y661" s="74"/>
      <c r="Z661" s="74" t="str">
        <f>IF(OR(Table5[[#This Row],[Per Person Package Cost]]="", Table5[[#This Row],[No. of Pax]]=""), "", Table5[[#This Row],[Per Person Package Cost]] * Table5[[#This Row],[No. of Pax]])</f>
        <v/>
      </c>
      <c r="AA661" s="52"/>
      <c r="AB661" s="52"/>
      <c r="AC661" s="52"/>
      <c r="AD661" s="52"/>
      <c r="AE661" s="51" t="str">
        <f t="shared" si="65"/>
        <v/>
      </c>
      <c r="AF661" s="51" t="str">
        <f t="shared" si="66"/>
        <v/>
      </c>
      <c r="AG661" s="74" t="str">
        <f t="shared" si="67"/>
        <v/>
      </c>
      <c r="AH661" s="73" t="str">
        <f t="shared" si="68"/>
        <v/>
      </c>
      <c r="AI661" s="52"/>
      <c r="AJ661" s="56"/>
      <c r="AK661" s="59"/>
      <c r="AL661" s="60"/>
      <c r="AM661" s="54"/>
      <c r="AN661" s="64"/>
      <c r="AO661" s="26"/>
      <c r="AP661" s="93"/>
      <c r="AQ661" s="87"/>
      <c r="AR661" s="26"/>
      <c r="AS661" s="65"/>
      <c r="AT661" s="88"/>
      <c r="AU661" s="67"/>
      <c r="DA661" t="str" cm="1">
        <f t="array" ref="DA661">IF(U661&lt;&gt;"", TRANSPOSE(_xlfn._xlws.FILTER(CZ:CZ, CY:CY=U661, "")), "")</f>
        <v/>
      </c>
    </row>
    <row r="662" spans="2:105" ht="15" customHeight="1">
      <c r="B662" s="35">
        <v>658</v>
      </c>
      <c r="C662" s="36" t="s">
        <v>2527</v>
      </c>
      <c r="D662" s="76"/>
      <c r="E662" s="37" t="str">
        <f>IF(Table5[[#This Row],[Query Date]]&lt;&gt;"", TEXT(Table5[[#This Row],[Query Date]], "dddd"), "")</f>
        <v/>
      </c>
      <c r="F662" s="37" t="str">
        <f>IF(Table5[[#This Row],[Query Date]]&lt;&gt;"", TEXT(Table5[[#This Row],[Query Date]], "mmmm"), "")</f>
        <v/>
      </c>
      <c r="G662" s="28"/>
      <c r="H662" s="28"/>
      <c r="I662" s="28"/>
      <c r="J662" s="28"/>
      <c r="K662" s="28"/>
      <c r="L662" s="25"/>
      <c r="M662" s="25"/>
      <c r="N662" s="25"/>
      <c r="O662" s="130"/>
      <c r="P662" s="47"/>
      <c r="Q662" s="77"/>
      <c r="R662" s="77" t="str">
        <f>IF(Table5[[#This Row],[Tour Starting Date]]&lt;&gt;"", TEXT(Table5[[#This Row],[Tour Starting Date]], "dddd"), "")</f>
        <v/>
      </c>
      <c r="S662" s="77"/>
      <c r="T662" s="25" t="str">
        <f>IF(Table5[[#This Row],[Tour Ending Date]]&lt;&gt;"", TEXT(Table5[[#This Row],[Tour Ending Date]], "dddd"), "")</f>
        <v/>
      </c>
      <c r="U66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62" s="37" t="str">
        <f>IF(Table5[[#This Row],[Tour Starting Date]]&lt;&gt;"", TEXT(Table5[[#This Row],[Tour Starting Date]], "mmmm"), "")</f>
        <v/>
      </c>
      <c r="W662" s="80" t="str" cm="1">
        <f t="array" ref="W662">IF(Q662&lt;&gt;"", INDEX(CI:CI, MATCH(1, (Q662&gt;=CG:CG)*(Q662&lt;=CH:CH), 0)), "")</f>
        <v/>
      </c>
      <c r="X662" s="39"/>
      <c r="Y662" s="74"/>
      <c r="Z662" s="74" t="str">
        <f>IF(OR(Table5[[#This Row],[Per Person Package Cost]]="", Table5[[#This Row],[No. of Pax]]=""), "", Table5[[#This Row],[Per Person Package Cost]] * Table5[[#This Row],[No. of Pax]])</f>
        <v/>
      </c>
      <c r="AA662" s="52"/>
      <c r="AB662" s="52"/>
      <c r="AC662" s="52"/>
      <c r="AD662" s="52"/>
      <c r="AE662" s="51" t="str">
        <f t="shared" si="65"/>
        <v/>
      </c>
      <c r="AF662" s="51" t="str">
        <f t="shared" si="66"/>
        <v/>
      </c>
      <c r="AG662" s="74" t="str">
        <f t="shared" si="67"/>
        <v/>
      </c>
      <c r="AH662" s="73" t="str">
        <f t="shared" si="68"/>
        <v/>
      </c>
      <c r="AI662" s="52"/>
      <c r="AJ662" s="56"/>
      <c r="AK662" s="59"/>
      <c r="AL662" s="60"/>
      <c r="AM662" s="54"/>
      <c r="AN662" s="64"/>
      <c r="AO662" s="26"/>
      <c r="AP662" s="93"/>
      <c r="AQ662" s="87"/>
      <c r="AR662" s="26"/>
      <c r="AS662" s="65"/>
      <c r="AT662" s="88"/>
      <c r="AU662" s="67"/>
      <c r="DA662" t="str" cm="1">
        <f t="array" ref="DA662">IF(U662&lt;&gt;"", TRANSPOSE(_xlfn._xlws.FILTER(CZ:CZ, CY:CY=U662, "")), "")</f>
        <v/>
      </c>
    </row>
    <row r="663" spans="2:105" ht="15" customHeight="1">
      <c r="B663" s="34">
        <v>659</v>
      </c>
      <c r="C663" s="36" t="s">
        <v>2528</v>
      </c>
      <c r="D663" s="76"/>
      <c r="E663" s="37" t="str">
        <f>IF(Table5[[#This Row],[Query Date]]&lt;&gt;"", TEXT(Table5[[#This Row],[Query Date]], "dddd"), "")</f>
        <v/>
      </c>
      <c r="F663" s="37" t="str">
        <f>IF(Table5[[#This Row],[Query Date]]&lt;&gt;"", TEXT(Table5[[#This Row],[Query Date]], "mmmm"), "")</f>
        <v/>
      </c>
      <c r="G663" s="28"/>
      <c r="H663" s="28"/>
      <c r="I663" s="28"/>
      <c r="J663" s="28"/>
      <c r="K663" s="28"/>
      <c r="L663" s="25"/>
      <c r="M663" s="25"/>
      <c r="N663" s="25"/>
      <c r="O663" s="130"/>
      <c r="P663" s="47"/>
      <c r="Q663" s="77"/>
      <c r="R663" s="77" t="str">
        <f>IF(Table5[[#This Row],[Tour Starting Date]]&lt;&gt;"", TEXT(Table5[[#This Row],[Tour Starting Date]], "dddd"), "")</f>
        <v/>
      </c>
      <c r="S663" s="77"/>
      <c r="T663" s="25" t="str">
        <f>IF(Table5[[#This Row],[Tour Ending Date]]&lt;&gt;"", TEXT(Table5[[#This Row],[Tour Ending Date]], "dddd"), "")</f>
        <v/>
      </c>
      <c r="U66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63" s="37" t="str">
        <f>IF(Table5[[#This Row],[Tour Starting Date]]&lt;&gt;"", TEXT(Table5[[#This Row],[Tour Starting Date]], "mmmm"), "")</f>
        <v/>
      </c>
      <c r="W663" s="80" t="str" cm="1">
        <f t="array" ref="W663">IF(Q663&lt;&gt;"", INDEX(CI:CI, MATCH(1, (Q663&gt;=CG:CG)*(Q663&lt;=CH:CH), 0)), "")</f>
        <v/>
      </c>
      <c r="X663" s="39"/>
      <c r="Y663" s="74"/>
      <c r="Z663" s="74" t="str">
        <f>IF(OR(Table5[[#This Row],[Per Person Package Cost]]="", Table5[[#This Row],[No. of Pax]]=""), "", Table5[[#This Row],[Per Person Package Cost]] * Table5[[#This Row],[No. of Pax]])</f>
        <v/>
      </c>
      <c r="AA663" s="52"/>
      <c r="AB663" s="52"/>
      <c r="AC663" s="52"/>
      <c r="AD663" s="52"/>
      <c r="AE663" s="51" t="str">
        <f t="shared" si="65"/>
        <v/>
      </c>
      <c r="AF663" s="51" t="str">
        <f t="shared" si="66"/>
        <v/>
      </c>
      <c r="AG663" s="74" t="str">
        <f t="shared" si="67"/>
        <v/>
      </c>
      <c r="AH663" s="73" t="str">
        <f t="shared" si="68"/>
        <v/>
      </c>
      <c r="AI663" s="52"/>
      <c r="AJ663" s="56"/>
      <c r="AK663" s="59"/>
      <c r="AL663" s="60"/>
      <c r="AM663" s="54"/>
      <c r="AN663" s="64"/>
      <c r="AO663" s="26"/>
      <c r="AP663" s="93"/>
      <c r="AQ663" s="87"/>
      <c r="AR663" s="26"/>
      <c r="AS663" s="65"/>
      <c r="AT663" s="88"/>
      <c r="AU663" s="67"/>
      <c r="DA663" t="str" cm="1">
        <f t="array" ref="DA663">IF(U663&lt;&gt;"", TRANSPOSE(_xlfn._xlws.FILTER(CZ:CZ, CY:CY=U663, "")), "")</f>
        <v/>
      </c>
    </row>
    <row r="664" spans="2:105" ht="15" customHeight="1">
      <c r="B664" s="35">
        <v>660</v>
      </c>
      <c r="C664" s="36" t="s">
        <v>2529</v>
      </c>
      <c r="D664" s="76"/>
      <c r="E664" s="37" t="str">
        <f>IF(Table5[[#This Row],[Query Date]]&lt;&gt;"", TEXT(Table5[[#This Row],[Query Date]], "dddd"), "")</f>
        <v/>
      </c>
      <c r="F664" s="37" t="str">
        <f>IF(Table5[[#This Row],[Query Date]]&lt;&gt;"", TEXT(Table5[[#This Row],[Query Date]], "mmmm"), "")</f>
        <v/>
      </c>
      <c r="G664" s="28"/>
      <c r="H664" s="28"/>
      <c r="I664" s="28"/>
      <c r="J664" s="28"/>
      <c r="K664" s="28"/>
      <c r="L664" s="25"/>
      <c r="M664" s="25"/>
      <c r="N664" s="25"/>
      <c r="O664" s="130"/>
      <c r="P664" s="47"/>
      <c r="Q664" s="77"/>
      <c r="R664" s="77" t="str">
        <f>IF(Table5[[#This Row],[Tour Starting Date]]&lt;&gt;"", TEXT(Table5[[#This Row],[Tour Starting Date]], "dddd"), "")</f>
        <v/>
      </c>
      <c r="S664" s="77"/>
      <c r="T664" s="25" t="str">
        <f>IF(Table5[[#This Row],[Tour Ending Date]]&lt;&gt;"", TEXT(Table5[[#This Row],[Tour Ending Date]], "dddd"), "")</f>
        <v/>
      </c>
      <c r="U66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64" s="37" t="str">
        <f>IF(Table5[[#This Row],[Tour Starting Date]]&lt;&gt;"", TEXT(Table5[[#This Row],[Tour Starting Date]], "mmmm"), "")</f>
        <v/>
      </c>
      <c r="W664" s="80" t="str" cm="1">
        <f t="array" ref="W664">IF(Q664&lt;&gt;"", INDEX(CI:CI, MATCH(1, (Q664&gt;=CG:CG)*(Q664&lt;=CH:CH), 0)), "")</f>
        <v/>
      </c>
      <c r="X664" s="39"/>
      <c r="Y664" s="74"/>
      <c r="Z664" s="74" t="str">
        <f>IF(OR(Table5[[#This Row],[Per Person Package Cost]]="", Table5[[#This Row],[No. of Pax]]=""), "", Table5[[#This Row],[Per Person Package Cost]] * Table5[[#This Row],[No. of Pax]])</f>
        <v/>
      </c>
      <c r="AA664" s="52"/>
      <c r="AB664" s="52"/>
      <c r="AC664" s="52"/>
      <c r="AD664" s="52"/>
      <c r="AE664" s="51" t="str">
        <f t="shared" si="65"/>
        <v/>
      </c>
      <c r="AF664" s="51" t="str">
        <f t="shared" si="66"/>
        <v/>
      </c>
      <c r="AG664" s="74" t="str">
        <f t="shared" si="67"/>
        <v/>
      </c>
      <c r="AH664" s="73" t="str">
        <f t="shared" si="68"/>
        <v/>
      </c>
      <c r="AI664" s="52"/>
      <c r="AJ664" s="56"/>
      <c r="AK664" s="59"/>
      <c r="AL664" s="60"/>
      <c r="AM664" s="54"/>
      <c r="AN664" s="64"/>
      <c r="AO664" s="26"/>
      <c r="AP664" s="93"/>
      <c r="AQ664" s="87"/>
      <c r="AR664" s="26"/>
      <c r="AS664" s="65"/>
      <c r="AT664" s="88"/>
      <c r="AU664" s="67"/>
      <c r="DA664" t="str" cm="1">
        <f t="array" ref="DA664">IF(U664&lt;&gt;"", TRANSPOSE(_xlfn._xlws.FILTER(CZ:CZ, CY:CY=U664, "")), "")</f>
        <v/>
      </c>
    </row>
    <row r="665" spans="2:105" ht="15" customHeight="1">
      <c r="B665" s="34">
        <v>661</v>
      </c>
      <c r="C665" s="36" t="s">
        <v>2530</v>
      </c>
      <c r="D665" s="76"/>
      <c r="E665" s="37" t="str">
        <f>IF(Table5[[#This Row],[Query Date]]&lt;&gt;"", TEXT(Table5[[#This Row],[Query Date]], "dddd"), "")</f>
        <v/>
      </c>
      <c r="F665" s="37" t="str">
        <f>IF(Table5[[#This Row],[Query Date]]&lt;&gt;"", TEXT(Table5[[#This Row],[Query Date]], "mmmm"), "")</f>
        <v/>
      </c>
      <c r="G665" s="28"/>
      <c r="H665" s="28"/>
      <c r="I665" s="28"/>
      <c r="J665" s="28"/>
      <c r="K665" s="28"/>
      <c r="L665" s="25"/>
      <c r="M665" s="25"/>
      <c r="N665" s="25"/>
      <c r="O665" s="130"/>
      <c r="P665" s="47"/>
      <c r="Q665" s="77"/>
      <c r="R665" s="77" t="str">
        <f>IF(Table5[[#This Row],[Tour Starting Date]]&lt;&gt;"", TEXT(Table5[[#This Row],[Tour Starting Date]], "dddd"), "")</f>
        <v/>
      </c>
      <c r="S665" s="77"/>
      <c r="T665" s="25" t="str">
        <f>IF(Table5[[#This Row],[Tour Ending Date]]&lt;&gt;"", TEXT(Table5[[#This Row],[Tour Ending Date]], "dddd"), "")</f>
        <v/>
      </c>
      <c r="U66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65" s="37" t="str">
        <f>IF(Table5[[#This Row],[Tour Starting Date]]&lt;&gt;"", TEXT(Table5[[#This Row],[Tour Starting Date]], "mmmm"), "")</f>
        <v/>
      </c>
      <c r="W665" s="80" t="str" cm="1">
        <f t="array" ref="W665">IF(Q665&lt;&gt;"", INDEX(CI:CI, MATCH(1, (Q665&gt;=CG:CG)*(Q665&lt;=CH:CH), 0)), "")</f>
        <v/>
      </c>
      <c r="X665" s="39"/>
      <c r="Y665" s="74"/>
      <c r="Z665" s="74" t="str">
        <f>IF(OR(Table5[[#This Row],[Per Person Package Cost]]="", Table5[[#This Row],[No. of Pax]]=""), "", Table5[[#This Row],[Per Person Package Cost]] * Table5[[#This Row],[No. of Pax]])</f>
        <v/>
      </c>
      <c r="AA665" s="52"/>
      <c r="AB665" s="52"/>
      <c r="AC665" s="52"/>
      <c r="AD665" s="52"/>
      <c r="AE665" s="51" t="str">
        <f t="shared" si="65"/>
        <v/>
      </c>
      <c r="AF665" s="51" t="str">
        <f t="shared" si="66"/>
        <v/>
      </c>
      <c r="AG665" s="74" t="str">
        <f t="shared" si="67"/>
        <v/>
      </c>
      <c r="AH665" s="73" t="str">
        <f t="shared" si="68"/>
        <v/>
      </c>
      <c r="AI665" s="52"/>
      <c r="AJ665" s="56"/>
      <c r="AK665" s="59"/>
      <c r="AL665" s="60"/>
      <c r="AM665" s="54"/>
      <c r="AN665" s="64"/>
      <c r="AO665" s="26"/>
      <c r="AP665" s="93"/>
      <c r="AQ665" s="87"/>
      <c r="AR665" s="26"/>
      <c r="AS665" s="65"/>
      <c r="AT665" s="88"/>
      <c r="AU665" s="67"/>
      <c r="DA665" t="str" cm="1">
        <f t="array" ref="DA665">IF(U665&lt;&gt;"", TRANSPOSE(_xlfn._xlws.FILTER(CZ:CZ, CY:CY=U665, "")), "")</f>
        <v/>
      </c>
    </row>
    <row r="666" spans="2:105" ht="15" customHeight="1">
      <c r="B666" s="35">
        <v>662</v>
      </c>
      <c r="C666" s="36" t="s">
        <v>2531</v>
      </c>
      <c r="D666" s="76"/>
      <c r="E666" s="37" t="str">
        <f>IF(Table5[[#This Row],[Query Date]]&lt;&gt;"", TEXT(Table5[[#This Row],[Query Date]], "dddd"), "")</f>
        <v/>
      </c>
      <c r="F666" s="37" t="str">
        <f>IF(Table5[[#This Row],[Query Date]]&lt;&gt;"", TEXT(Table5[[#This Row],[Query Date]], "mmmm"), "")</f>
        <v/>
      </c>
      <c r="G666" s="28"/>
      <c r="H666" s="28"/>
      <c r="I666" s="28"/>
      <c r="J666" s="28"/>
      <c r="K666" s="28"/>
      <c r="L666" s="25"/>
      <c r="M666" s="25"/>
      <c r="N666" s="25"/>
      <c r="O666" s="130"/>
      <c r="P666" s="47"/>
      <c r="Q666" s="77"/>
      <c r="R666" s="77" t="str">
        <f>IF(Table5[[#This Row],[Tour Starting Date]]&lt;&gt;"", TEXT(Table5[[#This Row],[Tour Starting Date]], "dddd"), "")</f>
        <v/>
      </c>
      <c r="S666" s="77"/>
      <c r="T666" s="25" t="str">
        <f>IF(Table5[[#This Row],[Tour Ending Date]]&lt;&gt;"", TEXT(Table5[[#This Row],[Tour Ending Date]], "dddd"), "")</f>
        <v/>
      </c>
      <c r="U66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66" s="37" t="str">
        <f>IF(Table5[[#This Row],[Tour Starting Date]]&lt;&gt;"", TEXT(Table5[[#This Row],[Tour Starting Date]], "mmmm"), "")</f>
        <v/>
      </c>
      <c r="W666" s="80" t="str" cm="1">
        <f t="array" ref="W666">IF(Q666&lt;&gt;"", INDEX(CI:CI, MATCH(1, (Q666&gt;=CG:CG)*(Q666&lt;=CH:CH), 0)), "")</f>
        <v/>
      </c>
      <c r="X666" s="39"/>
      <c r="Y666" s="74"/>
      <c r="Z666" s="74" t="str">
        <f>IF(OR(Table5[[#This Row],[Per Person Package Cost]]="", Table5[[#This Row],[No. of Pax]]=""), "", Table5[[#This Row],[Per Person Package Cost]] * Table5[[#This Row],[No. of Pax]])</f>
        <v/>
      </c>
      <c r="AA666" s="52"/>
      <c r="AB666" s="52"/>
      <c r="AC666" s="52"/>
      <c r="AD666" s="52"/>
      <c r="AE666" s="51" t="str">
        <f t="shared" si="65"/>
        <v/>
      </c>
      <c r="AF666" s="51" t="str">
        <f t="shared" si="66"/>
        <v/>
      </c>
      <c r="AG666" s="74" t="str">
        <f t="shared" si="67"/>
        <v/>
      </c>
      <c r="AH666" s="73" t="str">
        <f t="shared" si="68"/>
        <v/>
      </c>
      <c r="AI666" s="52"/>
      <c r="AJ666" s="56"/>
      <c r="AK666" s="59"/>
      <c r="AL666" s="60"/>
      <c r="AM666" s="54"/>
      <c r="AN666" s="64"/>
      <c r="AO666" s="26"/>
      <c r="AP666" s="93"/>
      <c r="AQ666" s="87"/>
      <c r="AR666" s="26"/>
      <c r="AS666" s="65"/>
      <c r="AT666" s="88"/>
      <c r="AU666" s="67"/>
      <c r="DA666" t="str" cm="1">
        <f t="array" ref="DA666">IF(U666&lt;&gt;"", TRANSPOSE(_xlfn._xlws.FILTER(CZ:CZ, CY:CY=U666, "")), "")</f>
        <v/>
      </c>
    </row>
    <row r="667" spans="2:105" ht="15" customHeight="1">
      <c r="B667" s="34">
        <v>663</v>
      </c>
      <c r="C667" s="36" t="s">
        <v>2532</v>
      </c>
      <c r="D667" s="76"/>
      <c r="E667" s="37" t="str">
        <f>IF(Table5[[#This Row],[Query Date]]&lt;&gt;"", TEXT(Table5[[#This Row],[Query Date]], "dddd"), "")</f>
        <v/>
      </c>
      <c r="F667" s="37" t="str">
        <f>IF(Table5[[#This Row],[Query Date]]&lt;&gt;"", TEXT(Table5[[#This Row],[Query Date]], "mmmm"), "")</f>
        <v/>
      </c>
      <c r="G667" s="28"/>
      <c r="H667" s="28"/>
      <c r="I667" s="28"/>
      <c r="J667" s="28"/>
      <c r="K667" s="28"/>
      <c r="L667" s="25"/>
      <c r="M667" s="25"/>
      <c r="N667" s="25"/>
      <c r="O667" s="130"/>
      <c r="P667" s="47"/>
      <c r="Q667" s="77"/>
      <c r="R667" s="77" t="str">
        <f>IF(Table5[[#This Row],[Tour Starting Date]]&lt;&gt;"", TEXT(Table5[[#This Row],[Tour Starting Date]], "dddd"), "")</f>
        <v/>
      </c>
      <c r="S667" s="77"/>
      <c r="T667" s="25" t="str">
        <f>IF(Table5[[#This Row],[Tour Ending Date]]&lt;&gt;"", TEXT(Table5[[#This Row],[Tour Ending Date]], "dddd"), "")</f>
        <v/>
      </c>
      <c r="U66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67" s="37" t="str">
        <f>IF(Table5[[#This Row],[Tour Starting Date]]&lt;&gt;"", TEXT(Table5[[#This Row],[Tour Starting Date]], "mmmm"), "")</f>
        <v/>
      </c>
      <c r="W667" s="80" t="str" cm="1">
        <f t="array" ref="W667">IF(Q667&lt;&gt;"", INDEX(CI:CI, MATCH(1, (Q667&gt;=CG:CG)*(Q667&lt;=CH:CH), 0)), "")</f>
        <v/>
      </c>
      <c r="X667" s="39"/>
      <c r="Y667" s="74"/>
      <c r="Z667" s="74" t="str">
        <f>IF(OR(Table5[[#This Row],[Per Person Package Cost]]="", Table5[[#This Row],[No. of Pax]]=""), "", Table5[[#This Row],[Per Person Package Cost]] * Table5[[#This Row],[No. of Pax]])</f>
        <v/>
      </c>
      <c r="AA667" s="52"/>
      <c r="AB667" s="52"/>
      <c r="AC667" s="52"/>
      <c r="AD667" s="52"/>
      <c r="AE667" s="51" t="str">
        <f t="shared" si="65"/>
        <v/>
      </c>
      <c r="AF667" s="51" t="str">
        <f t="shared" si="66"/>
        <v/>
      </c>
      <c r="AG667" s="74" t="str">
        <f t="shared" si="67"/>
        <v/>
      </c>
      <c r="AH667" s="73" t="str">
        <f t="shared" si="68"/>
        <v/>
      </c>
      <c r="AI667" s="52"/>
      <c r="AJ667" s="56"/>
      <c r="AK667" s="59"/>
      <c r="AL667" s="60"/>
      <c r="AM667" s="54"/>
      <c r="AN667" s="64"/>
      <c r="AO667" s="26"/>
      <c r="AP667" s="93"/>
      <c r="AQ667" s="87"/>
      <c r="AR667" s="26"/>
      <c r="AS667" s="65"/>
      <c r="AT667" s="88"/>
      <c r="AU667" s="67"/>
      <c r="DA667" t="str" cm="1">
        <f t="array" ref="DA667">IF(U667&lt;&gt;"", TRANSPOSE(_xlfn._xlws.FILTER(CZ:CZ, CY:CY=U667, "")), "")</f>
        <v/>
      </c>
    </row>
    <row r="668" spans="2:105" ht="15" customHeight="1">
      <c r="B668" s="35">
        <v>664</v>
      </c>
      <c r="C668" s="36" t="s">
        <v>2533</v>
      </c>
      <c r="D668" s="76"/>
      <c r="E668" s="37" t="str">
        <f>IF(Table5[[#This Row],[Query Date]]&lt;&gt;"", TEXT(Table5[[#This Row],[Query Date]], "dddd"), "")</f>
        <v/>
      </c>
      <c r="F668" s="37" t="str">
        <f>IF(Table5[[#This Row],[Query Date]]&lt;&gt;"", TEXT(Table5[[#This Row],[Query Date]], "mmmm"), "")</f>
        <v/>
      </c>
      <c r="G668" s="28"/>
      <c r="H668" s="28"/>
      <c r="I668" s="28"/>
      <c r="J668" s="28"/>
      <c r="K668" s="28"/>
      <c r="L668" s="25"/>
      <c r="M668" s="25"/>
      <c r="N668" s="25"/>
      <c r="O668" s="130"/>
      <c r="P668" s="47"/>
      <c r="Q668" s="77"/>
      <c r="R668" s="77" t="str">
        <f>IF(Table5[[#This Row],[Tour Starting Date]]&lt;&gt;"", TEXT(Table5[[#This Row],[Tour Starting Date]], "dddd"), "")</f>
        <v/>
      </c>
      <c r="S668" s="77"/>
      <c r="T668" s="25" t="str">
        <f>IF(Table5[[#This Row],[Tour Ending Date]]&lt;&gt;"", TEXT(Table5[[#This Row],[Tour Ending Date]], "dddd"), "")</f>
        <v/>
      </c>
      <c r="U66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68" s="37" t="str">
        <f>IF(Table5[[#This Row],[Tour Starting Date]]&lt;&gt;"", TEXT(Table5[[#This Row],[Tour Starting Date]], "mmmm"), "")</f>
        <v/>
      </c>
      <c r="W668" s="80" t="str" cm="1">
        <f t="array" ref="W668">IF(Q668&lt;&gt;"", INDEX(CI:CI, MATCH(1, (Q668&gt;=CG:CG)*(Q668&lt;=CH:CH), 0)), "")</f>
        <v/>
      </c>
      <c r="X668" s="39"/>
      <c r="Y668" s="74"/>
      <c r="Z668" s="74" t="str">
        <f>IF(OR(Table5[[#This Row],[Per Person Package Cost]]="", Table5[[#This Row],[No. of Pax]]=""), "", Table5[[#This Row],[Per Person Package Cost]] * Table5[[#This Row],[No. of Pax]])</f>
        <v/>
      </c>
      <c r="AA668" s="52"/>
      <c r="AB668" s="52"/>
      <c r="AC668" s="52"/>
      <c r="AD668" s="52"/>
      <c r="AE668" s="51" t="str">
        <f t="shared" si="65"/>
        <v/>
      </c>
      <c r="AF668" s="51" t="str">
        <f t="shared" si="66"/>
        <v/>
      </c>
      <c r="AG668" s="74" t="str">
        <f t="shared" si="67"/>
        <v/>
      </c>
      <c r="AH668" s="73" t="str">
        <f t="shared" si="68"/>
        <v/>
      </c>
      <c r="AI668" s="52"/>
      <c r="AJ668" s="56"/>
      <c r="AK668" s="59"/>
      <c r="AL668" s="60"/>
      <c r="AM668" s="54"/>
      <c r="AN668" s="64"/>
      <c r="AO668" s="26"/>
      <c r="AP668" s="93"/>
      <c r="AQ668" s="87"/>
      <c r="AR668" s="26"/>
      <c r="AS668" s="65"/>
      <c r="AT668" s="88"/>
      <c r="AU668" s="67"/>
      <c r="DA668" t="str" cm="1">
        <f t="array" ref="DA668">IF(U668&lt;&gt;"", TRANSPOSE(_xlfn._xlws.FILTER(CZ:CZ, CY:CY=U668, "")), "")</f>
        <v/>
      </c>
    </row>
    <row r="669" spans="2:105" ht="15" customHeight="1">
      <c r="B669" s="34">
        <v>665</v>
      </c>
      <c r="C669" s="36" t="s">
        <v>2534</v>
      </c>
      <c r="D669" s="76"/>
      <c r="E669" s="37" t="str">
        <f>IF(Table5[[#This Row],[Query Date]]&lt;&gt;"", TEXT(Table5[[#This Row],[Query Date]], "dddd"), "")</f>
        <v/>
      </c>
      <c r="F669" s="37" t="str">
        <f>IF(Table5[[#This Row],[Query Date]]&lt;&gt;"", TEXT(Table5[[#This Row],[Query Date]], "mmmm"), "")</f>
        <v/>
      </c>
      <c r="G669" s="28"/>
      <c r="H669" s="28"/>
      <c r="I669" s="28"/>
      <c r="J669" s="28"/>
      <c r="K669" s="28"/>
      <c r="L669" s="25"/>
      <c r="M669" s="25"/>
      <c r="N669" s="25"/>
      <c r="O669" s="130"/>
      <c r="P669" s="47"/>
      <c r="Q669" s="77"/>
      <c r="R669" s="77" t="str">
        <f>IF(Table5[[#This Row],[Tour Starting Date]]&lt;&gt;"", TEXT(Table5[[#This Row],[Tour Starting Date]], "dddd"), "")</f>
        <v/>
      </c>
      <c r="S669" s="77"/>
      <c r="T669" s="25" t="str">
        <f>IF(Table5[[#This Row],[Tour Ending Date]]&lt;&gt;"", TEXT(Table5[[#This Row],[Tour Ending Date]], "dddd"), "")</f>
        <v/>
      </c>
      <c r="U66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69" s="37" t="str">
        <f>IF(Table5[[#This Row],[Tour Starting Date]]&lt;&gt;"", TEXT(Table5[[#This Row],[Tour Starting Date]], "mmmm"), "")</f>
        <v/>
      </c>
      <c r="W669" s="80" t="str" cm="1">
        <f t="array" ref="W669">IF(Q669&lt;&gt;"", INDEX(CI:CI, MATCH(1, (Q669&gt;=CG:CG)*(Q669&lt;=CH:CH), 0)), "")</f>
        <v/>
      </c>
      <c r="X669" s="39"/>
      <c r="Y669" s="74"/>
      <c r="Z669" s="74" t="str">
        <f>IF(OR(Table5[[#This Row],[Per Person Package Cost]]="", Table5[[#This Row],[No. of Pax]]=""), "", Table5[[#This Row],[Per Person Package Cost]] * Table5[[#This Row],[No. of Pax]])</f>
        <v/>
      </c>
      <c r="AA669" s="52"/>
      <c r="AB669" s="52"/>
      <c r="AC669" s="52"/>
      <c r="AD669" s="52"/>
      <c r="AE669" s="51" t="str">
        <f t="shared" si="65"/>
        <v/>
      </c>
      <c r="AF669" s="51" t="str">
        <f t="shared" si="66"/>
        <v/>
      </c>
      <c r="AG669" s="74" t="str">
        <f t="shared" si="67"/>
        <v/>
      </c>
      <c r="AH669" s="73" t="str">
        <f t="shared" si="68"/>
        <v/>
      </c>
      <c r="AI669" s="52"/>
      <c r="AJ669" s="56"/>
      <c r="AK669" s="59"/>
      <c r="AL669" s="60"/>
      <c r="AM669" s="54"/>
      <c r="AN669" s="64"/>
      <c r="AO669" s="26"/>
      <c r="AP669" s="93"/>
      <c r="AQ669" s="87"/>
      <c r="AR669" s="26"/>
      <c r="AS669" s="65"/>
      <c r="AT669" s="88"/>
      <c r="AU669" s="67"/>
      <c r="DA669" t="str" cm="1">
        <f t="array" ref="DA669">IF(U669&lt;&gt;"", TRANSPOSE(_xlfn._xlws.FILTER(CZ:CZ, CY:CY=U669, "")), "")</f>
        <v/>
      </c>
    </row>
    <row r="670" spans="2:105" ht="15" customHeight="1">
      <c r="B670" s="35">
        <v>666</v>
      </c>
      <c r="C670" s="36" t="s">
        <v>2535</v>
      </c>
      <c r="D670" s="76"/>
      <c r="E670" s="37" t="str">
        <f>IF(Table5[[#This Row],[Query Date]]&lt;&gt;"", TEXT(Table5[[#This Row],[Query Date]], "dddd"), "")</f>
        <v/>
      </c>
      <c r="F670" s="37" t="str">
        <f>IF(Table5[[#This Row],[Query Date]]&lt;&gt;"", TEXT(Table5[[#This Row],[Query Date]], "mmmm"), "")</f>
        <v/>
      </c>
      <c r="G670" s="28"/>
      <c r="H670" s="28"/>
      <c r="I670" s="28"/>
      <c r="J670" s="28"/>
      <c r="K670" s="28"/>
      <c r="L670" s="25"/>
      <c r="M670" s="25"/>
      <c r="N670" s="25"/>
      <c r="O670" s="130"/>
      <c r="P670" s="47"/>
      <c r="Q670" s="77"/>
      <c r="R670" s="77" t="str">
        <f>IF(Table5[[#This Row],[Tour Starting Date]]&lt;&gt;"", TEXT(Table5[[#This Row],[Tour Starting Date]], "dddd"), "")</f>
        <v/>
      </c>
      <c r="S670" s="77"/>
      <c r="T670" s="25" t="str">
        <f>IF(Table5[[#This Row],[Tour Ending Date]]&lt;&gt;"", TEXT(Table5[[#This Row],[Tour Ending Date]], "dddd"), "")</f>
        <v/>
      </c>
      <c r="U67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70" s="37" t="str">
        <f>IF(Table5[[#This Row],[Tour Starting Date]]&lt;&gt;"", TEXT(Table5[[#This Row],[Tour Starting Date]], "mmmm"), "")</f>
        <v/>
      </c>
      <c r="W670" s="80" t="str" cm="1">
        <f t="array" ref="W670">IF(Q670&lt;&gt;"", INDEX(CI:CI, MATCH(1, (Q670&gt;=CG:CG)*(Q670&lt;=CH:CH), 0)), "")</f>
        <v/>
      </c>
      <c r="X670" s="39"/>
      <c r="Y670" s="74"/>
      <c r="Z670" s="74" t="str">
        <f>IF(OR(Table5[[#This Row],[Per Person Package Cost]]="", Table5[[#This Row],[No. of Pax]]=""), "", Table5[[#This Row],[Per Person Package Cost]] * Table5[[#This Row],[No. of Pax]])</f>
        <v/>
      </c>
      <c r="AA670" s="52"/>
      <c r="AB670" s="52"/>
      <c r="AC670" s="52"/>
      <c r="AD670" s="52"/>
      <c r="AE670" s="51" t="str">
        <f t="shared" si="65"/>
        <v/>
      </c>
      <c r="AF670" s="51" t="str">
        <f t="shared" si="66"/>
        <v/>
      </c>
      <c r="AG670" s="74" t="str">
        <f t="shared" si="67"/>
        <v/>
      </c>
      <c r="AH670" s="73" t="str">
        <f t="shared" si="68"/>
        <v/>
      </c>
      <c r="AI670" s="52"/>
      <c r="AJ670" s="56"/>
      <c r="AK670" s="59"/>
      <c r="AL670" s="60"/>
      <c r="AM670" s="54"/>
      <c r="AN670" s="64"/>
      <c r="AO670" s="26"/>
      <c r="AP670" s="93"/>
      <c r="AQ670" s="87"/>
      <c r="AR670" s="26"/>
      <c r="AS670" s="65"/>
      <c r="AT670" s="88"/>
      <c r="AU670" s="67"/>
      <c r="DA670" t="str" cm="1">
        <f t="array" ref="DA670">IF(U670&lt;&gt;"", TRANSPOSE(_xlfn._xlws.FILTER(CZ:CZ, CY:CY=U670, "")), "")</f>
        <v/>
      </c>
    </row>
    <row r="671" spans="2:105" ht="15" customHeight="1">
      <c r="B671" s="34">
        <v>667</v>
      </c>
      <c r="C671" s="36" t="s">
        <v>2536</v>
      </c>
      <c r="D671" s="76"/>
      <c r="E671" s="37" t="str">
        <f>IF(Table5[[#This Row],[Query Date]]&lt;&gt;"", TEXT(Table5[[#This Row],[Query Date]], "dddd"), "")</f>
        <v/>
      </c>
      <c r="F671" s="37" t="str">
        <f>IF(Table5[[#This Row],[Query Date]]&lt;&gt;"", TEXT(Table5[[#This Row],[Query Date]], "mmmm"), "")</f>
        <v/>
      </c>
      <c r="G671" s="28"/>
      <c r="H671" s="28"/>
      <c r="I671" s="28"/>
      <c r="J671" s="28"/>
      <c r="K671" s="28"/>
      <c r="L671" s="25"/>
      <c r="M671" s="25"/>
      <c r="N671" s="25"/>
      <c r="O671" s="130"/>
      <c r="P671" s="47"/>
      <c r="Q671" s="77"/>
      <c r="R671" s="77" t="str">
        <f>IF(Table5[[#This Row],[Tour Starting Date]]&lt;&gt;"", TEXT(Table5[[#This Row],[Tour Starting Date]], "dddd"), "")</f>
        <v/>
      </c>
      <c r="S671" s="77"/>
      <c r="T671" s="25" t="str">
        <f>IF(Table5[[#This Row],[Tour Ending Date]]&lt;&gt;"", TEXT(Table5[[#This Row],[Tour Ending Date]], "dddd"), "")</f>
        <v/>
      </c>
      <c r="U67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71" s="37" t="str">
        <f>IF(Table5[[#This Row],[Tour Starting Date]]&lt;&gt;"", TEXT(Table5[[#This Row],[Tour Starting Date]], "mmmm"), "")</f>
        <v/>
      </c>
      <c r="W671" s="80" t="str" cm="1">
        <f t="array" ref="W671">IF(Q671&lt;&gt;"", INDEX(CI:CI, MATCH(1, (Q671&gt;=CG:CG)*(Q671&lt;=CH:CH), 0)), "")</f>
        <v/>
      </c>
      <c r="X671" s="39"/>
      <c r="Y671" s="74"/>
      <c r="Z671" s="74" t="str">
        <f>IF(OR(Table5[[#This Row],[Per Person Package Cost]]="", Table5[[#This Row],[No. of Pax]]=""), "", Table5[[#This Row],[Per Person Package Cost]] * Table5[[#This Row],[No. of Pax]])</f>
        <v/>
      </c>
      <c r="AA671" s="52"/>
      <c r="AB671" s="52"/>
      <c r="AC671" s="52"/>
      <c r="AD671" s="52"/>
      <c r="AE671" s="51" t="str">
        <f t="shared" si="65"/>
        <v/>
      </c>
      <c r="AF671" s="51" t="str">
        <f t="shared" si="66"/>
        <v/>
      </c>
      <c r="AG671" s="74" t="str">
        <f t="shared" si="67"/>
        <v/>
      </c>
      <c r="AH671" s="73" t="str">
        <f t="shared" si="68"/>
        <v/>
      </c>
      <c r="AI671" s="52"/>
      <c r="AJ671" s="56"/>
      <c r="AK671" s="59"/>
      <c r="AL671" s="60"/>
      <c r="AM671" s="54"/>
      <c r="AN671" s="64"/>
      <c r="AO671" s="26"/>
      <c r="AP671" s="93"/>
      <c r="AQ671" s="87"/>
      <c r="AR671" s="26"/>
      <c r="AS671" s="65"/>
      <c r="AT671" s="88"/>
      <c r="AU671" s="67"/>
      <c r="DA671" t="str" cm="1">
        <f t="array" ref="DA671">IF(U671&lt;&gt;"", TRANSPOSE(_xlfn._xlws.FILTER(CZ:CZ, CY:CY=U671, "")), "")</f>
        <v/>
      </c>
    </row>
    <row r="672" spans="2:105" ht="15" customHeight="1">
      <c r="B672" s="35">
        <v>668</v>
      </c>
      <c r="C672" s="36" t="s">
        <v>2537</v>
      </c>
      <c r="D672" s="76"/>
      <c r="E672" s="37" t="str">
        <f>IF(Table5[[#This Row],[Query Date]]&lt;&gt;"", TEXT(Table5[[#This Row],[Query Date]], "dddd"), "")</f>
        <v/>
      </c>
      <c r="F672" s="37" t="str">
        <f>IF(Table5[[#This Row],[Query Date]]&lt;&gt;"", TEXT(Table5[[#This Row],[Query Date]], "mmmm"), "")</f>
        <v/>
      </c>
      <c r="G672" s="28"/>
      <c r="H672" s="28"/>
      <c r="I672" s="28"/>
      <c r="J672" s="28"/>
      <c r="K672" s="28"/>
      <c r="L672" s="25"/>
      <c r="M672" s="25"/>
      <c r="N672" s="25"/>
      <c r="O672" s="130"/>
      <c r="P672" s="47"/>
      <c r="Q672" s="77"/>
      <c r="R672" s="77" t="str">
        <f>IF(Table5[[#This Row],[Tour Starting Date]]&lt;&gt;"", TEXT(Table5[[#This Row],[Tour Starting Date]], "dddd"), "")</f>
        <v/>
      </c>
      <c r="S672" s="77"/>
      <c r="T672" s="25" t="str">
        <f>IF(Table5[[#This Row],[Tour Ending Date]]&lt;&gt;"", TEXT(Table5[[#This Row],[Tour Ending Date]], "dddd"), "")</f>
        <v/>
      </c>
      <c r="U67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72" s="37" t="str">
        <f>IF(Table5[[#This Row],[Tour Starting Date]]&lt;&gt;"", TEXT(Table5[[#This Row],[Tour Starting Date]], "mmmm"), "")</f>
        <v/>
      </c>
      <c r="W672" s="80" t="str" cm="1">
        <f t="array" ref="W672">IF(Q672&lt;&gt;"", INDEX(CI:CI, MATCH(1, (Q672&gt;=CG:CG)*(Q672&lt;=CH:CH), 0)), "")</f>
        <v/>
      </c>
      <c r="X672" s="39"/>
      <c r="Y672" s="74"/>
      <c r="Z672" s="74" t="str">
        <f>IF(OR(Table5[[#This Row],[Per Person Package Cost]]="", Table5[[#This Row],[No. of Pax]]=""), "", Table5[[#This Row],[Per Person Package Cost]] * Table5[[#This Row],[No. of Pax]])</f>
        <v/>
      </c>
      <c r="AA672" s="52"/>
      <c r="AB672" s="52"/>
      <c r="AC672" s="52"/>
      <c r="AD672" s="52"/>
      <c r="AE672" s="51" t="str">
        <f t="shared" si="65"/>
        <v/>
      </c>
      <c r="AF672" s="51" t="str">
        <f t="shared" si="66"/>
        <v/>
      </c>
      <c r="AG672" s="74" t="str">
        <f t="shared" si="67"/>
        <v/>
      </c>
      <c r="AH672" s="73" t="str">
        <f t="shared" si="68"/>
        <v/>
      </c>
      <c r="AI672" s="52"/>
      <c r="AJ672" s="56"/>
      <c r="AK672" s="59"/>
      <c r="AL672" s="60"/>
      <c r="AM672" s="54"/>
      <c r="AN672" s="64"/>
      <c r="AO672" s="26"/>
      <c r="AP672" s="93"/>
      <c r="AQ672" s="87"/>
      <c r="AR672" s="26"/>
      <c r="AS672" s="65"/>
      <c r="AT672" s="88"/>
      <c r="AU672" s="67"/>
      <c r="DA672" t="str" cm="1">
        <f t="array" ref="DA672">IF(U672&lt;&gt;"", TRANSPOSE(_xlfn._xlws.FILTER(CZ:CZ, CY:CY=U672, "")), "")</f>
        <v/>
      </c>
    </row>
    <row r="673" spans="2:105" ht="15" customHeight="1">
      <c r="B673" s="34">
        <v>669</v>
      </c>
      <c r="C673" s="36" t="s">
        <v>2538</v>
      </c>
      <c r="D673" s="76"/>
      <c r="E673" s="37" t="str">
        <f>IF(Table5[[#This Row],[Query Date]]&lt;&gt;"", TEXT(Table5[[#This Row],[Query Date]], "dddd"), "")</f>
        <v/>
      </c>
      <c r="F673" s="37" t="str">
        <f>IF(Table5[[#This Row],[Query Date]]&lt;&gt;"", TEXT(Table5[[#This Row],[Query Date]], "mmmm"), "")</f>
        <v/>
      </c>
      <c r="G673" s="28"/>
      <c r="H673" s="28"/>
      <c r="I673" s="28"/>
      <c r="J673" s="28"/>
      <c r="K673" s="28"/>
      <c r="L673" s="25"/>
      <c r="M673" s="25"/>
      <c r="N673" s="25"/>
      <c r="O673" s="130"/>
      <c r="P673" s="47"/>
      <c r="Q673" s="77"/>
      <c r="R673" s="77" t="str">
        <f>IF(Table5[[#This Row],[Tour Starting Date]]&lt;&gt;"", TEXT(Table5[[#This Row],[Tour Starting Date]], "dddd"), "")</f>
        <v/>
      </c>
      <c r="S673" s="77"/>
      <c r="T673" s="25" t="str">
        <f>IF(Table5[[#This Row],[Tour Ending Date]]&lt;&gt;"", TEXT(Table5[[#This Row],[Tour Ending Date]], "dddd"), "")</f>
        <v/>
      </c>
      <c r="U67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73" s="37" t="str">
        <f>IF(Table5[[#This Row],[Tour Starting Date]]&lt;&gt;"", TEXT(Table5[[#This Row],[Tour Starting Date]], "mmmm"), "")</f>
        <v/>
      </c>
      <c r="W673" s="80" t="str" cm="1">
        <f t="array" ref="W673">IF(Q673&lt;&gt;"", INDEX(CI:CI, MATCH(1, (Q673&gt;=CG:CG)*(Q673&lt;=CH:CH), 0)), "")</f>
        <v/>
      </c>
      <c r="X673" s="39"/>
      <c r="Y673" s="74"/>
      <c r="Z673" s="74" t="str">
        <f>IF(OR(Table5[[#This Row],[Per Person Package Cost]]="", Table5[[#This Row],[No. of Pax]]=""), "", Table5[[#This Row],[Per Person Package Cost]] * Table5[[#This Row],[No. of Pax]])</f>
        <v/>
      </c>
      <c r="AA673" s="52"/>
      <c r="AB673" s="52"/>
      <c r="AC673" s="52"/>
      <c r="AD673" s="52"/>
      <c r="AE673" s="51" t="str">
        <f t="shared" si="65"/>
        <v/>
      </c>
      <c r="AF673" s="51" t="str">
        <f t="shared" si="66"/>
        <v/>
      </c>
      <c r="AG673" s="74" t="str">
        <f t="shared" si="67"/>
        <v/>
      </c>
      <c r="AH673" s="73" t="str">
        <f t="shared" si="68"/>
        <v/>
      </c>
      <c r="AI673" s="52"/>
      <c r="AJ673" s="56"/>
      <c r="AK673" s="59"/>
      <c r="AL673" s="60"/>
      <c r="AM673" s="54"/>
      <c r="AN673" s="64"/>
      <c r="AO673" s="26"/>
      <c r="AP673" s="93"/>
      <c r="AQ673" s="87"/>
      <c r="AR673" s="26"/>
      <c r="AS673" s="65"/>
      <c r="AT673" s="88"/>
      <c r="AU673" s="67"/>
      <c r="DA673" t="str" cm="1">
        <f t="array" ref="DA673">IF(U673&lt;&gt;"", TRANSPOSE(_xlfn._xlws.FILTER(CZ:CZ, CY:CY=U673, "")), "")</f>
        <v/>
      </c>
    </row>
    <row r="674" spans="2:105" ht="15" customHeight="1">
      <c r="B674" s="35">
        <v>670</v>
      </c>
      <c r="C674" s="36" t="s">
        <v>2539</v>
      </c>
      <c r="D674" s="76"/>
      <c r="E674" s="37" t="str">
        <f>IF(Table5[[#This Row],[Query Date]]&lt;&gt;"", TEXT(Table5[[#This Row],[Query Date]], "dddd"), "")</f>
        <v/>
      </c>
      <c r="F674" s="37" t="str">
        <f>IF(Table5[[#This Row],[Query Date]]&lt;&gt;"", TEXT(Table5[[#This Row],[Query Date]], "mmmm"), "")</f>
        <v/>
      </c>
      <c r="G674" s="28"/>
      <c r="H674" s="28"/>
      <c r="I674" s="28"/>
      <c r="J674" s="28"/>
      <c r="K674" s="28"/>
      <c r="L674" s="25"/>
      <c r="M674" s="25"/>
      <c r="N674" s="25"/>
      <c r="O674" s="130"/>
      <c r="P674" s="47"/>
      <c r="Q674" s="77"/>
      <c r="R674" s="77" t="str">
        <f>IF(Table5[[#This Row],[Tour Starting Date]]&lt;&gt;"", TEXT(Table5[[#This Row],[Tour Starting Date]], "dddd"), "")</f>
        <v/>
      </c>
      <c r="S674" s="77"/>
      <c r="T674" s="25" t="str">
        <f>IF(Table5[[#This Row],[Tour Ending Date]]&lt;&gt;"", TEXT(Table5[[#This Row],[Tour Ending Date]], "dddd"), "")</f>
        <v/>
      </c>
      <c r="U67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74" s="37" t="str">
        <f>IF(Table5[[#This Row],[Tour Starting Date]]&lt;&gt;"", TEXT(Table5[[#This Row],[Tour Starting Date]], "mmmm"), "")</f>
        <v/>
      </c>
      <c r="W674" s="80" t="str" cm="1">
        <f t="array" ref="W674">IF(Q674&lt;&gt;"", INDEX(CI:CI, MATCH(1, (Q674&gt;=CG:CG)*(Q674&lt;=CH:CH), 0)), "")</f>
        <v/>
      </c>
      <c r="X674" s="39"/>
      <c r="Y674" s="74"/>
      <c r="Z674" s="74" t="str">
        <f>IF(OR(Table5[[#This Row],[Per Person Package Cost]]="", Table5[[#This Row],[No. of Pax]]=""), "", Table5[[#This Row],[Per Person Package Cost]] * Table5[[#This Row],[No. of Pax]])</f>
        <v/>
      </c>
      <c r="AA674" s="52"/>
      <c r="AB674" s="52"/>
      <c r="AC674" s="52"/>
      <c r="AD674" s="52"/>
      <c r="AE674" s="51" t="str">
        <f t="shared" si="65"/>
        <v/>
      </c>
      <c r="AF674" s="51" t="str">
        <f t="shared" si="66"/>
        <v/>
      </c>
      <c r="AG674" s="74" t="str">
        <f t="shared" si="67"/>
        <v/>
      </c>
      <c r="AH674" s="73" t="str">
        <f t="shared" si="68"/>
        <v/>
      </c>
      <c r="AI674" s="52"/>
      <c r="AJ674" s="56"/>
      <c r="AK674" s="59"/>
      <c r="AL674" s="60"/>
      <c r="AM674" s="54"/>
      <c r="AN674" s="64"/>
      <c r="AO674" s="26"/>
      <c r="AP674" s="93"/>
      <c r="AQ674" s="87"/>
      <c r="AR674" s="26"/>
      <c r="AS674" s="65"/>
      <c r="AT674" s="88"/>
      <c r="AU674" s="67"/>
      <c r="DA674" t="str" cm="1">
        <f t="array" ref="DA674">IF(U674&lt;&gt;"", TRANSPOSE(_xlfn._xlws.FILTER(CZ:CZ, CY:CY=U674, "")), "")</f>
        <v/>
      </c>
    </row>
    <row r="675" spans="2:105" ht="15" customHeight="1">
      <c r="B675" s="34">
        <v>671</v>
      </c>
      <c r="C675" s="36" t="s">
        <v>2540</v>
      </c>
      <c r="D675" s="76"/>
      <c r="E675" s="37" t="str">
        <f>IF(Table5[[#This Row],[Query Date]]&lt;&gt;"", TEXT(Table5[[#This Row],[Query Date]], "dddd"), "")</f>
        <v/>
      </c>
      <c r="F675" s="37" t="str">
        <f>IF(Table5[[#This Row],[Query Date]]&lt;&gt;"", TEXT(Table5[[#This Row],[Query Date]], "mmmm"), "")</f>
        <v/>
      </c>
      <c r="G675" s="28"/>
      <c r="H675" s="28"/>
      <c r="I675" s="28"/>
      <c r="J675" s="28"/>
      <c r="K675" s="28"/>
      <c r="L675" s="25"/>
      <c r="M675" s="25"/>
      <c r="N675" s="25"/>
      <c r="O675" s="130"/>
      <c r="P675" s="47"/>
      <c r="Q675" s="77"/>
      <c r="R675" s="77" t="str">
        <f>IF(Table5[[#This Row],[Tour Starting Date]]&lt;&gt;"", TEXT(Table5[[#This Row],[Tour Starting Date]], "dddd"), "")</f>
        <v/>
      </c>
      <c r="S675" s="77"/>
      <c r="T675" s="25" t="str">
        <f>IF(Table5[[#This Row],[Tour Ending Date]]&lt;&gt;"", TEXT(Table5[[#This Row],[Tour Ending Date]], "dddd"), "")</f>
        <v/>
      </c>
      <c r="U67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75" s="37" t="str">
        <f>IF(Table5[[#This Row],[Tour Starting Date]]&lt;&gt;"", TEXT(Table5[[#This Row],[Tour Starting Date]], "mmmm"), "")</f>
        <v/>
      </c>
      <c r="W675" s="80" t="str" cm="1">
        <f t="array" ref="W675">IF(Q675&lt;&gt;"", INDEX(CI:CI, MATCH(1, (Q675&gt;=CG:CG)*(Q675&lt;=CH:CH), 0)), "")</f>
        <v/>
      </c>
      <c r="X675" s="39"/>
      <c r="Y675" s="74"/>
      <c r="Z675" s="74" t="str">
        <f>IF(OR(Table5[[#This Row],[Per Person Package Cost]]="", Table5[[#This Row],[No. of Pax]]=""), "", Table5[[#This Row],[Per Person Package Cost]] * Table5[[#This Row],[No. of Pax]])</f>
        <v/>
      </c>
      <c r="AA675" s="52"/>
      <c r="AB675" s="52"/>
      <c r="AC675" s="52"/>
      <c r="AD675" s="52"/>
      <c r="AE675" s="51" t="str">
        <f t="shared" si="65"/>
        <v/>
      </c>
      <c r="AF675" s="51" t="str">
        <f t="shared" si="66"/>
        <v/>
      </c>
      <c r="AG675" s="74" t="str">
        <f t="shared" si="67"/>
        <v/>
      </c>
      <c r="AH675" s="73" t="str">
        <f t="shared" si="68"/>
        <v/>
      </c>
      <c r="AI675" s="52"/>
      <c r="AJ675" s="56"/>
      <c r="AK675" s="59"/>
      <c r="AL675" s="60"/>
      <c r="AM675" s="54"/>
      <c r="AN675" s="64"/>
      <c r="AO675" s="26"/>
      <c r="AP675" s="93"/>
      <c r="AQ675" s="87"/>
      <c r="AR675" s="26"/>
      <c r="AS675" s="65"/>
      <c r="AT675" s="88"/>
      <c r="AU675" s="67"/>
      <c r="DA675" t="str" cm="1">
        <f t="array" ref="DA675">IF(U675&lt;&gt;"", TRANSPOSE(_xlfn._xlws.FILTER(CZ:CZ, CY:CY=U675, "")), "")</f>
        <v/>
      </c>
    </row>
    <row r="676" spans="2:105" ht="15" customHeight="1">
      <c r="B676" s="35">
        <v>672</v>
      </c>
      <c r="C676" s="36" t="s">
        <v>2541</v>
      </c>
      <c r="D676" s="76"/>
      <c r="E676" s="37" t="str">
        <f>IF(Table5[[#This Row],[Query Date]]&lt;&gt;"", TEXT(Table5[[#This Row],[Query Date]], "dddd"), "")</f>
        <v/>
      </c>
      <c r="F676" s="37" t="str">
        <f>IF(Table5[[#This Row],[Query Date]]&lt;&gt;"", TEXT(Table5[[#This Row],[Query Date]], "mmmm"), "")</f>
        <v/>
      </c>
      <c r="G676" s="28"/>
      <c r="H676" s="28"/>
      <c r="I676" s="28"/>
      <c r="J676" s="28"/>
      <c r="K676" s="28"/>
      <c r="L676" s="25"/>
      <c r="M676" s="25"/>
      <c r="N676" s="25"/>
      <c r="O676" s="130"/>
      <c r="P676" s="47"/>
      <c r="Q676" s="77"/>
      <c r="R676" s="77" t="str">
        <f>IF(Table5[[#This Row],[Tour Starting Date]]&lt;&gt;"", TEXT(Table5[[#This Row],[Tour Starting Date]], "dddd"), "")</f>
        <v/>
      </c>
      <c r="S676" s="77"/>
      <c r="T676" s="25" t="str">
        <f>IF(Table5[[#This Row],[Tour Ending Date]]&lt;&gt;"", TEXT(Table5[[#This Row],[Tour Ending Date]], "dddd"), "")</f>
        <v/>
      </c>
      <c r="U67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76" s="37" t="str">
        <f>IF(Table5[[#This Row],[Tour Starting Date]]&lt;&gt;"", TEXT(Table5[[#This Row],[Tour Starting Date]], "mmmm"), "")</f>
        <v/>
      </c>
      <c r="W676" s="80" t="str" cm="1">
        <f t="array" ref="W676">IF(Q676&lt;&gt;"", INDEX(CI:CI, MATCH(1, (Q676&gt;=CG:CG)*(Q676&lt;=CH:CH), 0)), "")</f>
        <v/>
      </c>
      <c r="X676" s="39"/>
      <c r="Y676" s="74"/>
      <c r="Z676" s="74" t="str">
        <f>IF(OR(Table5[[#This Row],[Per Person Package Cost]]="", Table5[[#This Row],[No. of Pax]]=""), "", Table5[[#This Row],[Per Person Package Cost]] * Table5[[#This Row],[No. of Pax]])</f>
        <v/>
      </c>
      <c r="AA676" s="52"/>
      <c r="AB676" s="52"/>
      <c r="AC676" s="52"/>
      <c r="AD676" s="52"/>
      <c r="AE676" s="51" t="str">
        <f t="shared" si="65"/>
        <v/>
      </c>
      <c r="AF676" s="51" t="str">
        <f t="shared" si="66"/>
        <v/>
      </c>
      <c r="AG676" s="74" t="str">
        <f t="shared" si="67"/>
        <v/>
      </c>
      <c r="AH676" s="73" t="str">
        <f t="shared" si="68"/>
        <v/>
      </c>
      <c r="AI676" s="52"/>
      <c r="AJ676" s="56"/>
      <c r="AK676" s="59"/>
      <c r="AL676" s="60"/>
      <c r="AM676" s="54"/>
      <c r="AN676" s="64"/>
      <c r="AO676" s="26"/>
      <c r="AP676" s="93"/>
      <c r="AQ676" s="87"/>
      <c r="AR676" s="26"/>
      <c r="AS676" s="65"/>
      <c r="AT676" s="88"/>
      <c r="AU676" s="67"/>
      <c r="DA676" t="str" cm="1">
        <f t="array" ref="DA676">IF(U676&lt;&gt;"", TRANSPOSE(_xlfn._xlws.FILTER(CZ:CZ, CY:CY=U676, "")), "")</f>
        <v/>
      </c>
    </row>
    <row r="677" spans="2:105" ht="15" customHeight="1">
      <c r="B677" s="34">
        <v>673</v>
      </c>
      <c r="C677" s="36" t="s">
        <v>2542</v>
      </c>
      <c r="D677" s="76"/>
      <c r="E677" s="37" t="str">
        <f>IF(Table5[[#This Row],[Query Date]]&lt;&gt;"", TEXT(Table5[[#This Row],[Query Date]], "dddd"), "")</f>
        <v/>
      </c>
      <c r="F677" s="37" t="str">
        <f>IF(Table5[[#This Row],[Query Date]]&lt;&gt;"", TEXT(Table5[[#This Row],[Query Date]], "mmmm"), "")</f>
        <v/>
      </c>
      <c r="G677" s="28"/>
      <c r="H677" s="28"/>
      <c r="I677" s="28"/>
      <c r="J677" s="28"/>
      <c r="K677" s="28"/>
      <c r="L677" s="25"/>
      <c r="M677" s="25"/>
      <c r="N677" s="25"/>
      <c r="O677" s="130"/>
      <c r="P677" s="47"/>
      <c r="Q677" s="77"/>
      <c r="R677" s="77" t="str">
        <f>IF(Table5[[#This Row],[Tour Starting Date]]&lt;&gt;"", TEXT(Table5[[#This Row],[Tour Starting Date]], "dddd"), "")</f>
        <v/>
      </c>
      <c r="S677" s="77"/>
      <c r="T677" s="25" t="str">
        <f>IF(Table5[[#This Row],[Tour Ending Date]]&lt;&gt;"", TEXT(Table5[[#This Row],[Tour Ending Date]], "dddd"), "")</f>
        <v/>
      </c>
      <c r="U67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77" s="37" t="str">
        <f>IF(Table5[[#This Row],[Tour Starting Date]]&lt;&gt;"", TEXT(Table5[[#This Row],[Tour Starting Date]], "mmmm"), "")</f>
        <v/>
      </c>
      <c r="W677" s="80" t="str" cm="1">
        <f t="array" ref="W677">IF(Q677&lt;&gt;"", INDEX(CI:CI, MATCH(1, (Q677&gt;=CG:CG)*(Q677&lt;=CH:CH), 0)), "")</f>
        <v/>
      </c>
      <c r="X677" s="39"/>
      <c r="Y677" s="74"/>
      <c r="Z677" s="74" t="str">
        <f>IF(OR(Table5[[#This Row],[Per Person Package Cost]]="", Table5[[#This Row],[No. of Pax]]=""), "", Table5[[#This Row],[Per Person Package Cost]] * Table5[[#This Row],[No. of Pax]])</f>
        <v/>
      </c>
      <c r="AA677" s="52"/>
      <c r="AB677" s="52"/>
      <c r="AC677" s="52"/>
      <c r="AD677" s="52"/>
      <c r="AE677" s="51" t="str">
        <f t="shared" si="65"/>
        <v/>
      </c>
      <c r="AF677" s="51" t="str">
        <f t="shared" si="66"/>
        <v/>
      </c>
      <c r="AG677" s="74" t="str">
        <f t="shared" si="67"/>
        <v/>
      </c>
      <c r="AH677" s="73" t="str">
        <f t="shared" si="68"/>
        <v/>
      </c>
      <c r="AI677" s="52"/>
      <c r="AJ677" s="56"/>
      <c r="AK677" s="59"/>
      <c r="AL677" s="60"/>
      <c r="AM677" s="54"/>
      <c r="AN677" s="64"/>
      <c r="AO677" s="26"/>
      <c r="AP677" s="93"/>
      <c r="AQ677" s="87"/>
      <c r="AR677" s="26"/>
      <c r="AS677" s="65"/>
      <c r="AT677" s="88"/>
      <c r="AU677" s="67"/>
      <c r="DA677" t="str" cm="1">
        <f t="array" ref="DA677">IF(U677&lt;&gt;"", TRANSPOSE(_xlfn._xlws.FILTER(CZ:CZ, CY:CY=U677, "")), "")</f>
        <v/>
      </c>
    </row>
    <row r="678" spans="2:105" ht="15" customHeight="1">
      <c r="B678" s="35">
        <v>674</v>
      </c>
      <c r="C678" s="36" t="s">
        <v>2543</v>
      </c>
      <c r="D678" s="76"/>
      <c r="E678" s="37" t="str">
        <f>IF(Table5[[#This Row],[Query Date]]&lt;&gt;"", TEXT(Table5[[#This Row],[Query Date]], "dddd"), "")</f>
        <v/>
      </c>
      <c r="F678" s="37" t="str">
        <f>IF(Table5[[#This Row],[Query Date]]&lt;&gt;"", TEXT(Table5[[#This Row],[Query Date]], "mmmm"), "")</f>
        <v/>
      </c>
      <c r="G678" s="28"/>
      <c r="H678" s="28"/>
      <c r="I678" s="28"/>
      <c r="J678" s="28"/>
      <c r="K678" s="28"/>
      <c r="L678" s="25"/>
      <c r="M678" s="25"/>
      <c r="N678" s="25"/>
      <c r="O678" s="130"/>
      <c r="P678" s="47"/>
      <c r="Q678" s="77"/>
      <c r="R678" s="77" t="str">
        <f>IF(Table5[[#This Row],[Tour Starting Date]]&lt;&gt;"", TEXT(Table5[[#This Row],[Tour Starting Date]], "dddd"), "")</f>
        <v/>
      </c>
      <c r="S678" s="77"/>
      <c r="T678" s="25" t="str">
        <f>IF(Table5[[#This Row],[Tour Ending Date]]&lt;&gt;"", TEXT(Table5[[#This Row],[Tour Ending Date]], "dddd"), "")</f>
        <v/>
      </c>
      <c r="U67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78" s="37" t="str">
        <f>IF(Table5[[#This Row],[Tour Starting Date]]&lt;&gt;"", TEXT(Table5[[#This Row],[Tour Starting Date]], "mmmm"), "")</f>
        <v/>
      </c>
      <c r="W678" s="80" t="str" cm="1">
        <f t="array" ref="W678">IF(Q678&lt;&gt;"", INDEX(CI:CI, MATCH(1, (Q678&gt;=CG:CG)*(Q678&lt;=CH:CH), 0)), "")</f>
        <v/>
      </c>
      <c r="X678" s="39"/>
      <c r="Y678" s="74"/>
      <c r="Z678" s="74" t="str">
        <f>IF(OR(Table5[[#This Row],[Per Person Package Cost]]="", Table5[[#This Row],[No. of Pax]]=""), "", Table5[[#This Row],[Per Person Package Cost]] * Table5[[#This Row],[No. of Pax]])</f>
        <v/>
      </c>
      <c r="AA678" s="52"/>
      <c r="AB678" s="52"/>
      <c r="AC678" s="52"/>
      <c r="AD678" s="52"/>
      <c r="AE678" s="51" t="str">
        <f t="shared" si="65"/>
        <v/>
      </c>
      <c r="AF678" s="51" t="str">
        <f t="shared" si="66"/>
        <v/>
      </c>
      <c r="AG678" s="74" t="str">
        <f t="shared" si="67"/>
        <v/>
      </c>
      <c r="AH678" s="73" t="str">
        <f t="shared" si="68"/>
        <v/>
      </c>
      <c r="AI678" s="52"/>
      <c r="AJ678" s="56"/>
      <c r="AK678" s="59"/>
      <c r="AL678" s="60"/>
      <c r="AM678" s="54"/>
      <c r="AN678" s="64"/>
      <c r="AO678" s="26"/>
      <c r="AP678" s="93"/>
      <c r="AQ678" s="87"/>
      <c r="AR678" s="26"/>
      <c r="AS678" s="65"/>
      <c r="AT678" s="88"/>
      <c r="AU678" s="67"/>
      <c r="DA678" t="str" cm="1">
        <f t="array" ref="DA678">IF(U678&lt;&gt;"", TRANSPOSE(_xlfn._xlws.FILTER(CZ:CZ, CY:CY=U678, "")), "")</f>
        <v/>
      </c>
    </row>
    <row r="679" spans="2:105" ht="15" customHeight="1">
      <c r="B679" s="34">
        <v>675</v>
      </c>
      <c r="C679" s="36" t="s">
        <v>2544</v>
      </c>
      <c r="D679" s="76"/>
      <c r="E679" s="37" t="str">
        <f>IF(Table5[[#This Row],[Query Date]]&lt;&gt;"", TEXT(Table5[[#This Row],[Query Date]], "dddd"), "")</f>
        <v/>
      </c>
      <c r="F679" s="37" t="str">
        <f>IF(Table5[[#This Row],[Query Date]]&lt;&gt;"", TEXT(Table5[[#This Row],[Query Date]], "mmmm"), "")</f>
        <v/>
      </c>
      <c r="G679" s="28"/>
      <c r="H679" s="28"/>
      <c r="I679" s="28"/>
      <c r="J679" s="28"/>
      <c r="K679" s="28"/>
      <c r="L679" s="25"/>
      <c r="M679" s="25"/>
      <c r="N679" s="25"/>
      <c r="O679" s="130"/>
      <c r="P679" s="47"/>
      <c r="Q679" s="77"/>
      <c r="R679" s="77" t="str">
        <f>IF(Table5[[#This Row],[Tour Starting Date]]&lt;&gt;"", TEXT(Table5[[#This Row],[Tour Starting Date]], "dddd"), "")</f>
        <v/>
      </c>
      <c r="S679" s="77"/>
      <c r="T679" s="25" t="str">
        <f>IF(Table5[[#This Row],[Tour Ending Date]]&lt;&gt;"", TEXT(Table5[[#This Row],[Tour Ending Date]], "dddd"), "")</f>
        <v/>
      </c>
      <c r="U67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79" s="37" t="str">
        <f>IF(Table5[[#This Row],[Tour Starting Date]]&lt;&gt;"", TEXT(Table5[[#This Row],[Tour Starting Date]], "mmmm"), "")</f>
        <v/>
      </c>
      <c r="W679" s="80" t="str" cm="1">
        <f t="array" ref="W679">IF(Q679&lt;&gt;"", INDEX(CI:CI, MATCH(1, (Q679&gt;=CG:CG)*(Q679&lt;=CH:CH), 0)), "")</f>
        <v/>
      </c>
      <c r="X679" s="39"/>
      <c r="Y679" s="74"/>
      <c r="Z679" s="74" t="str">
        <f>IF(OR(Table5[[#This Row],[Per Person Package Cost]]="", Table5[[#This Row],[No. of Pax]]=""), "", Table5[[#This Row],[Per Person Package Cost]] * Table5[[#This Row],[No. of Pax]])</f>
        <v/>
      </c>
      <c r="AA679" s="52"/>
      <c r="AB679" s="52"/>
      <c r="AC679" s="52"/>
      <c r="AD679" s="52"/>
      <c r="AE679" s="51" t="str">
        <f t="shared" si="65"/>
        <v/>
      </c>
      <c r="AF679" s="51" t="str">
        <f t="shared" si="66"/>
        <v/>
      </c>
      <c r="AG679" s="74" t="str">
        <f t="shared" si="67"/>
        <v/>
      </c>
      <c r="AH679" s="73" t="str">
        <f t="shared" si="68"/>
        <v/>
      </c>
      <c r="AI679" s="52"/>
      <c r="AJ679" s="56"/>
      <c r="AK679" s="59"/>
      <c r="AL679" s="60"/>
      <c r="AM679" s="54"/>
      <c r="AN679" s="64"/>
      <c r="AO679" s="26"/>
      <c r="AP679" s="93"/>
      <c r="AQ679" s="87"/>
      <c r="AR679" s="26"/>
      <c r="AS679" s="65"/>
      <c r="AT679" s="88"/>
      <c r="AU679" s="67"/>
      <c r="DA679" t="str" cm="1">
        <f t="array" ref="DA679">IF(U679&lt;&gt;"", TRANSPOSE(_xlfn._xlws.FILTER(CZ:CZ, CY:CY=U679, "")), "")</f>
        <v/>
      </c>
    </row>
    <row r="680" spans="2:105" ht="15" customHeight="1">
      <c r="B680" s="35">
        <v>676</v>
      </c>
      <c r="C680" s="36" t="s">
        <v>2545</v>
      </c>
      <c r="D680" s="76"/>
      <c r="E680" s="37" t="str">
        <f>IF(Table5[[#This Row],[Query Date]]&lt;&gt;"", TEXT(Table5[[#This Row],[Query Date]], "dddd"), "")</f>
        <v/>
      </c>
      <c r="F680" s="37" t="str">
        <f>IF(Table5[[#This Row],[Query Date]]&lt;&gt;"", TEXT(Table5[[#This Row],[Query Date]], "mmmm"), "")</f>
        <v/>
      </c>
      <c r="G680" s="28"/>
      <c r="H680" s="28"/>
      <c r="I680" s="28"/>
      <c r="J680" s="28"/>
      <c r="K680" s="28"/>
      <c r="L680" s="25"/>
      <c r="M680" s="25"/>
      <c r="N680" s="25"/>
      <c r="O680" s="130"/>
      <c r="P680" s="47"/>
      <c r="Q680" s="77"/>
      <c r="R680" s="77" t="str">
        <f>IF(Table5[[#This Row],[Tour Starting Date]]&lt;&gt;"", TEXT(Table5[[#This Row],[Tour Starting Date]], "dddd"), "")</f>
        <v/>
      </c>
      <c r="S680" s="77"/>
      <c r="T680" s="25" t="str">
        <f>IF(Table5[[#This Row],[Tour Ending Date]]&lt;&gt;"", TEXT(Table5[[#This Row],[Tour Ending Date]], "dddd"), "")</f>
        <v/>
      </c>
      <c r="U68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80" s="37" t="str">
        <f>IF(Table5[[#This Row],[Tour Starting Date]]&lt;&gt;"", TEXT(Table5[[#This Row],[Tour Starting Date]], "mmmm"), "")</f>
        <v/>
      </c>
      <c r="W680" s="80" t="str" cm="1">
        <f t="array" ref="W680">IF(Q680&lt;&gt;"", INDEX(CI:CI, MATCH(1, (Q680&gt;=CG:CG)*(Q680&lt;=CH:CH), 0)), "")</f>
        <v/>
      </c>
      <c r="X680" s="39"/>
      <c r="Y680" s="74"/>
      <c r="Z680" s="74" t="str">
        <f>IF(OR(Table5[[#This Row],[Per Person Package Cost]]="", Table5[[#This Row],[No. of Pax]]=""), "", Table5[[#This Row],[Per Person Package Cost]] * Table5[[#This Row],[No. of Pax]])</f>
        <v/>
      </c>
      <c r="AA680" s="52"/>
      <c r="AB680" s="52"/>
      <c r="AC680" s="52"/>
      <c r="AD680" s="52"/>
      <c r="AE680" s="51" t="str">
        <f t="shared" si="65"/>
        <v/>
      </c>
      <c r="AF680" s="51" t="str">
        <f t="shared" si="66"/>
        <v/>
      </c>
      <c r="AG680" s="74" t="str">
        <f t="shared" si="67"/>
        <v/>
      </c>
      <c r="AH680" s="73" t="str">
        <f t="shared" si="68"/>
        <v/>
      </c>
      <c r="AI680" s="52"/>
      <c r="AJ680" s="56"/>
      <c r="AK680" s="59"/>
      <c r="AL680" s="60"/>
      <c r="AM680" s="54"/>
      <c r="AN680" s="64"/>
      <c r="AO680" s="26"/>
      <c r="AP680" s="93"/>
      <c r="AQ680" s="87"/>
      <c r="AR680" s="26"/>
      <c r="AS680" s="65"/>
      <c r="AT680" s="88"/>
      <c r="AU680" s="67"/>
      <c r="DA680" t="str" cm="1">
        <f t="array" ref="DA680">IF(U680&lt;&gt;"", TRANSPOSE(_xlfn._xlws.FILTER(CZ:CZ, CY:CY=U680, "")), "")</f>
        <v/>
      </c>
    </row>
    <row r="681" spans="2:105" ht="15" customHeight="1">
      <c r="B681" s="34">
        <v>677</v>
      </c>
      <c r="C681" s="36" t="s">
        <v>2546</v>
      </c>
      <c r="D681" s="76"/>
      <c r="E681" s="37" t="str">
        <f>IF(Table5[[#This Row],[Query Date]]&lt;&gt;"", TEXT(Table5[[#This Row],[Query Date]], "dddd"), "")</f>
        <v/>
      </c>
      <c r="F681" s="37" t="str">
        <f>IF(Table5[[#This Row],[Query Date]]&lt;&gt;"", TEXT(Table5[[#This Row],[Query Date]], "mmmm"), "")</f>
        <v/>
      </c>
      <c r="G681" s="28"/>
      <c r="H681" s="28"/>
      <c r="I681" s="28"/>
      <c r="J681" s="28"/>
      <c r="K681" s="28"/>
      <c r="L681" s="25"/>
      <c r="M681" s="25"/>
      <c r="N681" s="25"/>
      <c r="O681" s="130"/>
      <c r="P681" s="47"/>
      <c r="Q681" s="77"/>
      <c r="R681" s="77" t="str">
        <f>IF(Table5[[#This Row],[Tour Starting Date]]&lt;&gt;"", TEXT(Table5[[#This Row],[Tour Starting Date]], "dddd"), "")</f>
        <v/>
      </c>
      <c r="S681" s="77"/>
      <c r="T681" s="25" t="str">
        <f>IF(Table5[[#This Row],[Tour Ending Date]]&lt;&gt;"", TEXT(Table5[[#This Row],[Tour Ending Date]], "dddd"), "")</f>
        <v/>
      </c>
      <c r="U68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81" s="37" t="str">
        <f>IF(Table5[[#This Row],[Tour Starting Date]]&lt;&gt;"", TEXT(Table5[[#This Row],[Tour Starting Date]], "mmmm"), "")</f>
        <v/>
      </c>
      <c r="W681" s="80" t="str" cm="1">
        <f t="array" ref="W681">IF(Q681&lt;&gt;"", INDEX(CI:CI, MATCH(1, (Q681&gt;=CG:CG)*(Q681&lt;=CH:CH), 0)), "")</f>
        <v/>
      </c>
      <c r="X681" s="39"/>
      <c r="Y681" s="74"/>
      <c r="Z681" s="74" t="str">
        <f>IF(OR(Table5[[#This Row],[Per Person Package Cost]]="", Table5[[#This Row],[No. of Pax]]=""), "", Table5[[#This Row],[Per Person Package Cost]] * Table5[[#This Row],[No. of Pax]])</f>
        <v/>
      </c>
      <c r="AA681" s="52"/>
      <c r="AB681" s="52"/>
      <c r="AC681" s="52"/>
      <c r="AD681" s="52"/>
      <c r="AE681" s="51" t="str">
        <f t="shared" si="65"/>
        <v/>
      </c>
      <c r="AF681" s="51" t="str">
        <f t="shared" si="66"/>
        <v/>
      </c>
      <c r="AG681" s="74" t="str">
        <f t="shared" si="67"/>
        <v/>
      </c>
      <c r="AH681" s="73" t="str">
        <f t="shared" si="68"/>
        <v/>
      </c>
      <c r="AI681" s="52"/>
      <c r="AJ681" s="56"/>
      <c r="AK681" s="59"/>
      <c r="AL681" s="60"/>
      <c r="AM681" s="54"/>
      <c r="AN681" s="64"/>
      <c r="AO681" s="26"/>
      <c r="AP681" s="93"/>
      <c r="AQ681" s="87"/>
      <c r="AR681" s="26"/>
      <c r="AS681" s="65"/>
      <c r="AT681" s="88"/>
      <c r="AU681" s="67"/>
      <c r="DA681" t="str" cm="1">
        <f t="array" ref="DA681">IF(U681&lt;&gt;"", TRANSPOSE(_xlfn._xlws.FILTER(CZ:CZ, CY:CY=U681, "")), "")</f>
        <v/>
      </c>
    </row>
    <row r="682" spans="2:105" ht="15" customHeight="1">
      <c r="B682" s="35">
        <v>678</v>
      </c>
      <c r="C682" s="36" t="s">
        <v>2547</v>
      </c>
      <c r="D682" s="76"/>
      <c r="E682" s="37" t="str">
        <f>IF(Table5[[#This Row],[Query Date]]&lt;&gt;"", TEXT(Table5[[#This Row],[Query Date]], "dddd"), "")</f>
        <v/>
      </c>
      <c r="F682" s="37" t="str">
        <f>IF(Table5[[#This Row],[Query Date]]&lt;&gt;"", TEXT(Table5[[#This Row],[Query Date]], "mmmm"), "")</f>
        <v/>
      </c>
      <c r="G682" s="28"/>
      <c r="H682" s="28"/>
      <c r="I682" s="28"/>
      <c r="J682" s="28"/>
      <c r="K682" s="28"/>
      <c r="L682" s="25"/>
      <c r="M682" s="25"/>
      <c r="N682" s="25"/>
      <c r="O682" s="130"/>
      <c r="P682" s="47"/>
      <c r="Q682" s="77"/>
      <c r="R682" s="77" t="str">
        <f>IF(Table5[[#This Row],[Tour Starting Date]]&lt;&gt;"", TEXT(Table5[[#This Row],[Tour Starting Date]], "dddd"), "")</f>
        <v/>
      </c>
      <c r="S682" s="77"/>
      <c r="T682" s="25" t="str">
        <f>IF(Table5[[#This Row],[Tour Ending Date]]&lt;&gt;"", TEXT(Table5[[#This Row],[Tour Ending Date]], "dddd"), "")</f>
        <v/>
      </c>
      <c r="U68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82" s="37" t="str">
        <f>IF(Table5[[#This Row],[Tour Starting Date]]&lt;&gt;"", TEXT(Table5[[#This Row],[Tour Starting Date]], "mmmm"), "")</f>
        <v/>
      </c>
      <c r="W682" s="80" t="str" cm="1">
        <f t="array" ref="W682">IF(Q682&lt;&gt;"", INDEX(CI:CI, MATCH(1, (Q682&gt;=CG:CG)*(Q682&lt;=CH:CH), 0)), "")</f>
        <v/>
      </c>
      <c r="X682" s="39"/>
      <c r="Y682" s="74"/>
      <c r="Z682" s="74" t="str">
        <f>IF(OR(Table5[[#This Row],[Per Person Package Cost]]="", Table5[[#This Row],[No. of Pax]]=""), "", Table5[[#This Row],[Per Person Package Cost]] * Table5[[#This Row],[No. of Pax]])</f>
        <v/>
      </c>
      <c r="AA682" s="52"/>
      <c r="AB682" s="52"/>
      <c r="AC682" s="52"/>
      <c r="AD682" s="52"/>
      <c r="AE682" s="51" t="str">
        <f t="shared" si="65"/>
        <v/>
      </c>
      <c r="AF682" s="51" t="str">
        <f t="shared" si="66"/>
        <v/>
      </c>
      <c r="AG682" s="74" t="str">
        <f t="shared" si="67"/>
        <v/>
      </c>
      <c r="AH682" s="73" t="str">
        <f t="shared" si="68"/>
        <v/>
      </c>
      <c r="AI682" s="52"/>
      <c r="AJ682" s="56"/>
      <c r="AK682" s="59"/>
      <c r="AL682" s="60"/>
      <c r="AM682" s="54"/>
      <c r="AN682" s="64"/>
      <c r="AO682" s="26"/>
      <c r="AP682" s="93"/>
      <c r="AQ682" s="87"/>
      <c r="AR682" s="26"/>
      <c r="AS682" s="65"/>
      <c r="AT682" s="88"/>
      <c r="AU682" s="67"/>
      <c r="DA682" t="str" cm="1">
        <f t="array" ref="DA682">IF(U682&lt;&gt;"", TRANSPOSE(_xlfn._xlws.FILTER(CZ:CZ, CY:CY=U682, "")), "")</f>
        <v/>
      </c>
    </row>
    <row r="683" spans="2:105" ht="15" customHeight="1">
      <c r="B683" s="34">
        <v>679</v>
      </c>
      <c r="C683" s="36" t="s">
        <v>2548</v>
      </c>
      <c r="D683" s="76"/>
      <c r="E683" s="37" t="str">
        <f>IF(Table5[[#This Row],[Query Date]]&lt;&gt;"", TEXT(Table5[[#This Row],[Query Date]], "dddd"), "")</f>
        <v/>
      </c>
      <c r="F683" s="37" t="str">
        <f>IF(Table5[[#This Row],[Query Date]]&lt;&gt;"", TEXT(Table5[[#This Row],[Query Date]], "mmmm"), "")</f>
        <v/>
      </c>
      <c r="G683" s="28"/>
      <c r="H683" s="28"/>
      <c r="I683" s="28"/>
      <c r="J683" s="28"/>
      <c r="K683" s="28"/>
      <c r="L683" s="25"/>
      <c r="M683" s="25"/>
      <c r="N683" s="25"/>
      <c r="O683" s="130"/>
      <c r="P683" s="47"/>
      <c r="Q683" s="77"/>
      <c r="R683" s="77" t="str">
        <f>IF(Table5[[#This Row],[Tour Starting Date]]&lt;&gt;"", TEXT(Table5[[#This Row],[Tour Starting Date]], "dddd"), "")</f>
        <v/>
      </c>
      <c r="S683" s="77"/>
      <c r="T683" s="25" t="str">
        <f>IF(Table5[[#This Row],[Tour Ending Date]]&lt;&gt;"", TEXT(Table5[[#This Row],[Tour Ending Date]], "dddd"), "")</f>
        <v/>
      </c>
      <c r="U68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83" s="37" t="str">
        <f>IF(Table5[[#This Row],[Tour Starting Date]]&lt;&gt;"", TEXT(Table5[[#This Row],[Tour Starting Date]], "mmmm"), "")</f>
        <v/>
      </c>
      <c r="W683" s="80" t="str" cm="1">
        <f t="array" ref="W683">IF(Q683&lt;&gt;"", INDEX(CI:CI, MATCH(1, (Q683&gt;=CG:CG)*(Q683&lt;=CH:CH), 0)), "")</f>
        <v/>
      </c>
      <c r="X683" s="39"/>
      <c r="Y683" s="74"/>
      <c r="Z683" s="74" t="str">
        <f>IF(OR(Table5[[#This Row],[Per Person Package Cost]]="", Table5[[#This Row],[No. of Pax]]=""), "", Table5[[#This Row],[Per Person Package Cost]] * Table5[[#This Row],[No. of Pax]])</f>
        <v/>
      </c>
      <c r="AA683" s="52"/>
      <c r="AB683" s="52"/>
      <c r="AC683" s="52"/>
      <c r="AD683" s="52"/>
      <c r="AE683" s="51" t="str">
        <f t="shared" si="65"/>
        <v/>
      </c>
      <c r="AF683" s="51" t="str">
        <f t="shared" si="66"/>
        <v/>
      </c>
      <c r="AG683" s="74" t="str">
        <f t="shared" si="67"/>
        <v/>
      </c>
      <c r="AH683" s="73" t="str">
        <f t="shared" si="68"/>
        <v/>
      </c>
      <c r="AI683" s="52"/>
      <c r="AJ683" s="56"/>
      <c r="AK683" s="59"/>
      <c r="AL683" s="60"/>
      <c r="AM683" s="54"/>
      <c r="AN683" s="64"/>
      <c r="AO683" s="26"/>
      <c r="AP683" s="93"/>
      <c r="AQ683" s="87"/>
      <c r="AR683" s="26"/>
      <c r="AS683" s="65"/>
      <c r="AT683" s="88"/>
      <c r="AU683" s="67"/>
      <c r="DA683" t="str" cm="1">
        <f t="array" ref="DA683">IF(U683&lt;&gt;"", TRANSPOSE(_xlfn._xlws.FILTER(CZ:CZ, CY:CY=U683, "")), "")</f>
        <v/>
      </c>
    </row>
    <row r="684" spans="2:105" ht="15" customHeight="1">
      <c r="B684" s="35">
        <v>680</v>
      </c>
      <c r="C684" s="36" t="s">
        <v>2549</v>
      </c>
      <c r="D684" s="76"/>
      <c r="E684" s="37" t="str">
        <f>IF(Table5[[#This Row],[Query Date]]&lt;&gt;"", TEXT(Table5[[#This Row],[Query Date]], "dddd"), "")</f>
        <v/>
      </c>
      <c r="F684" s="37" t="str">
        <f>IF(Table5[[#This Row],[Query Date]]&lt;&gt;"", TEXT(Table5[[#This Row],[Query Date]], "mmmm"), "")</f>
        <v/>
      </c>
      <c r="G684" s="28"/>
      <c r="H684" s="28"/>
      <c r="I684" s="28"/>
      <c r="J684" s="28"/>
      <c r="K684" s="28"/>
      <c r="L684" s="25"/>
      <c r="M684" s="25"/>
      <c r="N684" s="25"/>
      <c r="O684" s="130"/>
      <c r="P684" s="47"/>
      <c r="Q684" s="77"/>
      <c r="R684" s="77" t="str">
        <f>IF(Table5[[#This Row],[Tour Starting Date]]&lt;&gt;"", TEXT(Table5[[#This Row],[Tour Starting Date]], "dddd"), "")</f>
        <v/>
      </c>
      <c r="S684" s="77"/>
      <c r="T684" s="25" t="str">
        <f>IF(Table5[[#This Row],[Tour Ending Date]]&lt;&gt;"", TEXT(Table5[[#This Row],[Tour Ending Date]], "dddd"), "")</f>
        <v/>
      </c>
      <c r="U68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84" s="37" t="str">
        <f>IF(Table5[[#This Row],[Tour Starting Date]]&lt;&gt;"", TEXT(Table5[[#This Row],[Tour Starting Date]], "mmmm"), "")</f>
        <v/>
      </c>
      <c r="W684" s="80" t="str" cm="1">
        <f t="array" ref="W684">IF(Q684&lt;&gt;"", INDEX(CI:CI, MATCH(1, (Q684&gt;=CG:CG)*(Q684&lt;=CH:CH), 0)), "")</f>
        <v/>
      </c>
      <c r="X684" s="39"/>
      <c r="Y684" s="74"/>
      <c r="Z684" s="74" t="str">
        <f>IF(OR(Table5[[#This Row],[Per Person Package Cost]]="", Table5[[#This Row],[No. of Pax]]=""), "", Table5[[#This Row],[Per Person Package Cost]] * Table5[[#This Row],[No. of Pax]])</f>
        <v/>
      </c>
      <c r="AA684" s="52"/>
      <c r="AB684" s="52"/>
      <c r="AC684" s="52"/>
      <c r="AD684" s="52"/>
      <c r="AE684" s="51" t="str">
        <f t="shared" si="65"/>
        <v/>
      </c>
      <c r="AF684" s="51" t="str">
        <f t="shared" si="66"/>
        <v/>
      </c>
      <c r="AG684" s="74" t="str">
        <f t="shared" si="67"/>
        <v/>
      </c>
      <c r="AH684" s="73" t="str">
        <f t="shared" si="68"/>
        <v/>
      </c>
      <c r="AI684" s="52"/>
      <c r="AJ684" s="56"/>
      <c r="AK684" s="59"/>
      <c r="AL684" s="60"/>
      <c r="AM684" s="54"/>
      <c r="AN684" s="64"/>
      <c r="AO684" s="26"/>
      <c r="AP684" s="93"/>
      <c r="AQ684" s="87"/>
      <c r="AR684" s="26"/>
      <c r="AS684" s="65"/>
      <c r="AT684" s="88"/>
      <c r="AU684" s="67"/>
      <c r="DA684" t="str" cm="1">
        <f t="array" ref="DA684">IF(U684&lt;&gt;"", TRANSPOSE(_xlfn._xlws.FILTER(CZ:CZ, CY:CY=U684, "")), "")</f>
        <v/>
      </c>
    </row>
    <row r="685" spans="2:105" ht="15" customHeight="1">
      <c r="B685" s="34">
        <v>681</v>
      </c>
      <c r="C685" s="36" t="s">
        <v>2550</v>
      </c>
      <c r="D685" s="76"/>
      <c r="E685" s="37" t="str">
        <f>IF(Table5[[#This Row],[Query Date]]&lt;&gt;"", TEXT(Table5[[#This Row],[Query Date]], "dddd"), "")</f>
        <v/>
      </c>
      <c r="F685" s="37" t="str">
        <f>IF(Table5[[#This Row],[Query Date]]&lt;&gt;"", TEXT(Table5[[#This Row],[Query Date]], "mmmm"), "")</f>
        <v/>
      </c>
      <c r="G685" s="28"/>
      <c r="H685" s="28"/>
      <c r="I685" s="28"/>
      <c r="J685" s="28"/>
      <c r="K685" s="28"/>
      <c r="L685" s="25"/>
      <c r="M685" s="25"/>
      <c r="N685" s="25"/>
      <c r="O685" s="130"/>
      <c r="P685" s="47"/>
      <c r="Q685" s="77"/>
      <c r="R685" s="77" t="str">
        <f>IF(Table5[[#This Row],[Tour Starting Date]]&lt;&gt;"", TEXT(Table5[[#This Row],[Tour Starting Date]], "dddd"), "")</f>
        <v/>
      </c>
      <c r="S685" s="77"/>
      <c r="T685" s="25" t="str">
        <f>IF(Table5[[#This Row],[Tour Ending Date]]&lt;&gt;"", TEXT(Table5[[#This Row],[Tour Ending Date]], "dddd"), "")</f>
        <v/>
      </c>
      <c r="U68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85" s="37" t="str">
        <f>IF(Table5[[#This Row],[Tour Starting Date]]&lt;&gt;"", TEXT(Table5[[#This Row],[Tour Starting Date]], "mmmm"), "")</f>
        <v/>
      </c>
      <c r="W685" s="80" t="str" cm="1">
        <f t="array" ref="W685">IF(Q685&lt;&gt;"", INDEX(CI:CI, MATCH(1, (Q685&gt;=CG:CG)*(Q685&lt;=CH:CH), 0)), "")</f>
        <v/>
      </c>
      <c r="X685" s="39"/>
      <c r="Y685" s="74"/>
      <c r="Z685" s="74" t="str">
        <f>IF(OR(Table5[[#This Row],[Per Person Package Cost]]="", Table5[[#This Row],[No. of Pax]]=""), "", Table5[[#This Row],[Per Person Package Cost]] * Table5[[#This Row],[No. of Pax]])</f>
        <v/>
      </c>
      <c r="AA685" s="52"/>
      <c r="AB685" s="52"/>
      <c r="AC685" s="52"/>
      <c r="AD685" s="52"/>
      <c r="AE685" s="51" t="str">
        <f t="shared" si="65"/>
        <v/>
      </c>
      <c r="AF685" s="51" t="str">
        <f t="shared" si="66"/>
        <v/>
      </c>
      <c r="AG685" s="74" t="str">
        <f t="shared" si="67"/>
        <v/>
      </c>
      <c r="AH685" s="73" t="str">
        <f t="shared" si="68"/>
        <v/>
      </c>
      <c r="AI685" s="52"/>
      <c r="AJ685" s="56"/>
      <c r="AK685" s="59"/>
      <c r="AL685" s="60"/>
      <c r="AM685" s="54"/>
      <c r="AN685" s="64"/>
      <c r="AO685" s="26"/>
      <c r="AP685" s="93"/>
      <c r="AQ685" s="87"/>
      <c r="AR685" s="26"/>
      <c r="AS685" s="65"/>
      <c r="AT685" s="88"/>
      <c r="AU685" s="67"/>
      <c r="DA685" t="str" cm="1">
        <f t="array" ref="DA685">IF(U685&lt;&gt;"", TRANSPOSE(_xlfn._xlws.FILTER(CZ:CZ, CY:CY=U685, "")), "")</f>
        <v/>
      </c>
    </row>
    <row r="686" spans="2:105" ht="15" customHeight="1">
      <c r="B686" s="35">
        <v>682</v>
      </c>
      <c r="C686" s="36" t="s">
        <v>2551</v>
      </c>
      <c r="D686" s="76"/>
      <c r="E686" s="37" t="str">
        <f>IF(Table5[[#This Row],[Query Date]]&lt;&gt;"", TEXT(Table5[[#This Row],[Query Date]], "dddd"), "")</f>
        <v/>
      </c>
      <c r="F686" s="37" t="str">
        <f>IF(Table5[[#This Row],[Query Date]]&lt;&gt;"", TEXT(Table5[[#This Row],[Query Date]], "mmmm"), "")</f>
        <v/>
      </c>
      <c r="G686" s="28"/>
      <c r="H686" s="28"/>
      <c r="I686" s="28"/>
      <c r="J686" s="28"/>
      <c r="K686" s="28"/>
      <c r="L686" s="25"/>
      <c r="M686" s="25"/>
      <c r="N686" s="25"/>
      <c r="O686" s="130"/>
      <c r="P686" s="47"/>
      <c r="Q686" s="77"/>
      <c r="R686" s="77" t="str">
        <f>IF(Table5[[#This Row],[Tour Starting Date]]&lt;&gt;"", TEXT(Table5[[#This Row],[Tour Starting Date]], "dddd"), "")</f>
        <v/>
      </c>
      <c r="S686" s="77"/>
      <c r="T686" s="25" t="str">
        <f>IF(Table5[[#This Row],[Tour Ending Date]]&lt;&gt;"", TEXT(Table5[[#This Row],[Tour Ending Date]], "dddd"), "")</f>
        <v/>
      </c>
      <c r="U68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86" s="37" t="str">
        <f>IF(Table5[[#This Row],[Tour Starting Date]]&lt;&gt;"", TEXT(Table5[[#This Row],[Tour Starting Date]], "mmmm"), "")</f>
        <v/>
      </c>
      <c r="W686" s="80" t="str" cm="1">
        <f t="array" ref="W686">IF(Q686&lt;&gt;"", INDEX(CI:CI, MATCH(1, (Q686&gt;=CG:CG)*(Q686&lt;=CH:CH), 0)), "")</f>
        <v/>
      </c>
      <c r="X686" s="39"/>
      <c r="Y686" s="74"/>
      <c r="Z686" s="74" t="str">
        <f>IF(OR(Table5[[#This Row],[Per Person Package Cost]]="", Table5[[#This Row],[No. of Pax]]=""), "", Table5[[#This Row],[Per Person Package Cost]] * Table5[[#This Row],[No. of Pax]])</f>
        <v/>
      </c>
      <c r="AA686" s="52"/>
      <c r="AB686" s="52"/>
      <c r="AC686" s="52"/>
      <c r="AD686" s="52"/>
      <c r="AE686" s="51" t="str">
        <f t="shared" si="65"/>
        <v/>
      </c>
      <c r="AF686" s="51" t="str">
        <f t="shared" si="66"/>
        <v/>
      </c>
      <c r="AG686" s="74" t="str">
        <f t="shared" si="67"/>
        <v/>
      </c>
      <c r="AH686" s="73" t="str">
        <f t="shared" si="68"/>
        <v/>
      </c>
      <c r="AI686" s="52"/>
      <c r="AJ686" s="56"/>
      <c r="AK686" s="59"/>
      <c r="AL686" s="60"/>
      <c r="AM686" s="54"/>
      <c r="AN686" s="64"/>
      <c r="AO686" s="26"/>
      <c r="AP686" s="93"/>
      <c r="AQ686" s="87"/>
      <c r="AR686" s="26"/>
      <c r="AS686" s="65"/>
      <c r="AT686" s="88"/>
      <c r="AU686" s="67"/>
      <c r="DA686" t="str" cm="1">
        <f t="array" ref="DA686">IF(U686&lt;&gt;"", TRANSPOSE(_xlfn._xlws.FILTER(CZ:CZ, CY:CY=U686, "")), "")</f>
        <v/>
      </c>
    </row>
    <row r="687" spans="2:105" ht="15" customHeight="1">
      <c r="B687" s="34">
        <v>683</v>
      </c>
      <c r="C687" s="36" t="s">
        <v>2552</v>
      </c>
      <c r="D687" s="76"/>
      <c r="E687" s="37" t="str">
        <f>IF(Table5[[#This Row],[Query Date]]&lt;&gt;"", TEXT(Table5[[#This Row],[Query Date]], "dddd"), "")</f>
        <v/>
      </c>
      <c r="F687" s="37" t="str">
        <f>IF(Table5[[#This Row],[Query Date]]&lt;&gt;"", TEXT(Table5[[#This Row],[Query Date]], "mmmm"), "")</f>
        <v/>
      </c>
      <c r="G687" s="28"/>
      <c r="H687" s="28"/>
      <c r="I687" s="28"/>
      <c r="J687" s="28"/>
      <c r="K687" s="28"/>
      <c r="L687" s="25"/>
      <c r="M687" s="25"/>
      <c r="N687" s="25"/>
      <c r="O687" s="130"/>
      <c r="P687" s="47"/>
      <c r="Q687" s="77"/>
      <c r="R687" s="77" t="str">
        <f>IF(Table5[[#This Row],[Tour Starting Date]]&lt;&gt;"", TEXT(Table5[[#This Row],[Tour Starting Date]], "dddd"), "")</f>
        <v/>
      </c>
      <c r="S687" s="77"/>
      <c r="T687" s="25" t="str">
        <f>IF(Table5[[#This Row],[Tour Ending Date]]&lt;&gt;"", TEXT(Table5[[#This Row],[Tour Ending Date]], "dddd"), "")</f>
        <v/>
      </c>
      <c r="U68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87" s="37" t="str">
        <f>IF(Table5[[#This Row],[Tour Starting Date]]&lt;&gt;"", TEXT(Table5[[#This Row],[Tour Starting Date]], "mmmm"), "")</f>
        <v/>
      </c>
      <c r="W687" s="80" t="str" cm="1">
        <f t="array" ref="W687">IF(Q687&lt;&gt;"", INDEX(CI:CI, MATCH(1, (Q687&gt;=CG:CG)*(Q687&lt;=CH:CH), 0)), "")</f>
        <v/>
      </c>
      <c r="X687" s="39"/>
      <c r="Y687" s="74"/>
      <c r="Z687" s="74" t="str">
        <f>IF(OR(Table5[[#This Row],[Per Person Package Cost]]="", Table5[[#This Row],[No. of Pax]]=""), "", Table5[[#This Row],[Per Person Package Cost]] * Table5[[#This Row],[No. of Pax]])</f>
        <v/>
      </c>
      <c r="AA687" s="52"/>
      <c r="AB687" s="52"/>
      <c r="AC687" s="52"/>
      <c r="AD687" s="52"/>
      <c r="AE687" s="51" t="str">
        <f t="shared" si="65"/>
        <v/>
      </c>
      <c r="AF687" s="51" t="str">
        <f t="shared" si="66"/>
        <v/>
      </c>
      <c r="AG687" s="74" t="str">
        <f t="shared" si="67"/>
        <v/>
      </c>
      <c r="AH687" s="73" t="str">
        <f t="shared" si="68"/>
        <v/>
      </c>
      <c r="AI687" s="52"/>
      <c r="AJ687" s="56"/>
      <c r="AK687" s="59"/>
      <c r="AL687" s="60"/>
      <c r="AM687" s="54"/>
      <c r="AN687" s="64"/>
      <c r="AO687" s="26"/>
      <c r="AP687" s="93"/>
      <c r="AQ687" s="87"/>
      <c r="AR687" s="26"/>
      <c r="AS687" s="65"/>
      <c r="AT687" s="88"/>
      <c r="AU687" s="67"/>
      <c r="DA687" t="str" cm="1">
        <f t="array" ref="DA687">IF(U687&lt;&gt;"", TRANSPOSE(_xlfn._xlws.FILTER(CZ:CZ, CY:CY=U687, "")), "")</f>
        <v/>
      </c>
    </row>
    <row r="688" spans="2:105" ht="15" customHeight="1">
      <c r="B688" s="35">
        <v>684</v>
      </c>
      <c r="C688" s="36" t="s">
        <v>2553</v>
      </c>
      <c r="D688" s="76"/>
      <c r="E688" s="37" t="str">
        <f>IF(Table5[[#This Row],[Query Date]]&lt;&gt;"", TEXT(Table5[[#This Row],[Query Date]], "dddd"), "")</f>
        <v/>
      </c>
      <c r="F688" s="37" t="str">
        <f>IF(Table5[[#This Row],[Query Date]]&lt;&gt;"", TEXT(Table5[[#This Row],[Query Date]], "mmmm"), "")</f>
        <v/>
      </c>
      <c r="G688" s="28"/>
      <c r="H688" s="28"/>
      <c r="I688" s="28"/>
      <c r="J688" s="28"/>
      <c r="K688" s="28"/>
      <c r="L688" s="25"/>
      <c r="M688" s="25"/>
      <c r="N688" s="25"/>
      <c r="O688" s="130"/>
      <c r="P688" s="47"/>
      <c r="Q688" s="77"/>
      <c r="R688" s="77" t="str">
        <f>IF(Table5[[#This Row],[Tour Starting Date]]&lt;&gt;"", TEXT(Table5[[#This Row],[Tour Starting Date]], "dddd"), "")</f>
        <v/>
      </c>
      <c r="S688" s="77"/>
      <c r="T688" s="25" t="str">
        <f>IF(Table5[[#This Row],[Tour Ending Date]]&lt;&gt;"", TEXT(Table5[[#This Row],[Tour Ending Date]], "dddd"), "")</f>
        <v/>
      </c>
      <c r="U68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88" s="37" t="str">
        <f>IF(Table5[[#This Row],[Tour Starting Date]]&lt;&gt;"", TEXT(Table5[[#This Row],[Tour Starting Date]], "mmmm"), "")</f>
        <v/>
      </c>
      <c r="W688" s="80" t="str" cm="1">
        <f t="array" ref="W688">IF(Q688&lt;&gt;"", INDEX(CI:CI, MATCH(1, (Q688&gt;=CG:CG)*(Q688&lt;=CH:CH), 0)), "")</f>
        <v/>
      </c>
      <c r="X688" s="39"/>
      <c r="Y688" s="74"/>
      <c r="Z688" s="74" t="str">
        <f>IF(OR(Table5[[#This Row],[Per Person Package Cost]]="", Table5[[#This Row],[No. of Pax]]=""), "", Table5[[#This Row],[Per Person Package Cost]] * Table5[[#This Row],[No. of Pax]])</f>
        <v/>
      </c>
      <c r="AA688" s="52"/>
      <c r="AB688" s="52"/>
      <c r="AC688" s="52"/>
      <c r="AD688" s="52"/>
      <c r="AE688" s="51" t="str">
        <f t="shared" si="65"/>
        <v/>
      </c>
      <c r="AF688" s="51" t="str">
        <f t="shared" si="66"/>
        <v/>
      </c>
      <c r="AG688" s="74" t="str">
        <f t="shared" si="67"/>
        <v/>
      </c>
      <c r="AH688" s="73" t="str">
        <f t="shared" si="68"/>
        <v/>
      </c>
      <c r="AI688" s="52"/>
      <c r="AJ688" s="56"/>
      <c r="AK688" s="59"/>
      <c r="AL688" s="60"/>
      <c r="AM688" s="54"/>
      <c r="AN688" s="64"/>
      <c r="AO688" s="26"/>
      <c r="AP688" s="93"/>
      <c r="AQ688" s="87"/>
      <c r="AR688" s="26"/>
      <c r="AS688" s="65"/>
      <c r="AT688" s="88"/>
      <c r="AU688" s="67"/>
      <c r="DA688" t="str" cm="1">
        <f t="array" ref="DA688">IF(U688&lt;&gt;"", TRANSPOSE(_xlfn._xlws.FILTER(CZ:CZ, CY:CY=U688, "")), "")</f>
        <v/>
      </c>
    </row>
    <row r="689" spans="2:105" ht="15" customHeight="1">
      <c r="B689" s="34">
        <v>685</v>
      </c>
      <c r="C689" s="36" t="s">
        <v>2554</v>
      </c>
      <c r="D689" s="76"/>
      <c r="E689" s="37" t="str">
        <f>IF(Table5[[#This Row],[Query Date]]&lt;&gt;"", TEXT(Table5[[#This Row],[Query Date]], "dddd"), "")</f>
        <v/>
      </c>
      <c r="F689" s="37" t="str">
        <f>IF(Table5[[#This Row],[Query Date]]&lt;&gt;"", TEXT(Table5[[#This Row],[Query Date]], "mmmm"), "")</f>
        <v/>
      </c>
      <c r="G689" s="28"/>
      <c r="H689" s="28"/>
      <c r="I689" s="28"/>
      <c r="J689" s="28"/>
      <c r="K689" s="28"/>
      <c r="L689" s="25"/>
      <c r="M689" s="25"/>
      <c r="N689" s="25"/>
      <c r="O689" s="130"/>
      <c r="P689" s="47"/>
      <c r="Q689" s="77"/>
      <c r="R689" s="77" t="str">
        <f>IF(Table5[[#This Row],[Tour Starting Date]]&lt;&gt;"", TEXT(Table5[[#This Row],[Tour Starting Date]], "dddd"), "")</f>
        <v/>
      </c>
      <c r="S689" s="77"/>
      <c r="T689" s="25" t="str">
        <f>IF(Table5[[#This Row],[Tour Ending Date]]&lt;&gt;"", TEXT(Table5[[#This Row],[Tour Ending Date]], "dddd"), "")</f>
        <v/>
      </c>
      <c r="U68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89" s="37" t="str">
        <f>IF(Table5[[#This Row],[Tour Starting Date]]&lt;&gt;"", TEXT(Table5[[#This Row],[Tour Starting Date]], "mmmm"), "")</f>
        <v/>
      </c>
      <c r="W689" s="80" t="str" cm="1">
        <f t="array" ref="W689">IF(Q689&lt;&gt;"", INDEX(CI:CI, MATCH(1, (Q689&gt;=CG:CG)*(Q689&lt;=CH:CH), 0)), "")</f>
        <v/>
      </c>
      <c r="X689" s="39"/>
      <c r="Y689" s="74"/>
      <c r="Z689" s="74" t="str">
        <f>IF(OR(Table5[[#This Row],[Per Person Package Cost]]="", Table5[[#This Row],[No. of Pax]]=""), "", Table5[[#This Row],[Per Person Package Cost]] * Table5[[#This Row],[No. of Pax]])</f>
        <v/>
      </c>
      <c r="AA689" s="52"/>
      <c r="AB689" s="52"/>
      <c r="AC689" s="52"/>
      <c r="AD689" s="52"/>
      <c r="AE689" s="51" t="str">
        <f t="shared" si="65"/>
        <v/>
      </c>
      <c r="AF689" s="51" t="str">
        <f t="shared" si="66"/>
        <v/>
      </c>
      <c r="AG689" s="74" t="str">
        <f t="shared" si="67"/>
        <v/>
      </c>
      <c r="AH689" s="73" t="str">
        <f t="shared" si="68"/>
        <v/>
      </c>
      <c r="AI689" s="52"/>
      <c r="AJ689" s="56"/>
      <c r="AK689" s="59"/>
      <c r="AL689" s="60"/>
      <c r="AM689" s="54"/>
      <c r="AN689" s="64"/>
      <c r="AO689" s="26"/>
      <c r="AP689" s="93"/>
      <c r="AQ689" s="87"/>
      <c r="AR689" s="26"/>
      <c r="AS689" s="65"/>
      <c r="AT689" s="88"/>
      <c r="AU689" s="67"/>
      <c r="DA689" t="str" cm="1">
        <f t="array" ref="DA689">IF(U689&lt;&gt;"", TRANSPOSE(_xlfn._xlws.FILTER(CZ:CZ, CY:CY=U689, "")), "")</f>
        <v/>
      </c>
    </row>
    <row r="690" spans="2:105" ht="15" customHeight="1">
      <c r="B690" s="35">
        <v>686</v>
      </c>
      <c r="C690" s="36" t="s">
        <v>2555</v>
      </c>
      <c r="D690" s="76"/>
      <c r="E690" s="37" t="str">
        <f>IF(Table5[[#This Row],[Query Date]]&lt;&gt;"", TEXT(Table5[[#This Row],[Query Date]], "dddd"), "")</f>
        <v/>
      </c>
      <c r="F690" s="37" t="str">
        <f>IF(Table5[[#This Row],[Query Date]]&lt;&gt;"", TEXT(Table5[[#This Row],[Query Date]], "mmmm"), "")</f>
        <v/>
      </c>
      <c r="G690" s="28"/>
      <c r="H690" s="28"/>
      <c r="I690" s="28"/>
      <c r="J690" s="28"/>
      <c r="K690" s="28"/>
      <c r="L690" s="25"/>
      <c r="M690" s="25"/>
      <c r="N690" s="25"/>
      <c r="O690" s="130"/>
      <c r="P690" s="47"/>
      <c r="Q690" s="77"/>
      <c r="R690" s="77" t="str">
        <f>IF(Table5[[#This Row],[Tour Starting Date]]&lt;&gt;"", TEXT(Table5[[#This Row],[Tour Starting Date]], "dddd"), "")</f>
        <v/>
      </c>
      <c r="S690" s="77"/>
      <c r="T690" s="25" t="str">
        <f>IF(Table5[[#This Row],[Tour Ending Date]]&lt;&gt;"", TEXT(Table5[[#This Row],[Tour Ending Date]], "dddd"), "")</f>
        <v/>
      </c>
      <c r="U69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90" s="37" t="str">
        <f>IF(Table5[[#This Row],[Tour Starting Date]]&lt;&gt;"", TEXT(Table5[[#This Row],[Tour Starting Date]], "mmmm"), "")</f>
        <v/>
      </c>
      <c r="W690" s="80" t="str" cm="1">
        <f t="array" ref="W690">IF(Q690&lt;&gt;"", INDEX(CI:CI, MATCH(1, (Q690&gt;=CG:CG)*(Q690&lt;=CH:CH), 0)), "")</f>
        <v/>
      </c>
      <c r="X690" s="39"/>
      <c r="Y690" s="74"/>
      <c r="Z690" s="74" t="str">
        <f>IF(OR(Table5[[#This Row],[Per Person Package Cost]]="", Table5[[#This Row],[No. of Pax]]=""), "", Table5[[#This Row],[Per Person Package Cost]] * Table5[[#This Row],[No. of Pax]])</f>
        <v/>
      </c>
      <c r="AA690" s="52"/>
      <c r="AB690" s="52"/>
      <c r="AC690" s="52"/>
      <c r="AD690" s="52"/>
      <c r="AE690" s="51" t="str">
        <f t="shared" si="65"/>
        <v/>
      </c>
      <c r="AF690" s="51" t="str">
        <f t="shared" si="66"/>
        <v/>
      </c>
      <c r="AG690" s="74" t="str">
        <f t="shared" si="67"/>
        <v/>
      </c>
      <c r="AH690" s="73" t="str">
        <f t="shared" si="68"/>
        <v/>
      </c>
      <c r="AI690" s="52"/>
      <c r="AJ690" s="56"/>
      <c r="AK690" s="59"/>
      <c r="AL690" s="60"/>
      <c r="AM690" s="54"/>
      <c r="AN690" s="64"/>
      <c r="AO690" s="26"/>
      <c r="AP690" s="93"/>
      <c r="AQ690" s="87"/>
      <c r="AR690" s="26"/>
      <c r="AS690" s="65"/>
      <c r="AT690" s="88"/>
      <c r="AU690" s="67"/>
      <c r="DA690" t="str" cm="1">
        <f t="array" ref="DA690">IF(U690&lt;&gt;"", TRANSPOSE(_xlfn._xlws.FILTER(CZ:CZ, CY:CY=U690, "")), "")</f>
        <v/>
      </c>
    </row>
    <row r="691" spans="2:105" ht="15" customHeight="1">
      <c r="B691" s="34">
        <v>687</v>
      </c>
      <c r="C691" s="36" t="s">
        <v>2556</v>
      </c>
      <c r="D691" s="76"/>
      <c r="E691" s="37" t="str">
        <f>IF(Table5[[#This Row],[Query Date]]&lt;&gt;"", TEXT(Table5[[#This Row],[Query Date]], "dddd"), "")</f>
        <v/>
      </c>
      <c r="F691" s="37" t="str">
        <f>IF(Table5[[#This Row],[Query Date]]&lt;&gt;"", TEXT(Table5[[#This Row],[Query Date]], "mmmm"), "")</f>
        <v/>
      </c>
      <c r="G691" s="28"/>
      <c r="H691" s="28"/>
      <c r="I691" s="28"/>
      <c r="J691" s="28"/>
      <c r="K691" s="28"/>
      <c r="L691" s="25"/>
      <c r="M691" s="25"/>
      <c r="N691" s="25"/>
      <c r="O691" s="130"/>
      <c r="P691" s="47"/>
      <c r="Q691" s="77"/>
      <c r="R691" s="77" t="str">
        <f>IF(Table5[[#This Row],[Tour Starting Date]]&lt;&gt;"", TEXT(Table5[[#This Row],[Tour Starting Date]], "dddd"), "")</f>
        <v/>
      </c>
      <c r="S691" s="77"/>
      <c r="T691" s="25" t="str">
        <f>IF(Table5[[#This Row],[Tour Ending Date]]&lt;&gt;"", TEXT(Table5[[#This Row],[Tour Ending Date]], "dddd"), "")</f>
        <v/>
      </c>
      <c r="U69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91" s="37" t="str">
        <f>IF(Table5[[#This Row],[Tour Starting Date]]&lt;&gt;"", TEXT(Table5[[#This Row],[Tour Starting Date]], "mmmm"), "")</f>
        <v/>
      </c>
      <c r="W691" s="80" t="str" cm="1">
        <f t="array" ref="W691">IF(Q691&lt;&gt;"", INDEX(CI:CI, MATCH(1, (Q691&gt;=CG:CG)*(Q691&lt;=CH:CH), 0)), "")</f>
        <v/>
      </c>
      <c r="X691" s="39"/>
      <c r="Y691" s="74"/>
      <c r="Z691" s="74" t="str">
        <f>IF(OR(Table5[[#This Row],[Per Person Package Cost]]="", Table5[[#This Row],[No. of Pax]]=""), "", Table5[[#This Row],[Per Person Package Cost]] * Table5[[#This Row],[No. of Pax]])</f>
        <v/>
      </c>
      <c r="AA691" s="52"/>
      <c r="AB691" s="52"/>
      <c r="AC691" s="52"/>
      <c r="AD691" s="52"/>
      <c r="AE691" s="51" t="str">
        <f t="shared" si="65"/>
        <v/>
      </c>
      <c r="AF691" s="51" t="str">
        <f t="shared" si="66"/>
        <v/>
      </c>
      <c r="AG691" s="74" t="str">
        <f t="shared" si="67"/>
        <v/>
      </c>
      <c r="AH691" s="73" t="str">
        <f t="shared" si="68"/>
        <v/>
      </c>
      <c r="AI691" s="52"/>
      <c r="AJ691" s="56"/>
      <c r="AK691" s="59"/>
      <c r="AL691" s="60"/>
      <c r="AM691" s="54"/>
      <c r="AN691" s="64"/>
      <c r="AO691" s="26"/>
      <c r="AP691" s="93"/>
      <c r="AQ691" s="87"/>
      <c r="AR691" s="26"/>
      <c r="AS691" s="65"/>
      <c r="AT691" s="88"/>
      <c r="AU691" s="67"/>
      <c r="DA691" t="str" cm="1">
        <f t="array" ref="DA691">IF(U691&lt;&gt;"", TRANSPOSE(_xlfn._xlws.FILTER(CZ:CZ, CY:CY=U691, "")), "")</f>
        <v/>
      </c>
    </row>
    <row r="692" spans="2:105" ht="15" customHeight="1">
      <c r="B692" s="35">
        <v>688</v>
      </c>
      <c r="C692" s="36" t="s">
        <v>2557</v>
      </c>
      <c r="D692" s="76"/>
      <c r="E692" s="37" t="str">
        <f>IF(Table5[[#This Row],[Query Date]]&lt;&gt;"", TEXT(Table5[[#This Row],[Query Date]], "dddd"), "")</f>
        <v/>
      </c>
      <c r="F692" s="37" t="str">
        <f>IF(Table5[[#This Row],[Query Date]]&lt;&gt;"", TEXT(Table5[[#This Row],[Query Date]], "mmmm"), "")</f>
        <v/>
      </c>
      <c r="G692" s="28"/>
      <c r="H692" s="28"/>
      <c r="I692" s="28"/>
      <c r="J692" s="28"/>
      <c r="K692" s="28"/>
      <c r="L692" s="25"/>
      <c r="M692" s="25"/>
      <c r="N692" s="25"/>
      <c r="O692" s="130"/>
      <c r="P692" s="47"/>
      <c r="Q692" s="77"/>
      <c r="R692" s="77" t="str">
        <f>IF(Table5[[#This Row],[Tour Starting Date]]&lt;&gt;"", TEXT(Table5[[#This Row],[Tour Starting Date]], "dddd"), "")</f>
        <v/>
      </c>
      <c r="S692" s="77"/>
      <c r="T692" s="25" t="str">
        <f>IF(Table5[[#This Row],[Tour Ending Date]]&lt;&gt;"", TEXT(Table5[[#This Row],[Tour Ending Date]], "dddd"), "")</f>
        <v/>
      </c>
      <c r="U69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92" s="37" t="str">
        <f>IF(Table5[[#This Row],[Tour Starting Date]]&lt;&gt;"", TEXT(Table5[[#This Row],[Tour Starting Date]], "mmmm"), "")</f>
        <v/>
      </c>
      <c r="W692" s="80" t="str" cm="1">
        <f t="array" ref="W692">IF(Q692&lt;&gt;"", INDEX(CI:CI, MATCH(1, (Q692&gt;=CG:CG)*(Q692&lt;=CH:CH), 0)), "")</f>
        <v/>
      </c>
      <c r="X692" s="39"/>
      <c r="Y692" s="74"/>
      <c r="Z692" s="74" t="str">
        <f>IF(OR(Table5[[#This Row],[Per Person Package Cost]]="", Table5[[#This Row],[No. of Pax]]=""), "", Table5[[#This Row],[Per Person Package Cost]] * Table5[[#This Row],[No. of Pax]])</f>
        <v/>
      </c>
      <c r="AA692" s="52"/>
      <c r="AB692" s="52"/>
      <c r="AC692" s="52"/>
      <c r="AD692" s="52"/>
      <c r="AE692" s="51" t="str">
        <f t="shared" si="65"/>
        <v/>
      </c>
      <c r="AF692" s="51" t="str">
        <f t="shared" si="66"/>
        <v/>
      </c>
      <c r="AG692" s="74" t="str">
        <f t="shared" si="67"/>
        <v/>
      </c>
      <c r="AH692" s="73" t="str">
        <f t="shared" si="68"/>
        <v/>
      </c>
      <c r="AI692" s="52"/>
      <c r="AJ692" s="56"/>
      <c r="AK692" s="59"/>
      <c r="AL692" s="60"/>
      <c r="AM692" s="54"/>
      <c r="AN692" s="64"/>
      <c r="AO692" s="26"/>
      <c r="AP692" s="93"/>
      <c r="AQ692" s="87"/>
      <c r="AR692" s="26"/>
      <c r="AS692" s="65"/>
      <c r="AT692" s="88"/>
      <c r="AU692" s="67"/>
      <c r="DA692" t="str" cm="1">
        <f t="array" ref="DA692">IF(U692&lt;&gt;"", TRANSPOSE(_xlfn._xlws.FILTER(CZ:CZ, CY:CY=U692, "")), "")</f>
        <v/>
      </c>
    </row>
    <row r="693" spans="2:105" ht="15" customHeight="1">
      <c r="B693" s="34">
        <v>689</v>
      </c>
      <c r="C693" s="36" t="s">
        <v>2558</v>
      </c>
      <c r="D693" s="76"/>
      <c r="E693" s="37" t="str">
        <f>IF(Table5[[#This Row],[Query Date]]&lt;&gt;"", TEXT(Table5[[#This Row],[Query Date]], "dddd"), "")</f>
        <v/>
      </c>
      <c r="F693" s="37" t="str">
        <f>IF(Table5[[#This Row],[Query Date]]&lt;&gt;"", TEXT(Table5[[#This Row],[Query Date]], "mmmm"), "")</f>
        <v/>
      </c>
      <c r="G693" s="28"/>
      <c r="H693" s="28"/>
      <c r="I693" s="28"/>
      <c r="J693" s="28"/>
      <c r="K693" s="28"/>
      <c r="L693" s="25"/>
      <c r="M693" s="25"/>
      <c r="N693" s="25"/>
      <c r="O693" s="130"/>
      <c r="P693" s="47"/>
      <c r="Q693" s="77"/>
      <c r="R693" s="77" t="str">
        <f>IF(Table5[[#This Row],[Tour Starting Date]]&lt;&gt;"", TEXT(Table5[[#This Row],[Tour Starting Date]], "dddd"), "")</f>
        <v/>
      </c>
      <c r="S693" s="77"/>
      <c r="T693" s="25" t="str">
        <f>IF(Table5[[#This Row],[Tour Ending Date]]&lt;&gt;"", TEXT(Table5[[#This Row],[Tour Ending Date]], "dddd"), "")</f>
        <v/>
      </c>
      <c r="U69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93" s="37" t="str">
        <f>IF(Table5[[#This Row],[Tour Starting Date]]&lt;&gt;"", TEXT(Table5[[#This Row],[Tour Starting Date]], "mmmm"), "")</f>
        <v/>
      </c>
      <c r="W693" s="80" t="str" cm="1">
        <f t="array" ref="W693">IF(Q693&lt;&gt;"", INDEX(CI:CI, MATCH(1, (Q693&gt;=CG:CG)*(Q693&lt;=CH:CH), 0)), "")</f>
        <v/>
      </c>
      <c r="X693" s="39"/>
      <c r="Y693" s="74"/>
      <c r="Z693" s="74" t="str">
        <f>IF(OR(Table5[[#This Row],[Per Person Package Cost]]="", Table5[[#This Row],[No. of Pax]]=""), "", Table5[[#This Row],[Per Person Package Cost]] * Table5[[#This Row],[No. of Pax]])</f>
        <v/>
      </c>
      <c r="AA693" s="52"/>
      <c r="AB693" s="52"/>
      <c r="AC693" s="52"/>
      <c r="AD693" s="52"/>
      <c r="AE693" s="51" t="str">
        <f t="shared" si="65"/>
        <v/>
      </c>
      <c r="AF693" s="51" t="str">
        <f t="shared" si="66"/>
        <v/>
      </c>
      <c r="AG693" s="74" t="str">
        <f t="shared" si="67"/>
        <v/>
      </c>
      <c r="AH693" s="73" t="str">
        <f t="shared" si="68"/>
        <v/>
      </c>
      <c r="AI693" s="52"/>
      <c r="AJ693" s="56"/>
      <c r="AK693" s="59"/>
      <c r="AL693" s="60"/>
      <c r="AM693" s="54"/>
      <c r="AN693" s="64"/>
      <c r="AO693" s="26"/>
      <c r="AP693" s="93"/>
      <c r="AQ693" s="87"/>
      <c r="AR693" s="26"/>
      <c r="AS693" s="65"/>
      <c r="AT693" s="88"/>
      <c r="AU693" s="67"/>
      <c r="DA693" t="str" cm="1">
        <f t="array" ref="DA693">IF(U693&lt;&gt;"", TRANSPOSE(_xlfn._xlws.FILTER(CZ:CZ, CY:CY=U693, "")), "")</f>
        <v/>
      </c>
    </row>
    <row r="694" spans="2:105" ht="15" customHeight="1">
      <c r="B694" s="35">
        <v>690</v>
      </c>
      <c r="C694" s="36" t="s">
        <v>2559</v>
      </c>
      <c r="D694" s="76"/>
      <c r="E694" s="37" t="str">
        <f>IF(Table5[[#This Row],[Query Date]]&lt;&gt;"", TEXT(Table5[[#This Row],[Query Date]], "dddd"), "")</f>
        <v/>
      </c>
      <c r="F694" s="37" t="str">
        <f>IF(Table5[[#This Row],[Query Date]]&lt;&gt;"", TEXT(Table5[[#This Row],[Query Date]], "mmmm"), "")</f>
        <v/>
      </c>
      <c r="G694" s="28"/>
      <c r="H694" s="28"/>
      <c r="I694" s="28"/>
      <c r="J694" s="28"/>
      <c r="K694" s="28"/>
      <c r="L694" s="25"/>
      <c r="M694" s="25"/>
      <c r="N694" s="25"/>
      <c r="O694" s="130"/>
      <c r="P694" s="47"/>
      <c r="Q694" s="77"/>
      <c r="R694" s="77" t="str">
        <f>IF(Table5[[#This Row],[Tour Starting Date]]&lt;&gt;"", TEXT(Table5[[#This Row],[Tour Starting Date]], "dddd"), "")</f>
        <v/>
      </c>
      <c r="S694" s="77"/>
      <c r="T694" s="25" t="str">
        <f>IF(Table5[[#This Row],[Tour Ending Date]]&lt;&gt;"", TEXT(Table5[[#This Row],[Tour Ending Date]], "dddd"), "")</f>
        <v/>
      </c>
      <c r="U69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94" s="37" t="str">
        <f>IF(Table5[[#This Row],[Tour Starting Date]]&lt;&gt;"", TEXT(Table5[[#This Row],[Tour Starting Date]], "mmmm"), "")</f>
        <v/>
      </c>
      <c r="W694" s="80" t="str" cm="1">
        <f t="array" ref="W694">IF(Q694&lt;&gt;"", INDEX(CI:CI, MATCH(1, (Q694&gt;=CG:CG)*(Q694&lt;=CH:CH), 0)), "")</f>
        <v/>
      </c>
      <c r="X694" s="39"/>
      <c r="Y694" s="74"/>
      <c r="Z694" s="74" t="str">
        <f>IF(OR(Table5[[#This Row],[Per Person Package Cost]]="", Table5[[#This Row],[No. of Pax]]=""), "", Table5[[#This Row],[Per Person Package Cost]] * Table5[[#This Row],[No. of Pax]])</f>
        <v/>
      </c>
      <c r="AA694" s="52"/>
      <c r="AB694" s="52"/>
      <c r="AC694" s="52"/>
      <c r="AD694" s="52"/>
      <c r="AE694" s="51" t="str">
        <f t="shared" si="65"/>
        <v/>
      </c>
      <c r="AF694" s="51" t="str">
        <f t="shared" si="66"/>
        <v/>
      </c>
      <c r="AG694" s="74" t="str">
        <f t="shared" si="67"/>
        <v/>
      </c>
      <c r="AH694" s="73" t="str">
        <f t="shared" si="68"/>
        <v/>
      </c>
      <c r="AI694" s="52"/>
      <c r="AJ694" s="56"/>
      <c r="AK694" s="59"/>
      <c r="AL694" s="60"/>
      <c r="AM694" s="54"/>
      <c r="AN694" s="64"/>
      <c r="AO694" s="26"/>
      <c r="AP694" s="93"/>
      <c r="AQ694" s="87"/>
      <c r="AR694" s="26"/>
      <c r="AS694" s="65"/>
      <c r="AT694" s="88"/>
      <c r="AU694" s="67"/>
      <c r="DA694" t="str" cm="1">
        <f t="array" ref="DA694">IF(U694&lt;&gt;"", TRANSPOSE(_xlfn._xlws.FILTER(CZ:CZ, CY:CY=U694, "")), "")</f>
        <v/>
      </c>
    </row>
    <row r="695" spans="2:105">
      <c r="B695" s="35">
        <v>691</v>
      </c>
      <c r="C695" s="36" t="s">
        <v>2560</v>
      </c>
      <c r="D695" s="76"/>
      <c r="E695" s="37" t="str">
        <f>IF(Table5[[#This Row],[Query Date]]&lt;&gt;"", TEXT(Table5[[#This Row],[Query Date]], "dddd"), "")</f>
        <v/>
      </c>
      <c r="F695" s="37" t="str">
        <f>IF(Table5[[#This Row],[Query Date]]&lt;&gt;"", TEXT(Table5[[#This Row],[Query Date]], "mmmm"), "")</f>
        <v/>
      </c>
      <c r="G695" s="28"/>
      <c r="H695" s="28"/>
      <c r="I695" s="28"/>
      <c r="J695" s="28"/>
      <c r="K695" s="28"/>
      <c r="L695" s="25"/>
      <c r="M695" s="25"/>
      <c r="N695" s="25"/>
      <c r="O695" s="130"/>
      <c r="P695" s="47"/>
      <c r="Q695" s="77"/>
      <c r="R695" s="77" t="str">
        <f>IF(Table5[[#This Row],[Tour Starting Date]]&lt;&gt;"", TEXT(Table5[[#This Row],[Tour Starting Date]], "dddd"), "")</f>
        <v/>
      </c>
      <c r="S695" s="77"/>
      <c r="T695" s="25" t="str">
        <f>IF(Table5[[#This Row],[Tour Ending Date]]&lt;&gt;"", TEXT(Table5[[#This Row],[Tour Ending Date]], "dddd"), "")</f>
        <v/>
      </c>
      <c r="U69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95" s="37" t="str">
        <f>IF(Table5[[#This Row],[Tour Starting Date]]&lt;&gt;"", TEXT(Table5[[#This Row],[Tour Starting Date]], "mmmm"), "")</f>
        <v/>
      </c>
      <c r="W695" s="80" t="str" cm="1">
        <f t="array" ref="W695">IF(Q695&lt;&gt;"", INDEX(CI:CI, MATCH(1, (Q695&gt;=CG:CG)*(Q695&lt;=CH:CH), 0)), "")</f>
        <v/>
      </c>
      <c r="X695" s="39"/>
      <c r="Y695" s="74"/>
      <c r="Z695" s="74" t="str">
        <f>IF(OR(Table5[[#This Row],[Per Person Package Cost]]="", Table5[[#This Row],[No. of Pax]]=""), "", Table5[[#This Row],[Per Person Package Cost]] * Table5[[#This Row],[No. of Pax]])</f>
        <v/>
      </c>
      <c r="AA695" s="52"/>
      <c r="AB695" s="52"/>
      <c r="AC695" s="52"/>
      <c r="AD695" s="52"/>
      <c r="AE695" s="51" t="str">
        <f t="shared" si="65"/>
        <v/>
      </c>
      <c r="AF695" s="51" t="str">
        <f t="shared" si="66"/>
        <v/>
      </c>
      <c r="AG695" s="74" t="str">
        <f t="shared" si="67"/>
        <v/>
      </c>
      <c r="AH695" s="73" t="str">
        <f t="shared" si="68"/>
        <v/>
      </c>
      <c r="AI695" s="52"/>
      <c r="AJ695" s="56"/>
      <c r="AK695" s="59"/>
      <c r="AL695" s="60"/>
      <c r="AM695" s="54"/>
      <c r="AN695" s="64"/>
      <c r="AO695" s="26"/>
      <c r="AP695" s="93"/>
      <c r="AQ695" s="87"/>
      <c r="AR695" s="26"/>
      <c r="AS695" s="65"/>
      <c r="AT695" s="88"/>
      <c r="AU695" s="67"/>
      <c r="DA695" t="str" cm="1">
        <f t="array" ref="DA695">IF(U695&lt;&gt;"", TRANSPOSE(_xlfn._xlws.FILTER(CZ:CZ, CY:CY=U695, "")), "")</f>
        <v/>
      </c>
    </row>
    <row r="696" spans="2:105">
      <c r="B696" s="35">
        <v>692</v>
      </c>
      <c r="C696" s="36" t="s">
        <v>2561</v>
      </c>
      <c r="D696" s="76"/>
      <c r="E696" s="37" t="str">
        <f>IF(Table5[[#This Row],[Query Date]]&lt;&gt;"", TEXT(Table5[[#This Row],[Query Date]], "dddd"), "")</f>
        <v/>
      </c>
      <c r="F696" s="37" t="str">
        <f>IF(Table5[[#This Row],[Query Date]]&lt;&gt;"", TEXT(Table5[[#This Row],[Query Date]], "mmmm"), "")</f>
        <v/>
      </c>
      <c r="G696" s="28"/>
      <c r="H696" s="28"/>
      <c r="I696" s="28"/>
      <c r="J696" s="28"/>
      <c r="K696" s="28"/>
      <c r="L696" s="25"/>
      <c r="M696" s="25"/>
      <c r="N696" s="25"/>
      <c r="O696" s="130"/>
      <c r="P696" s="47"/>
      <c r="Q696" s="77"/>
      <c r="R696" s="77" t="str">
        <f>IF(Table5[[#This Row],[Tour Starting Date]]&lt;&gt;"", TEXT(Table5[[#This Row],[Tour Starting Date]], "dddd"), "")</f>
        <v/>
      </c>
      <c r="S696" s="77"/>
      <c r="T696" s="25" t="str">
        <f>IF(Table5[[#This Row],[Tour Ending Date]]&lt;&gt;"", TEXT(Table5[[#This Row],[Tour Ending Date]], "dddd"), "")</f>
        <v/>
      </c>
      <c r="U69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96" s="37" t="str">
        <f>IF(Table5[[#This Row],[Tour Starting Date]]&lt;&gt;"", TEXT(Table5[[#This Row],[Tour Starting Date]], "mmmm"), "")</f>
        <v/>
      </c>
      <c r="W696" s="80" t="str" cm="1">
        <f t="array" ref="W696">IF(Q696&lt;&gt;"", INDEX(CI:CI, MATCH(1, (Q696&gt;=CG:CG)*(Q696&lt;=CH:CH), 0)), "")</f>
        <v/>
      </c>
      <c r="X696" s="39"/>
      <c r="Y696" s="74"/>
      <c r="Z696" s="74" t="str">
        <f>IF(OR(Table5[[#This Row],[Per Person Package Cost]]="", Table5[[#This Row],[No. of Pax]]=""), "", Table5[[#This Row],[Per Person Package Cost]] * Table5[[#This Row],[No. of Pax]])</f>
        <v/>
      </c>
      <c r="AA696" s="52"/>
      <c r="AB696" s="52"/>
      <c r="AC696" s="52"/>
      <c r="AD696" s="52"/>
      <c r="AE696" s="51" t="str">
        <f t="shared" si="65"/>
        <v/>
      </c>
      <c r="AF696" s="51" t="str">
        <f t="shared" si="66"/>
        <v/>
      </c>
      <c r="AG696" s="74" t="str">
        <f t="shared" si="67"/>
        <v/>
      </c>
      <c r="AH696" s="73" t="str">
        <f t="shared" si="68"/>
        <v/>
      </c>
      <c r="AI696" s="52"/>
      <c r="AJ696" s="56"/>
      <c r="AK696" s="59"/>
      <c r="AL696" s="60"/>
      <c r="AM696" s="54"/>
      <c r="AN696" s="64"/>
      <c r="AO696" s="26"/>
      <c r="AP696" s="93"/>
      <c r="AQ696" s="87"/>
      <c r="AR696" s="26"/>
      <c r="AS696" s="65"/>
      <c r="AT696" s="88"/>
      <c r="AU696" s="67"/>
      <c r="DA696" t="str" cm="1">
        <f t="array" ref="DA696">IF(U696&lt;&gt;"", TRANSPOSE(_xlfn._xlws.FILTER(CZ:CZ, CY:CY=U696, "")), "")</f>
        <v/>
      </c>
    </row>
    <row r="697" spans="2:105">
      <c r="B697" s="35">
        <v>693</v>
      </c>
      <c r="C697" s="36" t="s">
        <v>2562</v>
      </c>
      <c r="D697" s="76"/>
      <c r="E697" s="37" t="str">
        <f>IF(Table5[[#This Row],[Query Date]]&lt;&gt;"", TEXT(Table5[[#This Row],[Query Date]], "dddd"), "")</f>
        <v/>
      </c>
      <c r="F697" s="37" t="str">
        <f>IF(Table5[[#This Row],[Query Date]]&lt;&gt;"", TEXT(Table5[[#This Row],[Query Date]], "mmmm"), "")</f>
        <v/>
      </c>
      <c r="G697" s="28"/>
      <c r="H697" s="28"/>
      <c r="I697" s="28"/>
      <c r="J697" s="28"/>
      <c r="K697" s="28"/>
      <c r="L697" s="25"/>
      <c r="M697" s="25"/>
      <c r="N697" s="25"/>
      <c r="O697" s="130"/>
      <c r="P697" s="47"/>
      <c r="Q697" s="77"/>
      <c r="R697" s="77" t="str">
        <f>IF(Table5[[#This Row],[Tour Starting Date]]&lt;&gt;"", TEXT(Table5[[#This Row],[Tour Starting Date]], "dddd"), "")</f>
        <v/>
      </c>
      <c r="S697" s="77"/>
      <c r="T697" s="25" t="str">
        <f>IF(Table5[[#This Row],[Tour Ending Date]]&lt;&gt;"", TEXT(Table5[[#This Row],[Tour Ending Date]], "dddd"), "")</f>
        <v/>
      </c>
      <c r="U69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97" s="37" t="str">
        <f>IF(Table5[[#This Row],[Tour Starting Date]]&lt;&gt;"", TEXT(Table5[[#This Row],[Tour Starting Date]], "mmmm"), "")</f>
        <v/>
      </c>
      <c r="W697" s="80" t="str" cm="1">
        <f t="array" ref="W697">IF(Q697&lt;&gt;"", INDEX(CI:CI, MATCH(1, (Q697&gt;=CG:CG)*(Q697&lt;=CH:CH), 0)), "")</f>
        <v/>
      </c>
      <c r="X697" s="39"/>
      <c r="Y697" s="74"/>
      <c r="Z697" s="74" t="str">
        <f>IF(OR(Table5[[#This Row],[Per Person Package Cost]]="", Table5[[#This Row],[No. of Pax]]=""), "", Table5[[#This Row],[Per Person Package Cost]] * Table5[[#This Row],[No. of Pax]])</f>
        <v/>
      </c>
      <c r="AA697" s="52"/>
      <c r="AB697" s="52"/>
      <c r="AC697" s="52"/>
      <c r="AD697" s="52"/>
      <c r="AE697" s="51" t="str">
        <f t="shared" si="65"/>
        <v/>
      </c>
      <c r="AF697" s="51" t="str">
        <f t="shared" si="66"/>
        <v/>
      </c>
      <c r="AG697" s="74" t="str">
        <f t="shared" si="67"/>
        <v/>
      </c>
      <c r="AH697" s="73" t="str">
        <f t="shared" si="68"/>
        <v/>
      </c>
      <c r="AI697" s="52"/>
      <c r="AJ697" s="56"/>
      <c r="AK697" s="59"/>
      <c r="AL697" s="60"/>
      <c r="AM697" s="54"/>
      <c r="AN697" s="64"/>
      <c r="AO697" s="26"/>
      <c r="AP697" s="93"/>
      <c r="AQ697" s="87"/>
      <c r="AR697" s="26"/>
      <c r="AS697" s="65"/>
      <c r="AT697" s="88"/>
      <c r="AU697" s="67"/>
      <c r="DA697" t="str" cm="1">
        <f t="array" ref="DA697">IF(U697&lt;&gt;"", TRANSPOSE(_xlfn._xlws.FILTER(CZ:CZ, CY:CY=U697, "")), "")</f>
        <v/>
      </c>
    </row>
    <row r="698" spans="2:105">
      <c r="B698" s="35">
        <v>694</v>
      </c>
      <c r="C698" s="36" t="s">
        <v>2563</v>
      </c>
      <c r="D698" s="76"/>
      <c r="E698" s="37" t="str">
        <f>IF(Table5[[#This Row],[Query Date]]&lt;&gt;"", TEXT(Table5[[#This Row],[Query Date]], "dddd"), "")</f>
        <v/>
      </c>
      <c r="F698" s="37" t="str">
        <f>IF(Table5[[#This Row],[Query Date]]&lt;&gt;"", TEXT(Table5[[#This Row],[Query Date]], "mmmm"), "")</f>
        <v/>
      </c>
      <c r="G698" s="28"/>
      <c r="H698" s="28"/>
      <c r="I698" s="28"/>
      <c r="J698" s="28"/>
      <c r="K698" s="28"/>
      <c r="L698" s="25"/>
      <c r="M698" s="25"/>
      <c r="N698" s="25"/>
      <c r="O698" s="130"/>
      <c r="P698" s="47"/>
      <c r="Q698" s="77"/>
      <c r="R698" s="77" t="str">
        <f>IF(Table5[[#This Row],[Tour Starting Date]]&lt;&gt;"", TEXT(Table5[[#This Row],[Tour Starting Date]], "dddd"), "")</f>
        <v/>
      </c>
      <c r="S698" s="77"/>
      <c r="T698" s="25" t="str">
        <f>IF(Table5[[#This Row],[Tour Ending Date]]&lt;&gt;"", TEXT(Table5[[#This Row],[Tour Ending Date]], "dddd"), "")</f>
        <v/>
      </c>
      <c r="U69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98" s="37" t="str">
        <f>IF(Table5[[#This Row],[Tour Starting Date]]&lt;&gt;"", TEXT(Table5[[#This Row],[Tour Starting Date]], "mmmm"), "")</f>
        <v/>
      </c>
      <c r="W698" s="80" t="str" cm="1">
        <f t="array" ref="W698">IF(Q698&lt;&gt;"", INDEX(CI:CI, MATCH(1, (Q698&gt;=CG:CG)*(Q698&lt;=CH:CH), 0)), "")</f>
        <v/>
      </c>
      <c r="X698" s="39"/>
      <c r="Y698" s="74"/>
      <c r="Z698" s="74" t="str">
        <f>IF(OR(Table5[[#This Row],[Per Person Package Cost]]="", Table5[[#This Row],[No. of Pax]]=""), "", Table5[[#This Row],[Per Person Package Cost]] * Table5[[#This Row],[No. of Pax]])</f>
        <v/>
      </c>
      <c r="AA698" s="52"/>
      <c r="AB698" s="52"/>
      <c r="AC698" s="52"/>
      <c r="AD698" s="52"/>
      <c r="AE698" s="51" t="str">
        <f t="shared" si="65"/>
        <v/>
      </c>
      <c r="AF698" s="51" t="str">
        <f t="shared" si="66"/>
        <v/>
      </c>
      <c r="AG698" s="74" t="str">
        <f t="shared" si="67"/>
        <v/>
      </c>
      <c r="AH698" s="73" t="str">
        <f t="shared" si="68"/>
        <v/>
      </c>
      <c r="AI698" s="52"/>
      <c r="AJ698" s="56"/>
      <c r="AK698" s="59"/>
      <c r="AL698" s="60"/>
      <c r="AM698" s="54"/>
      <c r="AN698" s="64"/>
      <c r="AO698" s="26"/>
      <c r="AP698" s="93"/>
      <c r="AQ698" s="87"/>
      <c r="AR698" s="26"/>
      <c r="AS698" s="65"/>
      <c r="AT698" s="88"/>
      <c r="AU698" s="67"/>
      <c r="DA698" t="str" cm="1">
        <f t="array" ref="DA698">IF(U698&lt;&gt;"", TRANSPOSE(_xlfn._xlws.FILTER(CZ:CZ, CY:CY=U698, "")), "")</f>
        <v/>
      </c>
    </row>
    <row r="699" spans="2:105">
      <c r="B699" s="35">
        <v>695</v>
      </c>
      <c r="C699" s="36" t="s">
        <v>2564</v>
      </c>
      <c r="D699" s="76"/>
      <c r="E699" s="37" t="str">
        <f>IF(Table5[[#This Row],[Query Date]]&lt;&gt;"", TEXT(Table5[[#This Row],[Query Date]], "dddd"), "")</f>
        <v/>
      </c>
      <c r="F699" s="37" t="str">
        <f>IF(Table5[[#This Row],[Query Date]]&lt;&gt;"", TEXT(Table5[[#This Row],[Query Date]], "mmmm"), "")</f>
        <v/>
      </c>
      <c r="G699" s="28"/>
      <c r="H699" s="28"/>
      <c r="I699" s="28"/>
      <c r="J699" s="28"/>
      <c r="K699" s="28"/>
      <c r="L699" s="25"/>
      <c r="M699" s="25"/>
      <c r="N699" s="25"/>
      <c r="O699" s="130"/>
      <c r="P699" s="47"/>
      <c r="Q699" s="77"/>
      <c r="R699" s="77" t="str">
        <f>IF(Table5[[#This Row],[Tour Starting Date]]&lt;&gt;"", TEXT(Table5[[#This Row],[Tour Starting Date]], "dddd"), "")</f>
        <v/>
      </c>
      <c r="S699" s="77"/>
      <c r="T699" s="25" t="str">
        <f>IF(Table5[[#This Row],[Tour Ending Date]]&lt;&gt;"", TEXT(Table5[[#This Row],[Tour Ending Date]], "dddd"), "")</f>
        <v/>
      </c>
      <c r="U69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699" s="37" t="str">
        <f>IF(Table5[[#This Row],[Tour Starting Date]]&lt;&gt;"", TEXT(Table5[[#This Row],[Tour Starting Date]], "mmmm"), "")</f>
        <v/>
      </c>
      <c r="W699" s="80" t="str" cm="1">
        <f t="array" ref="W699">IF(Q699&lt;&gt;"", INDEX(CI:CI, MATCH(1, (Q699&gt;=CG:CG)*(Q699&lt;=CH:CH), 0)), "")</f>
        <v/>
      </c>
      <c r="X699" s="39"/>
      <c r="Y699" s="74"/>
      <c r="Z699" s="74" t="str">
        <f>IF(OR(Table5[[#This Row],[Per Person Package Cost]]="", Table5[[#This Row],[No. of Pax]]=""), "", Table5[[#This Row],[Per Person Package Cost]] * Table5[[#This Row],[No. of Pax]])</f>
        <v/>
      </c>
      <c r="AA699" s="52"/>
      <c r="AB699" s="52"/>
      <c r="AC699" s="52"/>
      <c r="AD699" s="52"/>
      <c r="AE699" s="51" t="str">
        <f t="shared" si="65"/>
        <v/>
      </c>
      <c r="AF699" s="51" t="str">
        <f t="shared" si="66"/>
        <v/>
      </c>
      <c r="AG699" s="74" t="str">
        <f t="shared" si="67"/>
        <v/>
      </c>
      <c r="AH699" s="73" t="str">
        <f t="shared" si="68"/>
        <v/>
      </c>
      <c r="AI699" s="52"/>
      <c r="AJ699" s="56"/>
      <c r="AK699" s="59"/>
      <c r="AL699" s="60"/>
      <c r="AM699" s="54"/>
      <c r="AN699" s="64"/>
      <c r="AO699" s="26"/>
      <c r="AP699" s="93"/>
      <c r="AQ699" s="87"/>
      <c r="AR699" s="26"/>
      <c r="AS699" s="65"/>
      <c r="AT699" s="88"/>
      <c r="AU699" s="67"/>
      <c r="DA699" t="str" cm="1">
        <f t="array" ref="DA699">IF(U699&lt;&gt;"", TRANSPOSE(_xlfn._xlws.FILTER(CZ:CZ, CY:CY=U699, "")), "")</f>
        <v/>
      </c>
    </row>
    <row r="700" spans="2:105">
      <c r="B700" s="35">
        <v>696</v>
      </c>
      <c r="C700" s="36" t="s">
        <v>2565</v>
      </c>
      <c r="D700" s="76"/>
      <c r="E700" s="37" t="str">
        <f>IF(Table5[[#This Row],[Query Date]]&lt;&gt;"", TEXT(Table5[[#This Row],[Query Date]], "dddd"), "")</f>
        <v/>
      </c>
      <c r="F700" s="37" t="str">
        <f>IF(Table5[[#This Row],[Query Date]]&lt;&gt;"", TEXT(Table5[[#This Row],[Query Date]], "mmmm"), "")</f>
        <v/>
      </c>
      <c r="G700" s="28"/>
      <c r="H700" s="28"/>
      <c r="I700" s="28"/>
      <c r="J700" s="28"/>
      <c r="K700" s="28"/>
      <c r="L700" s="25"/>
      <c r="M700" s="25"/>
      <c r="N700" s="25"/>
      <c r="O700" s="130"/>
      <c r="P700" s="47"/>
      <c r="Q700" s="77"/>
      <c r="R700" s="77" t="str">
        <f>IF(Table5[[#This Row],[Tour Starting Date]]&lt;&gt;"", TEXT(Table5[[#This Row],[Tour Starting Date]], "dddd"), "")</f>
        <v/>
      </c>
      <c r="S700" s="77"/>
      <c r="T700" s="25" t="str">
        <f>IF(Table5[[#This Row],[Tour Ending Date]]&lt;&gt;"", TEXT(Table5[[#This Row],[Tour Ending Date]], "dddd"), "")</f>
        <v/>
      </c>
      <c r="U70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00" s="37" t="str">
        <f>IF(Table5[[#This Row],[Tour Starting Date]]&lt;&gt;"", TEXT(Table5[[#This Row],[Tour Starting Date]], "mmmm"), "")</f>
        <v/>
      </c>
      <c r="W700" s="80" t="str" cm="1">
        <f t="array" ref="W700">IF(Q700&lt;&gt;"", INDEX(CI:CI, MATCH(1, (Q700&gt;=CG:CG)*(Q700&lt;=CH:CH), 0)), "")</f>
        <v/>
      </c>
      <c r="X700" s="39"/>
      <c r="Y700" s="74"/>
      <c r="Z700" s="74" t="str">
        <f>IF(OR(Table5[[#This Row],[Per Person Package Cost]]="", Table5[[#This Row],[No. of Pax]]=""), "", Table5[[#This Row],[Per Person Package Cost]] * Table5[[#This Row],[No. of Pax]])</f>
        <v/>
      </c>
      <c r="AA700" s="52"/>
      <c r="AB700" s="52"/>
      <c r="AC700" s="52"/>
      <c r="AD700" s="52"/>
      <c r="AE700" s="51" t="str">
        <f t="shared" si="65"/>
        <v/>
      </c>
      <c r="AF700" s="51" t="str">
        <f t="shared" si="66"/>
        <v/>
      </c>
      <c r="AG700" s="74" t="str">
        <f t="shared" si="67"/>
        <v/>
      </c>
      <c r="AH700" s="73" t="str">
        <f t="shared" si="68"/>
        <v/>
      </c>
      <c r="AI700" s="52"/>
      <c r="AJ700" s="56"/>
      <c r="AK700" s="59"/>
      <c r="AL700" s="60"/>
      <c r="AM700" s="54"/>
      <c r="AN700" s="64"/>
      <c r="AO700" s="26"/>
      <c r="AP700" s="93"/>
      <c r="AQ700" s="87"/>
      <c r="AR700" s="26"/>
      <c r="AS700" s="65"/>
      <c r="AT700" s="88"/>
      <c r="AU700" s="67"/>
      <c r="DA700" t="str" cm="1">
        <f t="array" ref="DA700">IF(U700&lt;&gt;"", TRANSPOSE(_xlfn._xlws.FILTER(CZ:CZ, CY:CY=U700, "")), "")</f>
        <v/>
      </c>
    </row>
    <row r="701" spans="2:105">
      <c r="B701" s="35">
        <v>697</v>
      </c>
      <c r="C701" s="36" t="s">
        <v>2566</v>
      </c>
      <c r="D701" s="76"/>
      <c r="E701" s="37" t="str">
        <f>IF(Table5[[#This Row],[Query Date]]&lt;&gt;"", TEXT(Table5[[#This Row],[Query Date]], "dddd"), "")</f>
        <v/>
      </c>
      <c r="F701" s="37" t="str">
        <f>IF(Table5[[#This Row],[Query Date]]&lt;&gt;"", TEXT(Table5[[#This Row],[Query Date]], "mmmm"), "")</f>
        <v/>
      </c>
      <c r="G701" s="28"/>
      <c r="H701" s="28"/>
      <c r="I701" s="28"/>
      <c r="J701" s="28"/>
      <c r="K701" s="28"/>
      <c r="L701" s="25"/>
      <c r="M701" s="25"/>
      <c r="N701" s="25"/>
      <c r="O701" s="130"/>
      <c r="P701" s="47"/>
      <c r="Q701" s="77"/>
      <c r="R701" s="77" t="str">
        <f>IF(Table5[[#This Row],[Tour Starting Date]]&lt;&gt;"", TEXT(Table5[[#This Row],[Tour Starting Date]], "dddd"), "")</f>
        <v/>
      </c>
      <c r="S701" s="77"/>
      <c r="T701" s="25" t="str">
        <f>IF(Table5[[#This Row],[Tour Ending Date]]&lt;&gt;"", TEXT(Table5[[#This Row],[Tour Ending Date]], "dddd"), "")</f>
        <v/>
      </c>
      <c r="U70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01" s="37" t="str">
        <f>IF(Table5[[#This Row],[Tour Starting Date]]&lt;&gt;"", TEXT(Table5[[#This Row],[Tour Starting Date]], "mmmm"), "")</f>
        <v/>
      </c>
      <c r="W701" s="80" t="str" cm="1">
        <f t="array" ref="W701">IF(Q701&lt;&gt;"", INDEX(CI:CI, MATCH(1, (Q701&gt;=CG:CG)*(Q701&lt;=CH:CH), 0)), "")</f>
        <v/>
      </c>
      <c r="X701" s="39"/>
      <c r="Y701" s="74"/>
      <c r="Z701" s="74" t="str">
        <f>IF(OR(Table5[[#This Row],[Per Person Package Cost]]="", Table5[[#This Row],[No. of Pax]]=""), "", Table5[[#This Row],[Per Person Package Cost]] * Table5[[#This Row],[No. of Pax]])</f>
        <v/>
      </c>
      <c r="AA701" s="52"/>
      <c r="AB701" s="52"/>
      <c r="AC701" s="52"/>
      <c r="AD701" s="52"/>
      <c r="AE701" s="51" t="str">
        <f t="shared" si="65"/>
        <v/>
      </c>
      <c r="AF701" s="51" t="str">
        <f t="shared" si="66"/>
        <v/>
      </c>
      <c r="AG701" s="74" t="str">
        <f t="shared" si="67"/>
        <v/>
      </c>
      <c r="AH701" s="73" t="str">
        <f t="shared" si="68"/>
        <v/>
      </c>
      <c r="AI701" s="52"/>
      <c r="AJ701" s="56"/>
      <c r="AK701" s="59"/>
      <c r="AL701" s="60"/>
      <c r="AM701" s="54"/>
      <c r="AN701" s="64"/>
      <c r="AO701" s="26"/>
      <c r="AP701" s="93"/>
      <c r="AQ701" s="87"/>
      <c r="AR701" s="26"/>
      <c r="AS701" s="65"/>
      <c r="AT701" s="88"/>
      <c r="AU701" s="67"/>
      <c r="DA701" t="str" cm="1">
        <f t="array" ref="DA701">IF(U701&lt;&gt;"", TRANSPOSE(_xlfn._xlws.FILTER(CZ:CZ, CY:CY=U701, "")), "")</f>
        <v/>
      </c>
    </row>
    <row r="702" spans="2:105">
      <c r="B702" s="35">
        <v>698</v>
      </c>
      <c r="C702" s="36" t="s">
        <v>2567</v>
      </c>
      <c r="D702" s="76"/>
      <c r="E702" s="37" t="str">
        <f>IF(Table5[[#This Row],[Query Date]]&lt;&gt;"", TEXT(Table5[[#This Row],[Query Date]], "dddd"), "")</f>
        <v/>
      </c>
      <c r="F702" s="37" t="str">
        <f>IF(Table5[[#This Row],[Query Date]]&lt;&gt;"", TEXT(Table5[[#This Row],[Query Date]], "mmmm"), "")</f>
        <v/>
      </c>
      <c r="G702" s="28"/>
      <c r="H702" s="28"/>
      <c r="I702" s="28"/>
      <c r="J702" s="28"/>
      <c r="K702" s="28"/>
      <c r="L702" s="25"/>
      <c r="M702" s="25"/>
      <c r="N702" s="25"/>
      <c r="O702" s="130"/>
      <c r="P702" s="47"/>
      <c r="Q702" s="77"/>
      <c r="R702" s="77" t="str">
        <f>IF(Table5[[#This Row],[Tour Starting Date]]&lt;&gt;"", TEXT(Table5[[#This Row],[Tour Starting Date]], "dddd"), "")</f>
        <v/>
      </c>
      <c r="S702" s="77"/>
      <c r="T702" s="25" t="str">
        <f>IF(Table5[[#This Row],[Tour Ending Date]]&lt;&gt;"", TEXT(Table5[[#This Row],[Tour Ending Date]], "dddd"), "")</f>
        <v/>
      </c>
      <c r="U70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02" s="37" t="str">
        <f>IF(Table5[[#This Row],[Tour Starting Date]]&lt;&gt;"", TEXT(Table5[[#This Row],[Tour Starting Date]], "mmmm"), "")</f>
        <v/>
      </c>
      <c r="W702" s="80" t="str" cm="1">
        <f t="array" ref="W702">IF(Q702&lt;&gt;"", INDEX(CI:CI, MATCH(1, (Q702&gt;=CG:CG)*(Q702&lt;=CH:CH), 0)), "")</f>
        <v/>
      </c>
      <c r="X702" s="39"/>
      <c r="Y702" s="74"/>
      <c r="Z702" s="74" t="str">
        <f>IF(OR(Table5[[#This Row],[Per Person Package Cost]]="", Table5[[#This Row],[No. of Pax]]=""), "", Table5[[#This Row],[Per Person Package Cost]] * Table5[[#This Row],[No. of Pax]])</f>
        <v/>
      </c>
      <c r="AA702" s="52"/>
      <c r="AB702" s="52"/>
      <c r="AC702" s="52"/>
      <c r="AD702" s="52"/>
      <c r="AE702" s="51" t="str">
        <f t="shared" si="65"/>
        <v/>
      </c>
      <c r="AF702" s="51" t="str">
        <f t="shared" si="66"/>
        <v/>
      </c>
      <c r="AG702" s="74" t="str">
        <f t="shared" si="67"/>
        <v/>
      </c>
      <c r="AH702" s="73" t="str">
        <f t="shared" si="68"/>
        <v/>
      </c>
      <c r="AI702" s="52"/>
      <c r="AJ702" s="56"/>
      <c r="AK702" s="59"/>
      <c r="AL702" s="60"/>
      <c r="AM702" s="54"/>
      <c r="AN702" s="64"/>
      <c r="AO702" s="26"/>
      <c r="AP702" s="93"/>
      <c r="AQ702" s="87"/>
      <c r="AR702" s="26"/>
      <c r="AS702" s="65"/>
      <c r="AT702" s="88"/>
      <c r="AU702" s="67"/>
      <c r="DA702" t="str" cm="1">
        <f t="array" ref="DA702">IF(U702&lt;&gt;"", TRANSPOSE(_xlfn._xlws.FILTER(CZ:CZ, CY:CY=U702, "")), "")</f>
        <v/>
      </c>
    </row>
    <row r="703" spans="2:105">
      <c r="B703" s="35">
        <v>699</v>
      </c>
      <c r="C703" s="36" t="s">
        <v>2568</v>
      </c>
      <c r="D703" s="76"/>
      <c r="E703" s="37" t="str">
        <f>IF(Table5[[#This Row],[Query Date]]&lt;&gt;"", TEXT(Table5[[#This Row],[Query Date]], "dddd"), "")</f>
        <v/>
      </c>
      <c r="F703" s="37" t="str">
        <f>IF(Table5[[#This Row],[Query Date]]&lt;&gt;"", TEXT(Table5[[#This Row],[Query Date]], "mmmm"), "")</f>
        <v/>
      </c>
      <c r="G703" s="28"/>
      <c r="H703" s="28"/>
      <c r="I703" s="28"/>
      <c r="J703" s="28"/>
      <c r="K703" s="28"/>
      <c r="L703" s="25"/>
      <c r="M703" s="25"/>
      <c r="N703" s="25"/>
      <c r="O703" s="130"/>
      <c r="P703" s="47"/>
      <c r="Q703" s="77"/>
      <c r="R703" s="77" t="str">
        <f>IF(Table5[[#This Row],[Tour Starting Date]]&lt;&gt;"", TEXT(Table5[[#This Row],[Tour Starting Date]], "dddd"), "")</f>
        <v/>
      </c>
      <c r="S703" s="77"/>
      <c r="T703" s="25" t="str">
        <f>IF(Table5[[#This Row],[Tour Ending Date]]&lt;&gt;"", TEXT(Table5[[#This Row],[Tour Ending Date]], "dddd"), "")</f>
        <v/>
      </c>
      <c r="U70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03" s="37" t="str">
        <f>IF(Table5[[#This Row],[Tour Starting Date]]&lt;&gt;"", TEXT(Table5[[#This Row],[Tour Starting Date]], "mmmm"), "")</f>
        <v/>
      </c>
      <c r="W703" s="80" t="str" cm="1">
        <f t="array" ref="W703">IF(Q703&lt;&gt;"", INDEX(CI:CI, MATCH(1, (Q703&gt;=CG:CG)*(Q703&lt;=CH:CH), 0)), "")</f>
        <v/>
      </c>
      <c r="X703" s="39"/>
      <c r="Y703" s="74"/>
      <c r="Z703" s="74" t="str">
        <f>IF(OR(Table5[[#This Row],[Per Person Package Cost]]="", Table5[[#This Row],[No. of Pax]]=""), "", Table5[[#This Row],[Per Person Package Cost]] * Table5[[#This Row],[No. of Pax]])</f>
        <v/>
      </c>
      <c r="AA703" s="52"/>
      <c r="AB703" s="52"/>
      <c r="AC703" s="52"/>
      <c r="AD703" s="52"/>
      <c r="AE703" s="51" t="str">
        <f t="shared" si="65"/>
        <v/>
      </c>
      <c r="AF703" s="51" t="str">
        <f t="shared" si="66"/>
        <v/>
      </c>
      <c r="AG703" s="74" t="str">
        <f t="shared" si="67"/>
        <v/>
      </c>
      <c r="AH703" s="73" t="str">
        <f t="shared" si="68"/>
        <v/>
      </c>
      <c r="AI703" s="52"/>
      <c r="AJ703" s="56"/>
      <c r="AK703" s="59"/>
      <c r="AL703" s="60"/>
      <c r="AM703" s="54"/>
      <c r="AN703" s="64"/>
      <c r="AO703" s="26"/>
      <c r="AP703" s="93"/>
      <c r="AQ703" s="87"/>
      <c r="AR703" s="26"/>
      <c r="AS703" s="65"/>
      <c r="AT703" s="88"/>
      <c r="AU703" s="67"/>
      <c r="DA703" t="str" cm="1">
        <f t="array" ref="DA703">IF(U703&lt;&gt;"", TRANSPOSE(_xlfn._xlws.FILTER(CZ:CZ, CY:CY=U703, "")), "")</f>
        <v/>
      </c>
    </row>
    <row r="704" spans="2:105">
      <c r="B704" s="35">
        <v>700</v>
      </c>
      <c r="C704" s="36" t="s">
        <v>2569</v>
      </c>
      <c r="D704" s="76"/>
      <c r="E704" s="37" t="str">
        <f>IF(Table5[[#This Row],[Query Date]]&lt;&gt;"", TEXT(Table5[[#This Row],[Query Date]], "dddd"), "")</f>
        <v/>
      </c>
      <c r="F704" s="37" t="str">
        <f>IF(Table5[[#This Row],[Query Date]]&lt;&gt;"", TEXT(Table5[[#This Row],[Query Date]], "mmmm"), "")</f>
        <v/>
      </c>
      <c r="G704" s="28"/>
      <c r="H704" s="28"/>
      <c r="I704" s="28"/>
      <c r="J704" s="28"/>
      <c r="K704" s="28"/>
      <c r="L704" s="25"/>
      <c r="M704" s="25"/>
      <c r="N704" s="25"/>
      <c r="O704" s="130"/>
      <c r="P704" s="47"/>
      <c r="Q704" s="77"/>
      <c r="R704" s="77" t="str">
        <f>IF(Table5[[#This Row],[Tour Starting Date]]&lt;&gt;"", TEXT(Table5[[#This Row],[Tour Starting Date]], "dddd"), "")</f>
        <v/>
      </c>
      <c r="S704" s="77"/>
      <c r="T704" s="25" t="str">
        <f>IF(Table5[[#This Row],[Tour Ending Date]]&lt;&gt;"", TEXT(Table5[[#This Row],[Tour Ending Date]], "dddd"), "")</f>
        <v/>
      </c>
      <c r="U70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04" s="37" t="str">
        <f>IF(Table5[[#This Row],[Tour Starting Date]]&lt;&gt;"", TEXT(Table5[[#This Row],[Tour Starting Date]], "mmmm"), "")</f>
        <v/>
      </c>
      <c r="W704" s="80" t="str" cm="1">
        <f t="array" ref="W704">IF(Q704&lt;&gt;"", INDEX(CI:CI, MATCH(1, (Q704&gt;=CG:CG)*(Q704&lt;=CH:CH), 0)), "")</f>
        <v/>
      </c>
      <c r="X704" s="39"/>
      <c r="Y704" s="74"/>
      <c r="Z704" s="74" t="str">
        <f>IF(OR(Table5[[#This Row],[Per Person Package Cost]]="", Table5[[#This Row],[No. of Pax]]=""), "", Table5[[#This Row],[Per Person Package Cost]] * Table5[[#This Row],[No. of Pax]])</f>
        <v/>
      </c>
      <c r="AA704" s="52"/>
      <c r="AB704" s="52"/>
      <c r="AC704" s="52"/>
      <c r="AD704" s="52"/>
      <c r="AE704" s="51" t="str">
        <f t="shared" si="65"/>
        <v/>
      </c>
      <c r="AF704" s="51" t="str">
        <f t="shared" si="66"/>
        <v/>
      </c>
      <c r="AG704" s="74" t="str">
        <f t="shared" si="67"/>
        <v/>
      </c>
      <c r="AH704" s="73" t="str">
        <f t="shared" si="68"/>
        <v/>
      </c>
      <c r="AI704" s="52"/>
      <c r="AJ704" s="56"/>
      <c r="AK704" s="59"/>
      <c r="AL704" s="60"/>
      <c r="AM704" s="54"/>
      <c r="AN704" s="64"/>
      <c r="AO704" s="26"/>
      <c r="AP704" s="93"/>
      <c r="AQ704" s="87"/>
      <c r="AR704" s="26"/>
      <c r="AS704" s="65"/>
      <c r="AT704" s="88"/>
      <c r="AU704" s="67"/>
      <c r="DA704" t="str" cm="1">
        <f t="array" ref="DA704">IF(U704&lt;&gt;"", TRANSPOSE(_xlfn._xlws.FILTER(CZ:CZ, CY:CY=U704, "")), "")</f>
        <v/>
      </c>
    </row>
    <row r="705" spans="2:105">
      <c r="B705" s="35">
        <v>701</v>
      </c>
      <c r="C705" s="36" t="s">
        <v>2570</v>
      </c>
      <c r="D705" s="76"/>
      <c r="E705" s="37" t="str">
        <f>IF(Table5[[#This Row],[Query Date]]&lt;&gt;"", TEXT(Table5[[#This Row],[Query Date]], "dddd"), "")</f>
        <v/>
      </c>
      <c r="F705" s="37" t="str">
        <f>IF(Table5[[#This Row],[Query Date]]&lt;&gt;"", TEXT(Table5[[#This Row],[Query Date]], "mmmm"), "")</f>
        <v/>
      </c>
      <c r="G705" s="28"/>
      <c r="H705" s="28"/>
      <c r="I705" s="28"/>
      <c r="J705" s="28"/>
      <c r="K705" s="28"/>
      <c r="L705" s="25"/>
      <c r="M705" s="25"/>
      <c r="N705" s="25"/>
      <c r="O705" s="130"/>
      <c r="P705" s="47"/>
      <c r="Q705" s="77"/>
      <c r="R705" s="77" t="str">
        <f>IF(Table5[[#This Row],[Tour Starting Date]]&lt;&gt;"", TEXT(Table5[[#This Row],[Tour Starting Date]], "dddd"), "")</f>
        <v/>
      </c>
      <c r="S705" s="77"/>
      <c r="T705" s="25" t="str">
        <f>IF(Table5[[#This Row],[Tour Ending Date]]&lt;&gt;"", TEXT(Table5[[#This Row],[Tour Ending Date]], "dddd"), "")</f>
        <v/>
      </c>
      <c r="U70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05" s="37" t="str">
        <f>IF(Table5[[#This Row],[Tour Starting Date]]&lt;&gt;"", TEXT(Table5[[#This Row],[Tour Starting Date]], "mmmm"), "")</f>
        <v/>
      </c>
      <c r="W705" s="80" t="str" cm="1">
        <f t="array" ref="W705">IF(Q705&lt;&gt;"", INDEX(CI:CI, MATCH(1, (Q705&gt;=CG:CG)*(Q705&lt;=CH:CH), 0)), "")</f>
        <v/>
      </c>
      <c r="X705" s="39"/>
      <c r="Y705" s="74"/>
      <c r="Z705" s="74" t="str">
        <f>IF(OR(Table5[[#This Row],[Per Person Package Cost]]="", Table5[[#This Row],[No. of Pax]]=""), "", Table5[[#This Row],[Per Person Package Cost]] * Table5[[#This Row],[No. of Pax]])</f>
        <v/>
      </c>
      <c r="AA705" s="52"/>
      <c r="AB705" s="52"/>
      <c r="AC705" s="52"/>
      <c r="AD705" s="52"/>
      <c r="AE705" s="51" t="str">
        <f t="shared" si="65"/>
        <v/>
      </c>
      <c r="AF705" s="51" t="str">
        <f t="shared" si="66"/>
        <v/>
      </c>
      <c r="AG705" s="74" t="str">
        <f t="shared" si="67"/>
        <v/>
      </c>
      <c r="AH705" s="73" t="str">
        <f t="shared" si="68"/>
        <v/>
      </c>
      <c r="AI705" s="52"/>
      <c r="AJ705" s="56"/>
      <c r="AK705" s="59"/>
      <c r="AL705" s="60"/>
      <c r="AM705" s="54"/>
      <c r="AN705" s="64"/>
      <c r="AO705" s="26"/>
      <c r="AP705" s="93"/>
      <c r="AQ705" s="87"/>
      <c r="AR705" s="26"/>
      <c r="AS705" s="65"/>
      <c r="AT705" s="88"/>
      <c r="AU705" s="67"/>
      <c r="DA705" t="str" cm="1">
        <f t="array" ref="DA705">IF(U705&lt;&gt;"", TRANSPOSE(_xlfn._xlws.FILTER(CZ:CZ, CY:CY=U705, "")), "")</f>
        <v/>
      </c>
    </row>
    <row r="706" spans="2:105">
      <c r="B706" s="35">
        <v>702</v>
      </c>
      <c r="C706" s="36" t="s">
        <v>2571</v>
      </c>
      <c r="D706" s="76"/>
      <c r="E706" s="37" t="str">
        <f>IF(Table5[[#This Row],[Query Date]]&lt;&gt;"", TEXT(Table5[[#This Row],[Query Date]], "dddd"), "")</f>
        <v/>
      </c>
      <c r="F706" s="37" t="str">
        <f>IF(Table5[[#This Row],[Query Date]]&lt;&gt;"", TEXT(Table5[[#This Row],[Query Date]], "mmmm"), "")</f>
        <v/>
      </c>
      <c r="G706" s="28"/>
      <c r="H706" s="28"/>
      <c r="I706" s="28"/>
      <c r="J706" s="28"/>
      <c r="K706" s="28"/>
      <c r="L706" s="25"/>
      <c r="M706" s="25"/>
      <c r="N706" s="25"/>
      <c r="O706" s="130"/>
      <c r="P706" s="47"/>
      <c r="Q706" s="77"/>
      <c r="R706" s="77" t="str">
        <f>IF(Table5[[#This Row],[Tour Starting Date]]&lt;&gt;"", TEXT(Table5[[#This Row],[Tour Starting Date]], "dddd"), "")</f>
        <v/>
      </c>
      <c r="S706" s="77"/>
      <c r="T706" s="25" t="str">
        <f>IF(Table5[[#This Row],[Tour Ending Date]]&lt;&gt;"", TEXT(Table5[[#This Row],[Tour Ending Date]], "dddd"), "")</f>
        <v/>
      </c>
      <c r="U70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06" s="37" t="str">
        <f>IF(Table5[[#This Row],[Tour Starting Date]]&lt;&gt;"", TEXT(Table5[[#This Row],[Tour Starting Date]], "mmmm"), "")</f>
        <v/>
      </c>
      <c r="W706" s="80" t="str" cm="1">
        <f t="array" ref="W706">IF(Q706&lt;&gt;"", INDEX(CI:CI, MATCH(1, (Q706&gt;=CG:CG)*(Q706&lt;=CH:CH), 0)), "")</f>
        <v/>
      </c>
      <c r="X706" s="39"/>
      <c r="Y706" s="74"/>
      <c r="Z706" s="74" t="str">
        <f>IF(OR(Table5[[#This Row],[Per Person Package Cost]]="", Table5[[#This Row],[No. of Pax]]=""), "", Table5[[#This Row],[Per Person Package Cost]] * Table5[[#This Row],[No. of Pax]])</f>
        <v/>
      </c>
      <c r="AA706" s="52"/>
      <c r="AB706" s="52"/>
      <c r="AC706" s="52"/>
      <c r="AD706" s="52"/>
      <c r="AE706" s="51" t="str">
        <f t="shared" si="65"/>
        <v/>
      </c>
      <c r="AF706" s="51" t="str">
        <f t="shared" si="66"/>
        <v/>
      </c>
      <c r="AG706" s="74" t="str">
        <f t="shared" si="67"/>
        <v/>
      </c>
      <c r="AH706" s="73" t="str">
        <f t="shared" si="68"/>
        <v/>
      </c>
      <c r="AI706" s="52"/>
      <c r="AJ706" s="56"/>
      <c r="AK706" s="59"/>
      <c r="AL706" s="60"/>
      <c r="AM706" s="54"/>
      <c r="AN706" s="64"/>
      <c r="AO706" s="26"/>
      <c r="AP706" s="93"/>
      <c r="AQ706" s="87"/>
      <c r="AR706" s="26"/>
      <c r="AS706" s="65"/>
      <c r="AT706" s="88"/>
      <c r="AU706" s="67"/>
      <c r="DA706" t="str" cm="1">
        <f t="array" ref="DA706">IF(U706&lt;&gt;"", TRANSPOSE(_xlfn._xlws.FILTER(CZ:CZ, CY:CY=U706, "")), "")</f>
        <v/>
      </c>
    </row>
    <row r="707" spans="2:105">
      <c r="B707" s="35">
        <v>703</v>
      </c>
      <c r="C707" s="36" t="s">
        <v>2572</v>
      </c>
      <c r="D707" s="76"/>
      <c r="E707" s="37" t="str">
        <f>IF(Table5[[#This Row],[Query Date]]&lt;&gt;"", TEXT(Table5[[#This Row],[Query Date]], "dddd"), "")</f>
        <v/>
      </c>
      <c r="F707" s="37" t="str">
        <f>IF(Table5[[#This Row],[Query Date]]&lt;&gt;"", TEXT(Table5[[#This Row],[Query Date]], "mmmm"), "")</f>
        <v/>
      </c>
      <c r="G707" s="28"/>
      <c r="H707" s="28"/>
      <c r="I707" s="28"/>
      <c r="J707" s="28"/>
      <c r="K707" s="28"/>
      <c r="L707" s="25"/>
      <c r="M707" s="25"/>
      <c r="N707" s="25"/>
      <c r="O707" s="130"/>
      <c r="P707" s="47"/>
      <c r="Q707" s="77"/>
      <c r="R707" s="77" t="str">
        <f>IF(Table5[[#This Row],[Tour Starting Date]]&lt;&gt;"", TEXT(Table5[[#This Row],[Tour Starting Date]], "dddd"), "")</f>
        <v/>
      </c>
      <c r="S707" s="77"/>
      <c r="T707" s="25" t="str">
        <f>IF(Table5[[#This Row],[Tour Ending Date]]&lt;&gt;"", TEXT(Table5[[#This Row],[Tour Ending Date]], "dddd"), "")</f>
        <v/>
      </c>
      <c r="U70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07" s="37" t="str">
        <f>IF(Table5[[#This Row],[Tour Starting Date]]&lt;&gt;"", TEXT(Table5[[#This Row],[Tour Starting Date]], "mmmm"), "")</f>
        <v/>
      </c>
      <c r="W707" s="80" t="str" cm="1">
        <f t="array" ref="W707">IF(Q707&lt;&gt;"", INDEX(CI:CI, MATCH(1, (Q707&gt;=CG:CG)*(Q707&lt;=CH:CH), 0)), "")</f>
        <v/>
      </c>
      <c r="X707" s="39"/>
      <c r="Y707" s="74"/>
      <c r="Z707" s="74" t="str">
        <f>IF(OR(Table5[[#This Row],[Per Person Package Cost]]="", Table5[[#This Row],[No. of Pax]]=""), "", Table5[[#This Row],[Per Person Package Cost]] * Table5[[#This Row],[No. of Pax]])</f>
        <v/>
      </c>
      <c r="AA707" s="52"/>
      <c r="AB707" s="52"/>
      <c r="AC707" s="52"/>
      <c r="AD707" s="52"/>
      <c r="AE707" s="51" t="str">
        <f t="shared" si="65"/>
        <v/>
      </c>
      <c r="AF707" s="51" t="str">
        <f t="shared" si="66"/>
        <v/>
      </c>
      <c r="AG707" s="74" t="str">
        <f t="shared" si="67"/>
        <v/>
      </c>
      <c r="AH707" s="73" t="str">
        <f t="shared" si="68"/>
        <v/>
      </c>
      <c r="AI707" s="52"/>
      <c r="AJ707" s="56"/>
      <c r="AK707" s="59"/>
      <c r="AL707" s="60"/>
      <c r="AM707" s="54"/>
      <c r="AN707" s="64"/>
      <c r="AO707" s="26"/>
      <c r="AP707" s="93"/>
      <c r="AQ707" s="87"/>
      <c r="AR707" s="26"/>
      <c r="AS707" s="65"/>
      <c r="AT707" s="88"/>
      <c r="AU707" s="67"/>
      <c r="DA707" t="str" cm="1">
        <f t="array" ref="DA707">IF(U707&lt;&gt;"", TRANSPOSE(_xlfn._xlws.FILTER(CZ:CZ, CY:CY=U707, "")), "")</f>
        <v/>
      </c>
    </row>
    <row r="708" spans="2:105">
      <c r="B708" s="35">
        <v>704</v>
      </c>
      <c r="C708" s="36" t="s">
        <v>2573</v>
      </c>
      <c r="D708" s="76"/>
      <c r="E708" s="37" t="str">
        <f>IF(Table5[[#This Row],[Query Date]]&lt;&gt;"", TEXT(Table5[[#This Row],[Query Date]], "dddd"), "")</f>
        <v/>
      </c>
      <c r="F708" s="37" t="str">
        <f>IF(Table5[[#This Row],[Query Date]]&lt;&gt;"", TEXT(Table5[[#This Row],[Query Date]], "mmmm"), "")</f>
        <v/>
      </c>
      <c r="G708" s="28"/>
      <c r="H708" s="28"/>
      <c r="I708" s="28"/>
      <c r="J708" s="28"/>
      <c r="K708" s="28"/>
      <c r="L708" s="25"/>
      <c r="M708" s="25"/>
      <c r="N708" s="25"/>
      <c r="O708" s="130"/>
      <c r="P708" s="47"/>
      <c r="Q708" s="77"/>
      <c r="R708" s="77" t="str">
        <f>IF(Table5[[#This Row],[Tour Starting Date]]&lt;&gt;"", TEXT(Table5[[#This Row],[Tour Starting Date]], "dddd"), "")</f>
        <v/>
      </c>
      <c r="S708" s="77"/>
      <c r="T708" s="25" t="str">
        <f>IF(Table5[[#This Row],[Tour Ending Date]]&lt;&gt;"", TEXT(Table5[[#This Row],[Tour Ending Date]], "dddd"), "")</f>
        <v/>
      </c>
      <c r="U70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08" s="37" t="str">
        <f>IF(Table5[[#This Row],[Tour Starting Date]]&lt;&gt;"", TEXT(Table5[[#This Row],[Tour Starting Date]], "mmmm"), "")</f>
        <v/>
      </c>
      <c r="W708" s="80" t="str" cm="1">
        <f t="array" ref="W708">IF(Q708&lt;&gt;"", INDEX(CI:CI, MATCH(1, (Q708&gt;=CG:CG)*(Q708&lt;=CH:CH), 0)), "")</f>
        <v/>
      </c>
      <c r="X708" s="39"/>
      <c r="Y708" s="74"/>
      <c r="Z708" s="74" t="str">
        <f>IF(OR(Table5[[#This Row],[Per Person Package Cost]]="", Table5[[#This Row],[No. of Pax]]=""), "", Table5[[#This Row],[Per Person Package Cost]] * Table5[[#This Row],[No. of Pax]])</f>
        <v/>
      </c>
      <c r="AA708" s="52"/>
      <c r="AB708" s="52"/>
      <c r="AC708" s="52"/>
      <c r="AD708" s="52"/>
      <c r="AE708" s="51" t="str">
        <f t="shared" si="65"/>
        <v/>
      </c>
      <c r="AF708" s="51" t="str">
        <f t="shared" si="66"/>
        <v/>
      </c>
      <c r="AG708" s="74" t="str">
        <f t="shared" si="67"/>
        <v/>
      </c>
      <c r="AH708" s="73" t="str">
        <f t="shared" si="68"/>
        <v/>
      </c>
      <c r="AI708" s="52"/>
      <c r="AJ708" s="56"/>
      <c r="AK708" s="59"/>
      <c r="AL708" s="60"/>
      <c r="AM708" s="54"/>
      <c r="AN708" s="64"/>
      <c r="AO708" s="26"/>
      <c r="AP708" s="93"/>
      <c r="AQ708" s="87"/>
      <c r="AR708" s="26"/>
      <c r="AS708" s="65"/>
      <c r="AT708" s="88"/>
      <c r="AU708" s="67"/>
      <c r="DA708" t="str" cm="1">
        <f t="array" ref="DA708">IF(U708&lt;&gt;"", TRANSPOSE(_xlfn._xlws.FILTER(CZ:CZ, CY:CY=U708, "")), "")</f>
        <v/>
      </c>
    </row>
    <row r="709" spans="2:105">
      <c r="B709" s="35">
        <v>705</v>
      </c>
      <c r="C709" s="36" t="s">
        <v>2574</v>
      </c>
      <c r="D709" s="76"/>
      <c r="E709" s="37" t="str">
        <f>IF(Table5[[#This Row],[Query Date]]&lt;&gt;"", TEXT(Table5[[#This Row],[Query Date]], "dddd"), "")</f>
        <v/>
      </c>
      <c r="F709" s="37" t="str">
        <f>IF(Table5[[#This Row],[Query Date]]&lt;&gt;"", TEXT(Table5[[#This Row],[Query Date]], "mmmm"), "")</f>
        <v/>
      </c>
      <c r="G709" s="28"/>
      <c r="H709" s="28"/>
      <c r="I709" s="28"/>
      <c r="J709" s="28"/>
      <c r="K709" s="28"/>
      <c r="L709" s="25"/>
      <c r="M709" s="25"/>
      <c r="N709" s="25"/>
      <c r="O709" s="130"/>
      <c r="P709" s="47"/>
      <c r="Q709" s="77"/>
      <c r="R709" s="77" t="str">
        <f>IF(Table5[[#This Row],[Tour Starting Date]]&lt;&gt;"", TEXT(Table5[[#This Row],[Tour Starting Date]], "dddd"), "")</f>
        <v/>
      </c>
      <c r="S709" s="77"/>
      <c r="T709" s="25" t="str">
        <f>IF(Table5[[#This Row],[Tour Ending Date]]&lt;&gt;"", TEXT(Table5[[#This Row],[Tour Ending Date]], "dddd"), "")</f>
        <v/>
      </c>
      <c r="U70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09" s="37" t="str">
        <f>IF(Table5[[#This Row],[Tour Starting Date]]&lt;&gt;"", TEXT(Table5[[#This Row],[Tour Starting Date]], "mmmm"), "")</f>
        <v/>
      </c>
      <c r="W709" s="80" t="str" cm="1">
        <f t="array" ref="W709">IF(Q709&lt;&gt;"", INDEX(CI:CI, MATCH(1, (Q709&gt;=CG:CG)*(Q709&lt;=CH:CH), 0)), "")</f>
        <v/>
      </c>
      <c r="X709" s="39"/>
      <c r="Y709" s="74"/>
      <c r="Z709" s="74" t="str">
        <f>IF(OR(Table5[[#This Row],[Per Person Package Cost]]="", Table5[[#This Row],[No. of Pax]]=""), "", Table5[[#This Row],[Per Person Package Cost]] * Table5[[#This Row],[No. of Pax]])</f>
        <v/>
      </c>
      <c r="AA709" s="52"/>
      <c r="AB709" s="52"/>
      <c r="AC709" s="52"/>
      <c r="AD709" s="52"/>
      <c r="AE709" s="51" t="str">
        <f t="shared" ref="AE709:AE772" si="69">IF(AD709&lt;&gt;"", INDEX(CW:CW, MATCH(AD709, CZ:CZ, 0)), "")</f>
        <v/>
      </c>
      <c r="AF709" s="51" t="str">
        <f t="shared" ref="AF709:AF772" si="70">IF(AD709&lt;&gt;"", INDEX(CX:CX, MATCH(AD709, CZ:CZ, 0)), "")</f>
        <v/>
      </c>
      <c r="AG709" s="74" t="str">
        <f t="shared" ref="AG709:AG772" si="71">IF(AE709&lt;&gt;"", INDEX(CU:CU, MATCH(AE709, CW:CW, 0)), "")</f>
        <v/>
      </c>
      <c r="AH709" s="73" t="str">
        <f t="shared" si="68"/>
        <v/>
      </c>
      <c r="AI709" s="52"/>
      <c r="AJ709" s="56"/>
      <c r="AK709" s="59"/>
      <c r="AL709" s="60"/>
      <c r="AM709" s="54"/>
      <c r="AN709" s="64"/>
      <c r="AO709" s="26"/>
      <c r="AP709" s="93"/>
      <c r="AQ709" s="87"/>
      <c r="AR709" s="26"/>
      <c r="AS709" s="65"/>
      <c r="AT709" s="88"/>
      <c r="AU709" s="67"/>
      <c r="DA709" t="str" cm="1">
        <f t="array" ref="DA709">IF(U709&lt;&gt;"", TRANSPOSE(_xlfn._xlws.FILTER(CZ:CZ, CY:CY=U709, "")), "")</f>
        <v/>
      </c>
    </row>
    <row r="710" spans="2:105">
      <c r="B710" s="35">
        <v>706</v>
      </c>
      <c r="C710" s="36" t="s">
        <v>2575</v>
      </c>
      <c r="D710" s="76"/>
      <c r="E710" s="37" t="str">
        <f>IF(Table5[[#This Row],[Query Date]]&lt;&gt;"", TEXT(Table5[[#This Row],[Query Date]], "dddd"), "")</f>
        <v/>
      </c>
      <c r="F710" s="37" t="str">
        <f>IF(Table5[[#This Row],[Query Date]]&lt;&gt;"", TEXT(Table5[[#This Row],[Query Date]], "mmmm"), "")</f>
        <v/>
      </c>
      <c r="G710" s="28"/>
      <c r="H710" s="28"/>
      <c r="I710" s="28"/>
      <c r="J710" s="28"/>
      <c r="K710" s="28"/>
      <c r="L710" s="25"/>
      <c r="M710" s="25"/>
      <c r="N710" s="25"/>
      <c r="O710" s="130"/>
      <c r="P710" s="47"/>
      <c r="Q710" s="77"/>
      <c r="R710" s="77" t="str">
        <f>IF(Table5[[#This Row],[Tour Starting Date]]&lt;&gt;"", TEXT(Table5[[#This Row],[Tour Starting Date]], "dddd"), "")</f>
        <v/>
      </c>
      <c r="S710" s="77"/>
      <c r="T710" s="25" t="str">
        <f>IF(Table5[[#This Row],[Tour Ending Date]]&lt;&gt;"", TEXT(Table5[[#This Row],[Tour Ending Date]], "dddd"), "")</f>
        <v/>
      </c>
      <c r="U71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10" s="37" t="str">
        <f>IF(Table5[[#This Row],[Tour Starting Date]]&lt;&gt;"", TEXT(Table5[[#This Row],[Tour Starting Date]], "mmmm"), "")</f>
        <v/>
      </c>
      <c r="W710" s="80" t="str" cm="1">
        <f t="array" ref="W710">IF(Q710&lt;&gt;"", INDEX(CI:CI, MATCH(1, (Q710&gt;=CG:CG)*(Q710&lt;=CH:CH), 0)), "")</f>
        <v/>
      </c>
      <c r="X710" s="39"/>
      <c r="Y710" s="74"/>
      <c r="Z710" s="74" t="str">
        <f>IF(OR(Table5[[#This Row],[Per Person Package Cost]]="", Table5[[#This Row],[No. of Pax]]=""), "", Table5[[#This Row],[Per Person Package Cost]] * Table5[[#This Row],[No. of Pax]])</f>
        <v/>
      </c>
      <c r="AA710" s="52"/>
      <c r="AB710" s="52"/>
      <c r="AC710" s="52"/>
      <c r="AD710" s="52"/>
      <c r="AE710" s="51" t="str">
        <f t="shared" si="69"/>
        <v/>
      </c>
      <c r="AF710" s="51" t="str">
        <f t="shared" si="70"/>
        <v/>
      </c>
      <c r="AG710" s="74" t="str">
        <f t="shared" si="71"/>
        <v/>
      </c>
      <c r="AH710" s="73" t="str">
        <f t="shared" si="68"/>
        <v/>
      </c>
      <c r="AI710" s="52"/>
      <c r="AJ710" s="56"/>
      <c r="AK710" s="59"/>
      <c r="AL710" s="60"/>
      <c r="AM710" s="54"/>
      <c r="AN710" s="64"/>
      <c r="AO710" s="26"/>
      <c r="AP710" s="93"/>
      <c r="AQ710" s="87"/>
      <c r="AR710" s="26"/>
      <c r="AS710" s="65"/>
      <c r="AT710" s="88"/>
      <c r="AU710" s="67"/>
      <c r="DA710" t="str" cm="1">
        <f t="array" ref="DA710">IF(U710&lt;&gt;"", TRANSPOSE(_xlfn._xlws.FILTER(CZ:CZ, CY:CY=U710, "")), "")</f>
        <v/>
      </c>
    </row>
    <row r="711" spans="2:105">
      <c r="B711" s="35">
        <v>707</v>
      </c>
      <c r="C711" s="36" t="s">
        <v>2576</v>
      </c>
      <c r="D711" s="76"/>
      <c r="E711" s="37" t="str">
        <f>IF(Table5[[#This Row],[Query Date]]&lt;&gt;"", TEXT(Table5[[#This Row],[Query Date]], "dddd"), "")</f>
        <v/>
      </c>
      <c r="F711" s="37" t="str">
        <f>IF(Table5[[#This Row],[Query Date]]&lt;&gt;"", TEXT(Table5[[#This Row],[Query Date]], "mmmm"), "")</f>
        <v/>
      </c>
      <c r="G711" s="28"/>
      <c r="H711" s="28"/>
      <c r="I711" s="28"/>
      <c r="J711" s="28"/>
      <c r="K711" s="28"/>
      <c r="L711" s="25"/>
      <c r="M711" s="25"/>
      <c r="N711" s="25"/>
      <c r="O711" s="130"/>
      <c r="P711" s="47"/>
      <c r="Q711" s="77"/>
      <c r="R711" s="77" t="str">
        <f>IF(Table5[[#This Row],[Tour Starting Date]]&lt;&gt;"", TEXT(Table5[[#This Row],[Tour Starting Date]], "dddd"), "")</f>
        <v/>
      </c>
      <c r="S711" s="77"/>
      <c r="T711" s="25" t="str">
        <f>IF(Table5[[#This Row],[Tour Ending Date]]&lt;&gt;"", TEXT(Table5[[#This Row],[Tour Ending Date]], "dddd"), "")</f>
        <v/>
      </c>
      <c r="U71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11" s="37" t="str">
        <f>IF(Table5[[#This Row],[Tour Starting Date]]&lt;&gt;"", TEXT(Table5[[#This Row],[Tour Starting Date]], "mmmm"), "")</f>
        <v/>
      </c>
      <c r="W711" s="80" t="str" cm="1">
        <f t="array" ref="W711">IF(Q711&lt;&gt;"", INDEX(CI:CI, MATCH(1, (Q711&gt;=CG:CG)*(Q711&lt;=CH:CH), 0)), "")</f>
        <v/>
      </c>
      <c r="X711" s="39"/>
      <c r="Y711" s="74"/>
      <c r="Z711" s="74" t="str">
        <f>IF(OR(Table5[[#This Row],[Per Person Package Cost]]="", Table5[[#This Row],[No. of Pax]]=""), "", Table5[[#This Row],[Per Person Package Cost]] * Table5[[#This Row],[No. of Pax]])</f>
        <v/>
      </c>
      <c r="AA711" s="52"/>
      <c r="AB711" s="52"/>
      <c r="AC711" s="52"/>
      <c r="AD711" s="52"/>
      <c r="AE711" s="51" t="str">
        <f t="shared" si="69"/>
        <v/>
      </c>
      <c r="AF711" s="51" t="str">
        <f t="shared" si="70"/>
        <v/>
      </c>
      <c r="AG711" s="74" t="str">
        <f t="shared" si="71"/>
        <v/>
      </c>
      <c r="AH711" s="73" t="str">
        <f t="shared" si="68"/>
        <v/>
      </c>
      <c r="AI711" s="52"/>
      <c r="AJ711" s="56"/>
      <c r="AK711" s="59"/>
      <c r="AL711" s="60"/>
      <c r="AM711" s="54"/>
      <c r="AN711" s="64"/>
      <c r="AO711" s="26"/>
      <c r="AP711" s="93"/>
      <c r="AQ711" s="87"/>
      <c r="AR711" s="26"/>
      <c r="AS711" s="65"/>
      <c r="AT711" s="88"/>
      <c r="AU711" s="67"/>
      <c r="DA711" t="str" cm="1">
        <f t="array" ref="DA711">IF(U711&lt;&gt;"", TRANSPOSE(_xlfn._xlws.FILTER(CZ:CZ, CY:CY=U711, "")), "")</f>
        <v/>
      </c>
    </row>
    <row r="712" spans="2:105">
      <c r="B712" s="35">
        <v>708</v>
      </c>
      <c r="C712" s="36" t="s">
        <v>2577</v>
      </c>
      <c r="D712" s="76"/>
      <c r="E712" s="37" t="str">
        <f>IF(Table5[[#This Row],[Query Date]]&lt;&gt;"", TEXT(Table5[[#This Row],[Query Date]], "dddd"), "")</f>
        <v/>
      </c>
      <c r="F712" s="37" t="str">
        <f>IF(Table5[[#This Row],[Query Date]]&lt;&gt;"", TEXT(Table5[[#This Row],[Query Date]], "mmmm"), "")</f>
        <v/>
      </c>
      <c r="G712" s="28"/>
      <c r="H712" s="28"/>
      <c r="I712" s="28"/>
      <c r="J712" s="28"/>
      <c r="K712" s="28"/>
      <c r="L712" s="25"/>
      <c r="M712" s="25"/>
      <c r="N712" s="25"/>
      <c r="O712" s="130"/>
      <c r="P712" s="47"/>
      <c r="Q712" s="77"/>
      <c r="R712" s="77" t="str">
        <f>IF(Table5[[#This Row],[Tour Starting Date]]&lt;&gt;"", TEXT(Table5[[#This Row],[Tour Starting Date]], "dddd"), "")</f>
        <v/>
      </c>
      <c r="S712" s="77"/>
      <c r="T712" s="25" t="str">
        <f>IF(Table5[[#This Row],[Tour Ending Date]]&lt;&gt;"", TEXT(Table5[[#This Row],[Tour Ending Date]], "dddd"), "")</f>
        <v/>
      </c>
      <c r="U71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12" s="37" t="str">
        <f>IF(Table5[[#This Row],[Tour Starting Date]]&lt;&gt;"", TEXT(Table5[[#This Row],[Tour Starting Date]], "mmmm"), "")</f>
        <v/>
      </c>
      <c r="W712" s="80" t="str" cm="1">
        <f t="array" ref="W712">IF(Q712&lt;&gt;"", INDEX(CI:CI, MATCH(1, (Q712&gt;=CG:CG)*(Q712&lt;=CH:CH), 0)), "")</f>
        <v/>
      </c>
      <c r="X712" s="39"/>
      <c r="Y712" s="74"/>
      <c r="Z712" s="74" t="str">
        <f>IF(OR(Table5[[#This Row],[Per Person Package Cost]]="", Table5[[#This Row],[No. of Pax]]=""), "", Table5[[#This Row],[Per Person Package Cost]] * Table5[[#This Row],[No. of Pax]])</f>
        <v/>
      </c>
      <c r="AA712" s="52"/>
      <c r="AB712" s="52"/>
      <c r="AC712" s="52"/>
      <c r="AD712" s="52"/>
      <c r="AE712" s="51" t="str">
        <f t="shared" si="69"/>
        <v/>
      </c>
      <c r="AF712" s="51" t="str">
        <f t="shared" si="70"/>
        <v/>
      </c>
      <c r="AG712" s="74" t="str">
        <f t="shared" si="71"/>
        <v/>
      </c>
      <c r="AH712" s="73" t="str">
        <f t="shared" si="68"/>
        <v/>
      </c>
      <c r="AI712" s="52"/>
      <c r="AJ712" s="56"/>
      <c r="AK712" s="59"/>
      <c r="AL712" s="60"/>
      <c r="AM712" s="54"/>
      <c r="AN712" s="64"/>
      <c r="AO712" s="26"/>
      <c r="AP712" s="93"/>
      <c r="AQ712" s="87"/>
      <c r="AR712" s="26"/>
      <c r="AS712" s="65"/>
      <c r="AT712" s="88"/>
      <c r="AU712" s="67"/>
      <c r="DA712" t="str" cm="1">
        <f t="array" ref="DA712">IF(U712&lt;&gt;"", TRANSPOSE(_xlfn._xlws.FILTER(CZ:CZ, CY:CY=U712, "")), "")</f>
        <v/>
      </c>
    </row>
    <row r="713" spans="2:105">
      <c r="B713" s="35">
        <v>709</v>
      </c>
      <c r="C713" s="36" t="s">
        <v>2578</v>
      </c>
      <c r="D713" s="76"/>
      <c r="E713" s="37" t="str">
        <f>IF(Table5[[#This Row],[Query Date]]&lt;&gt;"", TEXT(Table5[[#This Row],[Query Date]], "dddd"), "")</f>
        <v/>
      </c>
      <c r="F713" s="37" t="str">
        <f>IF(Table5[[#This Row],[Query Date]]&lt;&gt;"", TEXT(Table5[[#This Row],[Query Date]], "mmmm"), "")</f>
        <v/>
      </c>
      <c r="G713" s="28"/>
      <c r="H713" s="28"/>
      <c r="I713" s="28"/>
      <c r="J713" s="28"/>
      <c r="K713" s="28"/>
      <c r="L713" s="25"/>
      <c r="M713" s="25"/>
      <c r="N713" s="25"/>
      <c r="O713" s="130"/>
      <c r="P713" s="47"/>
      <c r="Q713" s="77"/>
      <c r="R713" s="77" t="str">
        <f>IF(Table5[[#This Row],[Tour Starting Date]]&lt;&gt;"", TEXT(Table5[[#This Row],[Tour Starting Date]], "dddd"), "")</f>
        <v/>
      </c>
      <c r="S713" s="77"/>
      <c r="T713" s="25" t="str">
        <f>IF(Table5[[#This Row],[Tour Ending Date]]&lt;&gt;"", TEXT(Table5[[#This Row],[Tour Ending Date]], "dddd"), "")</f>
        <v/>
      </c>
      <c r="U71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13" s="37" t="str">
        <f>IF(Table5[[#This Row],[Tour Starting Date]]&lt;&gt;"", TEXT(Table5[[#This Row],[Tour Starting Date]], "mmmm"), "")</f>
        <v/>
      </c>
      <c r="W713" s="80" t="str" cm="1">
        <f t="array" ref="W713">IF(Q713&lt;&gt;"", INDEX(CI:CI, MATCH(1, (Q713&gt;=CG:CG)*(Q713&lt;=CH:CH), 0)), "")</f>
        <v/>
      </c>
      <c r="X713" s="39"/>
      <c r="Y713" s="74"/>
      <c r="Z713" s="74" t="str">
        <f>IF(OR(Table5[[#This Row],[Per Person Package Cost]]="", Table5[[#This Row],[No. of Pax]]=""), "", Table5[[#This Row],[Per Person Package Cost]] * Table5[[#This Row],[No. of Pax]])</f>
        <v/>
      </c>
      <c r="AA713" s="52"/>
      <c r="AB713" s="52"/>
      <c r="AC713" s="52"/>
      <c r="AD713" s="52"/>
      <c r="AE713" s="51" t="str">
        <f t="shared" si="69"/>
        <v/>
      </c>
      <c r="AF713" s="51" t="str">
        <f t="shared" si="70"/>
        <v/>
      </c>
      <c r="AG713" s="74" t="str">
        <f t="shared" si="71"/>
        <v/>
      </c>
      <c r="AH713" s="73" t="str">
        <f t="shared" si="68"/>
        <v/>
      </c>
      <c r="AI713" s="52"/>
      <c r="AJ713" s="56"/>
      <c r="AK713" s="59"/>
      <c r="AL713" s="60"/>
      <c r="AM713" s="54"/>
      <c r="AN713" s="64"/>
      <c r="AO713" s="26"/>
      <c r="AP713" s="93"/>
      <c r="AQ713" s="87"/>
      <c r="AR713" s="26"/>
      <c r="AS713" s="65"/>
      <c r="AT713" s="88"/>
      <c r="AU713" s="67"/>
      <c r="DA713" t="str" cm="1">
        <f t="array" ref="DA713">IF(U713&lt;&gt;"", TRANSPOSE(_xlfn._xlws.FILTER(CZ:CZ, CY:CY=U713, "")), "")</f>
        <v/>
      </c>
    </row>
    <row r="714" spans="2:105">
      <c r="B714" s="35">
        <v>710</v>
      </c>
      <c r="C714" s="36" t="s">
        <v>2579</v>
      </c>
      <c r="D714" s="76"/>
      <c r="E714" s="37" t="str">
        <f>IF(Table5[[#This Row],[Query Date]]&lt;&gt;"", TEXT(Table5[[#This Row],[Query Date]], "dddd"), "")</f>
        <v/>
      </c>
      <c r="F714" s="37" t="str">
        <f>IF(Table5[[#This Row],[Query Date]]&lt;&gt;"", TEXT(Table5[[#This Row],[Query Date]], "mmmm"), "")</f>
        <v/>
      </c>
      <c r="G714" s="28"/>
      <c r="H714" s="28"/>
      <c r="I714" s="28"/>
      <c r="J714" s="28"/>
      <c r="K714" s="28"/>
      <c r="L714" s="25"/>
      <c r="M714" s="25"/>
      <c r="N714" s="25"/>
      <c r="O714" s="130"/>
      <c r="P714" s="47"/>
      <c r="Q714" s="77"/>
      <c r="R714" s="77" t="str">
        <f>IF(Table5[[#This Row],[Tour Starting Date]]&lt;&gt;"", TEXT(Table5[[#This Row],[Tour Starting Date]], "dddd"), "")</f>
        <v/>
      </c>
      <c r="S714" s="77"/>
      <c r="T714" s="25" t="str">
        <f>IF(Table5[[#This Row],[Tour Ending Date]]&lt;&gt;"", TEXT(Table5[[#This Row],[Tour Ending Date]], "dddd"), "")</f>
        <v/>
      </c>
      <c r="U71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14" s="37" t="str">
        <f>IF(Table5[[#This Row],[Tour Starting Date]]&lt;&gt;"", TEXT(Table5[[#This Row],[Tour Starting Date]], "mmmm"), "")</f>
        <v/>
      </c>
      <c r="W714" s="80" t="str" cm="1">
        <f t="array" ref="W714">IF(Q714&lt;&gt;"", INDEX(CI:CI, MATCH(1, (Q714&gt;=CG:CG)*(Q714&lt;=CH:CH), 0)), "")</f>
        <v/>
      </c>
      <c r="X714" s="39"/>
      <c r="Y714" s="74"/>
      <c r="Z714" s="74" t="str">
        <f>IF(OR(Table5[[#This Row],[Per Person Package Cost]]="", Table5[[#This Row],[No. of Pax]]=""), "", Table5[[#This Row],[Per Person Package Cost]] * Table5[[#This Row],[No. of Pax]])</f>
        <v/>
      </c>
      <c r="AA714" s="52"/>
      <c r="AB714" s="52"/>
      <c r="AC714" s="52"/>
      <c r="AD714" s="52"/>
      <c r="AE714" s="51" t="str">
        <f t="shared" si="69"/>
        <v/>
      </c>
      <c r="AF714" s="51" t="str">
        <f t="shared" si="70"/>
        <v/>
      </c>
      <c r="AG714" s="74" t="str">
        <f t="shared" si="71"/>
        <v/>
      </c>
      <c r="AH714" s="73" t="str">
        <f t="shared" si="68"/>
        <v/>
      </c>
      <c r="AI714" s="52"/>
      <c r="AJ714" s="56"/>
      <c r="AK714" s="59"/>
      <c r="AL714" s="60"/>
      <c r="AM714" s="54"/>
      <c r="AN714" s="64"/>
      <c r="AO714" s="26"/>
      <c r="AP714" s="93"/>
      <c r="AQ714" s="87"/>
      <c r="AR714" s="26"/>
      <c r="AS714" s="65"/>
      <c r="AT714" s="88"/>
      <c r="AU714" s="67"/>
      <c r="DA714" t="str" cm="1">
        <f t="array" ref="DA714">IF(U714&lt;&gt;"", TRANSPOSE(_xlfn._xlws.FILTER(CZ:CZ, CY:CY=U714, "")), "")</f>
        <v/>
      </c>
    </row>
    <row r="715" spans="2:105">
      <c r="B715" s="35">
        <v>711</v>
      </c>
      <c r="C715" s="36" t="s">
        <v>2580</v>
      </c>
      <c r="D715" s="76"/>
      <c r="E715" s="37" t="str">
        <f>IF(Table5[[#This Row],[Query Date]]&lt;&gt;"", TEXT(Table5[[#This Row],[Query Date]], "dddd"), "")</f>
        <v/>
      </c>
      <c r="F715" s="37" t="str">
        <f>IF(Table5[[#This Row],[Query Date]]&lt;&gt;"", TEXT(Table5[[#This Row],[Query Date]], "mmmm"), "")</f>
        <v/>
      </c>
      <c r="G715" s="28"/>
      <c r="H715" s="28"/>
      <c r="I715" s="28"/>
      <c r="J715" s="28"/>
      <c r="K715" s="28"/>
      <c r="L715" s="25"/>
      <c r="M715" s="25"/>
      <c r="N715" s="25"/>
      <c r="O715" s="130"/>
      <c r="P715" s="47"/>
      <c r="Q715" s="77"/>
      <c r="R715" s="77" t="str">
        <f>IF(Table5[[#This Row],[Tour Starting Date]]&lt;&gt;"", TEXT(Table5[[#This Row],[Tour Starting Date]], "dddd"), "")</f>
        <v/>
      </c>
      <c r="S715" s="77"/>
      <c r="T715" s="25" t="str">
        <f>IF(Table5[[#This Row],[Tour Ending Date]]&lt;&gt;"", TEXT(Table5[[#This Row],[Tour Ending Date]], "dddd"), "")</f>
        <v/>
      </c>
      <c r="U71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15" s="37" t="str">
        <f>IF(Table5[[#This Row],[Tour Starting Date]]&lt;&gt;"", TEXT(Table5[[#This Row],[Tour Starting Date]], "mmmm"), "")</f>
        <v/>
      </c>
      <c r="W715" s="80" t="str" cm="1">
        <f t="array" ref="W715">IF(Q715&lt;&gt;"", INDEX(CI:CI, MATCH(1, (Q715&gt;=CG:CG)*(Q715&lt;=CH:CH), 0)), "")</f>
        <v/>
      </c>
      <c r="X715" s="39"/>
      <c r="Y715" s="74"/>
      <c r="Z715" s="74" t="str">
        <f>IF(OR(Table5[[#This Row],[Per Person Package Cost]]="", Table5[[#This Row],[No. of Pax]]=""), "", Table5[[#This Row],[Per Person Package Cost]] * Table5[[#This Row],[No. of Pax]])</f>
        <v/>
      </c>
      <c r="AA715" s="52"/>
      <c r="AB715" s="52"/>
      <c r="AC715" s="52"/>
      <c r="AD715" s="52"/>
      <c r="AE715" s="51" t="str">
        <f t="shared" si="69"/>
        <v/>
      </c>
      <c r="AF715" s="51" t="str">
        <f t="shared" si="70"/>
        <v/>
      </c>
      <c r="AG715" s="74" t="str">
        <f t="shared" si="71"/>
        <v/>
      </c>
      <c r="AH715" s="73" t="str">
        <f t="shared" si="68"/>
        <v/>
      </c>
      <c r="AI715" s="52"/>
      <c r="AJ715" s="56"/>
      <c r="AK715" s="59"/>
      <c r="AL715" s="60"/>
      <c r="AM715" s="54"/>
      <c r="AN715" s="64"/>
      <c r="AO715" s="26"/>
      <c r="AP715" s="93"/>
      <c r="AQ715" s="87"/>
      <c r="AR715" s="26"/>
      <c r="AS715" s="65"/>
      <c r="AT715" s="88"/>
      <c r="AU715" s="67"/>
      <c r="DA715" t="str" cm="1">
        <f t="array" ref="DA715">IF(U715&lt;&gt;"", TRANSPOSE(_xlfn._xlws.FILTER(CZ:CZ, CY:CY=U715, "")), "")</f>
        <v/>
      </c>
    </row>
    <row r="716" spans="2:105">
      <c r="B716" s="35">
        <v>712</v>
      </c>
      <c r="C716" s="36" t="s">
        <v>2581</v>
      </c>
      <c r="D716" s="76"/>
      <c r="E716" s="37" t="str">
        <f>IF(Table5[[#This Row],[Query Date]]&lt;&gt;"", TEXT(Table5[[#This Row],[Query Date]], "dddd"), "")</f>
        <v/>
      </c>
      <c r="F716" s="37" t="str">
        <f>IF(Table5[[#This Row],[Query Date]]&lt;&gt;"", TEXT(Table5[[#This Row],[Query Date]], "mmmm"), "")</f>
        <v/>
      </c>
      <c r="G716" s="28"/>
      <c r="H716" s="28"/>
      <c r="I716" s="28"/>
      <c r="J716" s="28"/>
      <c r="K716" s="28"/>
      <c r="L716" s="25"/>
      <c r="M716" s="25"/>
      <c r="N716" s="25"/>
      <c r="O716" s="130"/>
      <c r="P716" s="47"/>
      <c r="Q716" s="77"/>
      <c r="R716" s="77" t="str">
        <f>IF(Table5[[#This Row],[Tour Starting Date]]&lt;&gt;"", TEXT(Table5[[#This Row],[Tour Starting Date]], "dddd"), "")</f>
        <v/>
      </c>
      <c r="S716" s="77"/>
      <c r="T716" s="25" t="str">
        <f>IF(Table5[[#This Row],[Tour Ending Date]]&lt;&gt;"", TEXT(Table5[[#This Row],[Tour Ending Date]], "dddd"), "")</f>
        <v/>
      </c>
      <c r="U71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16" s="37" t="str">
        <f>IF(Table5[[#This Row],[Tour Starting Date]]&lt;&gt;"", TEXT(Table5[[#This Row],[Tour Starting Date]], "mmmm"), "")</f>
        <v/>
      </c>
      <c r="W716" s="80" t="str" cm="1">
        <f t="array" ref="W716">IF(Q716&lt;&gt;"", INDEX(CI:CI, MATCH(1, (Q716&gt;=CG:CG)*(Q716&lt;=CH:CH), 0)), "")</f>
        <v/>
      </c>
      <c r="X716" s="39"/>
      <c r="Y716" s="74"/>
      <c r="Z716" s="74" t="str">
        <f>IF(OR(Table5[[#This Row],[Per Person Package Cost]]="", Table5[[#This Row],[No. of Pax]]=""), "", Table5[[#This Row],[Per Person Package Cost]] * Table5[[#This Row],[No. of Pax]])</f>
        <v/>
      </c>
      <c r="AA716" s="52"/>
      <c r="AB716" s="52"/>
      <c r="AC716" s="52"/>
      <c r="AD716" s="52"/>
      <c r="AE716" s="51" t="str">
        <f t="shared" si="69"/>
        <v/>
      </c>
      <c r="AF716" s="51" t="str">
        <f t="shared" si="70"/>
        <v/>
      </c>
      <c r="AG716" s="74" t="str">
        <f t="shared" si="71"/>
        <v/>
      </c>
      <c r="AH716" s="73" t="str">
        <f t="shared" si="68"/>
        <v/>
      </c>
      <c r="AI716" s="52"/>
      <c r="AJ716" s="56"/>
      <c r="AK716" s="59"/>
      <c r="AL716" s="60"/>
      <c r="AM716" s="54"/>
      <c r="AN716" s="64"/>
      <c r="AO716" s="26"/>
      <c r="AP716" s="93"/>
      <c r="AQ716" s="87"/>
      <c r="AR716" s="26"/>
      <c r="AS716" s="65"/>
      <c r="AT716" s="88"/>
      <c r="AU716" s="67"/>
      <c r="DA716" t="str" cm="1">
        <f t="array" ref="DA716">IF(U716&lt;&gt;"", TRANSPOSE(_xlfn._xlws.FILTER(CZ:CZ, CY:CY=U716, "")), "")</f>
        <v/>
      </c>
    </row>
    <row r="717" spans="2:105">
      <c r="B717" s="35">
        <v>713</v>
      </c>
      <c r="C717" s="36" t="s">
        <v>2582</v>
      </c>
      <c r="D717" s="76"/>
      <c r="E717" s="37" t="str">
        <f>IF(Table5[[#This Row],[Query Date]]&lt;&gt;"", TEXT(Table5[[#This Row],[Query Date]], "dddd"), "")</f>
        <v/>
      </c>
      <c r="F717" s="37" t="str">
        <f>IF(Table5[[#This Row],[Query Date]]&lt;&gt;"", TEXT(Table5[[#This Row],[Query Date]], "mmmm"), "")</f>
        <v/>
      </c>
      <c r="G717" s="28"/>
      <c r="H717" s="28"/>
      <c r="I717" s="28"/>
      <c r="J717" s="28"/>
      <c r="K717" s="28"/>
      <c r="L717" s="25"/>
      <c r="M717" s="25"/>
      <c r="N717" s="25"/>
      <c r="O717" s="130"/>
      <c r="P717" s="47"/>
      <c r="Q717" s="77"/>
      <c r="R717" s="77" t="str">
        <f>IF(Table5[[#This Row],[Tour Starting Date]]&lt;&gt;"", TEXT(Table5[[#This Row],[Tour Starting Date]], "dddd"), "")</f>
        <v/>
      </c>
      <c r="S717" s="77"/>
      <c r="T717" s="25" t="str">
        <f>IF(Table5[[#This Row],[Tour Ending Date]]&lt;&gt;"", TEXT(Table5[[#This Row],[Tour Ending Date]], "dddd"), "")</f>
        <v/>
      </c>
      <c r="U71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17" s="37" t="str">
        <f>IF(Table5[[#This Row],[Tour Starting Date]]&lt;&gt;"", TEXT(Table5[[#This Row],[Tour Starting Date]], "mmmm"), "")</f>
        <v/>
      </c>
      <c r="W717" s="80" t="str" cm="1">
        <f t="array" ref="W717">IF(Q717&lt;&gt;"", INDEX(CI:CI, MATCH(1, (Q717&gt;=CG:CG)*(Q717&lt;=CH:CH), 0)), "")</f>
        <v/>
      </c>
      <c r="X717" s="39"/>
      <c r="Y717" s="74"/>
      <c r="Z717" s="74" t="str">
        <f>IF(OR(Table5[[#This Row],[Per Person Package Cost]]="", Table5[[#This Row],[No. of Pax]]=""), "", Table5[[#This Row],[Per Person Package Cost]] * Table5[[#This Row],[No. of Pax]])</f>
        <v/>
      </c>
      <c r="AA717" s="52"/>
      <c r="AB717" s="52"/>
      <c r="AC717" s="52"/>
      <c r="AD717" s="52"/>
      <c r="AE717" s="51" t="str">
        <f t="shared" si="69"/>
        <v/>
      </c>
      <c r="AF717" s="51" t="str">
        <f t="shared" si="70"/>
        <v/>
      </c>
      <c r="AG717" s="74" t="str">
        <f t="shared" si="71"/>
        <v/>
      </c>
      <c r="AH717" s="73" t="str">
        <f t="shared" si="68"/>
        <v/>
      </c>
      <c r="AI717" s="52"/>
      <c r="AJ717" s="56"/>
      <c r="AK717" s="59"/>
      <c r="AL717" s="60"/>
      <c r="AM717" s="54"/>
      <c r="AN717" s="64"/>
      <c r="AO717" s="26"/>
      <c r="AP717" s="93"/>
      <c r="AQ717" s="87"/>
      <c r="AR717" s="26"/>
      <c r="AS717" s="65"/>
      <c r="AT717" s="88"/>
      <c r="AU717" s="67"/>
      <c r="DA717" t="str" cm="1">
        <f t="array" ref="DA717">IF(U717&lt;&gt;"", TRANSPOSE(_xlfn._xlws.FILTER(CZ:CZ, CY:CY=U717, "")), "")</f>
        <v/>
      </c>
    </row>
    <row r="718" spans="2:105">
      <c r="B718" s="35">
        <v>714</v>
      </c>
      <c r="C718" s="36" t="s">
        <v>2583</v>
      </c>
      <c r="D718" s="76"/>
      <c r="E718" s="37" t="str">
        <f>IF(Table5[[#This Row],[Query Date]]&lt;&gt;"", TEXT(Table5[[#This Row],[Query Date]], "dddd"), "")</f>
        <v/>
      </c>
      <c r="F718" s="37" t="str">
        <f>IF(Table5[[#This Row],[Query Date]]&lt;&gt;"", TEXT(Table5[[#This Row],[Query Date]], "mmmm"), "")</f>
        <v/>
      </c>
      <c r="G718" s="28"/>
      <c r="H718" s="28"/>
      <c r="I718" s="28"/>
      <c r="J718" s="28"/>
      <c r="K718" s="28"/>
      <c r="L718" s="25"/>
      <c r="M718" s="25"/>
      <c r="N718" s="25"/>
      <c r="O718" s="130"/>
      <c r="P718" s="47"/>
      <c r="Q718" s="77"/>
      <c r="R718" s="77" t="str">
        <f>IF(Table5[[#This Row],[Tour Starting Date]]&lt;&gt;"", TEXT(Table5[[#This Row],[Tour Starting Date]], "dddd"), "")</f>
        <v/>
      </c>
      <c r="S718" s="77"/>
      <c r="T718" s="25" t="str">
        <f>IF(Table5[[#This Row],[Tour Ending Date]]&lt;&gt;"", TEXT(Table5[[#This Row],[Tour Ending Date]], "dddd"), "")</f>
        <v/>
      </c>
      <c r="U71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18" s="37" t="str">
        <f>IF(Table5[[#This Row],[Tour Starting Date]]&lt;&gt;"", TEXT(Table5[[#This Row],[Tour Starting Date]], "mmmm"), "")</f>
        <v/>
      </c>
      <c r="W718" s="80" t="str" cm="1">
        <f t="array" ref="W718">IF(Q718&lt;&gt;"", INDEX(CI:CI, MATCH(1, (Q718&gt;=CG:CG)*(Q718&lt;=CH:CH), 0)), "")</f>
        <v/>
      </c>
      <c r="X718" s="39"/>
      <c r="Y718" s="74"/>
      <c r="Z718" s="74" t="str">
        <f>IF(OR(Table5[[#This Row],[Per Person Package Cost]]="", Table5[[#This Row],[No. of Pax]]=""), "", Table5[[#This Row],[Per Person Package Cost]] * Table5[[#This Row],[No. of Pax]])</f>
        <v/>
      </c>
      <c r="AA718" s="52"/>
      <c r="AB718" s="52"/>
      <c r="AC718" s="52"/>
      <c r="AD718" s="52"/>
      <c r="AE718" s="51" t="str">
        <f t="shared" si="69"/>
        <v/>
      </c>
      <c r="AF718" s="51" t="str">
        <f t="shared" si="70"/>
        <v/>
      </c>
      <c r="AG718" s="74" t="str">
        <f t="shared" si="71"/>
        <v/>
      </c>
      <c r="AH718" s="73" t="str">
        <f t="shared" si="68"/>
        <v/>
      </c>
      <c r="AI718" s="52"/>
      <c r="AJ718" s="56"/>
      <c r="AK718" s="59"/>
      <c r="AL718" s="60"/>
      <c r="AM718" s="54"/>
      <c r="AN718" s="64"/>
      <c r="AO718" s="26"/>
      <c r="AP718" s="93"/>
      <c r="AQ718" s="87"/>
      <c r="AR718" s="26"/>
      <c r="AS718" s="65"/>
      <c r="AT718" s="88"/>
      <c r="AU718" s="67"/>
      <c r="DA718" t="str" cm="1">
        <f t="array" ref="DA718">IF(U718&lt;&gt;"", TRANSPOSE(_xlfn._xlws.FILTER(CZ:CZ, CY:CY=U718, "")), "")</f>
        <v/>
      </c>
    </row>
    <row r="719" spans="2:105">
      <c r="B719" s="35">
        <v>715</v>
      </c>
      <c r="C719" s="36" t="s">
        <v>2584</v>
      </c>
      <c r="D719" s="76"/>
      <c r="E719" s="37" t="str">
        <f>IF(Table5[[#This Row],[Query Date]]&lt;&gt;"", TEXT(Table5[[#This Row],[Query Date]], "dddd"), "")</f>
        <v/>
      </c>
      <c r="F719" s="37" t="str">
        <f>IF(Table5[[#This Row],[Query Date]]&lt;&gt;"", TEXT(Table5[[#This Row],[Query Date]], "mmmm"), "")</f>
        <v/>
      </c>
      <c r="G719" s="28"/>
      <c r="H719" s="28"/>
      <c r="I719" s="28"/>
      <c r="J719" s="28"/>
      <c r="K719" s="28"/>
      <c r="L719" s="25"/>
      <c r="M719" s="25"/>
      <c r="N719" s="25"/>
      <c r="O719" s="130"/>
      <c r="P719" s="47"/>
      <c r="Q719" s="77"/>
      <c r="R719" s="77" t="str">
        <f>IF(Table5[[#This Row],[Tour Starting Date]]&lt;&gt;"", TEXT(Table5[[#This Row],[Tour Starting Date]], "dddd"), "")</f>
        <v/>
      </c>
      <c r="S719" s="77"/>
      <c r="T719" s="25" t="str">
        <f>IF(Table5[[#This Row],[Tour Ending Date]]&lt;&gt;"", TEXT(Table5[[#This Row],[Tour Ending Date]], "dddd"), "")</f>
        <v/>
      </c>
      <c r="U71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19" s="37" t="str">
        <f>IF(Table5[[#This Row],[Tour Starting Date]]&lt;&gt;"", TEXT(Table5[[#This Row],[Tour Starting Date]], "mmmm"), "")</f>
        <v/>
      </c>
      <c r="W719" s="80" t="str" cm="1">
        <f t="array" ref="W719">IF(Q719&lt;&gt;"", INDEX(CI:CI, MATCH(1, (Q719&gt;=CG:CG)*(Q719&lt;=CH:CH), 0)), "")</f>
        <v/>
      </c>
      <c r="X719" s="39"/>
      <c r="Y719" s="74"/>
      <c r="Z719" s="74" t="str">
        <f>IF(OR(Table5[[#This Row],[Per Person Package Cost]]="", Table5[[#This Row],[No. of Pax]]=""), "", Table5[[#This Row],[Per Person Package Cost]] * Table5[[#This Row],[No. of Pax]])</f>
        <v/>
      </c>
      <c r="AA719" s="52"/>
      <c r="AB719" s="52"/>
      <c r="AC719" s="52"/>
      <c r="AD719" s="52"/>
      <c r="AE719" s="51" t="str">
        <f t="shared" si="69"/>
        <v/>
      </c>
      <c r="AF719" s="51" t="str">
        <f t="shared" si="70"/>
        <v/>
      </c>
      <c r="AG719" s="74" t="str">
        <f t="shared" si="71"/>
        <v/>
      </c>
      <c r="AH719" s="73" t="str">
        <f t="shared" si="68"/>
        <v/>
      </c>
      <c r="AI719" s="52"/>
      <c r="AJ719" s="56"/>
      <c r="AK719" s="59"/>
      <c r="AL719" s="60"/>
      <c r="AM719" s="54"/>
      <c r="AN719" s="64"/>
      <c r="AO719" s="26"/>
      <c r="AP719" s="93"/>
      <c r="AQ719" s="87"/>
      <c r="AR719" s="26"/>
      <c r="AS719" s="65"/>
      <c r="AT719" s="88"/>
      <c r="AU719" s="67"/>
      <c r="DA719" t="str" cm="1">
        <f t="array" ref="DA719">IF(U719&lt;&gt;"", TRANSPOSE(_xlfn._xlws.FILTER(CZ:CZ, CY:CY=U719, "")), "")</f>
        <v/>
      </c>
    </row>
    <row r="720" spans="2:105">
      <c r="B720" s="35">
        <v>716</v>
      </c>
      <c r="C720" s="36" t="s">
        <v>2585</v>
      </c>
      <c r="D720" s="76"/>
      <c r="E720" s="37" t="str">
        <f>IF(Table5[[#This Row],[Query Date]]&lt;&gt;"", TEXT(Table5[[#This Row],[Query Date]], "dddd"), "")</f>
        <v/>
      </c>
      <c r="F720" s="37" t="str">
        <f>IF(Table5[[#This Row],[Query Date]]&lt;&gt;"", TEXT(Table5[[#This Row],[Query Date]], "mmmm"), "")</f>
        <v/>
      </c>
      <c r="G720" s="28"/>
      <c r="H720" s="28"/>
      <c r="I720" s="28"/>
      <c r="J720" s="28"/>
      <c r="K720" s="28"/>
      <c r="L720" s="25"/>
      <c r="M720" s="25"/>
      <c r="N720" s="25"/>
      <c r="O720" s="130"/>
      <c r="P720" s="47"/>
      <c r="Q720" s="77"/>
      <c r="R720" s="77" t="str">
        <f>IF(Table5[[#This Row],[Tour Starting Date]]&lt;&gt;"", TEXT(Table5[[#This Row],[Tour Starting Date]], "dddd"), "")</f>
        <v/>
      </c>
      <c r="S720" s="77"/>
      <c r="T720" s="25" t="str">
        <f>IF(Table5[[#This Row],[Tour Ending Date]]&lt;&gt;"", TEXT(Table5[[#This Row],[Tour Ending Date]], "dddd"), "")</f>
        <v/>
      </c>
      <c r="U72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20" s="37" t="str">
        <f>IF(Table5[[#This Row],[Tour Starting Date]]&lt;&gt;"", TEXT(Table5[[#This Row],[Tour Starting Date]], "mmmm"), "")</f>
        <v/>
      </c>
      <c r="W720" s="80" t="str" cm="1">
        <f t="array" ref="W720">IF(Q720&lt;&gt;"", INDEX(CI:CI, MATCH(1, (Q720&gt;=CG:CG)*(Q720&lt;=CH:CH), 0)), "")</f>
        <v/>
      </c>
      <c r="X720" s="39"/>
      <c r="Y720" s="74"/>
      <c r="Z720" s="74" t="str">
        <f>IF(OR(Table5[[#This Row],[Per Person Package Cost]]="", Table5[[#This Row],[No. of Pax]]=""), "", Table5[[#This Row],[Per Person Package Cost]] * Table5[[#This Row],[No. of Pax]])</f>
        <v/>
      </c>
      <c r="AA720" s="52"/>
      <c r="AB720" s="52"/>
      <c r="AC720" s="52"/>
      <c r="AD720" s="52"/>
      <c r="AE720" s="51" t="str">
        <f t="shared" si="69"/>
        <v/>
      </c>
      <c r="AF720" s="51" t="str">
        <f t="shared" si="70"/>
        <v/>
      </c>
      <c r="AG720" s="74" t="str">
        <f t="shared" si="71"/>
        <v/>
      </c>
      <c r="AH720" s="73" t="str">
        <f t="shared" si="68"/>
        <v/>
      </c>
      <c r="AI720" s="52"/>
      <c r="AJ720" s="56"/>
      <c r="AK720" s="59"/>
      <c r="AL720" s="60"/>
      <c r="AM720" s="54"/>
      <c r="AN720" s="64"/>
      <c r="AO720" s="26"/>
      <c r="AP720" s="93"/>
      <c r="AQ720" s="87"/>
      <c r="AR720" s="26"/>
      <c r="AS720" s="65"/>
      <c r="AT720" s="88"/>
      <c r="AU720" s="67"/>
      <c r="DA720" t="str" cm="1">
        <f t="array" ref="DA720">IF(U720&lt;&gt;"", TRANSPOSE(_xlfn._xlws.FILTER(CZ:CZ, CY:CY=U720, "")), "")</f>
        <v/>
      </c>
    </row>
    <row r="721" spans="2:105">
      <c r="B721" s="35">
        <v>717</v>
      </c>
      <c r="C721" s="36" t="s">
        <v>2586</v>
      </c>
      <c r="D721" s="76"/>
      <c r="E721" s="37" t="str">
        <f>IF(Table5[[#This Row],[Query Date]]&lt;&gt;"", TEXT(Table5[[#This Row],[Query Date]], "dddd"), "")</f>
        <v/>
      </c>
      <c r="F721" s="37" t="str">
        <f>IF(Table5[[#This Row],[Query Date]]&lt;&gt;"", TEXT(Table5[[#This Row],[Query Date]], "mmmm"), "")</f>
        <v/>
      </c>
      <c r="G721" s="28"/>
      <c r="H721" s="28"/>
      <c r="I721" s="28"/>
      <c r="J721" s="28"/>
      <c r="K721" s="28"/>
      <c r="L721" s="25"/>
      <c r="M721" s="25"/>
      <c r="N721" s="25"/>
      <c r="O721" s="130"/>
      <c r="P721" s="47"/>
      <c r="Q721" s="77"/>
      <c r="R721" s="77" t="str">
        <f>IF(Table5[[#This Row],[Tour Starting Date]]&lt;&gt;"", TEXT(Table5[[#This Row],[Tour Starting Date]], "dddd"), "")</f>
        <v/>
      </c>
      <c r="S721" s="77"/>
      <c r="T721" s="25" t="str">
        <f>IF(Table5[[#This Row],[Tour Ending Date]]&lt;&gt;"", TEXT(Table5[[#This Row],[Tour Ending Date]], "dddd"), "")</f>
        <v/>
      </c>
      <c r="U72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21" s="37" t="str">
        <f>IF(Table5[[#This Row],[Tour Starting Date]]&lt;&gt;"", TEXT(Table5[[#This Row],[Tour Starting Date]], "mmmm"), "")</f>
        <v/>
      </c>
      <c r="W721" s="80" t="str" cm="1">
        <f t="array" ref="W721">IF(Q721&lt;&gt;"", INDEX(CI:CI, MATCH(1, (Q721&gt;=CG:CG)*(Q721&lt;=CH:CH), 0)), "")</f>
        <v/>
      </c>
      <c r="X721" s="39"/>
      <c r="Y721" s="74"/>
      <c r="Z721" s="74" t="str">
        <f>IF(OR(Table5[[#This Row],[Per Person Package Cost]]="", Table5[[#This Row],[No. of Pax]]=""), "", Table5[[#This Row],[Per Person Package Cost]] * Table5[[#This Row],[No. of Pax]])</f>
        <v/>
      </c>
      <c r="AA721" s="52"/>
      <c r="AB721" s="52"/>
      <c r="AC721" s="52"/>
      <c r="AD721" s="52"/>
      <c r="AE721" s="51" t="str">
        <f t="shared" si="69"/>
        <v/>
      </c>
      <c r="AF721" s="51" t="str">
        <f t="shared" si="70"/>
        <v/>
      </c>
      <c r="AG721" s="74" t="str">
        <f t="shared" si="71"/>
        <v/>
      </c>
      <c r="AH721" s="73" t="str">
        <f t="shared" si="68"/>
        <v/>
      </c>
      <c r="AI721" s="52"/>
      <c r="AJ721" s="56"/>
      <c r="AK721" s="59"/>
      <c r="AL721" s="60"/>
      <c r="AM721" s="54"/>
      <c r="AN721" s="64"/>
      <c r="AO721" s="26"/>
      <c r="AP721" s="93"/>
      <c r="AQ721" s="87"/>
      <c r="AR721" s="26"/>
      <c r="AS721" s="65"/>
      <c r="AT721" s="88"/>
      <c r="AU721" s="67"/>
      <c r="DA721" t="str" cm="1">
        <f t="array" ref="DA721">IF(U721&lt;&gt;"", TRANSPOSE(_xlfn._xlws.FILTER(CZ:CZ, CY:CY=U721, "")), "")</f>
        <v/>
      </c>
    </row>
    <row r="722" spans="2:105">
      <c r="B722" s="35">
        <v>718</v>
      </c>
      <c r="C722" s="36" t="s">
        <v>2587</v>
      </c>
      <c r="D722" s="76"/>
      <c r="E722" s="37" t="str">
        <f>IF(Table5[[#This Row],[Query Date]]&lt;&gt;"", TEXT(Table5[[#This Row],[Query Date]], "dddd"), "")</f>
        <v/>
      </c>
      <c r="F722" s="37" t="str">
        <f>IF(Table5[[#This Row],[Query Date]]&lt;&gt;"", TEXT(Table5[[#This Row],[Query Date]], "mmmm"), "")</f>
        <v/>
      </c>
      <c r="G722" s="28"/>
      <c r="H722" s="28"/>
      <c r="I722" s="28"/>
      <c r="J722" s="28"/>
      <c r="K722" s="28"/>
      <c r="L722" s="25"/>
      <c r="M722" s="25"/>
      <c r="N722" s="25"/>
      <c r="O722" s="130"/>
      <c r="P722" s="47"/>
      <c r="Q722" s="77"/>
      <c r="R722" s="77" t="str">
        <f>IF(Table5[[#This Row],[Tour Starting Date]]&lt;&gt;"", TEXT(Table5[[#This Row],[Tour Starting Date]], "dddd"), "")</f>
        <v/>
      </c>
      <c r="S722" s="77"/>
      <c r="T722" s="25" t="str">
        <f>IF(Table5[[#This Row],[Tour Ending Date]]&lt;&gt;"", TEXT(Table5[[#This Row],[Tour Ending Date]], "dddd"), "")</f>
        <v/>
      </c>
      <c r="U72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22" s="37" t="str">
        <f>IF(Table5[[#This Row],[Tour Starting Date]]&lt;&gt;"", TEXT(Table5[[#This Row],[Tour Starting Date]], "mmmm"), "")</f>
        <v/>
      </c>
      <c r="W722" s="80" t="str" cm="1">
        <f t="array" ref="W722">IF(Q722&lt;&gt;"", INDEX(CI:CI, MATCH(1, (Q722&gt;=CG:CG)*(Q722&lt;=CH:CH), 0)), "")</f>
        <v/>
      </c>
      <c r="X722" s="39"/>
      <c r="Y722" s="74"/>
      <c r="Z722" s="74" t="str">
        <f>IF(OR(Table5[[#This Row],[Per Person Package Cost]]="", Table5[[#This Row],[No. of Pax]]=""), "", Table5[[#This Row],[Per Person Package Cost]] * Table5[[#This Row],[No. of Pax]])</f>
        <v/>
      </c>
      <c r="AA722" s="52"/>
      <c r="AB722" s="52"/>
      <c r="AC722" s="52"/>
      <c r="AD722" s="52"/>
      <c r="AE722" s="51" t="str">
        <f t="shared" si="69"/>
        <v/>
      </c>
      <c r="AF722" s="51" t="str">
        <f t="shared" si="70"/>
        <v/>
      </c>
      <c r="AG722" s="74" t="str">
        <f t="shared" si="71"/>
        <v/>
      </c>
      <c r="AH722" s="73" t="str">
        <f t="shared" si="68"/>
        <v/>
      </c>
      <c r="AI722" s="52"/>
      <c r="AJ722" s="56"/>
      <c r="AK722" s="59"/>
      <c r="AL722" s="60"/>
      <c r="AM722" s="54"/>
      <c r="AN722" s="64"/>
      <c r="AO722" s="26"/>
      <c r="AP722" s="93"/>
      <c r="AQ722" s="87"/>
      <c r="AR722" s="26"/>
      <c r="AS722" s="65"/>
      <c r="AT722" s="88"/>
      <c r="AU722" s="67"/>
      <c r="DA722" t="str" cm="1">
        <f t="array" ref="DA722">IF(U722&lt;&gt;"", TRANSPOSE(_xlfn._xlws.FILTER(CZ:CZ, CY:CY=U722, "")), "")</f>
        <v/>
      </c>
    </row>
    <row r="723" spans="2:105">
      <c r="B723" s="35">
        <v>719</v>
      </c>
      <c r="C723" s="36" t="s">
        <v>2588</v>
      </c>
      <c r="D723" s="76"/>
      <c r="E723" s="37" t="str">
        <f>IF(Table5[[#This Row],[Query Date]]&lt;&gt;"", TEXT(Table5[[#This Row],[Query Date]], "dddd"), "")</f>
        <v/>
      </c>
      <c r="F723" s="37" t="str">
        <f>IF(Table5[[#This Row],[Query Date]]&lt;&gt;"", TEXT(Table5[[#This Row],[Query Date]], "mmmm"), "")</f>
        <v/>
      </c>
      <c r="G723" s="28"/>
      <c r="H723" s="28"/>
      <c r="I723" s="28"/>
      <c r="J723" s="28"/>
      <c r="K723" s="28"/>
      <c r="L723" s="25"/>
      <c r="M723" s="25"/>
      <c r="N723" s="25"/>
      <c r="O723" s="130"/>
      <c r="P723" s="47"/>
      <c r="Q723" s="77"/>
      <c r="R723" s="77" t="str">
        <f>IF(Table5[[#This Row],[Tour Starting Date]]&lt;&gt;"", TEXT(Table5[[#This Row],[Tour Starting Date]], "dddd"), "")</f>
        <v/>
      </c>
      <c r="S723" s="77"/>
      <c r="T723" s="25" t="str">
        <f>IF(Table5[[#This Row],[Tour Ending Date]]&lt;&gt;"", TEXT(Table5[[#This Row],[Tour Ending Date]], "dddd"), "")</f>
        <v/>
      </c>
      <c r="U72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23" s="37" t="str">
        <f>IF(Table5[[#This Row],[Tour Starting Date]]&lt;&gt;"", TEXT(Table5[[#This Row],[Tour Starting Date]], "mmmm"), "")</f>
        <v/>
      </c>
      <c r="W723" s="80" t="str" cm="1">
        <f t="array" ref="W723">IF(Q723&lt;&gt;"", INDEX(CI:CI, MATCH(1, (Q723&gt;=CG:CG)*(Q723&lt;=CH:CH), 0)), "")</f>
        <v/>
      </c>
      <c r="X723" s="39"/>
      <c r="Y723" s="74"/>
      <c r="Z723" s="74" t="str">
        <f>IF(OR(Table5[[#This Row],[Per Person Package Cost]]="", Table5[[#This Row],[No. of Pax]]=""), "", Table5[[#This Row],[Per Person Package Cost]] * Table5[[#This Row],[No. of Pax]])</f>
        <v/>
      </c>
      <c r="AA723" s="52"/>
      <c r="AB723" s="52"/>
      <c r="AC723" s="52"/>
      <c r="AD723" s="52"/>
      <c r="AE723" s="51" t="str">
        <f t="shared" si="69"/>
        <v/>
      </c>
      <c r="AF723" s="51" t="str">
        <f t="shared" si="70"/>
        <v/>
      </c>
      <c r="AG723" s="74" t="str">
        <f t="shared" si="71"/>
        <v/>
      </c>
      <c r="AH723" s="73" t="str">
        <f t="shared" si="68"/>
        <v/>
      </c>
      <c r="AI723" s="52"/>
      <c r="AJ723" s="56"/>
      <c r="AK723" s="59"/>
      <c r="AL723" s="60"/>
      <c r="AM723" s="54"/>
      <c r="AN723" s="64"/>
      <c r="AO723" s="26"/>
      <c r="AP723" s="93"/>
      <c r="AQ723" s="87"/>
      <c r="AR723" s="26"/>
      <c r="AS723" s="65"/>
      <c r="AT723" s="88"/>
      <c r="AU723" s="67"/>
      <c r="DA723" t="str" cm="1">
        <f t="array" ref="DA723">IF(U723&lt;&gt;"", TRANSPOSE(_xlfn._xlws.FILTER(CZ:CZ, CY:CY=U723, "")), "")</f>
        <v/>
      </c>
    </row>
    <row r="724" spans="2:105">
      <c r="B724" s="35">
        <v>720</v>
      </c>
      <c r="C724" s="36" t="s">
        <v>2589</v>
      </c>
      <c r="D724" s="76"/>
      <c r="E724" s="37" t="str">
        <f>IF(Table5[[#This Row],[Query Date]]&lt;&gt;"", TEXT(Table5[[#This Row],[Query Date]], "dddd"), "")</f>
        <v/>
      </c>
      <c r="F724" s="37" t="str">
        <f>IF(Table5[[#This Row],[Query Date]]&lt;&gt;"", TEXT(Table5[[#This Row],[Query Date]], "mmmm"), "")</f>
        <v/>
      </c>
      <c r="G724" s="28"/>
      <c r="H724" s="28"/>
      <c r="I724" s="28"/>
      <c r="J724" s="28"/>
      <c r="K724" s="28"/>
      <c r="L724" s="25"/>
      <c r="M724" s="25"/>
      <c r="N724" s="25"/>
      <c r="O724" s="130"/>
      <c r="P724" s="47"/>
      <c r="Q724" s="77"/>
      <c r="R724" s="77" t="str">
        <f>IF(Table5[[#This Row],[Tour Starting Date]]&lt;&gt;"", TEXT(Table5[[#This Row],[Tour Starting Date]], "dddd"), "")</f>
        <v/>
      </c>
      <c r="S724" s="77"/>
      <c r="T724" s="25" t="str">
        <f>IF(Table5[[#This Row],[Tour Ending Date]]&lt;&gt;"", TEXT(Table5[[#This Row],[Tour Ending Date]], "dddd"), "")</f>
        <v/>
      </c>
      <c r="U72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24" s="37" t="str">
        <f>IF(Table5[[#This Row],[Tour Starting Date]]&lt;&gt;"", TEXT(Table5[[#This Row],[Tour Starting Date]], "mmmm"), "")</f>
        <v/>
      </c>
      <c r="W724" s="80" t="str" cm="1">
        <f t="array" ref="W724">IF(Q724&lt;&gt;"", INDEX(CI:CI, MATCH(1, (Q724&gt;=CG:CG)*(Q724&lt;=CH:CH), 0)), "")</f>
        <v/>
      </c>
      <c r="X724" s="39"/>
      <c r="Y724" s="74"/>
      <c r="Z724" s="74" t="str">
        <f>IF(OR(Table5[[#This Row],[Per Person Package Cost]]="", Table5[[#This Row],[No. of Pax]]=""), "", Table5[[#This Row],[Per Person Package Cost]] * Table5[[#This Row],[No. of Pax]])</f>
        <v/>
      </c>
      <c r="AA724" s="52"/>
      <c r="AB724" s="52"/>
      <c r="AC724" s="52"/>
      <c r="AD724" s="52"/>
      <c r="AE724" s="51" t="str">
        <f t="shared" si="69"/>
        <v/>
      </c>
      <c r="AF724" s="51" t="str">
        <f t="shared" si="70"/>
        <v/>
      </c>
      <c r="AG724" s="74" t="str">
        <f t="shared" si="71"/>
        <v/>
      </c>
      <c r="AH724" s="73" t="str">
        <f t="shared" ref="AH724:AH787" si="72">IF(AD724&lt;&gt;"", INDEX(CV:CV, MATCH(AD724, CZ:CZ, 0)), "")</f>
        <v/>
      </c>
      <c r="AI724" s="52"/>
      <c r="AJ724" s="56"/>
      <c r="AK724" s="59"/>
      <c r="AL724" s="60"/>
      <c r="AM724" s="54"/>
      <c r="AN724" s="64"/>
      <c r="AO724" s="26"/>
      <c r="AP724" s="93"/>
      <c r="AQ724" s="87"/>
      <c r="AR724" s="26"/>
      <c r="AS724" s="65"/>
      <c r="AT724" s="88"/>
      <c r="AU724" s="67"/>
      <c r="DA724" t="str" cm="1">
        <f t="array" ref="DA724">IF(U724&lt;&gt;"", TRANSPOSE(_xlfn._xlws.FILTER(CZ:CZ, CY:CY=U724, "")), "")</f>
        <v/>
      </c>
    </row>
    <row r="725" spans="2:105">
      <c r="B725" s="35">
        <v>721</v>
      </c>
      <c r="C725" s="36" t="s">
        <v>2590</v>
      </c>
      <c r="D725" s="76"/>
      <c r="E725" s="37" t="str">
        <f>IF(Table5[[#This Row],[Query Date]]&lt;&gt;"", TEXT(Table5[[#This Row],[Query Date]], "dddd"), "")</f>
        <v/>
      </c>
      <c r="F725" s="37" t="str">
        <f>IF(Table5[[#This Row],[Query Date]]&lt;&gt;"", TEXT(Table5[[#This Row],[Query Date]], "mmmm"), "")</f>
        <v/>
      </c>
      <c r="G725" s="28"/>
      <c r="H725" s="28"/>
      <c r="I725" s="28"/>
      <c r="J725" s="28"/>
      <c r="K725" s="28"/>
      <c r="L725" s="25"/>
      <c r="M725" s="25"/>
      <c r="N725" s="25"/>
      <c r="O725" s="130"/>
      <c r="P725" s="47"/>
      <c r="Q725" s="77"/>
      <c r="R725" s="77" t="str">
        <f>IF(Table5[[#This Row],[Tour Starting Date]]&lt;&gt;"", TEXT(Table5[[#This Row],[Tour Starting Date]], "dddd"), "")</f>
        <v/>
      </c>
      <c r="S725" s="77"/>
      <c r="T725" s="25" t="str">
        <f>IF(Table5[[#This Row],[Tour Ending Date]]&lt;&gt;"", TEXT(Table5[[#This Row],[Tour Ending Date]], "dddd"), "")</f>
        <v/>
      </c>
      <c r="U72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25" s="37" t="str">
        <f>IF(Table5[[#This Row],[Tour Starting Date]]&lt;&gt;"", TEXT(Table5[[#This Row],[Tour Starting Date]], "mmmm"), "")</f>
        <v/>
      </c>
      <c r="W725" s="80" t="str" cm="1">
        <f t="array" ref="W725">IF(Q725&lt;&gt;"", INDEX(CI:CI, MATCH(1, (Q725&gt;=CG:CG)*(Q725&lt;=CH:CH), 0)), "")</f>
        <v/>
      </c>
      <c r="X725" s="39"/>
      <c r="Y725" s="74"/>
      <c r="Z725" s="74" t="str">
        <f>IF(OR(Table5[[#This Row],[Per Person Package Cost]]="", Table5[[#This Row],[No. of Pax]]=""), "", Table5[[#This Row],[Per Person Package Cost]] * Table5[[#This Row],[No. of Pax]])</f>
        <v/>
      </c>
      <c r="AA725" s="52"/>
      <c r="AB725" s="52"/>
      <c r="AC725" s="52"/>
      <c r="AD725" s="52"/>
      <c r="AE725" s="51" t="str">
        <f t="shared" si="69"/>
        <v/>
      </c>
      <c r="AF725" s="51" t="str">
        <f t="shared" si="70"/>
        <v/>
      </c>
      <c r="AG725" s="74" t="str">
        <f t="shared" si="71"/>
        <v/>
      </c>
      <c r="AH725" s="73" t="str">
        <f t="shared" si="72"/>
        <v/>
      </c>
      <c r="AI725" s="52"/>
      <c r="AJ725" s="56"/>
      <c r="AK725" s="59"/>
      <c r="AL725" s="60"/>
      <c r="AM725" s="54"/>
      <c r="AN725" s="64"/>
      <c r="AO725" s="26"/>
      <c r="AP725" s="93"/>
      <c r="AQ725" s="87"/>
      <c r="AR725" s="26"/>
      <c r="AS725" s="65"/>
      <c r="AT725" s="88"/>
      <c r="AU725" s="67"/>
      <c r="DA725" t="str" cm="1">
        <f t="array" ref="DA725">IF(U725&lt;&gt;"", TRANSPOSE(_xlfn._xlws.FILTER(CZ:CZ, CY:CY=U725, "")), "")</f>
        <v/>
      </c>
    </row>
    <row r="726" spans="2:105">
      <c r="B726" s="35">
        <v>722</v>
      </c>
      <c r="C726" s="36" t="s">
        <v>2591</v>
      </c>
      <c r="D726" s="76"/>
      <c r="E726" s="37" t="str">
        <f>IF(Table5[[#This Row],[Query Date]]&lt;&gt;"", TEXT(Table5[[#This Row],[Query Date]], "dddd"), "")</f>
        <v/>
      </c>
      <c r="F726" s="37" t="str">
        <f>IF(Table5[[#This Row],[Query Date]]&lt;&gt;"", TEXT(Table5[[#This Row],[Query Date]], "mmmm"), "")</f>
        <v/>
      </c>
      <c r="G726" s="28"/>
      <c r="H726" s="28"/>
      <c r="I726" s="28"/>
      <c r="J726" s="28"/>
      <c r="K726" s="28"/>
      <c r="L726" s="25"/>
      <c r="M726" s="25"/>
      <c r="N726" s="25"/>
      <c r="O726" s="130"/>
      <c r="P726" s="47"/>
      <c r="Q726" s="77"/>
      <c r="R726" s="77" t="str">
        <f>IF(Table5[[#This Row],[Tour Starting Date]]&lt;&gt;"", TEXT(Table5[[#This Row],[Tour Starting Date]], "dddd"), "")</f>
        <v/>
      </c>
      <c r="S726" s="77"/>
      <c r="T726" s="25" t="str">
        <f>IF(Table5[[#This Row],[Tour Ending Date]]&lt;&gt;"", TEXT(Table5[[#This Row],[Tour Ending Date]], "dddd"), "")</f>
        <v/>
      </c>
      <c r="U72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26" s="37" t="str">
        <f>IF(Table5[[#This Row],[Tour Starting Date]]&lt;&gt;"", TEXT(Table5[[#This Row],[Tour Starting Date]], "mmmm"), "")</f>
        <v/>
      </c>
      <c r="W726" s="80" t="str" cm="1">
        <f t="array" ref="W726">IF(Q726&lt;&gt;"", INDEX(CI:CI, MATCH(1, (Q726&gt;=CG:CG)*(Q726&lt;=CH:CH), 0)), "")</f>
        <v/>
      </c>
      <c r="X726" s="39"/>
      <c r="Y726" s="74"/>
      <c r="Z726" s="74" t="str">
        <f>IF(OR(Table5[[#This Row],[Per Person Package Cost]]="", Table5[[#This Row],[No. of Pax]]=""), "", Table5[[#This Row],[Per Person Package Cost]] * Table5[[#This Row],[No. of Pax]])</f>
        <v/>
      </c>
      <c r="AA726" s="52"/>
      <c r="AB726" s="52"/>
      <c r="AC726" s="52"/>
      <c r="AD726" s="52"/>
      <c r="AE726" s="51" t="str">
        <f t="shared" si="69"/>
        <v/>
      </c>
      <c r="AF726" s="51" t="str">
        <f t="shared" si="70"/>
        <v/>
      </c>
      <c r="AG726" s="74" t="str">
        <f t="shared" si="71"/>
        <v/>
      </c>
      <c r="AH726" s="73" t="str">
        <f t="shared" si="72"/>
        <v/>
      </c>
      <c r="AI726" s="52"/>
      <c r="AJ726" s="56"/>
      <c r="AK726" s="59"/>
      <c r="AL726" s="60"/>
      <c r="AM726" s="54"/>
      <c r="AN726" s="64"/>
      <c r="AO726" s="26"/>
      <c r="AP726" s="93"/>
      <c r="AQ726" s="87"/>
      <c r="AR726" s="26"/>
      <c r="AS726" s="65"/>
      <c r="AT726" s="88"/>
      <c r="AU726" s="67"/>
      <c r="DA726" t="str" cm="1">
        <f t="array" ref="DA726">IF(U726&lt;&gt;"", TRANSPOSE(_xlfn._xlws.FILTER(CZ:CZ, CY:CY=U726, "")), "")</f>
        <v/>
      </c>
    </row>
    <row r="727" spans="2:105">
      <c r="B727" s="35">
        <v>723</v>
      </c>
      <c r="C727" s="36" t="s">
        <v>2592</v>
      </c>
      <c r="D727" s="76"/>
      <c r="E727" s="37" t="str">
        <f>IF(Table5[[#This Row],[Query Date]]&lt;&gt;"", TEXT(Table5[[#This Row],[Query Date]], "dddd"), "")</f>
        <v/>
      </c>
      <c r="F727" s="37" t="str">
        <f>IF(Table5[[#This Row],[Query Date]]&lt;&gt;"", TEXT(Table5[[#This Row],[Query Date]], "mmmm"), "")</f>
        <v/>
      </c>
      <c r="G727" s="28"/>
      <c r="H727" s="28"/>
      <c r="I727" s="28"/>
      <c r="J727" s="28"/>
      <c r="K727" s="28"/>
      <c r="L727" s="25"/>
      <c r="M727" s="25"/>
      <c r="N727" s="25"/>
      <c r="O727" s="130"/>
      <c r="P727" s="47"/>
      <c r="Q727" s="77"/>
      <c r="R727" s="77" t="str">
        <f>IF(Table5[[#This Row],[Tour Starting Date]]&lt;&gt;"", TEXT(Table5[[#This Row],[Tour Starting Date]], "dddd"), "")</f>
        <v/>
      </c>
      <c r="S727" s="77"/>
      <c r="T727" s="25" t="str">
        <f>IF(Table5[[#This Row],[Tour Ending Date]]&lt;&gt;"", TEXT(Table5[[#This Row],[Tour Ending Date]], "dddd"), "")</f>
        <v/>
      </c>
      <c r="U72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27" s="37" t="str">
        <f>IF(Table5[[#This Row],[Tour Starting Date]]&lt;&gt;"", TEXT(Table5[[#This Row],[Tour Starting Date]], "mmmm"), "")</f>
        <v/>
      </c>
      <c r="W727" s="80" t="str" cm="1">
        <f t="array" ref="W727">IF(Q727&lt;&gt;"", INDEX(CI:CI, MATCH(1, (Q727&gt;=CG:CG)*(Q727&lt;=CH:CH), 0)), "")</f>
        <v/>
      </c>
      <c r="X727" s="39"/>
      <c r="Y727" s="74"/>
      <c r="Z727" s="74" t="str">
        <f>IF(OR(Table5[[#This Row],[Per Person Package Cost]]="", Table5[[#This Row],[No. of Pax]]=""), "", Table5[[#This Row],[Per Person Package Cost]] * Table5[[#This Row],[No. of Pax]])</f>
        <v/>
      </c>
      <c r="AA727" s="52"/>
      <c r="AB727" s="52"/>
      <c r="AC727" s="52"/>
      <c r="AD727" s="52"/>
      <c r="AE727" s="51" t="str">
        <f t="shared" si="69"/>
        <v/>
      </c>
      <c r="AF727" s="51" t="str">
        <f t="shared" si="70"/>
        <v/>
      </c>
      <c r="AG727" s="74" t="str">
        <f t="shared" si="71"/>
        <v/>
      </c>
      <c r="AH727" s="73" t="str">
        <f t="shared" si="72"/>
        <v/>
      </c>
      <c r="AI727" s="52"/>
      <c r="AJ727" s="56"/>
      <c r="AK727" s="59"/>
      <c r="AL727" s="60"/>
      <c r="AM727" s="54"/>
      <c r="AN727" s="64"/>
      <c r="AO727" s="26"/>
      <c r="AP727" s="93"/>
      <c r="AQ727" s="87"/>
      <c r="AR727" s="26"/>
      <c r="AS727" s="65"/>
      <c r="AT727" s="88"/>
      <c r="AU727" s="67"/>
      <c r="DA727" t="str" cm="1">
        <f t="array" ref="DA727">IF(U727&lt;&gt;"", TRANSPOSE(_xlfn._xlws.FILTER(CZ:CZ, CY:CY=U727, "")), "")</f>
        <v/>
      </c>
    </row>
    <row r="728" spans="2:105">
      <c r="B728" s="35">
        <v>724</v>
      </c>
      <c r="C728" s="36" t="s">
        <v>2593</v>
      </c>
      <c r="D728" s="76"/>
      <c r="E728" s="37" t="str">
        <f>IF(Table5[[#This Row],[Query Date]]&lt;&gt;"", TEXT(Table5[[#This Row],[Query Date]], "dddd"), "")</f>
        <v/>
      </c>
      <c r="F728" s="37" t="str">
        <f>IF(Table5[[#This Row],[Query Date]]&lt;&gt;"", TEXT(Table5[[#This Row],[Query Date]], "mmmm"), "")</f>
        <v/>
      </c>
      <c r="G728" s="28"/>
      <c r="H728" s="28"/>
      <c r="I728" s="28"/>
      <c r="J728" s="28"/>
      <c r="K728" s="28"/>
      <c r="L728" s="25"/>
      <c r="M728" s="25"/>
      <c r="N728" s="25"/>
      <c r="O728" s="130"/>
      <c r="P728" s="47"/>
      <c r="Q728" s="77"/>
      <c r="R728" s="77" t="str">
        <f>IF(Table5[[#This Row],[Tour Starting Date]]&lt;&gt;"", TEXT(Table5[[#This Row],[Tour Starting Date]], "dddd"), "")</f>
        <v/>
      </c>
      <c r="S728" s="77"/>
      <c r="T728" s="25" t="str">
        <f>IF(Table5[[#This Row],[Tour Ending Date]]&lt;&gt;"", TEXT(Table5[[#This Row],[Tour Ending Date]], "dddd"), "")</f>
        <v/>
      </c>
      <c r="U72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28" s="37" t="str">
        <f>IF(Table5[[#This Row],[Tour Starting Date]]&lt;&gt;"", TEXT(Table5[[#This Row],[Tour Starting Date]], "mmmm"), "")</f>
        <v/>
      </c>
      <c r="W728" s="80" t="str" cm="1">
        <f t="array" ref="W728">IF(Q728&lt;&gt;"", INDEX(CI:CI, MATCH(1, (Q728&gt;=CG:CG)*(Q728&lt;=CH:CH), 0)), "")</f>
        <v/>
      </c>
      <c r="X728" s="39"/>
      <c r="Y728" s="74"/>
      <c r="Z728" s="74" t="str">
        <f>IF(OR(Table5[[#This Row],[Per Person Package Cost]]="", Table5[[#This Row],[No. of Pax]]=""), "", Table5[[#This Row],[Per Person Package Cost]] * Table5[[#This Row],[No. of Pax]])</f>
        <v/>
      </c>
      <c r="AA728" s="52"/>
      <c r="AB728" s="52"/>
      <c r="AC728" s="52"/>
      <c r="AD728" s="52"/>
      <c r="AE728" s="51" t="str">
        <f t="shared" si="69"/>
        <v/>
      </c>
      <c r="AF728" s="51" t="str">
        <f t="shared" si="70"/>
        <v/>
      </c>
      <c r="AG728" s="74" t="str">
        <f t="shared" si="71"/>
        <v/>
      </c>
      <c r="AH728" s="73" t="str">
        <f t="shared" si="72"/>
        <v/>
      </c>
      <c r="AI728" s="52"/>
      <c r="AJ728" s="56"/>
      <c r="AK728" s="59"/>
      <c r="AL728" s="60"/>
      <c r="AM728" s="54"/>
      <c r="AN728" s="64"/>
      <c r="AO728" s="26"/>
      <c r="AP728" s="93"/>
      <c r="AQ728" s="87"/>
      <c r="AR728" s="26"/>
      <c r="AS728" s="65"/>
      <c r="AT728" s="88"/>
      <c r="AU728" s="67"/>
      <c r="DA728" t="str" cm="1">
        <f t="array" ref="DA728">IF(U728&lt;&gt;"", TRANSPOSE(_xlfn._xlws.FILTER(CZ:CZ, CY:CY=U728, "")), "")</f>
        <v/>
      </c>
    </row>
    <row r="729" spans="2:105">
      <c r="B729" s="35">
        <v>725</v>
      </c>
      <c r="C729" s="36" t="s">
        <v>2594</v>
      </c>
      <c r="D729" s="76"/>
      <c r="E729" s="37" t="str">
        <f>IF(Table5[[#This Row],[Query Date]]&lt;&gt;"", TEXT(Table5[[#This Row],[Query Date]], "dddd"), "")</f>
        <v/>
      </c>
      <c r="F729" s="37" t="str">
        <f>IF(Table5[[#This Row],[Query Date]]&lt;&gt;"", TEXT(Table5[[#This Row],[Query Date]], "mmmm"), "")</f>
        <v/>
      </c>
      <c r="G729" s="28"/>
      <c r="H729" s="28"/>
      <c r="I729" s="28"/>
      <c r="J729" s="28"/>
      <c r="K729" s="28"/>
      <c r="L729" s="25"/>
      <c r="M729" s="25"/>
      <c r="N729" s="25"/>
      <c r="O729" s="130"/>
      <c r="P729" s="47"/>
      <c r="Q729" s="77"/>
      <c r="R729" s="77" t="str">
        <f>IF(Table5[[#This Row],[Tour Starting Date]]&lt;&gt;"", TEXT(Table5[[#This Row],[Tour Starting Date]], "dddd"), "")</f>
        <v/>
      </c>
      <c r="S729" s="77"/>
      <c r="T729" s="25" t="str">
        <f>IF(Table5[[#This Row],[Tour Ending Date]]&lt;&gt;"", TEXT(Table5[[#This Row],[Tour Ending Date]], "dddd"), "")</f>
        <v/>
      </c>
      <c r="U72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29" s="37" t="str">
        <f>IF(Table5[[#This Row],[Tour Starting Date]]&lt;&gt;"", TEXT(Table5[[#This Row],[Tour Starting Date]], "mmmm"), "")</f>
        <v/>
      </c>
      <c r="W729" s="80" t="str" cm="1">
        <f t="array" ref="W729">IF(Q729&lt;&gt;"", INDEX(CI:CI, MATCH(1, (Q729&gt;=CG:CG)*(Q729&lt;=CH:CH), 0)), "")</f>
        <v/>
      </c>
      <c r="X729" s="39"/>
      <c r="Y729" s="74"/>
      <c r="Z729" s="74" t="str">
        <f>IF(OR(Table5[[#This Row],[Per Person Package Cost]]="", Table5[[#This Row],[No. of Pax]]=""), "", Table5[[#This Row],[Per Person Package Cost]] * Table5[[#This Row],[No. of Pax]])</f>
        <v/>
      </c>
      <c r="AA729" s="52"/>
      <c r="AB729" s="52"/>
      <c r="AC729" s="52"/>
      <c r="AD729" s="52"/>
      <c r="AE729" s="51" t="str">
        <f t="shared" si="69"/>
        <v/>
      </c>
      <c r="AF729" s="51" t="str">
        <f t="shared" si="70"/>
        <v/>
      </c>
      <c r="AG729" s="74" t="str">
        <f t="shared" si="71"/>
        <v/>
      </c>
      <c r="AH729" s="73" t="str">
        <f t="shared" si="72"/>
        <v/>
      </c>
      <c r="AI729" s="52"/>
      <c r="AJ729" s="56"/>
      <c r="AK729" s="59"/>
      <c r="AL729" s="60"/>
      <c r="AM729" s="54"/>
      <c r="AN729" s="64"/>
      <c r="AO729" s="26"/>
      <c r="AP729" s="93"/>
      <c r="AQ729" s="87"/>
      <c r="AR729" s="26"/>
      <c r="AS729" s="65"/>
      <c r="AT729" s="88"/>
      <c r="AU729" s="67"/>
      <c r="DA729" t="str" cm="1">
        <f t="array" ref="DA729">IF(U729&lt;&gt;"", TRANSPOSE(_xlfn._xlws.FILTER(CZ:CZ, CY:CY=U729, "")), "")</f>
        <v/>
      </c>
    </row>
    <row r="730" spans="2:105">
      <c r="B730" s="35">
        <v>726</v>
      </c>
      <c r="C730" s="36" t="s">
        <v>2595</v>
      </c>
      <c r="D730" s="76"/>
      <c r="E730" s="37" t="str">
        <f>IF(Table5[[#This Row],[Query Date]]&lt;&gt;"", TEXT(Table5[[#This Row],[Query Date]], "dddd"), "")</f>
        <v/>
      </c>
      <c r="F730" s="37" t="str">
        <f>IF(Table5[[#This Row],[Query Date]]&lt;&gt;"", TEXT(Table5[[#This Row],[Query Date]], "mmmm"), "")</f>
        <v/>
      </c>
      <c r="G730" s="28"/>
      <c r="H730" s="28"/>
      <c r="I730" s="28"/>
      <c r="J730" s="28"/>
      <c r="K730" s="28"/>
      <c r="L730" s="25"/>
      <c r="M730" s="25"/>
      <c r="N730" s="25"/>
      <c r="O730" s="130"/>
      <c r="P730" s="47"/>
      <c r="Q730" s="77"/>
      <c r="R730" s="77" t="str">
        <f>IF(Table5[[#This Row],[Tour Starting Date]]&lt;&gt;"", TEXT(Table5[[#This Row],[Tour Starting Date]], "dddd"), "")</f>
        <v/>
      </c>
      <c r="S730" s="77"/>
      <c r="T730" s="25" t="str">
        <f>IF(Table5[[#This Row],[Tour Ending Date]]&lt;&gt;"", TEXT(Table5[[#This Row],[Tour Ending Date]], "dddd"), "")</f>
        <v/>
      </c>
      <c r="U73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30" s="37" t="str">
        <f>IF(Table5[[#This Row],[Tour Starting Date]]&lt;&gt;"", TEXT(Table5[[#This Row],[Tour Starting Date]], "mmmm"), "")</f>
        <v/>
      </c>
      <c r="W730" s="80" t="str" cm="1">
        <f t="array" ref="W730">IF(Q730&lt;&gt;"", INDEX(CI:CI, MATCH(1, (Q730&gt;=CG:CG)*(Q730&lt;=CH:CH), 0)), "")</f>
        <v/>
      </c>
      <c r="X730" s="39"/>
      <c r="Y730" s="74"/>
      <c r="Z730" s="74" t="str">
        <f>IF(OR(Table5[[#This Row],[Per Person Package Cost]]="", Table5[[#This Row],[No. of Pax]]=""), "", Table5[[#This Row],[Per Person Package Cost]] * Table5[[#This Row],[No. of Pax]])</f>
        <v/>
      </c>
      <c r="AA730" s="52"/>
      <c r="AB730" s="52"/>
      <c r="AC730" s="52"/>
      <c r="AD730" s="52"/>
      <c r="AE730" s="51" t="str">
        <f t="shared" si="69"/>
        <v/>
      </c>
      <c r="AF730" s="51" t="str">
        <f t="shared" si="70"/>
        <v/>
      </c>
      <c r="AG730" s="74" t="str">
        <f t="shared" si="71"/>
        <v/>
      </c>
      <c r="AH730" s="73" t="str">
        <f t="shared" si="72"/>
        <v/>
      </c>
      <c r="AI730" s="52"/>
      <c r="AJ730" s="56"/>
      <c r="AK730" s="59"/>
      <c r="AL730" s="60"/>
      <c r="AM730" s="54"/>
      <c r="AN730" s="64"/>
      <c r="AO730" s="26"/>
      <c r="AP730" s="93"/>
      <c r="AQ730" s="87"/>
      <c r="AR730" s="26"/>
      <c r="AS730" s="65"/>
      <c r="AT730" s="88"/>
      <c r="AU730" s="67"/>
      <c r="DA730" t="str" cm="1">
        <f t="array" ref="DA730">IF(U730&lt;&gt;"", TRANSPOSE(_xlfn._xlws.FILTER(CZ:CZ, CY:CY=U730, "")), "")</f>
        <v/>
      </c>
    </row>
    <row r="731" spans="2:105">
      <c r="B731" s="35">
        <v>727</v>
      </c>
      <c r="C731" s="36" t="s">
        <v>2596</v>
      </c>
      <c r="D731" s="76"/>
      <c r="E731" s="37" t="str">
        <f>IF(Table5[[#This Row],[Query Date]]&lt;&gt;"", TEXT(Table5[[#This Row],[Query Date]], "dddd"), "")</f>
        <v/>
      </c>
      <c r="F731" s="37" t="str">
        <f>IF(Table5[[#This Row],[Query Date]]&lt;&gt;"", TEXT(Table5[[#This Row],[Query Date]], "mmmm"), "")</f>
        <v/>
      </c>
      <c r="G731" s="28"/>
      <c r="H731" s="28"/>
      <c r="I731" s="28"/>
      <c r="J731" s="28"/>
      <c r="K731" s="28"/>
      <c r="L731" s="25"/>
      <c r="M731" s="25"/>
      <c r="N731" s="25"/>
      <c r="O731" s="130"/>
      <c r="P731" s="47"/>
      <c r="Q731" s="77"/>
      <c r="R731" s="77" t="str">
        <f>IF(Table5[[#This Row],[Tour Starting Date]]&lt;&gt;"", TEXT(Table5[[#This Row],[Tour Starting Date]], "dddd"), "")</f>
        <v/>
      </c>
      <c r="S731" s="77"/>
      <c r="T731" s="25" t="str">
        <f>IF(Table5[[#This Row],[Tour Ending Date]]&lt;&gt;"", TEXT(Table5[[#This Row],[Tour Ending Date]], "dddd"), "")</f>
        <v/>
      </c>
      <c r="U73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31" s="37" t="str">
        <f>IF(Table5[[#This Row],[Tour Starting Date]]&lt;&gt;"", TEXT(Table5[[#This Row],[Tour Starting Date]], "mmmm"), "")</f>
        <v/>
      </c>
      <c r="W731" s="80" t="str" cm="1">
        <f t="array" ref="W731">IF(Q731&lt;&gt;"", INDEX(CI:CI, MATCH(1, (Q731&gt;=CG:CG)*(Q731&lt;=CH:CH), 0)), "")</f>
        <v/>
      </c>
      <c r="X731" s="39"/>
      <c r="Y731" s="74"/>
      <c r="Z731" s="74" t="str">
        <f>IF(OR(Table5[[#This Row],[Per Person Package Cost]]="", Table5[[#This Row],[No. of Pax]]=""), "", Table5[[#This Row],[Per Person Package Cost]] * Table5[[#This Row],[No. of Pax]])</f>
        <v/>
      </c>
      <c r="AA731" s="52"/>
      <c r="AB731" s="52"/>
      <c r="AC731" s="52"/>
      <c r="AD731" s="52"/>
      <c r="AE731" s="51" t="str">
        <f t="shared" si="69"/>
        <v/>
      </c>
      <c r="AF731" s="51" t="str">
        <f t="shared" si="70"/>
        <v/>
      </c>
      <c r="AG731" s="74" t="str">
        <f t="shared" si="71"/>
        <v/>
      </c>
      <c r="AH731" s="73" t="str">
        <f t="shared" si="72"/>
        <v/>
      </c>
      <c r="AI731" s="52"/>
      <c r="AJ731" s="56"/>
      <c r="AK731" s="59"/>
      <c r="AL731" s="60"/>
      <c r="AM731" s="54"/>
      <c r="AN731" s="64"/>
      <c r="AO731" s="26"/>
      <c r="AP731" s="93"/>
      <c r="AQ731" s="87"/>
      <c r="AR731" s="26"/>
      <c r="AS731" s="65"/>
      <c r="AT731" s="88"/>
      <c r="AU731" s="67"/>
      <c r="DA731" t="str" cm="1">
        <f t="array" ref="DA731">IF(U731&lt;&gt;"", TRANSPOSE(_xlfn._xlws.FILTER(CZ:CZ, CY:CY=U731, "")), "")</f>
        <v/>
      </c>
    </row>
    <row r="732" spans="2:105">
      <c r="B732" s="35">
        <v>728</v>
      </c>
      <c r="C732" s="36" t="s">
        <v>2597</v>
      </c>
      <c r="D732" s="76"/>
      <c r="E732" s="37" t="str">
        <f>IF(Table5[[#This Row],[Query Date]]&lt;&gt;"", TEXT(Table5[[#This Row],[Query Date]], "dddd"), "")</f>
        <v/>
      </c>
      <c r="F732" s="37" t="str">
        <f>IF(Table5[[#This Row],[Query Date]]&lt;&gt;"", TEXT(Table5[[#This Row],[Query Date]], "mmmm"), "")</f>
        <v/>
      </c>
      <c r="G732" s="28"/>
      <c r="H732" s="28"/>
      <c r="I732" s="28"/>
      <c r="J732" s="28"/>
      <c r="K732" s="28"/>
      <c r="L732" s="25"/>
      <c r="M732" s="25"/>
      <c r="N732" s="25"/>
      <c r="O732" s="130"/>
      <c r="P732" s="47"/>
      <c r="Q732" s="77"/>
      <c r="R732" s="77" t="str">
        <f>IF(Table5[[#This Row],[Tour Starting Date]]&lt;&gt;"", TEXT(Table5[[#This Row],[Tour Starting Date]], "dddd"), "")</f>
        <v/>
      </c>
      <c r="S732" s="77"/>
      <c r="T732" s="25" t="str">
        <f>IF(Table5[[#This Row],[Tour Ending Date]]&lt;&gt;"", TEXT(Table5[[#This Row],[Tour Ending Date]], "dddd"), "")</f>
        <v/>
      </c>
      <c r="U73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32" s="37" t="str">
        <f>IF(Table5[[#This Row],[Tour Starting Date]]&lt;&gt;"", TEXT(Table5[[#This Row],[Tour Starting Date]], "mmmm"), "")</f>
        <v/>
      </c>
      <c r="W732" s="80" t="str" cm="1">
        <f t="array" ref="W732">IF(Q732&lt;&gt;"", INDEX(CI:CI, MATCH(1, (Q732&gt;=CG:CG)*(Q732&lt;=CH:CH), 0)), "")</f>
        <v/>
      </c>
      <c r="X732" s="39"/>
      <c r="Y732" s="74"/>
      <c r="Z732" s="74" t="str">
        <f>IF(OR(Table5[[#This Row],[Per Person Package Cost]]="", Table5[[#This Row],[No. of Pax]]=""), "", Table5[[#This Row],[Per Person Package Cost]] * Table5[[#This Row],[No. of Pax]])</f>
        <v/>
      </c>
      <c r="AA732" s="52"/>
      <c r="AB732" s="52"/>
      <c r="AC732" s="52"/>
      <c r="AD732" s="52"/>
      <c r="AE732" s="51" t="str">
        <f t="shared" si="69"/>
        <v/>
      </c>
      <c r="AF732" s="51" t="str">
        <f t="shared" si="70"/>
        <v/>
      </c>
      <c r="AG732" s="74" t="str">
        <f t="shared" si="71"/>
        <v/>
      </c>
      <c r="AH732" s="73" t="str">
        <f t="shared" si="72"/>
        <v/>
      </c>
      <c r="AI732" s="52"/>
      <c r="AJ732" s="56"/>
      <c r="AK732" s="59"/>
      <c r="AL732" s="60"/>
      <c r="AM732" s="54"/>
      <c r="AN732" s="64"/>
      <c r="AO732" s="26"/>
      <c r="AP732" s="93"/>
      <c r="AQ732" s="87"/>
      <c r="AR732" s="26"/>
      <c r="AS732" s="65"/>
      <c r="AT732" s="88"/>
      <c r="AU732" s="67"/>
      <c r="DA732" t="str" cm="1">
        <f t="array" ref="DA732">IF(U732&lt;&gt;"", TRANSPOSE(_xlfn._xlws.FILTER(CZ:CZ, CY:CY=U732, "")), "")</f>
        <v/>
      </c>
    </row>
    <row r="733" spans="2:105">
      <c r="B733" s="35">
        <v>729</v>
      </c>
      <c r="C733" s="36" t="s">
        <v>2598</v>
      </c>
      <c r="D733" s="76"/>
      <c r="E733" s="37" t="str">
        <f>IF(Table5[[#This Row],[Query Date]]&lt;&gt;"", TEXT(Table5[[#This Row],[Query Date]], "dddd"), "")</f>
        <v/>
      </c>
      <c r="F733" s="37" t="str">
        <f>IF(Table5[[#This Row],[Query Date]]&lt;&gt;"", TEXT(Table5[[#This Row],[Query Date]], "mmmm"), "")</f>
        <v/>
      </c>
      <c r="G733" s="28"/>
      <c r="H733" s="28"/>
      <c r="I733" s="28"/>
      <c r="J733" s="28"/>
      <c r="K733" s="28"/>
      <c r="L733" s="25"/>
      <c r="M733" s="25"/>
      <c r="N733" s="25"/>
      <c r="O733" s="130"/>
      <c r="P733" s="47"/>
      <c r="Q733" s="77"/>
      <c r="R733" s="77" t="str">
        <f>IF(Table5[[#This Row],[Tour Starting Date]]&lt;&gt;"", TEXT(Table5[[#This Row],[Tour Starting Date]], "dddd"), "")</f>
        <v/>
      </c>
      <c r="S733" s="77"/>
      <c r="T733" s="25" t="str">
        <f>IF(Table5[[#This Row],[Tour Ending Date]]&lt;&gt;"", TEXT(Table5[[#This Row],[Tour Ending Date]], "dddd"), "")</f>
        <v/>
      </c>
      <c r="U73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33" s="37" t="str">
        <f>IF(Table5[[#This Row],[Tour Starting Date]]&lt;&gt;"", TEXT(Table5[[#This Row],[Tour Starting Date]], "mmmm"), "")</f>
        <v/>
      </c>
      <c r="W733" s="80" t="str" cm="1">
        <f t="array" ref="W733">IF(Q733&lt;&gt;"", INDEX(CI:CI, MATCH(1, (Q733&gt;=CG:CG)*(Q733&lt;=CH:CH), 0)), "")</f>
        <v/>
      </c>
      <c r="X733" s="39"/>
      <c r="Y733" s="74"/>
      <c r="Z733" s="74" t="str">
        <f>IF(OR(Table5[[#This Row],[Per Person Package Cost]]="", Table5[[#This Row],[No. of Pax]]=""), "", Table5[[#This Row],[Per Person Package Cost]] * Table5[[#This Row],[No. of Pax]])</f>
        <v/>
      </c>
      <c r="AA733" s="52"/>
      <c r="AB733" s="52"/>
      <c r="AC733" s="52"/>
      <c r="AD733" s="52"/>
      <c r="AE733" s="51" t="str">
        <f t="shared" si="69"/>
        <v/>
      </c>
      <c r="AF733" s="51" t="str">
        <f t="shared" si="70"/>
        <v/>
      </c>
      <c r="AG733" s="74" t="str">
        <f t="shared" si="71"/>
        <v/>
      </c>
      <c r="AH733" s="73" t="str">
        <f t="shared" si="72"/>
        <v/>
      </c>
      <c r="AI733" s="52"/>
      <c r="AJ733" s="56"/>
      <c r="AK733" s="59"/>
      <c r="AL733" s="60"/>
      <c r="AM733" s="54"/>
      <c r="AN733" s="64"/>
      <c r="AO733" s="26"/>
      <c r="AP733" s="93"/>
      <c r="AQ733" s="87"/>
      <c r="AR733" s="26"/>
      <c r="AS733" s="65"/>
      <c r="AT733" s="88"/>
      <c r="AU733" s="67"/>
      <c r="DA733" t="str" cm="1">
        <f t="array" ref="DA733">IF(U733&lt;&gt;"", TRANSPOSE(_xlfn._xlws.FILTER(CZ:CZ, CY:CY=U733, "")), "")</f>
        <v/>
      </c>
    </row>
    <row r="734" spans="2:105">
      <c r="B734" s="35">
        <v>730</v>
      </c>
      <c r="C734" s="36" t="s">
        <v>2599</v>
      </c>
      <c r="D734" s="76"/>
      <c r="E734" s="37" t="str">
        <f>IF(Table5[[#This Row],[Query Date]]&lt;&gt;"", TEXT(Table5[[#This Row],[Query Date]], "dddd"), "")</f>
        <v/>
      </c>
      <c r="F734" s="37" t="str">
        <f>IF(Table5[[#This Row],[Query Date]]&lt;&gt;"", TEXT(Table5[[#This Row],[Query Date]], "mmmm"), "")</f>
        <v/>
      </c>
      <c r="G734" s="28"/>
      <c r="H734" s="28"/>
      <c r="I734" s="28"/>
      <c r="J734" s="28"/>
      <c r="K734" s="28"/>
      <c r="L734" s="25"/>
      <c r="M734" s="25"/>
      <c r="N734" s="25"/>
      <c r="O734" s="130"/>
      <c r="P734" s="47"/>
      <c r="Q734" s="77"/>
      <c r="R734" s="77" t="str">
        <f>IF(Table5[[#This Row],[Tour Starting Date]]&lt;&gt;"", TEXT(Table5[[#This Row],[Tour Starting Date]], "dddd"), "")</f>
        <v/>
      </c>
      <c r="S734" s="77"/>
      <c r="T734" s="25" t="str">
        <f>IF(Table5[[#This Row],[Tour Ending Date]]&lt;&gt;"", TEXT(Table5[[#This Row],[Tour Ending Date]], "dddd"), "")</f>
        <v/>
      </c>
      <c r="U73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34" s="37" t="str">
        <f>IF(Table5[[#This Row],[Tour Starting Date]]&lt;&gt;"", TEXT(Table5[[#This Row],[Tour Starting Date]], "mmmm"), "")</f>
        <v/>
      </c>
      <c r="W734" s="80" t="str" cm="1">
        <f t="array" ref="W734">IF(Q734&lt;&gt;"", INDEX(CI:CI, MATCH(1, (Q734&gt;=CG:CG)*(Q734&lt;=CH:CH), 0)), "")</f>
        <v/>
      </c>
      <c r="X734" s="39"/>
      <c r="Y734" s="74"/>
      <c r="Z734" s="74" t="str">
        <f>IF(OR(Table5[[#This Row],[Per Person Package Cost]]="", Table5[[#This Row],[No. of Pax]]=""), "", Table5[[#This Row],[Per Person Package Cost]] * Table5[[#This Row],[No. of Pax]])</f>
        <v/>
      </c>
      <c r="AA734" s="52"/>
      <c r="AB734" s="52"/>
      <c r="AC734" s="52"/>
      <c r="AD734" s="52"/>
      <c r="AE734" s="51" t="str">
        <f t="shared" si="69"/>
        <v/>
      </c>
      <c r="AF734" s="51" t="str">
        <f t="shared" si="70"/>
        <v/>
      </c>
      <c r="AG734" s="74" t="str">
        <f t="shared" si="71"/>
        <v/>
      </c>
      <c r="AH734" s="73" t="str">
        <f t="shared" si="72"/>
        <v/>
      </c>
      <c r="AI734" s="52"/>
      <c r="AJ734" s="56"/>
      <c r="AK734" s="59"/>
      <c r="AL734" s="60"/>
      <c r="AM734" s="54"/>
      <c r="AN734" s="64"/>
      <c r="AO734" s="26"/>
      <c r="AP734" s="93"/>
      <c r="AQ734" s="87"/>
      <c r="AR734" s="26"/>
      <c r="AS734" s="65"/>
      <c r="AT734" s="88"/>
      <c r="AU734" s="67"/>
      <c r="DA734" t="str" cm="1">
        <f t="array" ref="DA734">IF(U734&lt;&gt;"", TRANSPOSE(_xlfn._xlws.FILTER(CZ:CZ, CY:CY=U734, "")), "")</f>
        <v/>
      </c>
    </row>
    <row r="735" spans="2:105">
      <c r="B735" s="35">
        <v>731</v>
      </c>
      <c r="C735" s="36" t="s">
        <v>2600</v>
      </c>
      <c r="D735" s="76"/>
      <c r="E735" s="37" t="str">
        <f>IF(Table5[[#This Row],[Query Date]]&lt;&gt;"", TEXT(Table5[[#This Row],[Query Date]], "dddd"), "")</f>
        <v/>
      </c>
      <c r="F735" s="37" t="str">
        <f>IF(Table5[[#This Row],[Query Date]]&lt;&gt;"", TEXT(Table5[[#This Row],[Query Date]], "mmmm"), "")</f>
        <v/>
      </c>
      <c r="G735" s="28"/>
      <c r="H735" s="28"/>
      <c r="I735" s="28"/>
      <c r="J735" s="28"/>
      <c r="K735" s="28"/>
      <c r="L735" s="25"/>
      <c r="M735" s="25"/>
      <c r="N735" s="25"/>
      <c r="O735" s="130"/>
      <c r="P735" s="47"/>
      <c r="Q735" s="77"/>
      <c r="R735" s="77" t="str">
        <f>IF(Table5[[#This Row],[Tour Starting Date]]&lt;&gt;"", TEXT(Table5[[#This Row],[Tour Starting Date]], "dddd"), "")</f>
        <v/>
      </c>
      <c r="S735" s="77"/>
      <c r="T735" s="25" t="str">
        <f>IF(Table5[[#This Row],[Tour Ending Date]]&lt;&gt;"", TEXT(Table5[[#This Row],[Tour Ending Date]], "dddd"), "")</f>
        <v/>
      </c>
      <c r="U73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35" s="37" t="str">
        <f>IF(Table5[[#This Row],[Tour Starting Date]]&lt;&gt;"", TEXT(Table5[[#This Row],[Tour Starting Date]], "mmmm"), "")</f>
        <v/>
      </c>
      <c r="W735" s="80" t="str" cm="1">
        <f t="array" ref="W735">IF(Q735&lt;&gt;"", INDEX(CI:CI, MATCH(1, (Q735&gt;=CG:CG)*(Q735&lt;=CH:CH), 0)), "")</f>
        <v/>
      </c>
      <c r="X735" s="39"/>
      <c r="Y735" s="74"/>
      <c r="Z735" s="74" t="str">
        <f>IF(OR(Table5[[#This Row],[Per Person Package Cost]]="", Table5[[#This Row],[No. of Pax]]=""), "", Table5[[#This Row],[Per Person Package Cost]] * Table5[[#This Row],[No. of Pax]])</f>
        <v/>
      </c>
      <c r="AA735" s="52"/>
      <c r="AB735" s="52"/>
      <c r="AC735" s="52"/>
      <c r="AD735" s="52"/>
      <c r="AE735" s="51" t="str">
        <f t="shared" si="69"/>
        <v/>
      </c>
      <c r="AF735" s="51" t="str">
        <f t="shared" si="70"/>
        <v/>
      </c>
      <c r="AG735" s="74" t="str">
        <f t="shared" si="71"/>
        <v/>
      </c>
      <c r="AH735" s="73" t="str">
        <f t="shared" si="72"/>
        <v/>
      </c>
      <c r="AI735" s="52"/>
      <c r="AJ735" s="56"/>
      <c r="AK735" s="59"/>
      <c r="AL735" s="60"/>
      <c r="AM735" s="54"/>
      <c r="AN735" s="64"/>
      <c r="AO735" s="26"/>
      <c r="AP735" s="93"/>
      <c r="AQ735" s="87"/>
      <c r="AR735" s="26"/>
      <c r="AS735" s="65"/>
      <c r="AT735" s="88"/>
      <c r="AU735" s="67"/>
      <c r="DA735" t="str" cm="1">
        <f t="array" ref="DA735">IF(U735&lt;&gt;"", TRANSPOSE(_xlfn._xlws.FILTER(CZ:CZ, CY:CY=U735, "")), "")</f>
        <v/>
      </c>
    </row>
    <row r="736" spans="2:105">
      <c r="B736" s="35">
        <v>732</v>
      </c>
      <c r="C736" s="36" t="s">
        <v>2601</v>
      </c>
      <c r="D736" s="76"/>
      <c r="E736" s="37" t="str">
        <f>IF(Table5[[#This Row],[Query Date]]&lt;&gt;"", TEXT(Table5[[#This Row],[Query Date]], "dddd"), "")</f>
        <v/>
      </c>
      <c r="F736" s="37" t="str">
        <f>IF(Table5[[#This Row],[Query Date]]&lt;&gt;"", TEXT(Table5[[#This Row],[Query Date]], "mmmm"), "")</f>
        <v/>
      </c>
      <c r="G736" s="28"/>
      <c r="H736" s="28"/>
      <c r="I736" s="28"/>
      <c r="J736" s="28"/>
      <c r="K736" s="28"/>
      <c r="L736" s="25"/>
      <c r="M736" s="25"/>
      <c r="N736" s="25"/>
      <c r="O736" s="130"/>
      <c r="P736" s="47"/>
      <c r="Q736" s="77"/>
      <c r="R736" s="77" t="str">
        <f>IF(Table5[[#This Row],[Tour Starting Date]]&lt;&gt;"", TEXT(Table5[[#This Row],[Tour Starting Date]], "dddd"), "")</f>
        <v/>
      </c>
      <c r="S736" s="77"/>
      <c r="T736" s="25" t="str">
        <f>IF(Table5[[#This Row],[Tour Ending Date]]&lt;&gt;"", TEXT(Table5[[#This Row],[Tour Ending Date]], "dddd"), "")</f>
        <v/>
      </c>
      <c r="U73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36" s="37" t="str">
        <f>IF(Table5[[#This Row],[Tour Starting Date]]&lt;&gt;"", TEXT(Table5[[#This Row],[Tour Starting Date]], "mmmm"), "")</f>
        <v/>
      </c>
      <c r="W736" s="80" t="str" cm="1">
        <f t="array" ref="W736">IF(Q736&lt;&gt;"", INDEX(CI:CI, MATCH(1, (Q736&gt;=CG:CG)*(Q736&lt;=CH:CH), 0)), "")</f>
        <v/>
      </c>
      <c r="X736" s="39"/>
      <c r="Y736" s="74"/>
      <c r="Z736" s="74" t="str">
        <f>IF(OR(Table5[[#This Row],[Per Person Package Cost]]="", Table5[[#This Row],[No. of Pax]]=""), "", Table5[[#This Row],[Per Person Package Cost]] * Table5[[#This Row],[No. of Pax]])</f>
        <v/>
      </c>
      <c r="AA736" s="52"/>
      <c r="AB736" s="52"/>
      <c r="AC736" s="52"/>
      <c r="AD736" s="52"/>
      <c r="AE736" s="51" t="str">
        <f t="shared" si="69"/>
        <v/>
      </c>
      <c r="AF736" s="51" t="str">
        <f t="shared" si="70"/>
        <v/>
      </c>
      <c r="AG736" s="74" t="str">
        <f t="shared" si="71"/>
        <v/>
      </c>
      <c r="AH736" s="73" t="str">
        <f t="shared" si="72"/>
        <v/>
      </c>
      <c r="AI736" s="52"/>
      <c r="AJ736" s="56"/>
      <c r="AK736" s="59"/>
      <c r="AL736" s="60"/>
      <c r="AM736" s="54"/>
      <c r="AN736" s="64"/>
      <c r="AO736" s="26"/>
      <c r="AP736" s="93"/>
      <c r="AQ736" s="87"/>
      <c r="AR736" s="26"/>
      <c r="AS736" s="65"/>
      <c r="AT736" s="88"/>
      <c r="AU736" s="67"/>
      <c r="DA736" t="str" cm="1">
        <f t="array" ref="DA736">IF(U736&lt;&gt;"", TRANSPOSE(_xlfn._xlws.FILTER(CZ:CZ, CY:CY=U736, "")), "")</f>
        <v/>
      </c>
    </row>
    <row r="737" spans="2:105">
      <c r="B737" s="35">
        <v>733</v>
      </c>
      <c r="C737" s="36" t="s">
        <v>2602</v>
      </c>
      <c r="D737" s="76"/>
      <c r="E737" s="37" t="str">
        <f>IF(Table5[[#This Row],[Query Date]]&lt;&gt;"", TEXT(Table5[[#This Row],[Query Date]], "dddd"), "")</f>
        <v/>
      </c>
      <c r="F737" s="37" t="str">
        <f>IF(Table5[[#This Row],[Query Date]]&lt;&gt;"", TEXT(Table5[[#This Row],[Query Date]], "mmmm"), "")</f>
        <v/>
      </c>
      <c r="G737" s="28"/>
      <c r="H737" s="28"/>
      <c r="I737" s="28"/>
      <c r="J737" s="28"/>
      <c r="K737" s="28"/>
      <c r="L737" s="25"/>
      <c r="M737" s="25"/>
      <c r="N737" s="25"/>
      <c r="O737" s="130"/>
      <c r="P737" s="47"/>
      <c r="Q737" s="77"/>
      <c r="R737" s="77" t="str">
        <f>IF(Table5[[#This Row],[Tour Starting Date]]&lt;&gt;"", TEXT(Table5[[#This Row],[Tour Starting Date]], "dddd"), "")</f>
        <v/>
      </c>
      <c r="S737" s="77"/>
      <c r="T737" s="25" t="str">
        <f>IF(Table5[[#This Row],[Tour Ending Date]]&lt;&gt;"", TEXT(Table5[[#This Row],[Tour Ending Date]], "dddd"), "")</f>
        <v/>
      </c>
      <c r="U73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37" s="37" t="str">
        <f>IF(Table5[[#This Row],[Tour Starting Date]]&lt;&gt;"", TEXT(Table5[[#This Row],[Tour Starting Date]], "mmmm"), "")</f>
        <v/>
      </c>
      <c r="W737" s="80" t="str" cm="1">
        <f t="array" ref="W737">IF(Q737&lt;&gt;"", INDEX(CI:CI, MATCH(1, (Q737&gt;=CG:CG)*(Q737&lt;=CH:CH), 0)), "")</f>
        <v/>
      </c>
      <c r="X737" s="39"/>
      <c r="Y737" s="74"/>
      <c r="Z737" s="74" t="str">
        <f>IF(OR(Table5[[#This Row],[Per Person Package Cost]]="", Table5[[#This Row],[No. of Pax]]=""), "", Table5[[#This Row],[Per Person Package Cost]] * Table5[[#This Row],[No. of Pax]])</f>
        <v/>
      </c>
      <c r="AA737" s="52"/>
      <c r="AB737" s="52"/>
      <c r="AC737" s="52"/>
      <c r="AD737" s="52"/>
      <c r="AE737" s="51" t="str">
        <f t="shared" si="69"/>
        <v/>
      </c>
      <c r="AF737" s="51" t="str">
        <f t="shared" si="70"/>
        <v/>
      </c>
      <c r="AG737" s="74" t="str">
        <f t="shared" si="71"/>
        <v/>
      </c>
      <c r="AH737" s="73" t="str">
        <f t="shared" si="72"/>
        <v/>
      </c>
      <c r="AI737" s="52"/>
      <c r="AJ737" s="56"/>
      <c r="AK737" s="59"/>
      <c r="AL737" s="60"/>
      <c r="AM737" s="54"/>
      <c r="AN737" s="64"/>
      <c r="AO737" s="26"/>
      <c r="AP737" s="93"/>
      <c r="AQ737" s="87"/>
      <c r="AR737" s="26"/>
      <c r="AS737" s="65"/>
      <c r="AT737" s="88"/>
      <c r="AU737" s="67"/>
      <c r="DA737" t="str" cm="1">
        <f t="array" ref="DA737">IF(U737&lt;&gt;"", TRANSPOSE(_xlfn._xlws.FILTER(CZ:CZ, CY:CY=U737, "")), "")</f>
        <v/>
      </c>
    </row>
    <row r="738" spans="2:105">
      <c r="B738" s="35">
        <v>734</v>
      </c>
      <c r="C738" s="36" t="s">
        <v>2603</v>
      </c>
      <c r="D738" s="76"/>
      <c r="E738" s="37" t="str">
        <f>IF(Table5[[#This Row],[Query Date]]&lt;&gt;"", TEXT(Table5[[#This Row],[Query Date]], "dddd"), "")</f>
        <v/>
      </c>
      <c r="F738" s="37" t="str">
        <f>IF(Table5[[#This Row],[Query Date]]&lt;&gt;"", TEXT(Table5[[#This Row],[Query Date]], "mmmm"), "")</f>
        <v/>
      </c>
      <c r="G738" s="28"/>
      <c r="H738" s="28"/>
      <c r="I738" s="28"/>
      <c r="J738" s="28"/>
      <c r="K738" s="28"/>
      <c r="L738" s="25"/>
      <c r="M738" s="25"/>
      <c r="N738" s="25"/>
      <c r="O738" s="130"/>
      <c r="P738" s="47"/>
      <c r="Q738" s="77"/>
      <c r="R738" s="77" t="str">
        <f>IF(Table5[[#This Row],[Tour Starting Date]]&lt;&gt;"", TEXT(Table5[[#This Row],[Tour Starting Date]], "dddd"), "")</f>
        <v/>
      </c>
      <c r="S738" s="77"/>
      <c r="T738" s="25" t="str">
        <f>IF(Table5[[#This Row],[Tour Ending Date]]&lt;&gt;"", TEXT(Table5[[#This Row],[Tour Ending Date]], "dddd"), "")</f>
        <v/>
      </c>
      <c r="U73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38" s="37" t="str">
        <f>IF(Table5[[#This Row],[Tour Starting Date]]&lt;&gt;"", TEXT(Table5[[#This Row],[Tour Starting Date]], "mmmm"), "")</f>
        <v/>
      </c>
      <c r="W738" s="80" t="str" cm="1">
        <f t="array" ref="W738">IF(Q738&lt;&gt;"", INDEX(CI:CI, MATCH(1, (Q738&gt;=CG:CG)*(Q738&lt;=CH:CH), 0)), "")</f>
        <v/>
      </c>
      <c r="X738" s="39"/>
      <c r="Y738" s="74"/>
      <c r="Z738" s="74" t="str">
        <f>IF(OR(Table5[[#This Row],[Per Person Package Cost]]="", Table5[[#This Row],[No. of Pax]]=""), "", Table5[[#This Row],[Per Person Package Cost]] * Table5[[#This Row],[No. of Pax]])</f>
        <v/>
      </c>
      <c r="AA738" s="52"/>
      <c r="AB738" s="52"/>
      <c r="AC738" s="52"/>
      <c r="AD738" s="52"/>
      <c r="AE738" s="51" t="str">
        <f t="shared" si="69"/>
        <v/>
      </c>
      <c r="AF738" s="51" t="str">
        <f t="shared" si="70"/>
        <v/>
      </c>
      <c r="AG738" s="74" t="str">
        <f t="shared" si="71"/>
        <v/>
      </c>
      <c r="AH738" s="73" t="str">
        <f t="shared" si="72"/>
        <v/>
      </c>
      <c r="AI738" s="52"/>
      <c r="AJ738" s="56"/>
      <c r="AK738" s="59"/>
      <c r="AL738" s="60"/>
      <c r="AM738" s="54"/>
      <c r="AN738" s="64"/>
      <c r="AO738" s="26"/>
      <c r="AP738" s="93"/>
      <c r="AQ738" s="87"/>
      <c r="AR738" s="26"/>
      <c r="AS738" s="65"/>
      <c r="AT738" s="88"/>
      <c r="AU738" s="67"/>
      <c r="DA738" t="str" cm="1">
        <f t="array" ref="DA738">IF(U738&lt;&gt;"", TRANSPOSE(_xlfn._xlws.FILTER(CZ:CZ, CY:CY=U738, "")), "")</f>
        <v/>
      </c>
    </row>
    <row r="739" spans="2:105">
      <c r="B739" s="35">
        <v>735</v>
      </c>
      <c r="C739" s="36" t="s">
        <v>2604</v>
      </c>
      <c r="D739" s="76"/>
      <c r="E739" s="37" t="str">
        <f>IF(Table5[[#This Row],[Query Date]]&lt;&gt;"", TEXT(Table5[[#This Row],[Query Date]], "dddd"), "")</f>
        <v/>
      </c>
      <c r="F739" s="37" t="str">
        <f>IF(Table5[[#This Row],[Query Date]]&lt;&gt;"", TEXT(Table5[[#This Row],[Query Date]], "mmmm"), "")</f>
        <v/>
      </c>
      <c r="G739" s="28"/>
      <c r="H739" s="28"/>
      <c r="I739" s="28"/>
      <c r="J739" s="28"/>
      <c r="K739" s="28"/>
      <c r="L739" s="25"/>
      <c r="M739" s="25"/>
      <c r="N739" s="25"/>
      <c r="O739" s="130"/>
      <c r="P739" s="47"/>
      <c r="Q739" s="77"/>
      <c r="R739" s="77" t="str">
        <f>IF(Table5[[#This Row],[Tour Starting Date]]&lt;&gt;"", TEXT(Table5[[#This Row],[Tour Starting Date]], "dddd"), "")</f>
        <v/>
      </c>
      <c r="S739" s="77"/>
      <c r="T739" s="25" t="str">
        <f>IF(Table5[[#This Row],[Tour Ending Date]]&lt;&gt;"", TEXT(Table5[[#This Row],[Tour Ending Date]], "dddd"), "")</f>
        <v/>
      </c>
      <c r="U73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39" s="37" t="str">
        <f>IF(Table5[[#This Row],[Tour Starting Date]]&lt;&gt;"", TEXT(Table5[[#This Row],[Tour Starting Date]], "mmmm"), "")</f>
        <v/>
      </c>
      <c r="W739" s="80" t="str" cm="1">
        <f t="array" ref="W739">IF(Q739&lt;&gt;"", INDEX(CI:CI, MATCH(1, (Q739&gt;=CG:CG)*(Q739&lt;=CH:CH), 0)), "")</f>
        <v/>
      </c>
      <c r="X739" s="39"/>
      <c r="Y739" s="74"/>
      <c r="Z739" s="74" t="str">
        <f>IF(OR(Table5[[#This Row],[Per Person Package Cost]]="", Table5[[#This Row],[No. of Pax]]=""), "", Table5[[#This Row],[Per Person Package Cost]] * Table5[[#This Row],[No. of Pax]])</f>
        <v/>
      </c>
      <c r="AA739" s="52"/>
      <c r="AB739" s="52"/>
      <c r="AC739" s="52"/>
      <c r="AD739" s="52"/>
      <c r="AE739" s="51" t="str">
        <f t="shared" si="69"/>
        <v/>
      </c>
      <c r="AF739" s="51" t="str">
        <f t="shared" si="70"/>
        <v/>
      </c>
      <c r="AG739" s="74" t="str">
        <f t="shared" si="71"/>
        <v/>
      </c>
      <c r="AH739" s="73" t="str">
        <f t="shared" si="72"/>
        <v/>
      </c>
      <c r="AI739" s="52"/>
      <c r="AJ739" s="56"/>
      <c r="AK739" s="59"/>
      <c r="AL739" s="60"/>
      <c r="AM739" s="54"/>
      <c r="AN739" s="64"/>
      <c r="AO739" s="26"/>
      <c r="AP739" s="93"/>
      <c r="AQ739" s="87"/>
      <c r="AR739" s="26"/>
      <c r="AS739" s="65"/>
      <c r="AT739" s="88"/>
      <c r="AU739" s="67"/>
      <c r="DA739" t="str" cm="1">
        <f t="array" ref="DA739">IF(U739&lt;&gt;"", TRANSPOSE(_xlfn._xlws.FILTER(CZ:CZ, CY:CY=U739, "")), "")</f>
        <v/>
      </c>
    </row>
    <row r="740" spans="2:105">
      <c r="B740" s="35">
        <v>736</v>
      </c>
      <c r="C740" s="36" t="s">
        <v>2605</v>
      </c>
      <c r="D740" s="76"/>
      <c r="E740" s="37" t="str">
        <f>IF(Table5[[#This Row],[Query Date]]&lt;&gt;"", TEXT(Table5[[#This Row],[Query Date]], "dddd"), "")</f>
        <v/>
      </c>
      <c r="F740" s="37" t="str">
        <f>IF(Table5[[#This Row],[Query Date]]&lt;&gt;"", TEXT(Table5[[#This Row],[Query Date]], "mmmm"), "")</f>
        <v/>
      </c>
      <c r="G740" s="28"/>
      <c r="H740" s="28"/>
      <c r="I740" s="28"/>
      <c r="J740" s="28"/>
      <c r="K740" s="28"/>
      <c r="L740" s="25"/>
      <c r="M740" s="25"/>
      <c r="N740" s="25"/>
      <c r="O740" s="130"/>
      <c r="P740" s="47"/>
      <c r="Q740" s="77"/>
      <c r="R740" s="77" t="str">
        <f>IF(Table5[[#This Row],[Tour Starting Date]]&lt;&gt;"", TEXT(Table5[[#This Row],[Tour Starting Date]], "dddd"), "")</f>
        <v/>
      </c>
      <c r="S740" s="77"/>
      <c r="T740" s="25" t="str">
        <f>IF(Table5[[#This Row],[Tour Ending Date]]&lt;&gt;"", TEXT(Table5[[#This Row],[Tour Ending Date]], "dddd"), "")</f>
        <v/>
      </c>
      <c r="U74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40" s="37" t="str">
        <f>IF(Table5[[#This Row],[Tour Starting Date]]&lt;&gt;"", TEXT(Table5[[#This Row],[Tour Starting Date]], "mmmm"), "")</f>
        <v/>
      </c>
      <c r="W740" s="80" t="str" cm="1">
        <f t="array" ref="W740">IF(Q740&lt;&gt;"", INDEX(CI:CI, MATCH(1, (Q740&gt;=CG:CG)*(Q740&lt;=CH:CH), 0)), "")</f>
        <v/>
      </c>
      <c r="X740" s="39"/>
      <c r="Y740" s="74"/>
      <c r="Z740" s="74" t="str">
        <f>IF(OR(Table5[[#This Row],[Per Person Package Cost]]="", Table5[[#This Row],[No. of Pax]]=""), "", Table5[[#This Row],[Per Person Package Cost]] * Table5[[#This Row],[No. of Pax]])</f>
        <v/>
      </c>
      <c r="AA740" s="52"/>
      <c r="AB740" s="52"/>
      <c r="AC740" s="52"/>
      <c r="AD740" s="52"/>
      <c r="AE740" s="51" t="str">
        <f t="shared" si="69"/>
        <v/>
      </c>
      <c r="AF740" s="51" t="str">
        <f t="shared" si="70"/>
        <v/>
      </c>
      <c r="AG740" s="74" t="str">
        <f t="shared" si="71"/>
        <v/>
      </c>
      <c r="AH740" s="73" t="str">
        <f t="shared" si="72"/>
        <v/>
      </c>
      <c r="AI740" s="52"/>
      <c r="AJ740" s="56"/>
      <c r="AK740" s="59"/>
      <c r="AL740" s="60"/>
      <c r="AM740" s="54"/>
      <c r="AN740" s="64"/>
      <c r="AO740" s="26"/>
      <c r="AP740" s="93"/>
      <c r="AQ740" s="87"/>
      <c r="AR740" s="26"/>
      <c r="AS740" s="65"/>
      <c r="AT740" s="88"/>
      <c r="AU740" s="67"/>
      <c r="DA740" t="str" cm="1">
        <f t="array" ref="DA740">IF(U740&lt;&gt;"", TRANSPOSE(_xlfn._xlws.FILTER(CZ:CZ, CY:CY=U740, "")), "")</f>
        <v/>
      </c>
    </row>
    <row r="741" spans="2:105">
      <c r="B741" s="35">
        <v>737</v>
      </c>
      <c r="C741" s="36" t="s">
        <v>2606</v>
      </c>
      <c r="D741" s="76"/>
      <c r="E741" s="37" t="str">
        <f>IF(Table5[[#This Row],[Query Date]]&lt;&gt;"", TEXT(Table5[[#This Row],[Query Date]], "dddd"), "")</f>
        <v/>
      </c>
      <c r="F741" s="37" t="str">
        <f>IF(Table5[[#This Row],[Query Date]]&lt;&gt;"", TEXT(Table5[[#This Row],[Query Date]], "mmmm"), "")</f>
        <v/>
      </c>
      <c r="G741" s="28"/>
      <c r="H741" s="28"/>
      <c r="I741" s="28"/>
      <c r="J741" s="28"/>
      <c r="K741" s="28"/>
      <c r="L741" s="25"/>
      <c r="M741" s="25"/>
      <c r="N741" s="25"/>
      <c r="O741" s="130"/>
      <c r="P741" s="47"/>
      <c r="Q741" s="77"/>
      <c r="R741" s="77" t="str">
        <f>IF(Table5[[#This Row],[Tour Starting Date]]&lt;&gt;"", TEXT(Table5[[#This Row],[Tour Starting Date]], "dddd"), "")</f>
        <v/>
      </c>
      <c r="S741" s="77"/>
      <c r="T741" s="25" t="str">
        <f>IF(Table5[[#This Row],[Tour Ending Date]]&lt;&gt;"", TEXT(Table5[[#This Row],[Tour Ending Date]], "dddd"), "")</f>
        <v/>
      </c>
      <c r="U74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41" s="37" t="str">
        <f>IF(Table5[[#This Row],[Tour Starting Date]]&lt;&gt;"", TEXT(Table5[[#This Row],[Tour Starting Date]], "mmmm"), "")</f>
        <v/>
      </c>
      <c r="W741" s="80" t="str" cm="1">
        <f t="array" ref="W741">IF(Q741&lt;&gt;"", INDEX(CI:CI, MATCH(1, (Q741&gt;=CG:CG)*(Q741&lt;=CH:CH), 0)), "")</f>
        <v/>
      </c>
      <c r="X741" s="39"/>
      <c r="Y741" s="74"/>
      <c r="Z741" s="74" t="str">
        <f>IF(OR(Table5[[#This Row],[Per Person Package Cost]]="", Table5[[#This Row],[No. of Pax]]=""), "", Table5[[#This Row],[Per Person Package Cost]] * Table5[[#This Row],[No. of Pax]])</f>
        <v/>
      </c>
      <c r="AA741" s="52"/>
      <c r="AB741" s="52"/>
      <c r="AC741" s="52"/>
      <c r="AD741" s="52"/>
      <c r="AE741" s="51" t="str">
        <f t="shared" si="69"/>
        <v/>
      </c>
      <c r="AF741" s="51" t="str">
        <f t="shared" si="70"/>
        <v/>
      </c>
      <c r="AG741" s="74" t="str">
        <f t="shared" si="71"/>
        <v/>
      </c>
      <c r="AH741" s="73" t="str">
        <f t="shared" si="72"/>
        <v/>
      </c>
      <c r="AI741" s="52"/>
      <c r="AJ741" s="56"/>
      <c r="AK741" s="59"/>
      <c r="AL741" s="60"/>
      <c r="AM741" s="54"/>
      <c r="AN741" s="64"/>
      <c r="AO741" s="26"/>
      <c r="AP741" s="93"/>
      <c r="AQ741" s="87"/>
      <c r="AR741" s="26"/>
      <c r="AS741" s="65"/>
      <c r="AT741" s="88"/>
      <c r="AU741" s="67"/>
      <c r="DA741" t="str" cm="1">
        <f t="array" ref="DA741">IF(U741&lt;&gt;"", TRANSPOSE(_xlfn._xlws.FILTER(CZ:CZ, CY:CY=U741, "")), "")</f>
        <v/>
      </c>
    </row>
    <row r="742" spans="2:105">
      <c r="B742" s="35">
        <v>738</v>
      </c>
      <c r="C742" s="36" t="s">
        <v>2607</v>
      </c>
      <c r="D742" s="76"/>
      <c r="E742" s="37" t="str">
        <f>IF(Table5[[#This Row],[Query Date]]&lt;&gt;"", TEXT(Table5[[#This Row],[Query Date]], "dddd"), "")</f>
        <v/>
      </c>
      <c r="F742" s="37" t="str">
        <f>IF(Table5[[#This Row],[Query Date]]&lt;&gt;"", TEXT(Table5[[#This Row],[Query Date]], "mmmm"), "")</f>
        <v/>
      </c>
      <c r="G742" s="28"/>
      <c r="H742" s="28"/>
      <c r="I742" s="28"/>
      <c r="J742" s="28"/>
      <c r="K742" s="28"/>
      <c r="L742" s="25"/>
      <c r="M742" s="25"/>
      <c r="N742" s="25"/>
      <c r="O742" s="130"/>
      <c r="P742" s="47"/>
      <c r="Q742" s="77"/>
      <c r="R742" s="77" t="str">
        <f>IF(Table5[[#This Row],[Tour Starting Date]]&lt;&gt;"", TEXT(Table5[[#This Row],[Tour Starting Date]], "dddd"), "")</f>
        <v/>
      </c>
      <c r="S742" s="77"/>
      <c r="T742" s="25" t="str">
        <f>IF(Table5[[#This Row],[Tour Ending Date]]&lt;&gt;"", TEXT(Table5[[#This Row],[Tour Ending Date]], "dddd"), "")</f>
        <v/>
      </c>
      <c r="U74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42" s="37" t="str">
        <f>IF(Table5[[#This Row],[Tour Starting Date]]&lt;&gt;"", TEXT(Table5[[#This Row],[Tour Starting Date]], "mmmm"), "")</f>
        <v/>
      </c>
      <c r="W742" s="80" t="str" cm="1">
        <f t="array" ref="W742">IF(Q742&lt;&gt;"", INDEX(CI:CI, MATCH(1, (Q742&gt;=CG:CG)*(Q742&lt;=CH:CH), 0)), "")</f>
        <v/>
      </c>
      <c r="X742" s="39"/>
      <c r="Y742" s="74"/>
      <c r="Z742" s="74" t="str">
        <f>IF(OR(Table5[[#This Row],[Per Person Package Cost]]="", Table5[[#This Row],[No. of Pax]]=""), "", Table5[[#This Row],[Per Person Package Cost]] * Table5[[#This Row],[No. of Pax]])</f>
        <v/>
      </c>
      <c r="AA742" s="52"/>
      <c r="AB742" s="52"/>
      <c r="AC742" s="52"/>
      <c r="AD742" s="52"/>
      <c r="AE742" s="51" t="str">
        <f t="shared" si="69"/>
        <v/>
      </c>
      <c r="AF742" s="51" t="str">
        <f t="shared" si="70"/>
        <v/>
      </c>
      <c r="AG742" s="74" t="str">
        <f t="shared" si="71"/>
        <v/>
      </c>
      <c r="AH742" s="73" t="str">
        <f t="shared" si="72"/>
        <v/>
      </c>
      <c r="AI742" s="52"/>
      <c r="AJ742" s="56"/>
      <c r="AK742" s="59"/>
      <c r="AL742" s="60"/>
      <c r="AM742" s="54"/>
      <c r="AN742" s="64"/>
      <c r="AO742" s="26"/>
      <c r="AP742" s="93"/>
      <c r="AQ742" s="87"/>
      <c r="AR742" s="26"/>
      <c r="AS742" s="65"/>
      <c r="AT742" s="88"/>
      <c r="AU742" s="67"/>
      <c r="DA742" t="str" cm="1">
        <f t="array" ref="DA742">IF(U742&lt;&gt;"", TRANSPOSE(_xlfn._xlws.FILTER(CZ:CZ, CY:CY=U742, "")), "")</f>
        <v/>
      </c>
    </row>
    <row r="743" spans="2:105">
      <c r="B743" s="35">
        <v>739</v>
      </c>
      <c r="C743" s="36" t="s">
        <v>2608</v>
      </c>
      <c r="D743" s="76"/>
      <c r="E743" s="37" t="str">
        <f>IF(Table5[[#This Row],[Query Date]]&lt;&gt;"", TEXT(Table5[[#This Row],[Query Date]], "dddd"), "")</f>
        <v/>
      </c>
      <c r="F743" s="37" t="str">
        <f>IF(Table5[[#This Row],[Query Date]]&lt;&gt;"", TEXT(Table5[[#This Row],[Query Date]], "mmmm"), "")</f>
        <v/>
      </c>
      <c r="G743" s="28"/>
      <c r="H743" s="28"/>
      <c r="I743" s="28"/>
      <c r="J743" s="28"/>
      <c r="K743" s="28"/>
      <c r="L743" s="25"/>
      <c r="M743" s="25"/>
      <c r="N743" s="25"/>
      <c r="O743" s="130"/>
      <c r="P743" s="47"/>
      <c r="Q743" s="77"/>
      <c r="R743" s="77" t="str">
        <f>IF(Table5[[#This Row],[Tour Starting Date]]&lt;&gt;"", TEXT(Table5[[#This Row],[Tour Starting Date]], "dddd"), "")</f>
        <v/>
      </c>
      <c r="S743" s="77"/>
      <c r="T743" s="25" t="str">
        <f>IF(Table5[[#This Row],[Tour Ending Date]]&lt;&gt;"", TEXT(Table5[[#This Row],[Tour Ending Date]], "dddd"), "")</f>
        <v/>
      </c>
      <c r="U74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43" s="37" t="str">
        <f>IF(Table5[[#This Row],[Tour Starting Date]]&lt;&gt;"", TEXT(Table5[[#This Row],[Tour Starting Date]], "mmmm"), "")</f>
        <v/>
      </c>
      <c r="W743" s="80" t="str" cm="1">
        <f t="array" ref="W743">IF(Q743&lt;&gt;"", INDEX(CI:CI, MATCH(1, (Q743&gt;=CG:CG)*(Q743&lt;=CH:CH), 0)), "")</f>
        <v/>
      </c>
      <c r="X743" s="39"/>
      <c r="Y743" s="74"/>
      <c r="Z743" s="74" t="str">
        <f>IF(OR(Table5[[#This Row],[Per Person Package Cost]]="", Table5[[#This Row],[No. of Pax]]=""), "", Table5[[#This Row],[Per Person Package Cost]] * Table5[[#This Row],[No. of Pax]])</f>
        <v/>
      </c>
      <c r="AA743" s="52"/>
      <c r="AB743" s="52"/>
      <c r="AC743" s="52"/>
      <c r="AD743" s="52"/>
      <c r="AE743" s="51" t="str">
        <f t="shared" si="69"/>
        <v/>
      </c>
      <c r="AF743" s="51" t="str">
        <f t="shared" si="70"/>
        <v/>
      </c>
      <c r="AG743" s="74" t="str">
        <f t="shared" si="71"/>
        <v/>
      </c>
      <c r="AH743" s="73" t="str">
        <f t="shared" si="72"/>
        <v/>
      </c>
      <c r="AI743" s="52"/>
      <c r="AJ743" s="56"/>
      <c r="AK743" s="59"/>
      <c r="AL743" s="60"/>
      <c r="AM743" s="54"/>
      <c r="AN743" s="64"/>
      <c r="AO743" s="26"/>
      <c r="AP743" s="93"/>
      <c r="AQ743" s="87"/>
      <c r="AR743" s="26"/>
      <c r="AS743" s="65"/>
      <c r="AT743" s="88"/>
      <c r="AU743" s="67"/>
      <c r="DA743" t="str" cm="1">
        <f t="array" ref="DA743">IF(U743&lt;&gt;"", TRANSPOSE(_xlfn._xlws.FILTER(CZ:CZ, CY:CY=U743, "")), "")</f>
        <v/>
      </c>
    </row>
    <row r="744" spans="2:105">
      <c r="B744" s="35">
        <v>740</v>
      </c>
      <c r="C744" s="36" t="s">
        <v>2609</v>
      </c>
      <c r="D744" s="76"/>
      <c r="E744" s="37" t="str">
        <f>IF(Table5[[#This Row],[Query Date]]&lt;&gt;"", TEXT(Table5[[#This Row],[Query Date]], "dddd"), "")</f>
        <v/>
      </c>
      <c r="F744" s="37" t="str">
        <f>IF(Table5[[#This Row],[Query Date]]&lt;&gt;"", TEXT(Table5[[#This Row],[Query Date]], "mmmm"), "")</f>
        <v/>
      </c>
      <c r="G744" s="28"/>
      <c r="H744" s="28"/>
      <c r="I744" s="28"/>
      <c r="J744" s="28"/>
      <c r="K744" s="28"/>
      <c r="L744" s="25"/>
      <c r="M744" s="25"/>
      <c r="N744" s="25"/>
      <c r="O744" s="130"/>
      <c r="P744" s="47"/>
      <c r="Q744" s="77"/>
      <c r="R744" s="77" t="str">
        <f>IF(Table5[[#This Row],[Tour Starting Date]]&lt;&gt;"", TEXT(Table5[[#This Row],[Tour Starting Date]], "dddd"), "")</f>
        <v/>
      </c>
      <c r="S744" s="77"/>
      <c r="T744" s="25" t="str">
        <f>IF(Table5[[#This Row],[Tour Ending Date]]&lt;&gt;"", TEXT(Table5[[#This Row],[Tour Ending Date]], "dddd"), "")</f>
        <v/>
      </c>
      <c r="U74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44" s="37" t="str">
        <f>IF(Table5[[#This Row],[Tour Starting Date]]&lt;&gt;"", TEXT(Table5[[#This Row],[Tour Starting Date]], "mmmm"), "")</f>
        <v/>
      </c>
      <c r="W744" s="80" t="str" cm="1">
        <f t="array" ref="W744">IF(Q744&lt;&gt;"", INDEX(CI:CI, MATCH(1, (Q744&gt;=CG:CG)*(Q744&lt;=CH:CH), 0)), "")</f>
        <v/>
      </c>
      <c r="X744" s="39"/>
      <c r="Y744" s="74"/>
      <c r="Z744" s="74" t="str">
        <f>IF(OR(Table5[[#This Row],[Per Person Package Cost]]="", Table5[[#This Row],[No. of Pax]]=""), "", Table5[[#This Row],[Per Person Package Cost]] * Table5[[#This Row],[No. of Pax]])</f>
        <v/>
      </c>
      <c r="AA744" s="52"/>
      <c r="AB744" s="52"/>
      <c r="AC744" s="52"/>
      <c r="AD744" s="52"/>
      <c r="AE744" s="51" t="str">
        <f t="shared" si="69"/>
        <v/>
      </c>
      <c r="AF744" s="51" t="str">
        <f t="shared" si="70"/>
        <v/>
      </c>
      <c r="AG744" s="74" t="str">
        <f t="shared" si="71"/>
        <v/>
      </c>
      <c r="AH744" s="73" t="str">
        <f t="shared" si="72"/>
        <v/>
      </c>
      <c r="AI744" s="52"/>
      <c r="AJ744" s="56"/>
      <c r="AK744" s="59"/>
      <c r="AL744" s="60"/>
      <c r="AM744" s="54"/>
      <c r="AN744" s="64"/>
      <c r="AO744" s="26"/>
      <c r="AP744" s="93"/>
      <c r="AQ744" s="87"/>
      <c r="AR744" s="26"/>
      <c r="AS744" s="65"/>
      <c r="AT744" s="88"/>
      <c r="AU744" s="67"/>
      <c r="DA744" t="str" cm="1">
        <f t="array" ref="DA744">IF(U744&lt;&gt;"", TRANSPOSE(_xlfn._xlws.FILTER(CZ:CZ, CY:CY=U744, "")), "")</f>
        <v/>
      </c>
    </row>
    <row r="745" spans="2:105">
      <c r="B745" s="35">
        <v>741</v>
      </c>
      <c r="C745" s="36" t="s">
        <v>2610</v>
      </c>
      <c r="D745" s="76"/>
      <c r="E745" s="37" t="str">
        <f>IF(Table5[[#This Row],[Query Date]]&lt;&gt;"", TEXT(Table5[[#This Row],[Query Date]], "dddd"), "")</f>
        <v/>
      </c>
      <c r="F745" s="37" t="str">
        <f>IF(Table5[[#This Row],[Query Date]]&lt;&gt;"", TEXT(Table5[[#This Row],[Query Date]], "mmmm"), "")</f>
        <v/>
      </c>
      <c r="G745" s="28"/>
      <c r="H745" s="28"/>
      <c r="I745" s="28"/>
      <c r="J745" s="28"/>
      <c r="K745" s="28"/>
      <c r="L745" s="25"/>
      <c r="M745" s="25"/>
      <c r="N745" s="25"/>
      <c r="O745" s="130"/>
      <c r="P745" s="47"/>
      <c r="Q745" s="77"/>
      <c r="R745" s="77" t="str">
        <f>IF(Table5[[#This Row],[Tour Starting Date]]&lt;&gt;"", TEXT(Table5[[#This Row],[Tour Starting Date]], "dddd"), "")</f>
        <v/>
      </c>
      <c r="S745" s="77"/>
      <c r="T745" s="25" t="str">
        <f>IF(Table5[[#This Row],[Tour Ending Date]]&lt;&gt;"", TEXT(Table5[[#This Row],[Tour Ending Date]], "dddd"), "")</f>
        <v/>
      </c>
      <c r="U74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45" s="37" t="str">
        <f>IF(Table5[[#This Row],[Tour Starting Date]]&lt;&gt;"", TEXT(Table5[[#This Row],[Tour Starting Date]], "mmmm"), "")</f>
        <v/>
      </c>
      <c r="W745" s="80" t="str" cm="1">
        <f t="array" ref="W745">IF(Q745&lt;&gt;"", INDEX(CI:CI, MATCH(1, (Q745&gt;=CG:CG)*(Q745&lt;=CH:CH), 0)), "")</f>
        <v/>
      </c>
      <c r="X745" s="39"/>
      <c r="Y745" s="74"/>
      <c r="Z745" s="74" t="str">
        <f>IF(OR(Table5[[#This Row],[Per Person Package Cost]]="", Table5[[#This Row],[No. of Pax]]=""), "", Table5[[#This Row],[Per Person Package Cost]] * Table5[[#This Row],[No. of Pax]])</f>
        <v/>
      </c>
      <c r="AA745" s="52"/>
      <c r="AB745" s="52"/>
      <c r="AC745" s="52"/>
      <c r="AD745" s="52"/>
      <c r="AE745" s="51" t="str">
        <f t="shared" si="69"/>
        <v/>
      </c>
      <c r="AF745" s="51" t="str">
        <f t="shared" si="70"/>
        <v/>
      </c>
      <c r="AG745" s="74" t="str">
        <f t="shared" si="71"/>
        <v/>
      </c>
      <c r="AH745" s="73" t="str">
        <f t="shared" si="72"/>
        <v/>
      </c>
      <c r="AI745" s="52"/>
      <c r="AJ745" s="56"/>
      <c r="AK745" s="59"/>
      <c r="AL745" s="60"/>
      <c r="AM745" s="54"/>
      <c r="AN745" s="64"/>
      <c r="AO745" s="26"/>
      <c r="AP745" s="93"/>
      <c r="AQ745" s="87"/>
      <c r="AR745" s="26"/>
      <c r="AS745" s="65"/>
      <c r="AT745" s="88"/>
      <c r="AU745" s="67"/>
      <c r="DA745" t="str" cm="1">
        <f t="array" ref="DA745">IF(U745&lt;&gt;"", TRANSPOSE(_xlfn._xlws.FILTER(CZ:CZ, CY:CY=U745, "")), "")</f>
        <v/>
      </c>
    </row>
    <row r="746" spans="2:105">
      <c r="B746" s="35">
        <v>742</v>
      </c>
      <c r="C746" s="36" t="s">
        <v>2611</v>
      </c>
      <c r="D746" s="76"/>
      <c r="E746" s="37" t="str">
        <f>IF(Table5[[#This Row],[Query Date]]&lt;&gt;"", TEXT(Table5[[#This Row],[Query Date]], "dddd"), "")</f>
        <v/>
      </c>
      <c r="F746" s="37" t="str">
        <f>IF(Table5[[#This Row],[Query Date]]&lt;&gt;"", TEXT(Table5[[#This Row],[Query Date]], "mmmm"), "")</f>
        <v/>
      </c>
      <c r="G746" s="28"/>
      <c r="H746" s="28"/>
      <c r="I746" s="28"/>
      <c r="J746" s="28"/>
      <c r="K746" s="28"/>
      <c r="L746" s="25"/>
      <c r="M746" s="25"/>
      <c r="N746" s="25"/>
      <c r="O746" s="130"/>
      <c r="P746" s="47"/>
      <c r="Q746" s="77"/>
      <c r="R746" s="77" t="str">
        <f>IF(Table5[[#This Row],[Tour Starting Date]]&lt;&gt;"", TEXT(Table5[[#This Row],[Tour Starting Date]], "dddd"), "")</f>
        <v/>
      </c>
      <c r="S746" s="77"/>
      <c r="T746" s="25" t="str">
        <f>IF(Table5[[#This Row],[Tour Ending Date]]&lt;&gt;"", TEXT(Table5[[#This Row],[Tour Ending Date]], "dddd"), "")</f>
        <v/>
      </c>
      <c r="U74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46" s="37" t="str">
        <f>IF(Table5[[#This Row],[Tour Starting Date]]&lt;&gt;"", TEXT(Table5[[#This Row],[Tour Starting Date]], "mmmm"), "")</f>
        <v/>
      </c>
      <c r="W746" s="80" t="str" cm="1">
        <f t="array" ref="W746">IF(Q746&lt;&gt;"", INDEX(CI:CI, MATCH(1, (Q746&gt;=CG:CG)*(Q746&lt;=CH:CH), 0)), "")</f>
        <v/>
      </c>
      <c r="X746" s="39"/>
      <c r="Y746" s="74"/>
      <c r="Z746" s="74" t="str">
        <f>IF(OR(Table5[[#This Row],[Per Person Package Cost]]="", Table5[[#This Row],[No. of Pax]]=""), "", Table5[[#This Row],[Per Person Package Cost]] * Table5[[#This Row],[No. of Pax]])</f>
        <v/>
      </c>
      <c r="AA746" s="52"/>
      <c r="AB746" s="52"/>
      <c r="AC746" s="52"/>
      <c r="AD746" s="52"/>
      <c r="AE746" s="51" t="str">
        <f t="shared" si="69"/>
        <v/>
      </c>
      <c r="AF746" s="51" t="str">
        <f t="shared" si="70"/>
        <v/>
      </c>
      <c r="AG746" s="74" t="str">
        <f t="shared" si="71"/>
        <v/>
      </c>
      <c r="AH746" s="73" t="str">
        <f t="shared" si="72"/>
        <v/>
      </c>
      <c r="AI746" s="52"/>
      <c r="AJ746" s="56"/>
      <c r="AK746" s="59"/>
      <c r="AL746" s="60"/>
      <c r="AM746" s="54"/>
      <c r="AN746" s="64"/>
      <c r="AO746" s="26"/>
      <c r="AP746" s="93"/>
      <c r="AQ746" s="87"/>
      <c r="AR746" s="26"/>
      <c r="AS746" s="65"/>
      <c r="AT746" s="88"/>
      <c r="AU746" s="67"/>
      <c r="DA746" t="str" cm="1">
        <f t="array" ref="DA746">IF(U746&lt;&gt;"", TRANSPOSE(_xlfn._xlws.FILTER(CZ:CZ, CY:CY=U746, "")), "")</f>
        <v/>
      </c>
    </row>
    <row r="747" spans="2:105">
      <c r="B747" s="35">
        <v>743</v>
      </c>
      <c r="C747" s="36" t="s">
        <v>2612</v>
      </c>
      <c r="D747" s="76"/>
      <c r="E747" s="37" t="str">
        <f>IF(Table5[[#This Row],[Query Date]]&lt;&gt;"", TEXT(Table5[[#This Row],[Query Date]], "dddd"), "")</f>
        <v/>
      </c>
      <c r="F747" s="37" t="str">
        <f>IF(Table5[[#This Row],[Query Date]]&lt;&gt;"", TEXT(Table5[[#This Row],[Query Date]], "mmmm"), "")</f>
        <v/>
      </c>
      <c r="G747" s="28"/>
      <c r="H747" s="28"/>
      <c r="I747" s="28"/>
      <c r="J747" s="28"/>
      <c r="K747" s="28"/>
      <c r="L747" s="25"/>
      <c r="M747" s="25"/>
      <c r="N747" s="25"/>
      <c r="O747" s="130"/>
      <c r="P747" s="47"/>
      <c r="Q747" s="77"/>
      <c r="R747" s="77" t="str">
        <f>IF(Table5[[#This Row],[Tour Starting Date]]&lt;&gt;"", TEXT(Table5[[#This Row],[Tour Starting Date]], "dddd"), "")</f>
        <v/>
      </c>
      <c r="S747" s="77"/>
      <c r="T747" s="25" t="str">
        <f>IF(Table5[[#This Row],[Tour Ending Date]]&lt;&gt;"", TEXT(Table5[[#This Row],[Tour Ending Date]], "dddd"), "")</f>
        <v/>
      </c>
      <c r="U74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47" s="37" t="str">
        <f>IF(Table5[[#This Row],[Tour Starting Date]]&lt;&gt;"", TEXT(Table5[[#This Row],[Tour Starting Date]], "mmmm"), "")</f>
        <v/>
      </c>
      <c r="W747" s="80" t="str" cm="1">
        <f t="array" ref="W747">IF(Q747&lt;&gt;"", INDEX(CI:CI, MATCH(1, (Q747&gt;=CG:CG)*(Q747&lt;=CH:CH), 0)), "")</f>
        <v/>
      </c>
      <c r="X747" s="39"/>
      <c r="Y747" s="74"/>
      <c r="Z747" s="74" t="str">
        <f>IF(OR(Table5[[#This Row],[Per Person Package Cost]]="", Table5[[#This Row],[No. of Pax]]=""), "", Table5[[#This Row],[Per Person Package Cost]] * Table5[[#This Row],[No. of Pax]])</f>
        <v/>
      </c>
      <c r="AA747" s="52"/>
      <c r="AB747" s="52"/>
      <c r="AC747" s="52"/>
      <c r="AD747" s="52"/>
      <c r="AE747" s="51" t="str">
        <f t="shared" si="69"/>
        <v/>
      </c>
      <c r="AF747" s="51" t="str">
        <f t="shared" si="70"/>
        <v/>
      </c>
      <c r="AG747" s="74" t="str">
        <f t="shared" si="71"/>
        <v/>
      </c>
      <c r="AH747" s="73" t="str">
        <f t="shared" si="72"/>
        <v/>
      </c>
      <c r="AI747" s="52"/>
      <c r="AJ747" s="56"/>
      <c r="AK747" s="59"/>
      <c r="AL747" s="60"/>
      <c r="AM747" s="54"/>
      <c r="AN747" s="64"/>
      <c r="AO747" s="26"/>
      <c r="AP747" s="93"/>
      <c r="AQ747" s="87"/>
      <c r="AR747" s="26"/>
      <c r="AS747" s="65"/>
      <c r="AT747" s="88"/>
      <c r="AU747" s="67"/>
      <c r="DA747" t="str" cm="1">
        <f t="array" ref="DA747">IF(U747&lt;&gt;"", TRANSPOSE(_xlfn._xlws.FILTER(CZ:CZ, CY:CY=U747, "")), "")</f>
        <v/>
      </c>
    </row>
    <row r="748" spans="2:105">
      <c r="B748" s="35">
        <v>744</v>
      </c>
      <c r="C748" s="36" t="s">
        <v>2613</v>
      </c>
      <c r="D748" s="76"/>
      <c r="E748" s="37" t="str">
        <f>IF(Table5[[#This Row],[Query Date]]&lt;&gt;"", TEXT(Table5[[#This Row],[Query Date]], "dddd"), "")</f>
        <v/>
      </c>
      <c r="F748" s="37" t="str">
        <f>IF(Table5[[#This Row],[Query Date]]&lt;&gt;"", TEXT(Table5[[#This Row],[Query Date]], "mmmm"), "")</f>
        <v/>
      </c>
      <c r="G748" s="28"/>
      <c r="H748" s="28"/>
      <c r="I748" s="28"/>
      <c r="J748" s="28"/>
      <c r="K748" s="28"/>
      <c r="L748" s="25"/>
      <c r="M748" s="25"/>
      <c r="N748" s="25"/>
      <c r="O748" s="130"/>
      <c r="P748" s="47"/>
      <c r="Q748" s="77"/>
      <c r="R748" s="77" t="str">
        <f>IF(Table5[[#This Row],[Tour Starting Date]]&lt;&gt;"", TEXT(Table5[[#This Row],[Tour Starting Date]], "dddd"), "")</f>
        <v/>
      </c>
      <c r="S748" s="77"/>
      <c r="T748" s="25" t="str">
        <f>IF(Table5[[#This Row],[Tour Ending Date]]&lt;&gt;"", TEXT(Table5[[#This Row],[Tour Ending Date]], "dddd"), "")</f>
        <v/>
      </c>
      <c r="U74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48" s="37" t="str">
        <f>IF(Table5[[#This Row],[Tour Starting Date]]&lt;&gt;"", TEXT(Table5[[#This Row],[Tour Starting Date]], "mmmm"), "")</f>
        <v/>
      </c>
      <c r="W748" s="80" t="str" cm="1">
        <f t="array" ref="W748">IF(Q748&lt;&gt;"", INDEX(CI:CI, MATCH(1, (Q748&gt;=CG:CG)*(Q748&lt;=CH:CH), 0)), "")</f>
        <v/>
      </c>
      <c r="X748" s="39"/>
      <c r="Y748" s="74"/>
      <c r="Z748" s="74" t="str">
        <f>IF(OR(Table5[[#This Row],[Per Person Package Cost]]="", Table5[[#This Row],[No. of Pax]]=""), "", Table5[[#This Row],[Per Person Package Cost]] * Table5[[#This Row],[No. of Pax]])</f>
        <v/>
      </c>
      <c r="AA748" s="52"/>
      <c r="AB748" s="52"/>
      <c r="AC748" s="52"/>
      <c r="AD748" s="52"/>
      <c r="AE748" s="51" t="str">
        <f t="shared" si="69"/>
        <v/>
      </c>
      <c r="AF748" s="51" t="str">
        <f t="shared" si="70"/>
        <v/>
      </c>
      <c r="AG748" s="74" t="str">
        <f t="shared" si="71"/>
        <v/>
      </c>
      <c r="AH748" s="73" t="str">
        <f t="shared" si="72"/>
        <v/>
      </c>
      <c r="AI748" s="52"/>
      <c r="AJ748" s="56"/>
      <c r="AK748" s="59"/>
      <c r="AL748" s="60"/>
      <c r="AM748" s="54"/>
      <c r="AN748" s="64"/>
      <c r="AO748" s="26"/>
      <c r="AP748" s="93"/>
      <c r="AQ748" s="87"/>
      <c r="AR748" s="26"/>
      <c r="AS748" s="65"/>
      <c r="AT748" s="88"/>
      <c r="AU748" s="67"/>
      <c r="DA748" t="str" cm="1">
        <f t="array" ref="DA748">IF(U748&lt;&gt;"", TRANSPOSE(_xlfn._xlws.FILTER(CZ:CZ, CY:CY=U748, "")), "")</f>
        <v/>
      </c>
    </row>
    <row r="749" spans="2:105">
      <c r="B749" s="35">
        <v>745</v>
      </c>
      <c r="C749" s="36" t="s">
        <v>2614</v>
      </c>
      <c r="D749" s="76"/>
      <c r="E749" s="37" t="str">
        <f>IF(Table5[[#This Row],[Query Date]]&lt;&gt;"", TEXT(Table5[[#This Row],[Query Date]], "dddd"), "")</f>
        <v/>
      </c>
      <c r="F749" s="37" t="str">
        <f>IF(Table5[[#This Row],[Query Date]]&lt;&gt;"", TEXT(Table5[[#This Row],[Query Date]], "mmmm"), "")</f>
        <v/>
      </c>
      <c r="G749" s="28"/>
      <c r="H749" s="28"/>
      <c r="I749" s="28"/>
      <c r="J749" s="28"/>
      <c r="K749" s="28"/>
      <c r="L749" s="25"/>
      <c r="M749" s="25"/>
      <c r="N749" s="25"/>
      <c r="O749" s="130"/>
      <c r="P749" s="47"/>
      <c r="Q749" s="77"/>
      <c r="R749" s="77" t="str">
        <f>IF(Table5[[#This Row],[Tour Starting Date]]&lt;&gt;"", TEXT(Table5[[#This Row],[Tour Starting Date]], "dddd"), "")</f>
        <v/>
      </c>
      <c r="S749" s="77"/>
      <c r="T749" s="25" t="str">
        <f>IF(Table5[[#This Row],[Tour Ending Date]]&lt;&gt;"", TEXT(Table5[[#This Row],[Tour Ending Date]], "dddd"), "")</f>
        <v/>
      </c>
      <c r="U74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49" s="37" t="str">
        <f>IF(Table5[[#This Row],[Tour Starting Date]]&lt;&gt;"", TEXT(Table5[[#This Row],[Tour Starting Date]], "mmmm"), "")</f>
        <v/>
      </c>
      <c r="W749" s="80" t="str" cm="1">
        <f t="array" ref="W749">IF(Q749&lt;&gt;"", INDEX(CI:CI, MATCH(1, (Q749&gt;=CG:CG)*(Q749&lt;=CH:CH), 0)), "")</f>
        <v/>
      </c>
      <c r="X749" s="39"/>
      <c r="Y749" s="74"/>
      <c r="Z749" s="74" t="str">
        <f>IF(OR(Table5[[#This Row],[Per Person Package Cost]]="", Table5[[#This Row],[No. of Pax]]=""), "", Table5[[#This Row],[Per Person Package Cost]] * Table5[[#This Row],[No. of Pax]])</f>
        <v/>
      </c>
      <c r="AA749" s="52"/>
      <c r="AB749" s="52"/>
      <c r="AC749" s="52"/>
      <c r="AD749" s="52"/>
      <c r="AE749" s="51" t="str">
        <f t="shared" si="69"/>
        <v/>
      </c>
      <c r="AF749" s="51" t="str">
        <f t="shared" si="70"/>
        <v/>
      </c>
      <c r="AG749" s="74" t="str">
        <f t="shared" si="71"/>
        <v/>
      </c>
      <c r="AH749" s="73" t="str">
        <f t="shared" si="72"/>
        <v/>
      </c>
      <c r="AI749" s="52"/>
      <c r="AJ749" s="56"/>
      <c r="AK749" s="59"/>
      <c r="AL749" s="60"/>
      <c r="AM749" s="54"/>
      <c r="AN749" s="64"/>
      <c r="AO749" s="26"/>
      <c r="AP749" s="93"/>
      <c r="AQ749" s="87"/>
      <c r="AR749" s="26"/>
      <c r="AS749" s="65"/>
      <c r="AT749" s="88"/>
      <c r="AU749" s="67"/>
      <c r="DA749" t="str" cm="1">
        <f t="array" ref="DA749">IF(U749&lt;&gt;"", TRANSPOSE(_xlfn._xlws.FILTER(CZ:CZ, CY:CY=U749, "")), "")</f>
        <v/>
      </c>
    </row>
    <row r="750" spans="2:105">
      <c r="B750" s="35">
        <v>746</v>
      </c>
      <c r="C750" s="36" t="s">
        <v>2615</v>
      </c>
      <c r="D750" s="76"/>
      <c r="E750" s="37" t="str">
        <f>IF(Table5[[#This Row],[Query Date]]&lt;&gt;"", TEXT(Table5[[#This Row],[Query Date]], "dddd"), "")</f>
        <v/>
      </c>
      <c r="F750" s="37" t="str">
        <f>IF(Table5[[#This Row],[Query Date]]&lt;&gt;"", TEXT(Table5[[#This Row],[Query Date]], "mmmm"), "")</f>
        <v/>
      </c>
      <c r="G750" s="28"/>
      <c r="H750" s="28"/>
      <c r="I750" s="28"/>
      <c r="J750" s="28"/>
      <c r="K750" s="28"/>
      <c r="L750" s="25"/>
      <c r="M750" s="25"/>
      <c r="N750" s="25"/>
      <c r="O750" s="130"/>
      <c r="P750" s="47"/>
      <c r="Q750" s="77"/>
      <c r="R750" s="77" t="str">
        <f>IF(Table5[[#This Row],[Tour Starting Date]]&lt;&gt;"", TEXT(Table5[[#This Row],[Tour Starting Date]], "dddd"), "")</f>
        <v/>
      </c>
      <c r="S750" s="77"/>
      <c r="T750" s="25" t="str">
        <f>IF(Table5[[#This Row],[Tour Ending Date]]&lt;&gt;"", TEXT(Table5[[#This Row],[Tour Ending Date]], "dddd"), "")</f>
        <v/>
      </c>
      <c r="U75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50" s="37" t="str">
        <f>IF(Table5[[#This Row],[Tour Starting Date]]&lt;&gt;"", TEXT(Table5[[#This Row],[Tour Starting Date]], "mmmm"), "")</f>
        <v/>
      </c>
      <c r="W750" s="80" t="str" cm="1">
        <f t="array" ref="W750">IF(Q750&lt;&gt;"", INDEX(CI:CI, MATCH(1, (Q750&gt;=CG:CG)*(Q750&lt;=CH:CH), 0)), "")</f>
        <v/>
      </c>
      <c r="X750" s="39"/>
      <c r="Y750" s="74"/>
      <c r="Z750" s="74" t="str">
        <f>IF(OR(Table5[[#This Row],[Per Person Package Cost]]="", Table5[[#This Row],[No. of Pax]]=""), "", Table5[[#This Row],[Per Person Package Cost]] * Table5[[#This Row],[No. of Pax]])</f>
        <v/>
      </c>
      <c r="AA750" s="52"/>
      <c r="AB750" s="52"/>
      <c r="AC750" s="52"/>
      <c r="AD750" s="52"/>
      <c r="AE750" s="51" t="str">
        <f t="shared" si="69"/>
        <v/>
      </c>
      <c r="AF750" s="51" t="str">
        <f t="shared" si="70"/>
        <v/>
      </c>
      <c r="AG750" s="74" t="str">
        <f t="shared" si="71"/>
        <v/>
      </c>
      <c r="AH750" s="73" t="str">
        <f t="shared" si="72"/>
        <v/>
      </c>
      <c r="AI750" s="52"/>
      <c r="AJ750" s="56"/>
      <c r="AK750" s="59"/>
      <c r="AL750" s="60"/>
      <c r="AM750" s="54"/>
      <c r="AN750" s="64"/>
      <c r="AO750" s="26"/>
      <c r="AP750" s="93"/>
      <c r="AQ750" s="87"/>
      <c r="AR750" s="26"/>
      <c r="AS750" s="65"/>
      <c r="AT750" s="88"/>
      <c r="AU750" s="67"/>
      <c r="DA750" t="str" cm="1">
        <f t="array" ref="DA750">IF(U750&lt;&gt;"", TRANSPOSE(_xlfn._xlws.FILTER(CZ:CZ, CY:CY=U750, "")), "")</f>
        <v/>
      </c>
    </row>
    <row r="751" spans="2:105">
      <c r="B751" s="35">
        <v>747</v>
      </c>
      <c r="C751" s="36" t="s">
        <v>2616</v>
      </c>
      <c r="D751" s="76"/>
      <c r="E751" s="37" t="str">
        <f>IF(Table5[[#This Row],[Query Date]]&lt;&gt;"", TEXT(Table5[[#This Row],[Query Date]], "dddd"), "")</f>
        <v/>
      </c>
      <c r="F751" s="37" t="str">
        <f>IF(Table5[[#This Row],[Query Date]]&lt;&gt;"", TEXT(Table5[[#This Row],[Query Date]], "mmmm"), "")</f>
        <v/>
      </c>
      <c r="G751" s="28"/>
      <c r="H751" s="28"/>
      <c r="I751" s="28"/>
      <c r="J751" s="28"/>
      <c r="K751" s="28"/>
      <c r="L751" s="25"/>
      <c r="M751" s="25"/>
      <c r="N751" s="25"/>
      <c r="O751" s="130"/>
      <c r="P751" s="47"/>
      <c r="Q751" s="77"/>
      <c r="R751" s="77" t="str">
        <f>IF(Table5[[#This Row],[Tour Starting Date]]&lt;&gt;"", TEXT(Table5[[#This Row],[Tour Starting Date]], "dddd"), "")</f>
        <v/>
      </c>
      <c r="S751" s="77"/>
      <c r="T751" s="25" t="str">
        <f>IF(Table5[[#This Row],[Tour Ending Date]]&lt;&gt;"", TEXT(Table5[[#This Row],[Tour Ending Date]], "dddd"), "")</f>
        <v/>
      </c>
      <c r="U75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51" s="37" t="str">
        <f>IF(Table5[[#This Row],[Tour Starting Date]]&lt;&gt;"", TEXT(Table5[[#This Row],[Tour Starting Date]], "mmmm"), "")</f>
        <v/>
      </c>
      <c r="W751" s="80" t="str" cm="1">
        <f t="array" ref="W751">IF(Q751&lt;&gt;"", INDEX(CI:CI, MATCH(1, (Q751&gt;=CG:CG)*(Q751&lt;=CH:CH), 0)), "")</f>
        <v/>
      </c>
      <c r="X751" s="39"/>
      <c r="Y751" s="74"/>
      <c r="Z751" s="74" t="str">
        <f>IF(OR(Table5[[#This Row],[Per Person Package Cost]]="", Table5[[#This Row],[No. of Pax]]=""), "", Table5[[#This Row],[Per Person Package Cost]] * Table5[[#This Row],[No. of Pax]])</f>
        <v/>
      </c>
      <c r="AA751" s="52"/>
      <c r="AB751" s="52"/>
      <c r="AC751" s="52"/>
      <c r="AD751" s="52"/>
      <c r="AE751" s="51" t="str">
        <f t="shared" si="69"/>
        <v/>
      </c>
      <c r="AF751" s="51" t="str">
        <f t="shared" si="70"/>
        <v/>
      </c>
      <c r="AG751" s="74" t="str">
        <f t="shared" si="71"/>
        <v/>
      </c>
      <c r="AH751" s="73" t="str">
        <f t="shared" si="72"/>
        <v/>
      </c>
      <c r="AI751" s="52"/>
      <c r="AJ751" s="56"/>
      <c r="AK751" s="59"/>
      <c r="AL751" s="60"/>
      <c r="AM751" s="54"/>
      <c r="AN751" s="64"/>
      <c r="AO751" s="26"/>
      <c r="AP751" s="93"/>
      <c r="AQ751" s="87"/>
      <c r="AR751" s="26"/>
      <c r="AS751" s="65"/>
      <c r="AT751" s="88"/>
      <c r="AU751" s="67"/>
      <c r="DA751" t="str" cm="1">
        <f t="array" ref="DA751">IF(U751&lt;&gt;"", TRANSPOSE(_xlfn._xlws.FILTER(CZ:CZ, CY:CY=U751, "")), "")</f>
        <v/>
      </c>
    </row>
    <row r="752" spans="2:105">
      <c r="B752" s="35">
        <v>748</v>
      </c>
      <c r="C752" s="36" t="s">
        <v>2617</v>
      </c>
      <c r="D752" s="76"/>
      <c r="E752" s="37" t="str">
        <f>IF(Table5[[#This Row],[Query Date]]&lt;&gt;"", TEXT(Table5[[#This Row],[Query Date]], "dddd"), "")</f>
        <v/>
      </c>
      <c r="F752" s="37" t="str">
        <f>IF(Table5[[#This Row],[Query Date]]&lt;&gt;"", TEXT(Table5[[#This Row],[Query Date]], "mmmm"), "")</f>
        <v/>
      </c>
      <c r="G752" s="28"/>
      <c r="H752" s="28"/>
      <c r="I752" s="28"/>
      <c r="J752" s="28"/>
      <c r="K752" s="28"/>
      <c r="L752" s="25"/>
      <c r="M752" s="25"/>
      <c r="N752" s="25"/>
      <c r="O752" s="130"/>
      <c r="P752" s="47"/>
      <c r="Q752" s="77"/>
      <c r="R752" s="77" t="str">
        <f>IF(Table5[[#This Row],[Tour Starting Date]]&lt;&gt;"", TEXT(Table5[[#This Row],[Tour Starting Date]], "dddd"), "")</f>
        <v/>
      </c>
      <c r="S752" s="77"/>
      <c r="T752" s="25" t="str">
        <f>IF(Table5[[#This Row],[Tour Ending Date]]&lt;&gt;"", TEXT(Table5[[#This Row],[Tour Ending Date]], "dddd"), "")</f>
        <v/>
      </c>
      <c r="U75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52" s="37" t="str">
        <f>IF(Table5[[#This Row],[Tour Starting Date]]&lt;&gt;"", TEXT(Table5[[#This Row],[Tour Starting Date]], "mmmm"), "")</f>
        <v/>
      </c>
      <c r="W752" s="80" t="str" cm="1">
        <f t="array" ref="W752">IF(Q752&lt;&gt;"", INDEX(CI:CI, MATCH(1, (Q752&gt;=CG:CG)*(Q752&lt;=CH:CH), 0)), "")</f>
        <v/>
      </c>
      <c r="X752" s="39"/>
      <c r="Y752" s="74"/>
      <c r="Z752" s="74" t="str">
        <f>IF(OR(Table5[[#This Row],[Per Person Package Cost]]="", Table5[[#This Row],[No. of Pax]]=""), "", Table5[[#This Row],[Per Person Package Cost]] * Table5[[#This Row],[No. of Pax]])</f>
        <v/>
      </c>
      <c r="AA752" s="52"/>
      <c r="AB752" s="52"/>
      <c r="AC752" s="52"/>
      <c r="AD752" s="52"/>
      <c r="AE752" s="51" t="str">
        <f t="shared" si="69"/>
        <v/>
      </c>
      <c r="AF752" s="51" t="str">
        <f t="shared" si="70"/>
        <v/>
      </c>
      <c r="AG752" s="74" t="str">
        <f t="shared" si="71"/>
        <v/>
      </c>
      <c r="AH752" s="73" t="str">
        <f t="shared" si="72"/>
        <v/>
      </c>
      <c r="AI752" s="52"/>
      <c r="AJ752" s="56"/>
      <c r="AK752" s="59"/>
      <c r="AL752" s="60"/>
      <c r="AM752" s="54"/>
      <c r="AN752" s="64"/>
      <c r="AO752" s="26"/>
      <c r="AP752" s="93"/>
      <c r="AQ752" s="87"/>
      <c r="AR752" s="26"/>
      <c r="AS752" s="65"/>
      <c r="AT752" s="88"/>
      <c r="AU752" s="67"/>
      <c r="DA752" t="str" cm="1">
        <f t="array" ref="DA752">IF(U752&lt;&gt;"", TRANSPOSE(_xlfn._xlws.FILTER(CZ:CZ, CY:CY=U752, "")), "")</f>
        <v/>
      </c>
    </row>
    <row r="753" spans="2:105">
      <c r="B753" s="35">
        <v>749</v>
      </c>
      <c r="C753" s="36" t="s">
        <v>2618</v>
      </c>
      <c r="D753" s="76"/>
      <c r="E753" s="37" t="str">
        <f>IF(Table5[[#This Row],[Query Date]]&lt;&gt;"", TEXT(Table5[[#This Row],[Query Date]], "dddd"), "")</f>
        <v/>
      </c>
      <c r="F753" s="37" t="str">
        <f>IF(Table5[[#This Row],[Query Date]]&lt;&gt;"", TEXT(Table5[[#This Row],[Query Date]], "mmmm"), "")</f>
        <v/>
      </c>
      <c r="G753" s="28"/>
      <c r="H753" s="28"/>
      <c r="I753" s="28"/>
      <c r="J753" s="28"/>
      <c r="K753" s="28"/>
      <c r="L753" s="25"/>
      <c r="M753" s="25"/>
      <c r="N753" s="25"/>
      <c r="O753" s="130"/>
      <c r="P753" s="47"/>
      <c r="Q753" s="77"/>
      <c r="R753" s="77" t="str">
        <f>IF(Table5[[#This Row],[Tour Starting Date]]&lt;&gt;"", TEXT(Table5[[#This Row],[Tour Starting Date]], "dddd"), "")</f>
        <v/>
      </c>
      <c r="S753" s="77"/>
      <c r="T753" s="25" t="str">
        <f>IF(Table5[[#This Row],[Tour Ending Date]]&lt;&gt;"", TEXT(Table5[[#This Row],[Tour Ending Date]], "dddd"), "")</f>
        <v/>
      </c>
      <c r="U75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53" s="37" t="str">
        <f>IF(Table5[[#This Row],[Tour Starting Date]]&lt;&gt;"", TEXT(Table5[[#This Row],[Tour Starting Date]], "mmmm"), "")</f>
        <v/>
      </c>
      <c r="W753" s="80" t="str" cm="1">
        <f t="array" ref="W753">IF(Q753&lt;&gt;"", INDEX(CI:CI, MATCH(1, (Q753&gt;=CG:CG)*(Q753&lt;=CH:CH), 0)), "")</f>
        <v/>
      </c>
      <c r="X753" s="39"/>
      <c r="Y753" s="74"/>
      <c r="Z753" s="74" t="str">
        <f>IF(OR(Table5[[#This Row],[Per Person Package Cost]]="", Table5[[#This Row],[No. of Pax]]=""), "", Table5[[#This Row],[Per Person Package Cost]] * Table5[[#This Row],[No. of Pax]])</f>
        <v/>
      </c>
      <c r="AA753" s="52"/>
      <c r="AB753" s="52"/>
      <c r="AC753" s="52"/>
      <c r="AD753" s="52"/>
      <c r="AE753" s="51" t="str">
        <f t="shared" si="69"/>
        <v/>
      </c>
      <c r="AF753" s="51" t="str">
        <f t="shared" si="70"/>
        <v/>
      </c>
      <c r="AG753" s="74" t="str">
        <f t="shared" si="71"/>
        <v/>
      </c>
      <c r="AH753" s="73" t="str">
        <f t="shared" si="72"/>
        <v/>
      </c>
      <c r="AI753" s="52"/>
      <c r="AJ753" s="56"/>
      <c r="AK753" s="59"/>
      <c r="AL753" s="60"/>
      <c r="AM753" s="54"/>
      <c r="AN753" s="64"/>
      <c r="AO753" s="26"/>
      <c r="AP753" s="93"/>
      <c r="AQ753" s="87"/>
      <c r="AR753" s="26"/>
      <c r="AS753" s="65"/>
      <c r="AT753" s="88"/>
      <c r="AU753" s="67"/>
      <c r="DA753" t="str" cm="1">
        <f t="array" ref="DA753">IF(U753&lt;&gt;"", TRANSPOSE(_xlfn._xlws.FILTER(CZ:CZ, CY:CY=U753, "")), "")</f>
        <v/>
      </c>
    </row>
    <row r="754" spans="2:105">
      <c r="B754" s="35">
        <v>750</v>
      </c>
      <c r="C754" s="36" t="s">
        <v>2619</v>
      </c>
      <c r="D754" s="76"/>
      <c r="E754" s="37" t="str">
        <f>IF(Table5[[#This Row],[Query Date]]&lt;&gt;"", TEXT(Table5[[#This Row],[Query Date]], "dddd"), "")</f>
        <v/>
      </c>
      <c r="F754" s="37" t="str">
        <f>IF(Table5[[#This Row],[Query Date]]&lt;&gt;"", TEXT(Table5[[#This Row],[Query Date]], "mmmm"), "")</f>
        <v/>
      </c>
      <c r="G754" s="28"/>
      <c r="H754" s="28"/>
      <c r="I754" s="28"/>
      <c r="J754" s="28"/>
      <c r="K754" s="28"/>
      <c r="L754" s="25"/>
      <c r="M754" s="25"/>
      <c r="N754" s="25"/>
      <c r="O754" s="130"/>
      <c r="P754" s="47"/>
      <c r="Q754" s="77"/>
      <c r="R754" s="77" t="str">
        <f>IF(Table5[[#This Row],[Tour Starting Date]]&lt;&gt;"", TEXT(Table5[[#This Row],[Tour Starting Date]], "dddd"), "")</f>
        <v/>
      </c>
      <c r="S754" s="77"/>
      <c r="T754" s="25" t="str">
        <f>IF(Table5[[#This Row],[Tour Ending Date]]&lt;&gt;"", TEXT(Table5[[#This Row],[Tour Ending Date]], "dddd"), "")</f>
        <v/>
      </c>
      <c r="U75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54" s="37" t="str">
        <f>IF(Table5[[#This Row],[Tour Starting Date]]&lt;&gt;"", TEXT(Table5[[#This Row],[Tour Starting Date]], "mmmm"), "")</f>
        <v/>
      </c>
      <c r="W754" s="80" t="str" cm="1">
        <f t="array" ref="W754">IF(Q754&lt;&gt;"", INDEX(CI:CI, MATCH(1, (Q754&gt;=CG:CG)*(Q754&lt;=CH:CH), 0)), "")</f>
        <v/>
      </c>
      <c r="X754" s="39"/>
      <c r="Y754" s="74"/>
      <c r="Z754" s="74" t="str">
        <f>IF(OR(Table5[[#This Row],[Per Person Package Cost]]="", Table5[[#This Row],[No. of Pax]]=""), "", Table5[[#This Row],[Per Person Package Cost]] * Table5[[#This Row],[No. of Pax]])</f>
        <v/>
      </c>
      <c r="AA754" s="52"/>
      <c r="AB754" s="52"/>
      <c r="AC754" s="52"/>
      <c r="AD754" s="52"/>
      <c r="AE754" s="51" t="str">
        <f t="shared" si="69"/>
        <v/>
      </c>
      <c r="AF754" s="51" t="str">
        <f t="shared" si="70"/>
        <v/>
      </c>
      <c r="AG754" s="74" t="str">
        <f t="shared" si="71"/>
        <v/>
      </c>
      <c r="AH754" s="73" t="str">
        <f t="shared" si="72"/>
        <v/>
      </c>
      <c r="AI754" s="52"/>
      <c r="AJ754" s="56"/>
      <c r="AK754" s="59"/>
      <c r="AL754" s="60"/>
      <c r="AM754" s="54"/>
      <c r="AN754" s="64"/>
      <c r="AO754" s="26"/>
      <c r="AP754" s="93"/>
      <c r="AQ754" s="87"/>
      <c r="AR754" s="26"/>
      <c r="AS754" s="65"/>
      <c r="AT754" s="88"/>
      <c r="AU754" s="67"/>
      <c r="DA754" t="str" cm="1">
        <f t="array" ref="DA754">IF(U754&lt;&gt;"", TRANSPOSE(_xlfn._xlws.FILTER(CZ:CZ, CY:CY=U754, "")), "")</f>
        <v/>
      </c>
    </row>
    <row r="755" spans="2:105">
      <c r="B755" s="35">
        <v>751</v>
      </c>
      <c r="C755" s="36" t="s">
        <v>2620</v>
      </c>
      <c r="D755" s="76"/>
      <c r="E755" s="37" t="str">
        <f>IF(Table5[[#This Row],[Query Date]]&lt;&gt;"", TEXT(Table5[[#This Row],[Query Date]], "dddd"), "")</f>
        <v/>
      </c>
      <c r="F755" s="37" t="str">
        <f>IF(Table5[[#This Row],[Query Date]]&lt;&gt;"", TEXT(Table5[[#This Row],[Query Date]], "mmmm"), "")</f>
        <v/>
      </c>
      <c r="G755" s="28"/>
      <c r="H755" s="28"/>
      <c r="I755" s="28"/>
      <c r="J755" s="28"/>
      <c r="K755" s="28"/>
      <c r="L755" s="25"/>
      <c r="M755" s="25"/>
      <c r="N755" s="25"/>
      <c r="O755" s="130"/>
      <c r="P755" s="47"/>
      <c r="Q755" s="77"/>
      <c r="R755" s="77" t="str">
        <f>IF(Table5[[#This Row],[Tour Starting Date]]&lt;&gt;"", TEXT(Table5[[#This Row],[Tour Starting Date]], "dddd"), "")</f>
        <v/>
      </c>
      <c r="S755" s="77"/>
      <c r="T755" s="25" t="str">
        <f>IF(Table5[[#This Row],[Tour Ending Date]]&lt;&gt;"", TEXT(Table5[[#This Row],[Tour Ending Date]], "dddd"), "")</f>
        <v/>
      </c>
      <c r="U75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55" s="37" t="str">
        <f>IF(Table5[[#This Row],[Tour Starting Date]]&lt;&gt;"", TEXT(Table5[[#This Row],[Tour Starting Date]], "mmmm"), "")</f>
        <v/>
      </c>
      <c r="W755" s="80" t="str" cm="1">
        <f t="array" ref="W755">IF(Q755&lt;&gt;"", INDEX(CI:CI, MATCH(1, (Q755&gt;=CG:CG)*(Q755&lt;=CH:CH), 0)), "")</f>
        <v/>
      </c>
      <c r="X755" s="39"/>
      <c r="Y755" s="74"/>
      <c r="Z755" s="74" t="str">
        <f>IF(OR(Table5[[#This Row],[Per Person Package Cost]]="", Table5[[#This Row],[No. of Pax]]=""), "", Table5[[#This Row],[Per Person Package Cost]] * Table5[[#This Row],[No. of Pax]])</f>
        <v/>
      </c>
      <c r="AA755" s="52"/>
      <c r="AB755" s="52"/>
      <c r="AC755" s="52"/>
      <c r="AD755" s="52"/>
      <c r="AE755" s="51" t="str">
        <f t="shared" si="69"/>
        <v/>
      </c>
      <c r="AF755" s="51" t="str">
        <f t="shared" si="70"/>
        <v/>
      </c>
      <c r="AG755" s="74" t="str">
        <f t="shared" si="71"/>
        <v/>
      </c>
      <c r="AH755" s="73" t="str">
        <f t="shared" si="72"/>
        <v/>
      </c>
      <c r="AI755" s="52"/>
      <c r="AJ755" s="56"/>
      <c r="AK755" s="59"/>
      <c r="AL755" s="60"/>
      <c r="AM755" s="54"/>
      <c r="AN755" s="64"/>
      <c r="AO755" s="26"/>
      <c r="AP755" s="93"/>
      <c r="AQ755" s="87"/>
      <c r="AR755" s="26"/>
      <c r="AS755" s="65"/>
      <c r="AT755" s="88"/>
      <c r="AU755" s="67"/>
      <c r="DA755" t="str" cm="1">
        <f t="array" ref="DA755">IF(U755&lt;&gt;"", TRANSPOSE(_xlfn._xlws.FILTER(CZ:CZ, CY:CY=U755, "")), "")</f>
        <v/>
      </c>
    </row>
    <row r="756" spans="2:105">
      <c r="B756" s="35">
        <v>752</v>
      </c>
      <c r="C756" s="36" t="s">
        <v>2621</v>
      </c>
      <c r="D756" s="76"/>
      <c r="E756" s="37" t="str">
        <f>IF(Table5[[#This Row],[Query Date]]&lt;&gt;"", TEXT(Table5[[#This Row],[Query Date]], "dddd"), "")</f>
        <v/>
      </c>
      <c r="F756" s="37" t="str">
        <f>IF(Table5[[#This Row],[Query Date]]&lt;&gt;"", TEXT(Table5[[#This Row],[Query Date]], "mmmm"), "")</f>
        <v/>
      </c>
      <c r="G756" s="28"/>
      <c r="H756" s="28"/>
      <c r="I756" s="28"/>
      <c r="J756" s="28"/>
      <c r="K756" s="28"/>
      <c r="L756" s="25"/>
      <c r="M756" s="25"/>
      <c r="N756" s="25"/>
      <c r="O756" s="130"/>
      <c r="P756" s="47"/>
      <c r="Q756" s="77"/>
      <c r="R756" s="77" t="str">
        <f>IF(Table5[[#This Row],[Tour Starting Date]]&lt;&gt;"", TEXT(Table5[[#This Row],[Tour Starting Date]], "dddd"), "")</f>
        <v/>
      </c>
      <c r="S756" s="77"/>
      <c r="T756" s="25" t="str">
        <f>IF(Table5[[#This Row],[Tour Ending Date]]&lt;&gt;"", TEXT(Table5[[#This Row],[Tour Ending Date]], "dddd"), "")</f>
        <v/>
      </c>
      <c r="U75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56" s="37" t="str">
        <f>IF(Table5[[#This Row],[Tour Starting Date]]&lt;&gt;"", TEXT(Table5[[#This Row],[Tour Starting Date]], "mmmm"), "")</f>
        <v/>
      </c>
      <c r="W756" s="80" t="str" cm="1">
        <f t="array" ref="W756">IF(Q756&lt;&gt;"", INDEX(CI:CI, MATCH(1, (Q756&gt;=CG:CG)*(Q756&lt;=CH:CH), 0)), "")</f>
        <v/>
      </c>
      <c r="X756" s="39"/>
      <c r="Y756" s="74"/>
      <c r="Z756" s="74" t="str">
        <f>IF(OR(Table5[[#This Row],[Per Person Package Cost]]="", Table5[[#This Row],[No. of Pax]]=""), "", Table5[[#This Row],[Per Person Package Cost]] * Table5[[#This Row],[No. of Pax]])</f>
        <v/>
      </c>
      <c r="AA756" s="52"/>
      <c r="AB756" s="52"/>
      <c r="AC756" s="52"/>
      <c r="AD756" s="52"/>
      <c r="AE756" s="51" t="str">
        <f t="shared" si="69"/>
        <v/>
      </c>
      <c r="AF756" s="51" t="str">
        <f t="shared" si="70"/>
        <v/>
      </c>
      <c r="AG756" s="74" t="str">
        <f t="shared" si="71"/>
        <v/>
      </c>
      <c r="AH756" s="73" t="str">
        <f t="shared" si="72"/>
        <v/>
      </c>
      <c r="AI756" s="52"/>
      <c r="AJ756" s="56"/>
      <c r="AK756" s="59"/>
      <c r="AL756" s="60"/>
      <c r="AM756" s="54"/>
      <c r="AN756" s="64"/>
      <c r="AO756" s="26"/>
      <c r="AP756" s="93"/>
      <c r="AQ756" s="87"/>
      <c r="AR756" s="26"/>
      <c r="AS756" s="65"/>
      <c r="AT756" s="88"/>
      <c r="AU756" s="67"/>
      <c r="DA756" t="str" cm="1">
        <f t="array" ref="DA756">IF(U756&lt;&gt;"", TRANSPOSE(_xlfn._xlws.FILTER(CZ:CZ, CY:CY=U756, "")), "")</f>
        <v/>
      </c>
    </row>
    <row r="757" spans="2:105">
      <c r="B757" s="35">
        <v>753</v>
      </c>
      <c r="C757" s="36" t="s">
        <v>2622</v>
      </c>
      <c r="D757" s="76"/>
      <c r="E757" s="37" t="str">
        <f>IF(Table5[[#This Row],[Query Date]]&lt;&gt;"", TEXT(Table5[[#This Row],[Query Date]], "dddd"), "")</f>
        <v/>
      </c>
      <c r="F757" s="37" t="str">
        <f>IF(Table5[[#This Row],[Query Date]]&lt;&gt;"", TEXT(Table5[[#This Row],[Query Date]], "mmmm"), "")</f>
        <v/>
      </c>
      <c r="G757" s="28"/>
      <c r="H757" s="28"/>
      <c r="I757" s="28"/>
      <c r="J757" s="28"/>
      <c r="K757" s="28"/>
      <c r="L757" s="25"/>
      <c r="M757" s="25"/>
      <c r="N757" s="25"/>
      <c r="O757" s="130"/>
      <c r="P757" s="47"/>
      <c r="Q757" s="77"/>
      <c r="R757" s="77" t="str">
        <f>IF(Table5[[#This Row],[Tour Starting Date]]&lt;&gt;"", TEXT(Table5[[#This Row],[Tour Starting Date]], "dddd"), "")</f>
        <v/>
      </c>
      <c r="S757" s="77"/>
      <c r="T757" s="25" t="str">
        <f>IF(Table5[[#This Row],[Tour Ending Date]]&lt;&gt;"", TEXT(Table5[[#This Row],[Tour Ending Date]], "dddd"), "")</f>
        <v/>
      </c>
      <c r="U75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57" s="37" t="str">
        <f>IF(Table5[[#This Row],[Tour Starting Date]]&lt;&gt;"", TEXT(Table5[[#This Row],[Tour Starting Date]], "mmmm"), "")</f>
        <v/>
      </c>
      <c r="W757" s="80" t="str" cm="1">
        <f t="array" ref="W757">IF(Q757&lt;&gt;"", INDEX(CI:CI, MATCH(1, (Q757&gt;=CG:CG)*(Q757&lt;=CH:CH), 0)), "")</f>
        <v/>
      </c>
      <c r="X757" s="39"/>
      <c r="Y757" s="74"/>
      <c r="Z757" s="74" t="str">
        <f>IF(OR(Table5[[#This Row],[Per Person Package Cost]]="", Table5[[#This Row],[No. of Pax]]=""), "", Table5[[#This Row],[Per Person Package Cost]] * Table5[[#This Row],[No. of Pax]])</f>
        <v/>
      </c>
      <c r="AA757" s="52"/>
      <c r="AB757" s="52"/>
      <c r="AC757" s="52"/>
      <c r="AD757" s="52"/>
      <c r="AE757" s="51" t="str">
        <f t="shared" si="69"/>
        <v/>
      </c>
      <c r="AF757" s="51" t="str">
        <f t="shared" si="70"/>
        <v/>
      </c>
      <c r="AG757" s="74" t="str">
        <f t="shared" si="71"/>
        <v/>
      </c>
      <c r="AH757" s="73" t="str">
        <f t="shared" si="72"/>
        <v/>
      </c>
      <c r="AI757" s="52"/>
      <c r="AJ757" s="56"/>
      <c r="AK757" s="59"/>
      <c r="AL757" s="60"/>
      <c r="AM757" s="54"/>
      <c r="AN757" s="64"/>
      <c r="AO757" s="26"/>
      <c r="AP757" s="93"/>
      <c r="AQ757" s="87"/>
      <c r="AR757" s="26"/>
      <c r="AS757" s="65"/>
      <c r="AT757" s="88"/>
      <c r="AU757" s="67"/>
      <c r="DA757" t="str" cm="1">
        <f t="array" ref="DA757">IF(U757&lt;&gt;"", TRANSPOSE(_xlfn._xlws.FILTER(CZ:CZ, CY:CY=U757, "")), "")</f>
        <v/>
      </c>
    </row>
    <row r="758" spans="2:105">
      <c r="B758" s="35">
        <v>754</v>
      </c>
      <c r="C758" s="36" t="s">
        <v>2623</v>
      </c>
      <c r="D758" s="76"/>
      <c r="E758" s="37" t="str">
        <f>IF(Table5[[#This Row],[Query Date]]&lt;&gt;"", TEXT(Table5[[#This Row],[Query Date]], "dddd"), "")</f>
        <v/>
      </c>
      <c r="F758" s="37" t="str">
        <f>IF(Table5[[#This Row],[Query Date]]&lt;&gt;"", TEXT(Table5[[#This Row],[Query Date]], "mmmm"), "")</f>
        <v/>
      </c>
      <c r="G758" s="28"/>
      <c r="H758" s="28"/>
      <c r="I758" s="28"/>
      <c r="J758" s="28"/>
      <c r="K758" s="28"/>
      <c r="L758" s="25"/>
      <c r="M758" s="25"/>
      <c r="N758" s="25"/>
      <c r="O758" s="130"/>
      <c r="P758" s="47"/>
      <c r="Q758" s="77"/>
      <c r="R758" s="77" t="str">
        <f>IF(Table5[[#This Row],[Tour Starting Date]]&lt;&gt;"", TEXT(Table5[[#This Row],[Tour Starting Date]], "dddd"), "")</f>
        <v/>
      </c>
      <c r="S758" s="77"/>
      <c r="T758" s="25" t="str">
        <f>IF(Table5[[#This Row],[Tour Ending Date]]&lt;&gt;"", TEXT(Table5[[#This Row],[Tour Ending Date]], "dddd"), "")</f>
        <v/>
      </c>
      <c r="U75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58" s="37" t="str">
        <f>IF(Table5[[#This Row],[Tour Starting Date]]&lt;&gt;"", TEXT(Table5[[#This Row],[Tour Starting Date]], "mmmm"), "")</f>
        <v/>
      </c>
      <c r="W758" s="80" t="str" cm="1">
        <f t="array" ref="W758">IF(Q758&lt;&gt;"", INDEX(CI:CI, MATCH(1, (Q758&gt;=CG:CG)*(Q758&lt;=CH:CH), 0)), "")</f>
        <v/>
      </c>
      <c r="X758" s="39"/>
      <c r="Y758" s="74"/>
      <c r="Z758" s="74" t="str">
        <f>IF(OR(Table5[[#This Row],[Per Person Package Cost]]="", Table5[[#This Row],[No. of Pax]]=""), "", Table5[[#This Row],[Per Person Package Cost]] * Table5[[#This Row],[No. of Pax]])</f>
        <v/>
      </c>
      <c r="AA758" s="52"/>
      <c r="AB758" s="52"/>
      <c r="AC758" s="52"/>
      <c r="AD758" s="52"/>
      <c r="AE758" s="51" t="str">
        <f t="shared" si="69"/>
        <v/>
      </c>
      <c r="AF758" s="51" t="str">
        <f t="shared" si="70"/>
        <v/>
      </c>
      <c r="AG758" s="74" t="str">
        <f t="shared" si="71"/>
        <v/>
      </c>
      <c r="AH758" s="73" t="str">
        <f t="shared" si="72"/>
        <v/>
      </c>
      <c r="AI758" s="52"/>
      <c r="AJ758" s="56"/>
      <c r="AK758" s="59"/>
      <c r="AL758" s="60"/>
      <c r="AM758" s="54"/>
      <c r="AN758" s="64"/>
      <c r="AO758" s="26"/>
      <c r="AP758" s="93"/>
      <c r="AQ758" s="87"/>
      <c r="AR758" s="26"/>
      <c r="AS758" s="65"/>
      <c r="AT758" s="88"/>
      <c r="AU758" s="67"/>
      <c r="DA758" t="str" cm="1">
        <f t="array" ref="DA758">IF(U758&lt;&gt;"", TRANSPOSE(_xlfn._xlws.FILTER(CZ:CZ, CY:CY=U758, "")), "")</f>
        <v/>
      </c>
    </row>
    <row r="759" spans="2:105">
      <c r="B759" s="35">
        <v>755</v>
      </c>
      <c r="C759" s="36" t="s">
        <v>2624</v>
      </c>
      <c r="D759" s="76"/>
      <c r="E759" s="37" t="str">
        <f>IF(Table5[[#This Row],[Query Date]]&lt;&gt;"", TEXT(Table5[[#This Row],[Query Date]], "dddd"), "")</f>
        <v/>
      </c>
      <c r="F759" s="37" t="str">
        <f>IF(Table5[[#This Row],[Query Date]]&lt;&gt;"", TEXT(Table5[[#This Row],[Query Date]], "mmmm"), "")</f>
        <v/>
      </c>
      <c r="G759" s="28"/>
      <c r="H759" s="28"/>
      <c r="I759" s="28"/>
      <c r="J759" s="28"/>
      <c r="K759" s="28"/>
      <c r="L759" s="25"/>
      <c r="M759" s="25"/>
      <c r="N759" s="25"/>
      <c r="O759" s="130"/>
      <c r="P759" s="47"/>
      <c r="Q759" s="77"/>
      <c r="R759" s="77" t="str">
        <f>IF(Table5[[#This Row],[Tour Starting Date]]&lt;&gt;"", TEXT(Table5[[#This Row],[Tour Starting Date]], "dddd"), "")</f>
        <v/>
      </c>
      <c r="S759" s="77"/>
      <c r="T759" s="25" t="str">
        <f>IF(Table5[[#This Row],[Tour Ending Date]]&lt;&gt;"", TEXT(Table5[[#This Row],[Tour Ending Date]], "dddd"), "")</f>
        <v/>
      </c>
      <c r="U75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59" s="37" t="str">
        <f>IF(Table5[[#This Row],[Tour Starting Date]]&lt;&gt;"", TEXT(Table5[[#This Row],[Tour Starting Date]], "mmmm"), "")</f>
        <v/>
      </c>
      <c r="W759" s="80" t="str" cm="1">
        <f t="array" ref="W759">IF(Q759&lt;&gt;"", INDEX(CI:CI, MATCH(1, (Q759&gt;=CG:CG)*(Q759&lt;=CH:CH), 0)), "")</f>
        <v/>
      </c>
      <c r="X759" s="39"/>
      <c r="Y759" s="74"/>
      <c r="Z759" s="74" t="str">
        <f>IF(OR(Table5[[#This Row],[Per Person Package Cost]]="", Table5[[#This Row],[No. of Pax]]=""), "", Table5[[#This Row],[Per Person Package Cost]] * Table5[[#This Row],[No. of Pax]])</f>
        <v/>
      </c>
      <c r="AA759" s="52"/>
      <c r="AB759" s="52"/>
      <c r="AC759" s="52"/>
      <c r="AD759" s="52"/>
      <c r="AE759" s="51" t="str">
        <f t="shared" si="69"/>
        <v/>
      </c>
      <c r="AF759" s="51" t="str">
        <f t="shared" si="70"/>
        <v/>
      </c>
      <c r="AG759" s="74" t="str">
        <f t="shared" si="71"/>
        <v/>
      </c>
      <c r="AH759" s="73" t="str">
        <f t="shared" si="72"/>
        <v/>
      </c>
      <c r="AI759" s="52"/>
      <c r="AJ759" s="56"/>
      <c r="AK759" s="59"/>
      <c r="AL759" s="60"/>
      <c r="AM759" s="54"/>
      <c r="AN759" s="64"/>
      <c r="AO759" s="26"/>
      <c r="AP759" s="93"/>
      <c r="AQ759" s="87"/>
      <c r="AR759" s="26"/>
      <c r="AS759" s="65"/>
      <c r="AT759" s="88"/>
      <c r="AU759" s="67"/>
      <c r="DA759" t="str" cm="1">
        <f t="array" ref="DA759">IF(U759&lt;&gt;"", TRANSPOSE(_xlfn._xlws.FILTER(CZ:CZ, CY:CY=U759, "")), "")</f>
        <v/>
      </c>
    </row>
    <row r="760" spans="2:105">
      <c r="B760" s="35">
        <v>756</v>
      </c>
      <c r="C760" s="36" t="s">
        <v>2625</v>
      </c>
      <c r="D760" s="76"/>
      <c r="E760" s="37" t="str">
        <f>IF(Table5[[#This Row],[Query Date]]&lt;&gt;"", TEXT(Table5[[#This Row],[Query Date]], "dddd"), "")</f>
        <v/>
      </c>
      <c r="F760" s="37" t="str">
        <f>IF(Table5[[#This Row],[Query Date]]&lt;&gt;"", TEXT(Table5[[#This Row],[Query Date]], "mmmm"), "")</f>
        <v/>
      </c>
      <c r="G760" s="28"/>
      <c r="H760" s="28"/>
      <c r="I760" s="28"/>
      <c r="J760" s="28"/>
      <c r="K760" s="28"/>
      <c r="L760" s="25"/>
      <c r="M760" s="25"/>
      <c r="N760" s="25"/>
      <c r="O760" s="130"/>
      <c r="P760" s="47"/>
      <c r="Q760" s="77"/>
      <c r="R760" s="77" t="str">
        <f>IF(Table5[[#This Row],[Tour Starting Date]]&lt;&gt;"", TEXT(Table5[[#This Row],[Tour Starting Date]], "dddd"), "")</f>
        <v/>
      </c>
      <c r="S760" s="77"/>
      <c r="T760" s="25" t="str">
        <f>IF(Table5[[#This Row],[Tour Ending Date]]&lt;&gt;"", TEXT(Table5[[#This Row],[Tour Ending Date]], "dddd"), "")</f>
        <v/>
      </c>
      <c r="U76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60" s="37" t="str">
        <f>IF(Table5[[#This Row],[Tour Starting Date]]&lt;&gt;"", TEXT(Table5[[#This Row],[Tour Starting Date]], "mmmm"), "")</f>
        <v/>
      </c>
      <c r="W760" s="80" t="str" cm="1">
        <f t="array" ref="W760">IF(Q760&lt;&gt;"", INDEX(CI:CI, MATCH(1, (Q760&gt;=CG:CG)*(Q760&lt;=CH:CH), 0)), "")</f>
        <v/>
      </c>
      <c r="X760" s="39"/>
      <c r="Y760" s="74"/>
      <c r="Z760" s="74" t="str">
        <f>IF(OR(Table5[[#This Row],[Per Person Package Cost]]="", Table5[[#This Row],[No. of Pax]]=""), "", Table5[[#This Row],[Per Person Package Cost]] * Table5[[#This Row],[No. of Pax]])</f>
        <v/>
      </c>
      <c r="AA760" s="52"/>
      <c r="AB760" s="52"/>
      <c r="AC760" s="52"/>
      <c r="AD760" s="52"/>
      <c r="AE760" s="51" t="str">
        <f t="shared" si="69"/>
        <v/>
      </c>
      <c r="AF760" s="51" t="str">
        <f t="shared" si="70"/>
        <v/>
      </c>
      <c r="AG760" s="74" t="str">
        <f t="shared" si="71"/>
        <v/>
      </c>
      <c r="AH760" s="73" t="str">
        <f t="shared" si="72"/>
        <v/>
      </c>
      <c r="AI760" s="52"/>
      <c r="AJ760" s="56"/>
      <c r="AK760" s="59"/>
      <c r="AL760" s="60"/>
      <c r="AM760" s="54"/>
      <c r="AN760" s="64"/>
      <c r="AO760" s="26"/>
      <c r="AP760" s="93"/>
      <c r="AQ760" s="87"/>
      <c r="AR760" s="26"/>
      <c r="AS760" s="65"/>
      <c r="AT760" s="88"/>
      <c r="AU760" s="67"/>
      <c r="DA760" t="str" cm="1">
        <f t="array" ref="DA760">IF(U760&lt;&gt;"", TRANSPOSE(_xlfn._xlws.FILTER(CZ:CZ, CY:CY=U760, "")), "")</f>
        <v/>
      </c>
    </row>
    <row r="761" spans="2:105">
      <c r="B761" s="35">
        <v>757</v>
      </c>
      <c r="C761" s="36" t="s">
        <v>2626</v>
      </c>
      <c r="D761" s="76"/>
      <c r="E761" s="37" t="str">
        <f>IF(Table5[[#This Row],[Query Date]]&lt;&gt;"", TEXT(Table5[[#This Row],[Query Date]], "dddd"), "")</f>
        <v/>
      </c>
      <c r="F761" s="37" t="str">
        <f>IF(Table5[[#This Row],[Query Date]]&lt;&gt;"", TEXT(Table5[[#This Row],[Query Date]], "mmmm"), "")</f>
        <v/>
      </c>
      <c r="G761" s="28"/>
      <c r="H761" s="28"/>
      <c r="I761" s="28"/>
      <c r="J761" s="28"/>
      <c r="K761" s="28"/>
      <c r="L761" s="25"/>
      <c r="M761" s="25"/>
      <c r="N761" s="25"/>
      <c r="O761" s="130"/>
      <c r="P761" s="47"/>
      <c r="Q761" s="77"/>
      <c r="R761" s="77" t="str">
        <f>IF(Table5[[#This Row],[Tour Starting Date]]&lt;&gt;"", TEXT(Table5[[#This Row],[Tour Starting Date]], "dddd"), "")</f>
        <v/>
      </c>
      <c r="S761" s="77"/>
      <c r="T761" s="25" t="str">
        <f>IF(Table5[[#This Row],[Tour Ending Date]]&lt;&gt;"", TEXT(Table5[[#This Row],[Tour Ending Date]], "dddd"), "")</f>
        <v/>
      </c>
      <c r="U76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61" s="37" t="str">
        <f>IF(Table5[[#This Row],[Tour Starting Date]]&lt;&gt;"", TEXT(Table5[[#This Row],[Tour Starting Date]], "mmmm"), "")</f>
        <v/>
      </c>
      <c r="W761" s="80" t="str" cm="1">
        <f t="array" ref="W761">IF(Q761&lt;&gt;"", INDEX(CI:CI, MATCH(1, (Q761&gt;=CG:CG)*(Q761&lt;=CH:CH), 0)), "")</f>
        <v/>
      </c>
      <c r="X761" s="39"/>
      <c r="Y761" s="74"/>
      <c r="Z761" s="74" t="str">
        <f>IF(OR(Table5[[#This Row],[Per Person Package Cost]]="", Table5[[#This Row],[No. of Pax]]=""), "", Table5[[#This Row],[Per Person Package Cost]] * Table5[[#This Row],[No. of Pax]])</f>
        <v/>
      </c>
      <c r="AA761" s="52"/>
      <c r="AB761" s="52"/>
      <c r="AC761" s="52"/>
      <c r="AD761" s="52"/>
      <c r="AE761" s="51" t="str">
        <f t="shared" si="69"/>
        <v/>
      </c>
      <c r="AF761" s="51" t="str">
        <f t="shared" si="70"/>
        <v/>
      </c>
      <c r="AG761" s="74" t="str">
        <f t="shared" si="71"/>
        <v/>
      </c>
      <c r="AH761" s="73" t="str">
        <f t="shared" si="72"/>
        <v/>
      </c>
      <c r="AI761" s="52"/>
      <c r="AJ761" s="56"/>
      <c r="AK761" s="59"/>
      <c r="AL761" s="60"/>
      <c r="AM761" s="54"/>
      <c r="AN761" s="64"/>
      <c r="AO761" s="26"/>
      <c r="AP761" s="93"/>
      <c r="AQ761" s="87"/>
      <c r="AR761" s="26"/>
      <c r="AS761" s="65"/>
      <c r="AT761" s="88"/>
      <c r="AU761" s="67"/>
      <c r="DA761" t="str" cm="1">
        <f t="array" ref="DA761">IF(U761&lt;&gt;"", TRANSPOSE(_xlfn._xlws.FILTER(CZ:CZ, CY:CY=U761, "")), "")</f>
        <v/>
      </c>
    </row>
    <row r="762" spans="2:105">
      <c r="B762" s="35">
        <v>758</v>
      </c>
      <c r="C762" s="36" t="s">
        <v>2627</v>
      </c>
      <c r="D762" s="76"/>
      <c r="E762" s="37" t="str">
        <f>IF(Table5[[#This Row],[Query Date]]&lt;&gt;"", TEXT(Table5[[#This Row],[Query Date]], "dddd"), "")</f>
        <v/>
      </c>
      <c r="F762" s="37" t="str">
        <f>IF(Table5[[#This Row],[Query Date]]&lt;&gt;"", TEXT(Table5[[#This Row],[Query Date]], "mmmm"), "")</f>
        <v/>
      </c>
      <c r="G762" s="28"/>
      <c r="H762" s="28"/>
      <c r="I762" s="28"/>
      <c r="J762" s="28"/>
      <c r="K762" s="28"/>
      <c r="L762" s="25"/>
      <c r="M762" s="25"/>
      <c r="N762" s="25"/>
      <c r="O762" s="130"/>
      <c r="P762" s="47"/>
      <c r="Q762" s="77"/>
      <c r="R762" s="77" t="str">
        <f>IF(Table5[[#This Row],[Tour Starting Date]]&lt;&gt;"", TEXT(Table5[[#This Row],[Tour Starting Date]], "dddd"), "")</f>
        <v/>
      </c>
      <c r="S762" s="77"/>
      <c r="T762" s="25" t="str">
        <f>IF(Table5[[#This Row],[Tour Ending Date]]&lt;&gt;"", TEXT(Table5[[#This Row],[Tour Ending Date]], "dddd"), "")</f>
        <v/>
      </c>
      <c r="U76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62" s="37" t="str">
        <f>IF(Table5[[#This Row],[Tour Starting Date]]&lt;&gt;"", TEXT(Table5[[#This Row],[Tour Starting Date]], "mmmm"), "")</f>
        <v/>
      </c>
      <c r="W762" s="80" t="str" cm="1">
        <f t="array" ref="W762">IF(Q762&lt;&gt;"", INDEX(CI:CI, MATCH(1, (Q762&gt;=CG:CG)*(Q762&lt;=CH:CH), 0)), "")</f>
        <v/>
      </c>
      <c r="X762" s="39"/>
      <c r="Y762" s="74"/>
      <c r="Z762" s="74" t="str">
        <f>IF(OR(Table5[[#This Row],[Per Person Package Cost]]="", Table5[[#This Row],[No. of Pax]]=""), "", Table5[[#This Row],[Per Person Package Cost]] * Table5[[#This Row],[No. of Pax]])</f>
        <v/>
      </c>
      <c r="AA762" s="52"/>
      <c r="AB762" s="52"/>
      <c r="AC762" s="52"/>
      <c r="AD762" s="52"/>
      <c r="AE762" s="51" t="str">
        <f t="shared" si="69"/>
        <v/>
      </c>
      <c r="AF762" s="51" t="str">
        <f t="shared" si="70"/>
        <v/>
      </c>
      <c r="AG762" s="74" t="str">
        <f t="shared" si="71"/>
        <v/>
      </c>
      <c r="AH762" s="73" t="str">
        <f t="shared" si="72"/>
        <v/>
      </c>
      <c r="AI762" s="52"/>
      <c r="AJ762" s="56"/>
      <c r="AK762" s="59"/>
      <c r="AL762" s="60"/>
      <c r="AM762" s="54"/>
      <c r="AN762" s="64"/>
      <c r="AO762" s="26"/>
      <c r="AP762" s="93"/>
      <c r="AQ762" s="87"/>
      <c r="AR762" s="26"/>
      <c r="AS762" s="65"/>
      <c r="AT762" s="88"/>
      <c r="AU762" s="67"/>
      <c r="DA762" t="str" cm="1">
        <f t="array" ref="DA762">IF(U762&lt;&gt;"", TRANSPOSE(_xlfn._xlws.FILTER(CZ:CZ, CY:CY=U762, "")), "")</f>
        <v/>
      </c>
    </row>
    <row r="763" spans="2:105">
      <c r="B763" s="35">
        <v>759</v>
      </c>
      <c r="C763" s="36" t="s">
        <v>2628</v>
      </c>
      <c r="D763" s="76"/>
      <c r="E763" s="37" t="str">
        <f>IF(Table5[[#This Row],[Query Date]]&lt;&gt;"", TEXT(Table5[[#This Row],[Query Date]], "dddd"), "")</f>
        <v/>
      </c>
      <c r="F763" s="37" t="str">
        <f>IF(Table5[[#This Row],[Query Date]]&lt;&gt;"", TEXT(Table5[[#This Row],[Query Date]], "mmmm"), "")</f>
        <v/>
      </c>
      <c r="G763" s="28"/>
      <c r="H763" s="28"/>
      <c r="I763" s="28"/>
      <c r="J763" s="28"/>
      <c r="K763" s="28"/>
      <c r="L763" s="25"/>
      <c r="M763" s="25"/>
      <c r="N763" s="25"/>
      <c r="O763" s="130"/>
      <c r="P763" s="47"/>
      <c r="Q763" s="77"/>
      <c r="R763" s="77" t="str">
        <f>IF(Table5[[#This Row],[Tour Starting Date]]&lt;&gt;"", TEXT(Table5[[#This Row],[Tour Starting Date]], "dddd"), "")</f>
        <v/>
      </c>
      <c r="S763" s="77"/>
      <c r="T763" s="25" t="str">
        <f>IF(Table5[[#This Row],[Tour Ending Date]]&lt;&gt;"", TEXT(Table5[[#This Row],[Tour Ending Date]], "dddd"), "")</f>
        <v/>
      </c>
      <c r="U76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63" s="37" t="str">
        <f>IF(Table5[[#This Row],[Tour Starting Date]]&lt;&gt;"", TEXT(Table5[[#This Row],[Tour Starting Date]], "mmmm"), "")</f>
        <v/>
      </c>
      <c r="W763" s="80" t="str" cm="1">
        <f t="array" ref="W763">IF(Q763&lt;&gt;"", INDEX(CI:CI, MATCH(1, (Q763&gt;=CG:CG)*(Q763&lt;=CH:CH), 0)), "")</f>
        <v/>
      </c>
      <c r="X763" s="39"/>
      <c r="Y763" s="74"/>
      <c r="Z763" s="74" t="str">
        <f>IF(OR(Table5[[#This Row],[Per Person Package Cost]]="", Table5[[#This Row],[No. of Pax]]=""), "", Table5[[#This Row],[Per Person Package Cost]] * Table5[[#This Row],[No. of Pax]])</f>
        <v/>
      </c>
      <c r="AA763" s="52"/>
      <c r="AB763" s="52"/>
      <c r="AC763" s="52"/>
      <c r="AD763" s="52"/>
      <c r="AE763" s="51" t="str">
        <f t="shared" si="69"/>
        <v/>
      </c>
      <c r="AF763" s="51" t="str">
        <f t="shared" si="70"/>
        <v/>
      </c>
      <c r="AG763" s="74" t="str">
        <f t="shared" si="71"/>
        <v/>
      </c>
      <c r="AH763" s="73" t="str">
        <f t="shared" si="72"/>
        <v/>
      </c>
      <c r="AI763" s="52"/>
      <c r="AJ763" s="56"/>
      <c r="AK763" s="59"/>
      <c r="AL763" s="60"/>
      <c r="AM763" s="54"/>
      <c r="AN763" s="64"/>
      <c r="AO763" s="26"/>
      <c r="AP763" s="93"/>
      <c r="AQ763" s="87"/>
      <c r="AR763" s="26"/>
      <c r="AS763" s="65"/>
      <c r="AT763" s="88"/>
      <c r="AU763" s="67"/>
      <c r="DA763" t="str" cm="1">
        <f t="array" ref="DA763">IF(U763&lt;&gt;"", TRANSPOSE(_xlfn._xlws.FILTER(CZ:CZ, CY:CY=U763, "")), "")</f>
        <v/>
      </c>
    </row>
    <row r="764" spans="2:105">
      <c r="B764" s="35">
        <v>760</v>
      </c>
      <c r="C764" s="36" t="s">
        <v>2629</v>
      </c>
      <c r="D764" s="76"/>
      <c r="E764" s="37" t="str">
        <f>IF(Table5[[#This Row],[Query Date]]&lt;&gt;"", TEXT(Table5[[#This Row],[Query Date]], "dddd"), "")</f>
        <v/>
      </c>
      <c r="F764" s="37" t="str">
        <f>IF(Table5[[#This Row],[Query Date]]&lt;&gt;"", TEXT(Table5[[#This Row],[Query Date]], "mmmm"), "")</f>
        <v/>
      </c>
      <c r="G764" s="28"/>
      <c r="H764" s="28"/>
      <c r="I764" s="28"/>
      <c r="J764" s="28"/>
      <c r="K764" s="28"/>
      <c r="L764" s="25"/>
      <c r="M764" s="25"/>
      <c r="N764" s="25"/>
      <c r="O764" s="130"/>
      <c r="P764" s="47"/>
      <c r="Q764" s="77"/>
      <c r="R764" s="77" t="str">
        <f>IF(Table5[[#This Row],[Tour Starting Date]]&lt;&gt;"", TEXT(Table5[[#This Row],[Tour Starting Date]], "dddd"), "")</f>
        <v/>
      </c>
      <c r="S764" s="77"/>
      <c r="T764" s="25" t="str">
        <f>IF(Table5[[#This Row],[Tour Ending Date]]&lt;&gt;"", TEXT(Table5[[#This Row],[Tour Ending Date]], "dddd"), "")</f>
        <v/>
      </c>
      <c r="U76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64" s="37" t="str">
        <f>IF(Table5[[#This Row],[Tour Starting Date]]&lt;&gt;"", TEXT(Table5[[#This Row],[Tour Starting Date]], "mmmm"), "")</f>
        <v/>
      </c>
      <c r="W764" s="80" t="str" cm="1">
        <f t="array" ref="W764">IF(Q764&lt;&gt;"", INDEX(CI:CI, MATCH(1, (Q764&gt;=CG:CG)*(Q764&lt;=CH:CH), 0)), "")</f>
        <v/>
      </c>
      <c r="X764" s="39"/>
      <c r="Y764" s="74"/>
      <c r="Z764" s="74" t="str">
        <f>IF(OR(Table5[[#This Row],[Per Person Package Cost]]="", Table5[[#This Row],[No. of Pax]]=""), "", Table5[[#This Row],[Per Person Package Cost]] * Table5[[#This Row],[No. of Pax]])</f>
        <v/>
      </c>
      <c r="AA764" s="52"/>
      <c r="AB764" s="52"/>
      <c r="AC764" s="52"/>
      <c r="AD764" s="52"/>
      <c r="AE764" s="51" t="str">
        <f t="shared" si="69"/>
        <v/>
      </c>
      <c r="AF764" s="51" t="str">
        <f t="shared" si="70"/>
        <v/>
      </c>
      <c r="AG764" s="74" t="str">
        <f t="shared" si="71"/>
        <v/>
      </c>
      <c r="AH764" s="73" t="str">
        <f t="shared" si="72"/>
        <v/>
      </c>
      <c r="AI764" s="52"/>
      <c r="AJ764" s="56"/>
      <c r="AK764" s="59"/>
      <c r="AL764" s="60"/>
      <c r="AM764" s="54"/>
      <c r="AN764" s="64"/>
      <c r="AO764" s="26"/>
      <c r="AP764" s="93"/>
      <c r="AQ764" s="87"/>
      <c r="AR764" s="26"/>
      <c r="AS764" s="65"/>
      <c r="AT764" s="88"/>
      <c r="AU764" s="67"/>
      <c r="DA764" t="str" cm="1">
        <f t="array" ref="DA764">IF(U764&lt;&gt;"", TRANSPOSE(_xlfn._xlws.FILTER(CZ:CZ, CY:CY=U764, "")), "")</f>
        <v/>
      </c>
    </row>
    <row r="765" spans="2:105">
      <c r="B765" s="35">
        <v>761</v>
      </c>
      <c r="C765" s="36" t="s">
        <v>2630</v>
      </c>
      <c r="D765" s="76"/>
      <c r="E765" s="37" t="str">
        <f>IF(Table5[[#This Row],[Query Date]]&lt;&gt;"", TEXT(Table5[[#This Row],[Query Date]], "dddd"), "")</f>
        <v/>
      </c>
      <c r="F765" s="37" t="str">
        <f>IF(Table5[[#This Row],[Query Date]]&lt;&gt;"", TEXT(Table5[[#This Row],[Query Date]], "mmmm"), "")</f>
        <v/>
      </c>
      <c r="G765" s="28"/>
      <c r="H765" s="28"/>
      <c r="I765" s="28"/>
      <c r="J765" s="28"/>
      <c r="K765" s="28"/>
      <c r="L765" s="25"/>
      <c r="M765" s="25"/>
      <c r="N765" s="25"/>
      <c r="O765" s="130"/>
      <c r="P765" s="47"/>
      <c r="Q765" s="77"/>
      <c r="R765" s="77" t="str">
        <f>IF(Table5[[#This Row],[Tour Starting Date]]&lt;&gt;"", TEXT(Table5[[#This Row],[Tour Starting Date]], "dddd"), "")</f>
        <v/>
      </c>
      <c r="S765" s="77"/>
      <c r="T765" s="25" t="str">
        <f>IF(Table5[[#This Row],[Tour Ending Date]]&lt;&gt;"", TEXT(Table5[[#This Row],[Tour Ending Date]], "dddd"), "")</f>
        <v/>
      </c>
      <c r="U76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65" s="37" t="str">
        <f>IF(Table5[[#This Row],[Tour Starting Date]]&lt;&gt;"", TEXT(Table5[[#This Row],[Tour Starting Date]], "mmmm"), "")</f>
        <v/>
      </c>
      <c r="W765" s="80" t="str" cm="1">
        <f t="array" ref="W765">IF(Q765&lt;&gt;"", INDEX(CI:CI, MATCH(1, (Q765&gt;=CG:CG)*(Q765&lt;=CH:CH), 0)), "")</f>
        <v/>
      </c>
      <c r="X765" s="39"/>
      <c r="Y765" s="74"/>
      <c r="Z765" s="74" t="str">
        <f>IF(OR(Table5[[#This Row],[Per Person Package Cost]]="", Table5[[#This Row],[No. of Pax]]=""), "", Table5[[#This Row],[Per Person Package Cost]] * Table5[[#This Row],[No. of Pax]])</f>
        <v/>
      </c>
      <c r="AA765" s="52"/>
      <c r="AB765" s="52"/>
      <c r="AC765" s="52"/>
      <c r="AD765" s="52"/>
      <c r="AE765" s="51" t="str">
        <f t="shared" si="69"/>
        <v/>
      </c>
      <c r="AF765" s="51" t="str">
        <f t="shared" si="70"/>
        <v/>
      </c>
      <c r="AG765" s="74" t="str">
        <f t="shared" si="71"/>
        <v/>
      </c>
      <c r="AH765" s="73" t="str">
        <f t="shared" si="72"/>
        <v/>
      </c>
      <c r="AI765" s="52"/>
      <c r="AJ765" s="56"/>
      <c r="AK765" s="59"/>
      <c r="AL765" s="60"/>
      <c r="AM765" s="54"/>
      <c r="AN765" s="64"/>
      <c r="AO765" s="26"/>
      <c r="AP765" s="93"/>
      <c r="AQ765" s="87"/>
      <c r="AR765" s="26"/>
      <c r="AS765" s="65"/>
      <c r="AT765" s="88"/>
      <c r="AU765" s="67"/>
      <c r="DA765" t="str" cm="1">
        <f t="array" ref="DA765">IF(U765&lt;&gt;"", TRANSPOSE(_xlfn._xlws.FILTER(CZ:CZ, CY:CY=U765, "")), "")</f>
        <v/>
      </c>
    </row>
    <row r="766" spans="2:105">
      <c r="B766" s="35">
        <v>762</v>
      </c>
      <c r="C766" s="36" t="s">
        <v>2631</v>
      </c>
      <c r="D766" s="76"/>
      <c r="E766" s="37" t="str">
        <f>IF(Table5[[#This Row],[Query Date]]&lt;&gt;"", TEXT(Table5[[#This Row],[Query Date]], "dddd"), "")</f>
        <v/>
      </c>
      <c r="F766" s="37" t="str">
        <f>IF(Table5[[#This Row],[Query Date]]&lt;&gt;"", TEXT(Table5[[#This Row],[Query Date]], "mmmm"), "")</f>
        <v/>
      </c>
      <c r="G766" s="28"/>
      <c r="H766" s="28"/>
      <c r="I766" s="28"/>
      <c r="J766" s="28"/>
      <c r="K766" s="28"/>
      <c r="L766" s="25"/>
      <c r="M766" s="25"/>
      <c r="N766" s="25"/>
      <c r="O766" s="130"/>
      <c r="P766" s="47"/>
      <c r="Q766" s="77"/>
      <c r="R766" s="77" t="str">
        <f>IF(Table5[[#This Row],[Tour Starting Date]]&lt;&gt;"", TEXT(Table5[[#This Row],[Tour Starting Date]], "dddd"), "")</f>
        <v/>
      </c>
      <c r="S766" s="77"/>
      <c r="T766" s="25" t="str">
        <f>IF(Table5[[#This Row],[Tour Ending Date]]&lt;&gt;"", TEXT(Table5[[#This Row],[Tour Ending Date]], "dddd"), "")</f>
        <v/>
      </c>
      <c r="U76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66" s="37" t="str">
        <f>IF(Table5[[#This Row],[Tour Starting Date]]&lt;&gt;"", TEXT(Table5[[#This Row],[Tour Starting Date]], "mmmm"), "")</f>
        <v/>
      </c>
      <c r="W766" s="80" t="str" cm="1">
        <f t="array" ref="W766">IF(Q766&lt;&gt;"", INDEX(CI:CI, MATCH(1, (Q766&gt;=CG:CG)*(Q766&lt;=CH:CH), 0)), "")</f>
        <v/>
      </c>
      <c r="X766" s="39"/>
      <c r="Y766" s="74"/>
      <c r="Z766" s="74" t="str">
        <f>IF(OR(Table5[[#This Row],[Per Person Package Cost]]="", Table5[[#This Row],[No. of Pax]]=""), "", Table5[[#This Row],[Per Person Package Cost]] * Table5[[#This Row],[No. of Pax]])</f>
        <v/>
      </c>
      <c r="AA766" s="52"/>
      <c r="AB766" s="52"/>
      <c r="AC766" s="52"/>
      <c r="AD766" s="52"/>
      <c r="AE766" s="51" t="str">
        <f t="shared" si="69"/>
        <v/>
      </c>
      <c r="AF766" s="51" t="str">
        <f t="shared" si="70"/>
        <v/>
      </c>
      <c r="AG766" s="74" t="str">
        <f t="shared" si="71"/>
        <v/>
      </c>
      <c r="AH766" s="73" t="str">
        <f t="shared" si="72"/>
        <v/>
      </c>
      <c r="AI766" s="52"/>
      <c r="AJ766" s="56"/>
      <c r="AK766" s="59"/>
      <c r="AL766" s="60"/>
      <c r="AM766" s="54"/>
      <c r="AN766" s="64"/>
      <c r="AO766" s="26"/>
      <c r="AP766" s="93"/>
      <c r="AQ766" s="87"/>
      <c r="AR766" s="26"/>
      <c r="AS766" s="65"/>
      <c r="AT766" s="88"/>
      <c r="AU766" s="67"/>
      <c r="DA766" t="str" cm="1">
        <f t="array" ref="DA766">IF(U766&lt;&gt;"", TRANSPOSE(_xlfn._xlws.FILTER(CZ:CZ, CY:CY=U766, "")), "")</f>
        <v/>
      </c>
    </row>
    <row r="767" spans="2:105">
      <c r="B767" s="35">
        <v>763</v>
      </c>
      <c r="C767" s="36" t="s">
        <v>2632</v>
      </c>
      <c r="D767" s="76"/>
      <c r="E767" s="37" t="str">
        <f>IF(Table5[[#This Row],[Query Date]]&lt;&gt;"", TEXT(Table5[[#This Row],[Query Date]], "dddd"), "")</f>
        <v/>
      </c>
      <c r="F767" s="37" t="str">
        <f>IF(Table5[[#This Row],[Query Date]]&lt;&gt;"", TEXT(Table5[[#This Row],[Query Date]], "mmmm"), "")</f>
        <v/>
      </c>
      <c r="G767" s="28"/>
      <c r="H767" s="28"/>
      <c r="I767" s="28"/>
      <c r="J767" s="28"/>
      <c r="K767" s="28"/>
      <c r="L767" s="25"/>
      <c r="M767" s="25"/>
      <c r="N767" s="25"/>
      <c r="O767" s="130"/>
      <c r="P767" s="47"/>
      <c r="Q767" s="77"/>
      <c r="R767" s="77" t="str">
        <f>IF(Table5[[#This Row],[Tour Starting Date]]&lt;&gt;"", TEXT(Table5[[#This Row],[Tour Starting Date]], "dddd"), "")</f>
        <v/>
      </c>
      <c r="S767" s="77"/>
      <c r="T767" s="25" t="str">
        <f>IF(Table5[[#This Row],[Tour Ending Date]]&lt;&gt;"", TEXT(Table5[[#This Row],[Tour Ending Date]], "dddd"), "")</f>
        <v/>
      </c>
      <c r="U76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67" s="37" t="str">
        <f>IF(Table5[[#This Row],[Tour Starting Date]]&lt;&gt;"", TEXT(Table5[[#This Row],[Tour Starting Date]], "mmmm"), "")</f>
        <v/>
      </c>
      <c r="W767" s="80" t="str" cm="1">
        <f t="array" ref="W767">IF(Q767&lt;&gt;"", INDEX(CI:CI, MATCH(1, (Q767&gt;=CG:CG)*(Q767&lt;=CH:CH), 0)), "")</f>
        <v/>
      </c>
      <c r="X767" s="39"/>
      <c r="Y767" s="74"/>
      <c r="Z767" s="74" t="str">
        <f>IF(OR(Table5[[#This Row],[Per Person Package Cost]]="", Table5[[#This Row],[No. of Pax]]=""), "", Table5[[#This Row],[Per Person Package Cost]] * Table5[[#This Row],[No. of Pax]])</f>
        <v/>
      </c>
      <c r="AA767" s="52"/>
      <c r="AB767" s="52"/>
      <c r="AC767" s="52"/>
      <c r="AD767" s="52"/>
      <c r="AE767" s="51" t="str">
        <f t="shared" si="69"/>
        <v/>
      </c>
      <c r="AF767" s="51" t="str">
        <f t="shared" si="70"/>
        <v/>
      </c>
      <c r="AG767" s="74" t="str">
        <f t="shared" si="71"/>
        <v/>
      </c>
      <c r="AH767" s="73" t="str">
        <f t="shared" si="72"/>
        <v/>
      </c>
      <c r="AI767" s="52"/>
      <c r="AJ767" s="56"/>
      <c r="AK767" s="59"/>
      <c r="AL767" s="60"/>
      <c r="AM767" s="54"/>
      <c r="AN767" s="64"/>
      <c r="AO767" s="26"/>
      <c r="AP767" s="93"/>
      <c r="AQ767" s="87"/>
      <c r="AR767" s="26"/>
      <c r="AS767" s="65"/>
      <c r="AT767" s="88"/>
      <c r="AU767" s="67"/>
      <c r="DA767" t="str" cm="1">
        <f t="array" ref="DA767">IF(U767&lt;&gt;"", TRANSPOSE(_xlfn._xlws.FILTER(CZ:CZ, CY:CY=U767, "")), "")</f>
        <v/>
      </c>
    </row>
    <row r="768" spans="2:105">
      <c r="B768" s="35">
        <v>764</v>
      </c>
      <c r="C768" s="36" t="s">
        <v>2633</v>
      </c>
      <c r="D768" s="76"/>
      <c r="E768" s="37" t="str">
        <f>IF(Table5[[#This Row],[Query Date]]&lt;&gt;"", TEXT(Table5[[#This Row],[Query Date]], "dddd"), "")</f>
        <v/>
      </c>
      <c r="F768" s="37" t="str">
        <f>IF(Table5[[#This Row],[Query Date]]&lt;&gt;"", TEXT(Table5[[#This Row],[Query Date]], "mmmm"), "")</f>
        <v/>
      </c>
      <c r="G768" s="28"/>
      <c r="H768" s="28"/>
      <c r="I768" s="28"/>
      <c r="J768" s="28"/>
      <c r="K768" s="28"/>
      <c r="L768" s="25"/>
      <c r="M768" s="25"/>
      <c r="N768" s="25"/>
      <c r="O768" s="130"/>
      <c r="P768" s="47"/>
      <c r="Q768" s="77"/>
      <c r="R768" s="77" t="str">
        <f>IF(Table5[[#This Row],[Tour Starting Date]]&lt;&gt;"", TEXT(Table5[[#This Row],[Tour Starting Date]], "dddd"), "")</f>
        <v/>
      </c>
      <c r="S768" s="77"/>
      <c r="T768" s="25" t="str">
        <f>IF(Table5[[#This Row],[Tour Ending Date]]&lt;&gt;"", TEXT(Table5[[#This Row],[Tour Ending Date]], "dddd"), "")</f>
        <v/>
      </c>
      <c r="U76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68" s="37" t="str">
        <f>IF(Table5[[#This Row],[Tour Starting Date]]&lt;&gt;"", TEXT(Table5[[#This Row],[Tour Starting Date]], "mmmm"), "")</f>
        <v/>
      </c>
      <c r="W768" s="80" t="str" cm="1">
        <f t="array" ref="W768">IF(Q768&lt;&gt;"", INDEX(CI:CI, MATCH(1, (Q768&gt;=CG:CG)*(Q768&lt;=CH:CH), 0)), "")</f>
        <v/>
      </c>
      <c r="X768" s="39"/>
      <c r="Y768" s="74"/>
      <c r="Z768" s="74" t="str">
        <f>IF(OR(Table5[[#This Row],[Per Person Package Cost]]="", Table5[[#This Row],[No. of Pax]]=""), "", Table5[[#This Row],[Per Person Package Cost]] * Table5[[#This Row],[No. of Pax]])</f>
        <v/>
      </c>
      <c r="AA768" s="52"/>
      <c r="AB768" s="52"/>
      <c r="AC768" s="52"/>
      <c r="AD768" s="52"/>
      <c r="AE768" s="51" t="str">
        <f t="shared" si="69"/>
        <v/>
      </c>
      <c r="AF768" s="51" t="str">
        <f t="shared" si="70"/>
        <v/>
      </c>
      <c r="AG768" s="74" t="str">
        <f t="shared" si="71"/>
        <v/>
      </c>
      <c r="AH768" s="73" t="str">
        <f t="shared" si="72"/>
        <v/>
      </c>
      <c r="AI768" s="52"/>
      <c r="AJ768" s="56"/>
      <c r="AK768" s="59"/>
      <c r="AL768" s="60"/>
      <c r="AM768" s="54"/>
      <c r="AN768" s="64"/>
      <c r="AO768" s="26"/>
      <c r="AP768" s="93"/>
      <c r="AQ768" s="87"/>
      <c r="AR768" s="26"/>
      <c r="AS768" s="65"/>
      <c r="AT768" s="88"/>
      <c r="AU768" s="67"/>
      <c r="DA768" t="str" cm="1">
        <f t="array" ref="DA768">IF(U768&lt;&gt;"", TRANSPOSE(_xlfn._xlws.FILTER(CZ:CZ, CY:CY=U768, "")), "")</f>
        <v/>
      </c>
    </row>
    <row r="769" spans="2:105">
      <c r="B769" s="35">
        <v>765</v>
      </c>
      <c r="C769" s="36" t="s">
        <v>2634</v>
      </c>
      <c r="D769" s="76"/>
      <c r="E769" s="37" t="str">
        <f>IF(Table5[[#This Row],[Query Date]]&lt;&gt;"", TEXT(Table5[[#This Row],[Query Date]], "dddd"), "")</f>
        <v/>
      </c>
      <c r="F769" s="37" t="str">
        <f>IF(Table5[[#This Row],[Query Date]]&lt;&gt;"", TEXT(Table5[[#This Row],[Query Date]], "mmmm"), "")</f>
        <v/>
      </c>
      <c r="G769" s="28"/>
      <c r="H769" s="28"/>
      <c r="I769" s="28"/>
      <c r="J769" s="28"/>
      <c r="K769" s="28"/>
      <c r="L769" s="25"/>
      <c r="M769" s="25"/>
      <c r="N769" s="25"/>
      <c r="O769" s="130"/>
      <c r="P769" s="47"/>
      <c r="Q769" s="77"/>
      <c r="R769" s="77" t="str">
        <f>IF(Table5[[#This Row],[Tour Starting Date]]&lt;&gt;"", TEXT(Table5[[#This Row],[Tour Starting Date]], "dddd"), "")</f>
        <v/>
      </c>
      <c r="S769" s="77"/>
      <c r="T769" s="25" t="str">
        <f>IF(Table5[[#This Row],[Tour Ending Date]]&lt;&gt;"", TEXT(Table5[[#This Row],[Tour Ending Date]], "dddd"), "")</f>
        <v/>
      </c>
      <c r="U76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69" s="37" t="str">
        <f>IF(Table5[[#This Row],[Tour Starting Date]]&lt;&gt;"", TEXT(Table5[[#This Row],[Tour Starting Date]], "mmmm"), "")</f>
        <v/>
      </c>
      <c r="W769" s="80" t="str" cm="1">
        <f t="array" ref="W769">IF(Q769&lt;&gt;"", INDEX(CI:CI, MATCH(1, (Q769&gt;=CG:CG)*(Q769&lt;=CH:CH), 0)), "")</f>
        <v/>
      </c>
      <c r="X769" s="39"/>
      <c r="Y769" s="74"/>
      <c r="Z769" s="74" t="str">
        <f>IF(OR(Table5[[#This Row],[Per Person Package Cost]]="", Table5[[#This Row],[No. of Pax]]=""), "", Table5[[#This Row],[Per Person Package Cost]] * Table5[[#This Row],[No. of Pax]])</f>
        <v/>
      </c>
      <c r="AA769" s="52"/>
      <c r="AB769" s="52"/>
      <c r="AC769" s="52"/>
      <c r="AD769" s="52"/>
      <c r="AE769" s="51" t="str">
        <f t="shared" si="69"/>
        <v/>
      </c>
      <c r="AF769" s="51" t="str">
        <f t="shared" si="70"/>
        <v/>
      </c>
      <c r="AG769" s="74" t="str">
        <f t="shared" si="71"/>
        <v/>
      </c>
      <c r="AH769" s="73" t="str">
        <f t="shared" si="72"/>
        <v/>
      </c>
      <c r="AI769" s="52"/>
      <c r="AJ769" s="56"/>
      <c r="AK769" s="59"/>
      <c r="AL769" s="60"/>
      <c r="AM769" s="54"/>
      <c r="AN769" s="64"/>
      <c r="AO769" s="26"/>
      <c r="AP769" s="93"/>
      <c r="AQ769" s="87"/>
      <c r="AR769" s="26"/>
      <c r="AS769" s="65"/>
      <c r="AT769" s="88"/>
      <c r="AU769" s="67"/>
      <c r="DA769" t="str" cm="1">
        <f t="array" ref="DA769">IF(U769&lt;&gt;"", TRANSPOSE(_xlfn._xlws.FILTER(CZ:CZ, CY:CY=U769, "")), "")</f>
        <v/>
      </c>
    </row>
    <row r="770" spans="2:105">
      <c r="B770" s="35">
        <v>766</v>
      </c>
      <c r="C770" s="36" t="s">
        <v>2635</v>
      </c>
      <c r="D770" s="76"/>
      <c r="E770" s="37" t="str">
        <f>IF(Table5[[#This Row],[Query Date]]&lt;&gt;"", TEXT(Table5[[#This Row],[Query Date]], "dddd"), "")</f>
        <v/>
      </c>
      <c r="F770" s="37" t="str">
        <f>IF(Table5[[#This Row],[Query Date]]&lt;&gt;"", TEXT(Table5[[#This Row],[Query Date]], "mmmm"), "")</f>
        <v/>
      </c>
      <c r="G770" s="28"/>
      <c r="H770" s="28"/>
      <c r="I770" s="28"/>
      <c r="J770" s="28"/>
      <c r="K770" s="28"/>
      <c r="L770" s="25"/>
      <c r="M770" s="25"/>
      <c r="N770" s="25"/>
      <c r="O770" s="130"/>
      <c r="P770" s="47"/>
      <c r="Q770" s="77"/>
      <c r="R770" s="77" t="str">
        <f>IF(Table5[[#This Row],[Tour Starting Date]]&lt;&gt;"", TEXT(Table5[[#This Row],[Tour Starting Date]], "dddd"), "")</f>
        <v/>
      </c>
      <c r="S770" s="77"/>
      <c r="T770" s="25" t="str">
        <f>IF(Table5[[#This Row],[Tour Ending Date]]&lt;&gt;"", TEXT(Table5[[#This Row],[Tour Ending Date]], "dddd"), "")</f>
        <v/>
      </c>
      <c r="U77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70" s="37" t="str">
        <f>IF(Table5[[#This Row],[Tour Starting Date]]&lt;&gt;"", TEXT(Table5[[#This Row],[Tour Starting Date]], "mmmm"), "")</f>
        <v/>
      </c>
      <c r="W770" s="80" t="str" cm="1">
        <f t="array" ref="W770">IF(Q770&lt;&gt;"", INDEX(CI:CI, MATCH(1, (Q770&gt;=CG:CG)*(Q770&lt;=CH:CH), 0)), "")</f>
        <v/>
      </c>
      <c r="X770" s="39"/>
      <c r="Y770" s="74"/>
      <c r="Z770" s="74" t="str">
        <f>IF(OR(Table5[[#This Row],[Per Person Package Cost]]="", Table5[[#This Row],[No. of Pax]]=""), "", Table5[[#This Row],[Per Person Package Cost]] * Table5[[#This Row],[No. of Pax]])</f>
        <v/>
      </c>
      <c r="AA770" s="52"/>
      <c r="AB770" s="52"/>
      <c r="AC770" s="52"/>
      <c r="AD770" s="52"/>
      <c r="AE770" s="51" t="str">
        <f t="shared" si="69"/>
        <v/>
      </c>
      <c r="AF770" s="51" t="str">
        <f t="shared" si="70"/>
        <v/>
      </c>
      <c r="AG770" s="74" t="str">
        <f t="shared" si="71"/>
        <v/>
      </c>
      <c r="AH770" s="73" t="str">
        <f t="shared" si="72"/>
        <v/>
      </c>
      <c r="AI770" s="52"/>
      <c r="AJ770" s="56"/>
      <c r="AK770" s="59"/>
      <c r="AL770" s="60"/>
      <c r="AM770" s="54"/>
      <c r="AN770" s="64"/>
      <c r="AO770" s="26"/>
      <c r="AP770" s="93"/>
      <c r="AQ770" s="87"/>
      <c r="AR770" s="26"/>
      <c r="AS770" s="65"/>
      <c r="AT770" s="88"/>
      <c r="AU770" s="67"/>
      <c r="DA770" t="str" cm="1">
        <f t="array" ref="DA770">IF(U770&lt;&gt;"", TRANSPOSE(_xlfn._xlws.FILTER(CZ:CZ, CY:CY=U770, "")), "")</f>
        <v/>
      </c>
    </row>
    <row r="771" spans="2:105">
      <c r="B771" s="35">
        <v>767</v>
      </c>
      <c r="C771" s="36" t="s">
        <v>2636</v>
      </c>
      <c r="D771" s="76"/>
      <c r="E771" s="37" t="str">
        <f>IF(Table5[[#This Row],[Query Date]]&lt;&gt;"", TEXT(Table5[[#This Row],[Query Date]], "dddd"), "")</f>
        <v/>
      </c>
      <c r="F771" s="37" t="str">
        <f>IF(Table5[[#This Row],[Query Date]]&lt;&gt;"", TEXT(Table5[[#This Row],[Query Date]], "mmmm"), "")</f>
        <v/>
      </c>
      <c r="G771" s="28"/>
      <c r="H771" s="28"/>
      <c r="I771" s="28"/>
      <c r="J771" s="28"/>
      <c r="K771" s="28"/>
      <c r="L771" s="25"/>
      <c r="M771" s="25"/>
      <c r="N771" s="25"/>
      <c r="O771" s="130"/>
      <c r="P771" s="47"/>
      <c r="Q771" s="77"/>
      <c r="R771" s="77" t="str">
        <f>IF(Table5[[#This Row],[Tour Starting Date]]&lt;&gt;"", TEXT(Table5[[#This Row],[Tour Starting Date]], "dddd"), "")</f>
        <v/>
      </c>
      <c r="S771" s="77"/>
      <c r="T771" s="25" t="str">
        <f>IF(Table5[[#This Row],[Tour Ending Date]]&lt;&gt;"", TEXT(Table5[[#This Row],[Tour Ending Date]], "dddd"), "")</f>
        <v/>
      </c>
      <c r="U77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71" s="37" t="str">
        <f>IF(Table5[[#This Row],[Tour Starting Date]]&lt;&gt;"", TEXT(Table5[[#This Row],[Tour Starting Date]], "mmmm"), "")</f>
        <v/>
      </c>
      <c r="W771" s="80" t="str" cm="1">
        <f t="array" ref="W771">IF(Q771&lt;&gt;"", INDEX(CI:CI, MATCH(1, (Q771&gt;=CG:CG)*(Q771&lt;=CH:CH), 0)), "")</f>
        <v/>
      </c>
      <c r="X771" s="39"/>
      <c r="Y771" s="74"/>
      <c r="Z771" s="74" t="str">
        <f>IF(OR(Table5[[#This Row],[Per Person Package Cost]]="", Table5[[#This Row],[No. of Pax]]=""), "", Table5[[#This Row],[Per Person Package Cost]] * Table5[[#This Row],[No. of Pax]])</f>
        <v/>
      </c>
      <c r="AA771" s="52"/>
      <c r="AB771" s="52"/>
      <c r="AC771" s="52"/>
      <c r="AD771" s="52"/>
      <c r="AE771" s="51" t="str">
        <f t="shared" si="69"/>
        <v/>
      </c>
      <c r="AF771" s="51" t="str">
        <f t="shared" si="70"/>
        <v/>
      </c>
      <c r="AG771" s="74" t="str">
        <f t="shared" si="71"/>
        <v/>
      </c>
      <c r="AH771" s="73" t="str">
        <f t="shared" si="72"/>
        <v/>
      </c>
      <c r="AI771" s="52"/>
      <c r="AJ771" s="56"/>
      <c r="AK771" s="59"/>
      <c r="AL771" s="60"/>
      <c r="AM771" s="54"/>
      <c r="AN771" s="64"/>
      <c r="AO771" s="26"/>
      <c r="AP771" s="93"/>
      <c r="AQ771" s="87"/>
      <c r="AR771" s="26"/>
      <c r="AS771" s="65"/>
      <c r="AT771" s="88"/>
      <c r="AU771" s="67"/>
      <c r="DA771" t="str" cm="1">
        <f t="array" ref="DA771">IF(U771&lt;&gt;"", TRANSPOSE(_xlfn._xlws.FILTER(CZ:CZ, CY:CY=U771, "")), "")</f>
        <v/>
      </c>
    </row>
    <row r="772" spans="2:105">
      <c r="B772" s="35">
        <v>768</v>
      </c>
      <c r="C772" s="36" t="s">
        <v>2637</v>
      </c>
      <c r="D772" s="76"/>
      <c r="E772" s="37" t="str">
        <f>IF(Table5[[#This Row],[Query Date]]&lt;&gt;"", TEXT(Table5[[#This Row],[Query Date]], "dddd"), "")</f>
        <v/>
      </c>
      <c r="F772" s="37" t="str">
        <f>IF(Table5[[#This Row],[Query Date]]&lt;&gt;"", TEXT(Table5[[#This Row],[Query Date]], "mmmm"), "")</f>
        <v/>
      </c>
      <c r="G772" s="28"/>
      <c r="H772" s="28"/>
      <c r="I772" s="28"/>
      <c r="J772" s="28"/>
      <c r="K772" s="28"/>
      <c r="L772" s="25"/>
      <c r="M772" s="25"/>
      <c r="N772" s="25"/>
      <c r="O772" s="130"/>
      <c r="P772" s="47"/>
      <c r="Q772" s="77"/>
      <c r="R772" s="77" t="str">
        <f>IF(Table5[[#This Row],[Tour Starting Date]]&lt;&gt;"", TEXT(Table5[[#This Row],[Tour Starting Date]], "dddd"), "")</f>
        <v/>
      </c>
      <c r="S772" s="77"/>
      <c r="T772" s="25" t="str">
        <f>IF(Table5[[#This Row],[Tour Ending Date]]&lt;&gt;"", TEXT(Table5[[#This Row],[Tour Ending Date]], "dddd"), "")</f>
        <v/>
      </c>
      <c r="U77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72" s="37" t="str">
        <f>IF(Table5[[#This Row],[Tour Starting Date]]&lt;&gt;"", TEXT(Table5[[#This Row],[Tour Starting Date]], "mmmm"), "")</f>
        <v/>
      </c>
      <c r="W772" s="80" t="str" cm="1">
        <f t="array" ref="W772">IF(Q772&lt;&gt;"", INDEX(CI:CI, MATCH(1, (Q772&gt;=CG:CG)*(Q772&lt;=CH:CH), 0)), "")</f>
        <v/>
      </c>
      <c r="X772" s="39"/>
      <c r="Y772" s="74"/>
      <c r="Z772" s="74" t="str">
        <f>IF(OR(Table5[[#This Row],[Per Person Package Cost]]="", Table5[[#This Row],[No. of Pax]]=""), "", Table5[[#This Row],[Per Person Package Cost]] * Table5[[#This Row],[No. of Pax]])</f>
        <v/>
      </c>
      <c r="AA772" s="52"/>
      <c r="AB772" s="52"/>
      <c r="AC772" s="52"/>
      <c r="AD772" s="52"/>
      <c r="AE772" s="51" t="str">
        <f t="shared" si="69"/>
        <v/>
      </c>
      <c r="AF772" s="51" t="str">
        <f t="shared" si="70"/>
        <v/>
      </c>
      <c r="AG772" s="74" t="str">
        <f t="shared" si="71"/>
        <v/>
      </c>
      <c r="AH772" s="73" t="str">
        <f t="shared" si="72"/>
        <v/>
      </c>
      <c r="AI772" s="52"/>
      <c r="AJ772" s="56"/>
      <c r="AK772" s="59"/>
      <c r="AL772" s="60"/>
      <c r="AM772" s="54"/>
      <c r="AN772" s="64"/>
      <c r="AO772" s="26"/>
      <c r="AP772" s="93"/>
      <c r="AQ772" s="87"/>
      <c r="AR772" s="26"/>
      <c r="AS772" s="65"/>
      <c r="AT772" s="88"/>
      <c r="AU772" s="67"/>
      <c r="DA772" t="str" cm="1">
        <f t="array" ref="DA772">IF(U772&lt;&gt;"", TRANSPOSE(_xlfn._xlws.FILTER(CZ:CZ, CY:CY=U772, "")), "")</f>
        <v/>
      </c>
    </row>
    <row r="773" spans="2:105">
      <c r="B773" s="35">
        <v>769</v>
      </c>
      <c r="C773" s="36" t="s">
        <v>2638</v>
      </c>
      <c r="D773" s="76"/>
      <c r="E773" s="37" t="str">
        <f>IF(Table5[[#This Row],[Query Date]]&lt;&gt;"", TEXT(Table5[[#This Row],[Query Date]], "dddd"), "")</f>
        <v/>
      </c>
      <c r="F773" s="37" t="str">
        <f>IF(Table5[[#This Row],[Query Date]]&lt;&gt;"", TEXT(Table5[[#This Row],[Query Date]], "mmmm"), "")</f>
        <v/>
      </c>
      <c r="G773" s="28"/>
      <c r="H773" s="28"/>
      <c r="I773" s="28"/>
      <c r="J773" s="28"/>
      <c r="K773" s="28"/>
      <c r="L773" s="25"/>
      <c r="M773" s="25"/>
      <c r="N773" s="25"/>
      <c r="O773" s="130"/>
      <c r="P773" s="47"/>
      <c r="Q773" s="77"/>
      <c r="R773" s="77" t="str">
        <f>IF(Table5[[#This Row],[Tour Starting Date]]&lt;&gt;"", TEXT(Table5[[#This Row],[Tour Starting Date]], "dddd"), "")</f>
        <v/>
      </c>
      <c r="S773" s="77"/>
      <c r="T773" s="25" t="str">
        <f>IF(Table5[[#This Row],[Tour Ending Date]]&lt;&gt;"", TEXT(Table5[[#This Row],[Tour Ending Date]], "dddd"), "")</f>
        <v/>
      </c>
      <c r="U77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73" s="37" t="str">
        <f>IF(Table5[[#This Row],[Tour Starting Date]]&lt;&gt;"", TEXT(Table5[[#This Row],[Tour Starting Date]], "mmmm"), "")</f>
        <v/>
      </c>
      <c r="W773" s="80" t="str" cm="1">
        <f t="array" ref="W773">IF(Q773&lt;&gt;"", INDEX(CI:CI, MATCH(1, (Q773&gt;=CG:CG)*(Q773&lt;=CH:CH), 0)), "")</f>
        <v/>
      </c>
      <c r="X773" s="39"/>
      <c r="Y773" s="74"/>
      <c r="Z773" s="74" t="str">
        <f>IF(OR(Table5[[#This Row],[Per Person Package Cost]]="", Table5[[#This Row],[No. of Pax]]=""), "", Table5[[#This Row],[Per Person Package Cost]] * Table5[[#This Row],[No. of Pax]])</f>
        <v/>
      </c>
      <c r="AA773" s="52"/>
      <c r="AB773" s="52"/>
      <c r="AC773" s="52"/>
      <c r="AD773" s="52"/>
      <c r="AE773" s="51" t="str">
        <f t="shared" ref="AE773:AE836" si="73">IF(AD773&lt;&gt;"", INDEX(CW:CW, MATCH(AD773, CZ:CZ, 0)), "")</f>
        <v/>
      </c>
      <c r="AF773" s="51" t="str">
        <f t="shared" ref="AF773:AF836" si="74">IF(AD773&lt;&gt;"", INDEX(CX:CX, MATCH(AD773, CZ:CZ, 0)), "")</f>
        <v/>
      </c>
      <c r="AG773" s="74" t="str">
        <f t="shared" ref="AG773:AG836" si="75">IF(AE773&lt;&gt;"", INDEX(CU:CU, MATCH(AE773, CW:CW, 0)), "")</f>
        <v/>
      </c>
      <c r="AH773" s="73" t="str">
        <f t="shared" si="72"/>
        <v/>
      </c>
      <c r="AI773" s="52"/>
      <c r="AJ773" s="56"/>
      <c r="AK773" s="59"/>
      <c r="AL773" s="60"/>
      <c r="AM773" s="54"/>
      <c r="AN773" s="64"/>
      <c r="AO773" s="26"/>
      <c r="AP773" s="93"/>
      <c r="AQ773" s="87"/>
      <c r="AR773" s="26"/>
      <c r="AS773" s="65"/>
      <c r="AT773" s="88"/>
      <c r="AU773" s="67"/>
      <c r="DA773" t="str" cm="1">
        <f t="array" ref="DA773">IF(U773&lt;&gt;"", TRANSPOSE(_xlfn._xlws.FILTER(CZ:CZ, CY:CY=U773, "")), "")</f>
        <v/>
      </c>
    </row>
    <row r="774" spans="2:105">
      <c r="B774" s="35">
        <v>770</v>
      </c>
      <c r="C774" s="36" t="s">
        <v>2639</v>
      </c>
      <c r="D774" s="76"/>
      <c r="E774" s="37" t="str">
        <f>IF(Table5[[#This Row],[Query Date]]&lt;&gt;"", TEXT(Table5[[#This Row],[Query Date]], "dddd"), "")</f>
        <v/>
      </c>
      <c r="F774" s="37" t="str">
        <f>IF(Table5[[#This Row],[Query Date]]&lt;&gt;"", TEXT(Table5[[#This Row],[Query Date]], "mmmm"), "")</f>
        <v/>
      </c>
      <c r="G774" s="28"/>
      <c r="H774" s="28"/>
      <c r="I774" s="28"/>
      <c r="J774" s="28"/>
      <c r="K774" s="28"/>
      <c r="L774" s="25"/>
      <c r="M774" s="25"/>
      <c r="N774" s="25"/>
      <c r="O774" s="130"/>
      <c r="P774" s="47"/>
      <c r="Q774" s="77"/>
      <c r="R774" s="77" t="str">
        <f>IF(Table5[[#This Row],[Tour Starting Date]]&lt;&gt;"", TEXT(Table5[[#This Row],[Tour Starting Date]], "dddd"), "")</f>
        <v/>
      </c>
      <c r="S774" s="77"/>
      <c r="T774" s="25" t="str">
        <f>IF(Table5[[#This Row],[Tour Ending Date]]&lt;&gt;"", TEXT(Table5[[#This Row],[Tour Ending Date]], "dddd"), "")</f>
        <v/>
      </c>
      <c r="U77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74" s="37" t="str">
        <f>IF(Table5[[#This Row],[Tour Starting Date]]&lt;&gt;"", TEXT(Table5[[#This Row],[Tour Starting Date]], "mmmm"), "")</f>
        <v/>
      </c>
      <c r="W774" s="80" t="str" cm="1">
        <f t="array" ref="W774">IF(Q774&lt;&gt;"", INDEX(CI:CI, MATCH(1, (Q774&gt;=CG:CG)*(Q774&lt;=CH:CH), 0)), "")</f>
        <v/>
      </c>
      <c r="X774" s="39"/>
      <c r="Y774" s="74"/>
      <c r="Z774" s="74" t="str">
        <f>IF(OR(Table5[[#This Row],[Per Person Package Cost]]="", Table5[[#This Row],[No. of Pax]]=""), "", Table5[[#This Row],[Per Person Package Cost]] * Table5[[#This Row],[No. of Pax]])</f>
        <v/>
      </c>
      <c r="AA774" s="52"/>
      <c r="AB774" s="52"/>
      <c r="AC774" s="52"/>
      <c r="AD774" s="52"/>
      <c r="AE774" s="51" t="str">
        <f t="shared" si="73"/>
        <v/>
      </c>
      <c r="AF774" s="51" t="str">
        <f t="shared" si="74"/>
        <v/>
      </c>
      <c r="AG774" s="74" t="str">
        <f t="shared" si="75"/>
        <v/>
      </c>
      <c r="AH774" s="73" t="str">
        <f t="shared" si="72"/>
        <v/>
      </c>
      <c r="AI774" s="52"/>
      <c r="AJ774" s="56"/>
      <c r="AK774" s="59"/>
      <c r="AL774" s="60"/>
      <c r="AM774" s="54"/>
      <c r="AN774" s="64"/>
      <c r="AO774" s="26"/>
      <c r="AP774" s="93"/>
      <c r="AQ774" s="87"/>
      <c r="AR774" s="26"/>
      <c r="AS774" s="65"/>
      <c r="AT774" s="88"/>
      <c r="AU774" s="67"/>
      <c r="DA774" t="str" cm="1">
        <f t="array" ref="DA774">IF(U774&lt;&gt;"", TRANSPOSE(_xlfn._xlws.FILTER(CZ:CZ, CY:CY=U774, "")), "")</f>
        <v/>
      </c>
    </row>
    <row r="775" spans="2:105">
      <c r="B775" s="35">
        <v>771</v>
      </c>
      <c r="C775" s="36" t="s">
        <v>2640</v>
      </c>
      <c r="D775" s="76"/>
      <c r="E775" s="37" t="str">
        <f>IF(Table5[[#This Row],[Query Date]]&lt;&gt;"", TEXT(Table5[[#This Row],[Query Date]], "dddd"), "")</f>
        <v/>
      </c>
      <c r="F775" s="37" t="str">
        <f>IF(Table5[[#This Row],[Query Date]]&lt;&gt;"", TEXT(Table5[[#This Row],[Query Date]], "mmmm"), "")</f>
        <v/>
      </c>
      <c r="G775" s="28"/>
      <c r="H775" s="28"/>
      <c r="I775" s="28"/>
      <c r="J775" s="28"/>
      <c r="K775" s="28"/>
      <c r="L775" s="25"/>
      <c r="M775" s="25"/>
      <c r="N775" s="25"/>
      <c r="O775" s="130"/>
      <c r="P775" s="47"/>
      <c r="Q775" s="77"/>
      <c r="R775" s="77" t="str">
        <f>IF(Table5[[#This Row],[Tour Starting Date]]&lt;&gt;"", TEXT(Table5[[#This Row],[Tour Starting Date]], "dddd"), "")</f>
        <v/>
      </c>
      <c r="S775" s="77"/>
      <c r="T775" s="25" t="str">
        <f>IF(Table5[[#This Row],[Tour Ending Date]]&lt;&gt;"", TEXT(Table5[[#This Row],[Tour Ending Date]], "dddd"), "")</f>
        <v/>
      </c>
      <c r="U77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75" s="37" t="str">
        <f>IF(Table5[[#This Row],[Tour Starting Date]]&lt;&gt;"", TEXT(Table5[[#This Row],[Tour Starting Date]], "mmmm"), "")</f>
        <v/>
      </c>
      <c r="W775" s="80" t="str" cm="1">
        <f t="array" ref="W775">IF(Q775&lt;&gt;"", INDEX(CI:CI, MATCH(1, (Q775&gt;=CG:CG)*(Q775&lt;=CH:CH), 0)), "")</f>
        <v/>
      </c>
      <c r="X775" s="39"/>
      <c r="Y775" s="74"/>
      <c r="Z775" s="74" t="str">
        <f>IF(OR(Table5[[#This Row],[Per Person Package Cost]]="", Table5[[#This Row],[No. of Pax]]=""), "", Table5[[#This Row],[Per Person Package Cost]] * Table5[[#This Row],[No. of Pax]])</f>
        <v/>
      </c>
      <c r="AA775" s="52"/>
      <c r="AB775" s="52"/>
      <c r="AC775" s="52"/>
      <c r="AD775" s="52"/>
      <c r="AE775" s="51" t="str">
        <f t="shared" si="73"/>
        <v/>
      </c>
      <c r="AF775" s="51" t="str">
        <f t="shared" si="74"/>
        <v/>
      </c>
      <c r="AG775" s="74" t="str">
        <f t="shared" si="75"/>
        <v/>
      </c>
      <c r="AH775" s="73" t="str">
        <f t="shared" si="72"/>
        <v/>
      </c>
      <c r="AI775" s="52"/>
      <c r="AJ775" s="56"/>
      <c r="AK775" s="59"/>
      <c r="AL775" s="60"/>
      <c r="AM775" s="54"/>
      <c r="AN775" s="64"/>
      <c r="AO775" s="26"/>
      <c r="AP775" s="93"/>
      <c r="AQ775" s="87"/>
      <c r="AR775" s="26"/>
      <c r="AS775" s="65"/>
      <c r="AT775" s="88"/>
      <c r="AU775" s="67"/>
      <c r="DA775" t="str" cm="1">
        <f t="array" ref="DA775">IF(U775&lt;&gt;"", TRANSPOSE(_xlfn._xlws.FILTER(CZ:CZ, CY:CY=U775, "")), "")</f>
        <v/>
      </c>
    </row>
    <row r="776" spans="2:105">
      <c r="B776" s="35">
        <v>772</v>
      </c>
      <c r="C776" s="36" t="s">
        <v>2641</v>
      </c>
      <c r="D776" s="76"/>
      <c r="E776" s="37" t="str">
        <f>IF(Table5[[#This Row],[Query Date]]&lt;&gt;"", TEXT(Table5[[#This Row],[Query Date]], "dddd"), "")</f>
        <v/>
      </c>
      <c r="F776" s="37" t="str">
        <f>IF(Table5[[#This Row],[Query Date]]&lt;&gt;"", TEXT(Table5[[#This Row],[Query Date]], "mmmm"), "")</f>
        <v/>
      </c>
      <c r="G776" s="28"/>
      <c r="H776" s="28"/>
      <c r="I776" s="28"/>
      <c r="J776" s="28"/>
      <c r="K776" s="28"/>
      <c r="L776" s="25"/>
      <c r="M776" s="25"/>
      <c r="N776" s="25"/>
      <c r="O776" s="130"/>
      <c r="P776" s="47"/>
      <c r="Q776" s="77"/>
      <c r="R776" s="77" t="str">
        <f>IF(Table5[[#This Row],[Tour Starting Date]]&lt;&gt;"", TEXT(Table5[[#This Row],[Tour Starting Date]], "dddd"), "")</f>
        <v/>
      </c>
      <c r="S776" s="77"/>
      <c r="T776" s="25" t="str">
        <f>IF(Table5[[#This Row],[Tour Ending Date]]&lt;&gt;"", TEXT(Table5[[#This Row],[Tour Ending Date]], "dddd"), "")</f>
        <v/>
      </c>
      <c r="U77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76" s="37" t="str">
        <f>IF(Table5[[#This Row],[Tour Starting Date]]&lt;&gt;"", TEXT(Table5[[#This Row],[Tour Starting Date]], "mmmm"), "")</f>
        <v/>
      </c>
      <c r="W776" s="80" t="str" cm="1">
        <f t="array" ref="W776">IF(Q776&lt;&gt;"", INDEX(CI:CI, MATCH(1, (Q776&gt;=CG:CG)*(Q776&lt;=CH:CH), 0)), "")</f>
        <v/>
      </c>
      <c r="X776" s="39"/>
      <c r="Y776" s="74"/>
      <c r="Z776" s="74" t="str">
        <f>IF(OR(Table5[[#This Row],[Per Person Package Cost]]="", Table5[[#This Row],[No. of Pax]]=""), "", Table5[[#This Row],[Per Person Package Cost]] * Table5[[#This Row],[No. of Pax]])</f>
        <v/>
      </c>
      <c r="AA776" s="52"/>
      <c r="AB776" s="52"/>
      <c r="AC776" s="52"/>
      <c r="AD776" s="52"/>
      <c r="AE776" s="51" t="str">
        <f t="shared" si="73"/>
        <v/>
      </c>
      <c r="AF776" s="51" t="str">
        <f t="shared" si="74"/>
        <v/>
      </c>
      <c r="AG776" s="74" t="str">
        <f t="shared" si="75"/>
        <v/>
      </c>
      <c r="AH776" s="73" t="str">
        <f t="shared" si="72"/>
        <v/>
      </c>
      <c r="AI776" s="52"/>
      <c r="AJ776" s="56"/>
      <c r="AK776" s="59"/>
      <c r="AL776" s="60"/>
      <c r="AM776" s="54"/>
      <c r="AN776" s="64"/>
      <c r="AO776" s="26"/>
      <c r="AP776" s="93"/>
      <c r="AQ776" s="87"/>
      <c r="AR776" s="26"/>
      <c r="AS776" s="65"/>
      <c r="AT776" s="88"/>
      <c r="AU776" s="67"/>
      <c r="DA776" t="str" cm="1">
        <f t="array" ref="DA776">IF(U776&lt;&gt;"", TRANSPOSE(_xlfn._xlws.FILTER(CZ:CZ, CY:CY=U776, "")), "")</f>
        <v/>
      </c>
    </row>
    <row r="777" spans="2:105">
      <c r="B777" s="35">
        <v>773</v>
      </c>
      <c r="C777" s="36" t="s">
        <v>2642</v>
      </c>
      <c r="D777" s="76"/>
      <c r="E777" s="37" t="str">
        <f>IF(Table5[[#This Row],[Query Date]]&lt;&gt;"", TEXT(Table5[[#This Row],[Query Date]], "dddd"), "")</f>
        <v/>
      </c>
      <c r="F777" s="37" t="str">
        <f>IF(Table5[[#This Row],[Query Date]]&lt;&gt;"", TEXT(Table5[[#This Row],[Query Date]], "mmmm"), "")</f>
        <v/>
      </c>
      <c r="G777" s="28"/>
      <c r="H777" s="28"/>
      <c r="I777" s="28"/>
      <c r="J777" s="28"/>
      <c r="K777" s="28"/>
      <c r="L777" s="25"/>
      <c r="M777" s="25"/>
      <c r="N777" s="25"/>
      <c r="O777" s="130"/>
      <c r="P777" s="47"/>
      <c r="Q777" s="77"/>
      <c r="R777" s="77" t="str">
        <f>IF(Table5[[#This Row],[Tour Starting Date]]&lt;&gt;"", TEXT(Table5[[#This Row],[Tour Starting Date]], "dddd"), "")</f>
        <v/>
      </c>
      <c r="S777" s="77"/>
      <c r="T777" s="25" t="str">
        <f>IF(Table5[[#This Row],[Tour Ending Date]]&lt;&gt;"", TEXT(Table5[[#This Row],[Tour Ending Date]], "dddd"), "")</f>
        <v/>
      </c>
      <c r="U77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77" s="37" t="str">
        <f>IF(Table5[[#This Row],[Tour Starting Date]]&lt;&gt;"", TEXT(Table5[[#This Row],[Tour Starting Date]], "mmmm"), "")</f>
        <v/>
      </c>
      <c r="W777" s="80" t="str" cm="1">
        <f t="array" ref="W777">IF(Q777&lt;&gt;"", INDEX(CI:CI, MATCH(1, (Q777&gt;=CG:CG)*(Q777&lt;=CH:CH), 0)), "")</f>
        <v/>
      </c>
      <c r="X777" s="39"/>
      <c r="Y777" s="74"/>
      <c r="Z777" s="74" t="str">
        <f>IF(OR(Table5[[#This Row],[Per Person Package Cost]]="", Table5[[#This Row],[No. of Pax]]=""), "", Table5[[#This Row],[Per Person Package Cost]] * Table5[[#This Row],[No. of Pax]])</f>
        <v/>
      </c>
      <c r="AA777" s="52"/>
      <c r="AB777" s="52"/>
      <c r="AC777" s="52"/>
      <c r="AD777" s="52"/>
      <c r="AE777" s="51" t="str">
        <f t="shared" si="73"/>
        <v/>
      </c>
      <c r="AF777" s="51" t="str">
        <f t="shared" si="74"/>
        <v/>
      </c>
      <c r="AG777" s="74" t="str">
        <f t="shared" si="75"/>
        <v/>
      </c>
      <c r="AH777" s="73" t="str">
        <f t="shared" si="72"/>
        <v/>
      </c>
      <c r="AI777" s="52"/>
      <c r="AJ777" s="56"/>
      <c r="AK777" s="59"/>
      <c r="AL777" s="60"/>
      <c r="AM777" s="54"/>
      <c r="AN777" s="64"/>
      <c r="AO777" s="26"/>
      <c r="AP777" s="93"/>
      <c r="AQ777" s="87"/>
      <c r="AR777" s="26"/>
      <c r="AS777" s="65"/>
      <c r="AT777" s="88"/>
      <c r="AU777" s="67"/>
      <c r="DA777" t="str" cm="1">
        <f t="array" ref="DA777">IF(U777&lt;&gt;"", TRANSPOSE(_xlfn._xlws.FILTER(CZ:CZ, CY:CY=U777, "")), "")</f>
        <v/>
      </c>
    </row>
    <row r="778" spans="2:105">
      <c r="B778" s="35">
        <v>774</v>
      </c>
      <c r="C778" s="36" t="s">
        <v>2643</v>
      </c>
      <c r="D778" s="76"/>
      <c r="E778" s="37" t="str">
        <f>IF(Table5[[#This Row],[Query Date]]&lt;&gt;"", TEXT(Table5[[#This Row],[Query Date]], "dddd"), "")</f>
        <v/>
      </c>
      <c r="F778" s="37" t="str">
        <f>IF(Table5[[#This Row],[Query Date]]&lt;&gt;"", TEXT(Table5[[#This Row],[Query Date]], "mmmm"), "")</f>
        <v/>
      </c>
      <c r="G778" s="28"/>
      <c r="H778" s="28"/>
      <c r="I778" s="28"/>
      <c r="J778" s="28"/>
      <c r="K778" s="28"/>
      <c r="L778" s="25"/>
      <c r="M778" s="25"/>
      <c r="N778" s="25"/>
      <c r="O778" s="130"/>
      <c r="P778" s="47"/>
      <c r="Q778" s="77"/>
      <c r="R778" s="77" t="str">
        <f>IF(Table5[[#This Row],[Tour Starting Date]]&lt;&gt;"", TEXT(Table5[[#This Row],[Tour Starting Date]], "dddd"), "")</f>
        <v/>
      </c>
      <c r="S778" s="77"/>
      <c r="T778" s="25" t="str">
        <f>IF(Table5[[#This Row],[Tour Ending Date]]&lt;&gt;"", TEXT(Table5[[#This Row],[Tour Ending Date]], "dddd"), "")</f>
        <v/>
      </c>
      <c r="U77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78" s="37" t="str">
        <f>IF(Table5[[#This Row],[Tour Starting Date]]&lt;&gt;"", TEXT(Table5[[#This Row],[Tour Starting Date]], "mmmm"), "")</f>
        <v/>
      </c>
      <c r="W778" s="80" t="str" cm="1">
        <f t="array" ref="W778">IF(Q778&lt;&gt;"", INDEX(CI:CI, MATCH(1, (Q778&gt;=CG:CG)*(Q778&lt;=CH:CH), 0)), "")</f>
        <v/>
      </c>
      <c r="X778" s="39"/>
      <c r="Y778" s="74"/>
      <c r="Z778" s="74" t="str">
        <f>IF(OR(Table5[[#This Row],[Per Person Package Cost]]="", Table5[[#This Row],[No. of Pax]]=""), "", Table5[[#This Row],[Per Person Package Cost]] * Table5[[#This Row],[No. of Pax]])</f>
        <v/>
      </c>
      <c r="AA778" s="52"/>
      <c r="AB778" s="52"/>
      <c r="AC778" s="52"/>
      <c r="AD778" s="52"/>
      <c r="AE778" s="51" t="str">
        <f t="shared" si="73"/>
        <v/>
      </c>
      <c r="AF778" s="51" t="str">
        <f t="shared" si="74"/>
        <v/>
      </c>
      <c r="AG778" s="74" t="str">
        <f t="shared" si="75"/>
        <v/>
      </c>
      <c r="AH778" s="73" t="str">
        <f t="shared" si="72"/>
        <v/>
      </c>
      <c r="AI778" s="52"/>
      <c r="AJ778" s="56"/>
      <c r="AK778" s="59"/>
      <c r="AL778" s="60"/>
      <c r="AM778" s="54"/>
      <c r="AN778" s="64"/>
      <c r="AO778" s="26"/>
      <c r="AP778" s="93"/>
      <c r="AQ778" s="87"/>
      <c r="AR778" s="26"/>
      <c r="AS778" s="65"/>
      <c r="AT778" s="88"/>
      <c r="AU778" s="67"/>
      <c r="DA778" t="str" cm="1">
        <f t="array" ref="DA778">IF(U778&lt;&gt;"", TRANSPOSE(_xlfn._xlws.FILTER(CZ:CZ, CY:CY=U778, "")), "")</f>
        <v/>
      </c>
    </row>
    <row r="779" spans="2:105">
      <c r="B779" s="35">
        <v>775</v>
      </c>
      <c r="C779" s="36" t="s">
        <v>2644</v>
      </c>
      <c r="D779" s="76"/>
      <c r="E779" s="37" t="str">
        <f>IF(Table5[[#This Row],[Query Date]]&lt;&gt;"", TEXT(Table5[[#This Row],[Query Date]], "dddd"), "")</f>
        <v/>
      </c>
      <c r="F779" s="37" t="str">
        <f>IF(Table5[[#This Row],[Query Date]]&lt;&gt;"", TEXT(Table5[[#This Row],[Query Date]], "mmmm"), "")</f>
        <v/>
      </c>
      <c r="G779" s="28"/>
      <c r="H779" s="28"/>
      <c r="I779" s="28"/>
      <c r="J779" s="28"/>
      <c r="K779" s="28"/>
      <c r="L779" s="25"/>
      <c r="M779" s="25"/>
      <c r="N779" s="25"/>
      <c r="O779" s="130"/>
      <c r="P779" s="47"/>
      <c r="Q779" s="77"/>
      <c r="R779" s="77" t="str">
        <f>IF(Table5[[#This Row],[Tour Starting Date]]&lt;&gt;"", TEXT(Table5[[#This Row],[Tour Starting Date]], "dddd"), "")</f>
        <v/>
      </c>
      <c r="S779" s="77"/>
      <c r="T779" s="25" t="str">
        <f>IF(Table5[[#This Row],[Tour Ending Date]]&lt;&gt;"", TEXT(Table5[[#This Row],[Tour Ending Date]], "dddd"), "")</f>
        <v/>
      </c>
      <c r="U77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79" s="37" t="str">
        <f>IF(Table5[[#This Row],[Tour Starting Date]]&lt;&gt;"", TEXT(Table5[[#This Row],[Tour Starting Date]], "mmmm"), "")</f>
        <v/>
      </c>
      <c r="W779" s="80" t="str" cm="1">
        <f t="array" ref="W779">IF(Q779&lt;&gt;"", INDEX(CI:CI, MATCH(1, (Q779&gt;=CG:CG)*(Q779&lt;=CH:CH), 0)), "")</f>
        <v/>
      </c>
      <c r="X779" s="39"/>
      <c r="Y779" s="74"/>
      <c r="Z779" s="74" t="str">
        <f>IF(OR(Table5[[#This Row],[Per Person Package Cost]]="", Table5[[#This Row],[No. of Pax]]=""), "", Table5[[#This Row],[Per Person Package Cost]] * Table5[[#This Row],[No. of Pax]])</f>
        <v/>
      </c>
      <c r="AA779" s="52"/>
      <c r="AB779" s="52"/>
      <c r="AC779" s="52"/>
      <c r="AD779" s="52"/>
      <c r="AE779" s="51" t="str">
        <f t="shared" si="73"/>
        <v/>
      </c>
      <c r="AF779" s="51" t="str">
        <f t="shared" si="74"/>
        <v/>
      </c>
      <c r="AG779" s="74" t="str">
        <f t="shared" si="75"/>
        <v/>
      </c>
      <c r="AH779" s="73" t="str">
        <f t="shared" si="72"/>
        <v/>
      </c>
      <c r="AI779" s="52"/>
      <c r="AJ779" s="56"/>
      <c r="AK779" s="59"/>
      <c r="AL779" s="60"/>
      <c r="AM779" s="54"/>
      <c r="AN779" s="64"/>
      <c r="AO779" s="26"/>
      <c r="AP779" s="93"/>
      <c r="AQ779" s="87"/>
      <c r="AR779" s="26"/>
      <c r="AS779" s="65"/>
      <c r="AT779" s="88"/>
      <c r="AU779" s="67"/>
      <c r="DA779" t="str" cm="1">
        <f t="array" ref="DA779">IF(U779&lt;&gt;"", TRANSPOSE(_xlfn._xlws.FILTER(CZ:CZ, CY:CY=U779, "")), "")</f>
        <v/>
      </c>
    </row>
    <row r="780" spans="2:105">
      <c r="B780" s="35">
        <v>776</v>
      </c>
      <c r="C780" s="36" t="s">
        <v>2645</v>
      </c>
      <c r="D780" s="76"/>
      <c r="E780" s="37" t="str">
        <f>IF(Table5[[#This Row],[Query Date]]&lt;&gt;"", TEXT(Table5[[#This Row],[Query Date]], "dddd"), "")</f>
        <v/>
      </c>
      <c r="F780" s="37" t="str">
        <f>IF(Table5[[#This Row],[Query Date]]&lt;&gt;"", TEXT(Table5[[#This Row],[Query Date]], "mmmm"), "")</f>
        <v/>
      </c>
      <c r="G780" s="28"/>
      <c r="H780" s="28"/>
      <c r="I780" s="28"/>
      <c r="J780" s="28"/>
      <c r="K780" s="28"/>
      <c r="L780" s="25"/>
      <c r="M780" s="25"/>
      <c r="N780" s="25"/>
      <c r="O780" s="130"/>
      <c r="P780" s="47"/>
      <c r="Q780" s="77"/>
      <c r="R780" s="77" t="str">
        <f>IF(Table5[[#This Row],[Tour Starting Date]]&lt;&gt;"", TEXT(Table5[[#This Row],[Tour Starting Date]], "dddd"), "")</f>
        <v/>
      </c>
      <c r="S780" s="77"/>
      <c r="T780" s="25" t="str">
        <f>IF(Table5[[#This Row],[Tour Ending Date]]&lt;&gt;"", TEXT(Table5[[#This Row],[Tour Ending Date]], "dddd"), "")</f>
        <v/>
      </c>
      <c r="U78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80" s="37" t="str">
        <f>IF(Table5[[#This Row],[Tour Starting Date]]&lt;&gt;"", TEXT(Table5[[#This Row],[Tour Starting Date]], "mmmm"), "")</f>
        <v/>
      </c>
      <c r="W780" s="80" t="str" cm="1">
        <f t="array" ref="W780">IF(Q780&lt;&gt;"", INDEX(CI:CI, MATCH(1, (Q780&gt;=CG:CG)*(Q780&lt;=CH:CH), 0)), "")</f>
        <v/>
      </c>
      <c r="X780" s="39"/>
      <c r="Y780" s="74"/>
      <c r="Z780" s="74" t="str">
        <f>IF(OR(Table5[[#This Row],[Per Person Package Cost]]="", Table5[[#This Row],[No. of Pax]]=""), "", Table5[[#This Row],[Per Person Package Cost]] * Table5[[#This Row],[No. of Pax]])</f>
        <v/>
      </c>
      <c r="AA780" s="52"/>
      <c r="AB780" s="52"/>
      <c r="AC780" s="52"/>
      <c r="AD780" s="52"/>
      <c r="AE780" s="51" t="str">
        <f t="shared" si="73"/>
        <v/>
      </c>
      <c r="AF780" s="51" t="str">
        <f t="shared" si="74"/>
        <v/>
      </c>
      <c r="AG780" s="74" t="str">
        <f t="shared" si="75"/>
        <v/>
      </c>
      <c r="AH780" s="73" t="str">
        <f t="shared" si="72"/>
        <v/>
      </c>
      <c r="AI780" s="52"/>
      <c r="AJ780" s="56"/>
      <c r="AK780" s="59"/>
      <c r="AL780" s="60"/>
      <c r="AM780" s="54"/>
      <c r="AN780" s="64"/>
      <c r="AO780" s="26"/>
      <c r="AP780" s="93"/>
      <c r="AQ780" s="87"/>
      <c r="AR780" s="26"/>
      <c r="AS780" s="65"/>
      <c r="AT780" s="88"/>
      <c r="AU780" s="67"/>
      <c r="DA780" t="str" cm="1">
        <f t="array" ref="DA780">IF(U780&lt;&gt;"", TRANSPOSE(_xlfn._xlws.FILTER(CZ:CZ, CY:CY=U780, "")), "")</f>
        <v/>
      </c>
    </row>
    <row r="781" spans="2:105">
      <c r="B781" s="35">
        <v>777</v>
      </c>
      <c r="C781" s="36" t="s">
        <v>2646</v>
      </c>
      <c r="D781" s="76"/>
      <c r="E781" s="37" t="str">
        <f>IF(Table5[[#This Row],[Query Date]]&lt;&gt;"", TEXT(Table5[[#This Row],[Query Date]], "dddd"), "")</f>
        <v/>
      </c>
      <c r="F781" s="37" t="str">
        <f>IF(Table5[[#This Row],[Query Date]]&lt;&gt;"", TEXT(Table5[[#This Row],[Query Date]], "mmmm"), "")</f>
        <v/>
      </c>
      <c r="G781" s="28"/>
      <c r="H781" s="28"/>
      <c r="I781" s="28"/>
      <c r="J781" s="28"/>
      <c r="K781" s="28"/>
      <c r="L781" s="25"/>
      <c r="M781" s="25"/>
      <c r="N781" s="25"/>
      <c r="O781" s="130"/>
      <c r="P781" s="47"/>
      <c r="Q781" s="77"/>
      <c r="R781" s="77" t="str">
        <f>IF(Table5[[#This Row],[Tour Starting Date]]&lt;&gt;"", TEXT(Table5[[#This Row],[Tour Starting Date]], "dddd"), "")</f>
        <v/>
      </c>
      <c r="S781" s="77"/>
      <c r="T781" s="25" t="str">
        <f>IF(Table5[[#This Row],[Tour Ending Date]]&lt;&gt;"", TEXT(Table5[[#This Row],[Tour Ending Date]], "dddd"), "")</f>
        <v/>
      </c>
      <c r="U78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81" s="37" t="str">
        <f>IF(Table5[[#This Row],[Tour Starting Date]]&lt;&gt;"", TEXT(Table5[[#This Row],[Tour Starting Date]], "mmmm"), "")</f>
        <v/>
      </c>
      <c r="W781" s="80" t="str" cm="1">
        <f t="array" ref="W781">IF(Q781&lt;&gt;"", INDEX(CI:CI, MATCH(1, (Q781&gt;=CG:CG)*(Q781&lt;=CH:CH), 0)), "")</f>
        <v/>
      </c>
      <c r="X781" s="39"/>
      <c r="Y781" s="74"/>
      <c r="Z781" s="74" t="str">
        <f>IF(OR(Table5[[#This Row],[Per Person Package Cost]]="", Table5[[#This Row],[No. of Pax]]=""), "", Table5[[#This Row],[Per Person Package Cost]] * Table5[[#This Row],[No. of Pax]])</f>
        <v/>
      </c>
      <c r="AA781" s="52"/>
      <c r="AB781" s="52"/>
      <c r="AC781" s="52"/>
      <c r="AD781" s="52"/>
      <c r="AE781" s="51" t="str">
        <f t="shared" si="73"/>
        <v/>
      </c>
      <c r="AF781" s="51" t="str">
        <f t="shared" si="74"/>
        <v/>
      </c>
      <c r="AG781" s="74" t="str">
        <f t="shared" si="75"/>
        <v/>
      </c>
      <c r="AH781" s="73" t="str">
        <f t="shared" si="72"/>
        <v/>
      </c>
      <c r="AI781" s="52"/>
      <c r="AJ781" s="56"/>
      <c r="AK781" s="59"/>
      <c r="AL781" s="60"/>
      <c r="AM781" s="54"/>
      <c r="AN781" s="64"/>
      <c r="AO781" s="26"/>
      <c r="AP781" s="93"/>
      <c r="AQ781" s="87"/>
      <c r="AR781" s="26"/>
      <c r="AS781" s="65"/>
      <c r="AT781" s="88"/>
      <c r="AU781" s="67"/>
      <c r="DA781" t="str" cm="1">
        <f t="array" ref="DA781">IF(U781&lt;&gt;"", TRANSPOSE(_xlfn._xlws.FILTER(CZ:CZ, CY:CY=U781, "")), "")</f>
        <v/>
      </c>
    </row>
    <row r="782" spans="2:105">
      <c r="B782" s="35">
        <v>778</v>
      </c>
      <c r="C782" s="36" t="s">
        <v>2647</v>
      </c>
      <c r="D782" s="76"/>
      <c r="E782" s="37" t="str">
        <f>IF(Table5[[#This Row],[Query Date]]&lt;&gt;"", TEXT(Table5[[#This Row],[Query Date]], "dddd"), "")</f>
        <v/>
      </c>
      <c r="F782" s="37" t="str">
        <f>IF(Table5[[#This Row],[Query Date]]&lt;&gt;"", TEXT(Table5[[#This Row],[Query Date]], "mmmm"), "")</f>
        <v/>
      </c>
      <c r="G782" s="28"/>
      <c r="H782" s="28"/>
      <c r="I782" s="28"/>
      <c r="J782" s="28"/>
      <c r="K782" s="28"/>
      <c r="L782" s="25"/>
      <c r="M782" s="25"/>
      <c r="N782" s="25"/>
      <c r="O782" s="130"/>
      <c r="P782" s="47"/>
      <c r="Q782" s="77"/>
      <c r="R782" s="77" t="str">
        <f>IF(Table5[[#This Row],[Tour Starting Date]]&lt;&gt;"", TEXT(Table5[[#This Row],[Tour Starting Date]], "dddd"), "")</f>
        <v/>
      </c>
      <c r="S782" s="77"/>
      <c r="T782" s="25" t="str">
        <f>IF(Table5[[#This Row],[Tour Ending Date]]&lt;&gt;"", TEXT(Table5[[#This Row],[Tour Ending Date]], "dddd"), "")</f>
        <v/>
      </c>
      <c r="U78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82" s="37" t="str">
        <f>IF(Table5[[#This Row],[Tour Starting Date]]&lt;&gt;"", TEXT(Table5[[#This Row],[Tour Starting Date]], "mmmm"), "")</f>
        <v/>
      </c>
      <c r="W782" s="80" t="str" cm="1">
        <f t="array" ref="W782">IF(Q782&lt;&gt;"", INDEX(CI:CI, MATCH(1, (Q782&gt;=CG:CG)*(Q782&lt;=CH:CH), 0)), "")</f>
        <v/>
      </c>
      <c r="X782" s="39"/>
      <c r="Y782" s="74"/>
      <c r="Z782" s="74" t="str">
        <f>IF(OR(Table5[[#This Row],[Per Person Package Cost]]="", Table5[[#This Row],[No. of Pax]]=""), "", Table5[[#This Row],[Per Person Package Cost]] * Table5[[#This Row],[No. of Pax]])</f>
        <v/>
      </c>
      <c r="AA782" s="52"/>
      <c r="AB782" s="52"/>
      <c r="AC782" s="52"/>
      <c r="AD782" s="52"/>
      <c r="AE782" s="51" t="str">
        <f t="shared" si="73"/>
        <v/>
      </c>
      <c r="AF782" s="51" t="str">
        <f t="shared" si="74"/>
        <v/>
      </c>
      <c r="AG782" s="74" t="str">
        <f t="shared" si="75"/>
        <v/>
      </c>
      <c r="AH782" s="73" t="str">
        <f t="shared" si="72"/>
        <v/>
      </c>
      <c r="AI782" s="52"/>
      <c r="AJ782" s="56"/>
      <c r="AK782" s="59"/>
      <c r="AL782" s="60"/>
      <c r="AM782" s="54"/>
      <c r="AN782" s="64"/>
      <c r="AO782" s="26"/>
      <c r="AP782" s="93"/>
      <c r="AQ782" s="87"/>
      <c r="AR782" s="26"/>
      <c r="AS782" s="65"/>
      <c r="AT782" s="88"/>
      <c r="AU782" s="67"/>
      <c r="DA782" t="str" cm="1">
        <f t="array" ref="DA782">IF(U782&lt;&gt;"", TRANSPOSE(_xlfn._xlws.FILTER(CZ:CZ, CY:CY=U782, "")), "")</f>
        <v/>
      </c>
    </row>
    <row r="783" spans="2:105">
      <c r="B783" s="35">
        <v>779</v>
      </c>
      <c r="C783" s="36" t="s">
        <v>2648</v>
      </c>
      <c r="D783" s="76"/>
      <c r="E783" s="37" t="str">
        <f>IF(Table5[[#This Row],[Query Date]]&lt;&gt;"", TEXT(Table5[[#This Row],[Query Date]], "dddd"), "")</f>
        <v/>
      </c>
      <c r="F783" s="37" t="str">
        <f>IF(Table5[[#This Row],[Query Date]]&lt;&gt;"", TEXT(Table5[[#This Row],[Query Date]], "mmmm"), "")</f>
        <v/>
      </c>
      <c r="G783" s="28"/>
      <c r="H783" s="28"/>
      <c r="I783" s="28"/>
      <c r="J783" s="28"/>
      <c r="K783" s="28"/>
      <c r="L783" s="25"/>
      <c r="M783" s="25"/>
      <c r="N783" s="25"/>
      <c r="O783" s="130"/>
      <c r="P783" s="47"/>
      <c r="Q783" s="77"/>
      <c r="R783" s="77" t="str">
        <f>IF(Table5[[#This Row],[Tour Starting Date]]&lt;&gt;"", TEXT(Table5[[#This Row],[Tour Starting Date]], "dddd"), "")</f>
        <v/>
      </c>
      <c r="S783" s="77"/>
      <c r="T783" s="25" t="str">
        <f>IF(Table5[[#This Row],[Tour Ending Date]]&lt;&gt;"", TEXT(Table5[[#This Row],[Tour Ending Date]], "dddd"), "")</f>
        <v/>
      </c>
      <c r="U78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83" s="37" t="str">
        <f>IF(Table5[[#This Row],[Tour Starting Date]]&lt;&gt;"", TEXT(Table5[[#This Row],[Tour Starting Date]], "mmmm"), "")</f>
        <v/>
      </c>
      <c r="W783" s="80" t="str" cm="1">
        <f t="array" ref="W783">IF(Q783&lt;&gt;"", INDEX(CI:CI, MATCH(1, (Q783&gt;=CG:CG)*(Q783&lt;=CH:CH), 0)), "")</f>
        <v/>
      </c>
      <c r="X783" s="39"/>
      <c r="Y783" s="74"/>
      <c r="Z783" s="74" t="str">
        <f>IF(OR(Table5[[#This Row],[Per Person Package Cost]]="", Table5[[#This Row],[No. of Pax]]=""), "", Table5[[#This Row],[Per Person Package Cost]] * Table5[[#This Row],[No. of Pax]])</f>
        <v/>
      </c>
      <c r="AA783" s="52"/>
      <c r="AB783" s="52"/>
      <c r="AC783" s="52"/>
      <c r="AD783" s="52"/>
      <c r="AE783" s="51" t="str">
        <f t="shared" si="73"/>
        <v/>
      </c>
      <c r="AF783" s="51" t="str">
        <f t="shared" si="74"/>
        <v/>
      </c>
      <c r="AG783" s="74" t="str">
        <f t="shared" si="75"/>
        <v/>
      </c>
      <c r="AH783" s="73" t="str">
        <f t="shared" si="72"/>
        <v/>
      </c>
      <c r="AI783" s="52"/>
      <c r="AJ783" s="56"/>
      <c r="AK783" s="59"/>
      <c r="AL783" s="60"/>
      <c r="AM783" s="54"/>
      <c r="AN783" s="64"/>
      <c r="AO783" s="26"/>
      <c r="AP783" s="93"/>
      <c r="AQ783" s="87"/>
      <c r="AR783" s="26"/>
      <c r="AS783" s="65"/>
      <c r="AT783" s="88"/>
      <c r="AU783" s="67"/>
      <c r="DA783" t="str" cm="1">
        <f t="array" ref="DA783">IF(U783&lt;&gt;"", TRANSPOSE(_xlfn._xlws.FILTER(CZ:CZ, CY:CY=U783, "")), "")</f>
        <v/>
      </c>
    </row>
    <row r="784" spans="2:105">
      <c r="B784" s="35">
        <v>780</v>
      </c>
      <c r="C784" s="36" t="s">
        <v>2649</v>
      </c>
      <c r="D784" s="76"/>
      <c r="E784" s="37" t="str">
        <f>IF(Table5[[#This Row],[Query Date]]&lt;&gt;"", TEXT(Table5[[#This Row],[Query Date]], "dddd"), "")</f>
        <v/>
      </c>
      <c r="F784" s="37" t="str">
        <f>IF(Table5[[#This Row],[Query Date]]&lt;&gt;"", TEXT(Table5[[#This Row],[Query Date]], "mmmm"), "")</f>
        <v/>
      </c>
      <c r="G784" s="28"/>
      <c r="H784" s="28"/>
      <c r="I784" s="28"/>
      <c r="J784" s="28"/>
      <c r="K784" s="28"/>
      <c r="L784" s="25"/>
      <c r="M784" s="25"/>
      <c r="N784" s="25"/>
      <c r="O784" s="130"/>
      <c r="P784" s="47"/>
      <c r="Q784" s="77"/>
      <c r="R784" s="77" t="str">
        <f>IF(Table5[[#This Row],[Tour Starting Date]]&lt;&gt;"", TEXT(Table5[[#This Row],[Tour Starting Date]], "dddd"), "")</f>
        <v/>
      </c>
      <c r="S784" s="77"/>
      <c r="T784" s="25" t="str">
        <f>IF(Table5[[#This Row],[Tour Ending Date]]&lt;&gt;"", TEXT(Table5[[#This Row],[Tour Ending Date]], "dddd"), "")</f>
        <v/>
      </c>
      <c r="U78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84" s="37" t="str">
        <f>IF(Table5[[#This Row],[Tour Starting Date]]&lt;&gt;"", TEXT(Table5[[#This Row],[Tour Starting Date]], "mmmm"), "")</f>
        <v/>
      </c>
      <c r="W784" s="80" t="str" cm="1">
        <f t="array" ref="W784">IF(Q784&lt;&gt;"", INDEX(CI:CI, MATCH(1, (Q784&gt;=CG:CG)*(Q784&lt;=CH:CH), 0)), "")</f>
        <v/>
      </c>
      <c r="X784" s="39"/>
      <c r="Y784" s="74"/>
      <c r="Z784" s="74" t="str">
        <f>IF(OR(Table5[[#This Row],[Per Person Package Cost]]="", Table5[[#This Row],[No. of Pax]]=""), "", Table5[[#This Row],[Per Person Package Cost]] * Table5[[#This Row],[No. of Pax]])</f>
        <v/>
      </c>
      <c r="AA784" s="52"/>
      <c r="AB784" s="52"/>
      <c r="AC784" s="52"/>
      <c r="AD784" s="52"/>
      <c r="AE784" s="51" t="str">
        <f t="shared" si="73"/>
        <v/>
      </c>
      <c r="AF784" s="51" t="str">
        <f t="shared" si="74"/>
        <v/>
      </c>
      <c r="AG784" s="74" t="str">
        <f t="shared" si="75"/>
        <v/>
      </c>
      <c r="AH784" s="73" t="str">
        <f t="shared" si="72"/>
        <v/>
      </c>
      <c r="AI784" s="52"/>
      <c r="AJ784" s="56"/>
      <c r="AK784" s="59"/>
      <c r="AL784" s="60"/>
      <c r="AM784" s="54"/>
      <c r="AN784" s="64"/>
      <c r="AO784" s="26"/>
      <c r="AP784" s="93"/>
      <c r="AQ784" s="87"/>
      <c r="AR784" s="26"/>
      <c r="AS784" s="65"/>
      <c r="AT784" s="88"/>
      <c r="AU784" s="67"/>
      <c r="DA784" t="str" cm="1">
        <f t="array" ref="DA784">IF(U784&lt;&gt;"", TRANSPOSE(_xlfn._xlws.FILTER(CZ:CZ, CY:CY=U784, "")), "")</f>
        <v/>
      </c>
    </row>
    <row r="785" spans="2:105">
      <c r="B785" s="35">
        <v>781</v>
      </c>
      <c r="C785" s="36" t="s">
        <v>2650</v>
      </c>
      <c r="D785" s="76"/>
      <c r="E785" s="37" t="str">
        <f>IF(Table5[[#This Row],[Query Date]]&lt;&gt;"", TEXT(Table5[[#This Row],[Query Date]], "dddd"), "")</f>
        <v/>
      </c>
      <c r="F785" s="37" t="str">
        <f>IF(Table5[[#This Row],[Query Date]]&lt;&gt;"", TEXT(Table5[[#This Row],[Query Date]], "mmmm"), "")</f>
        <v/>
      </c>
      <c r="G785" s="28"/>
      <c r="H785" s="28"/>
      <c r="I785" s="28"/>
      <c r="J785" s="28"/>
      <c r="K785" s="28"/>
      <c r="L785" s="25"/>
      <c r="M785" s="25"/>
      <c r="N785" s="25"/>
      <c r="O785" s="130"/>
      <c r="P785" s="47"/>
      <c r="Q785" s="77"/>
      <c r="R785" s="77" t="str">
        <f>IF(Table5[[#This Row],[Tour Starting Date]]&lt;&gt;"", TEXT(Table5[[#This Row],[Tour Starting Date]], "dddd"), "")</f>
        <v/>
      </c>
      <c r="S785" s="77"/>
      <c r="T785" s="25" t="str">
        <f>IF(Table5[[#This Row],[Tour Ending Date]]&lt;&gt;"", TEXT(Table5[[#This Row],[Tour Ending Date]], "dddd"), "")</f>
        <v/>
      </c>
      <c r="U78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85" s="37" t="str">
        <f>IF(Table5[[#This Row],[Tour Starting Date]]&lt;&gt;"", TEXT(Table5[[#This Row],[Tour Starting Date]], "mmmm"), "")</f>
        <v/>
      </c>
      <c r="W785" s="80" t="str" cm="1">
        <f t="array" ref="W785">IF(Q785&lt;&gt;"", INDEX(CI:CI, MATCH(1, (Q785&gt;=CG:CG)*(Q785&lt;=CH:CH), 0)), "")</f>
        <v/>
      </c>
      <c r="X785" s="39"/>
      <c r="Y785" s="74"/>
      <c r="Z785" s="74" t="str">
        <f>IF(OR(Table5[[#This Row],[Per Person Package Cost]]="", Table5[[#This Row],[No. of Pax]]=""), "", Table5[[#This Row],[Per Person Package Cost]] * Table5[[#This Row],[No. of Pax]])</f>
        <v/>
      </c>
      <c r="AA785" s="52"/>
      <c r="AB785" s="52"/>
      <c r="AC785" s="52"/>
      <c r="AD785" s="52"/>
      <c r="AE785" s="51" t="str">
        <f t="shared" si="73"/>
        <v/>
      </c>
      <c r="AF785" s="51" t="str">
        <f t="shared" si="74"/>
        <v/>
      </c>
      <c r="AG785" s="74" t="str">
        <f t="shared" si="75"/>
        <v/>
      </c>
      <c r="AH785" s="73" t="str">
        <f t="shared" si="72"/>
        <v/>
      </c>
      <c r="AI785" s="52"/>
      <c r="AJ785" s="56"/>
      <c r="AK785" s="59"/>
      <c r="AL785" s="60"/>
      <c r="AM785" s="54"/>
      <c r="AN785" s="64"/>
      <c r="AO785" s="26"/>
      <c r="AP785" s="93"/>
      <c r="AQ785" s="87"/>
      <c r="AR785" s="26"/>
      <c r="AS785" s="65"/>
      <c r="AT785" s="88"/>
      <c r="AU785" s="67"/>
      <c r="DA785" t="str" cm="1">
        <f t="array" ref="DA785">IF(U785&lt;&gt;"", TRANSPOSE(_xlfn._xlws.FILTER(CZ:CZ, CY:CY=U785, "")), "")</f>
        <v/>
      </c>
    </row>
    <row r="786" spans="2:105">
      <c r="B786" s="35">
        <v>782</v>
      </c>
      <c r="C786" s="36" t="s">
        <v>2651</v>
      </c>
      <c r="D786" s="76"/>
      <c r="E786" s="37" t="str">
        <f>IF(Table5[[#This Row],[Query Date]]&lt;&gt;"", TEXT(Table5[[#This Row],[Query Date]], "dddd"), "")</f>
        <v/>
      </c>
      <c r="F786" s="37" t="str">
        <f>IF(Table5[[#This Row],[Query Date]]&lt;&gt;"", TEXT(Table5[[#This Row],[Query Date]], "mmmm"), "")</f>
        <v/>
      </c>
      <c r="G786" s="28"/>
      <c r="H786" s="28"/>
      <c r="I786" s="28"/>
      <c r="J786" s="28"/>
      <c r="K786" s="28"/>
      <c r="L786" s="25"/>
      <c r="M786" s="25"/>
      <c r="N786" s="25"/>
      <c r="O786" s="130"/>
      <c r="P786" s="47"/>
      <c r="Q786" s="77"/>
      <c r="R786" s="77" t="str">
        <f>IF(Table5[[#This Row],[Tour Starting Date]]&lt;&gt;"", TEXT(Table5[[#This Row],[Tour Starting Date]], "dddd"), "")</f>
        <v/>
      </c>
      <c r="S786" s="77"/>
      <c r="T786" s="25" t="str">
        <f>IF(Table5[[#This Row],[Tour Ending Date]]&lt;&gt;"", TEXT(Table5[[#This Row],[Tour Ending Date]], "dddd"), "")</f>
        <v/>
      </c>
      <c r="U78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86" s="37" t="str">
        <f>IF(Table5[[#This Row],[Tour Starting Date]]&lt;&gt;"", TEXT(Table5[[#This Row],[Tour Starting Date]], "mmmm"), "")</f>
        <v/>
      </c>
      <c r="W786" s="80" t="str" cm="1">
        <f t="array" ref="W786">IF(Q786&lt;&gt;"", INDEX(CI:CI, MATCH(1, (Q786&gt;=CG:CG)*(Q786&lt;=CH:CH), 0)), "")</f>
        <v/>
      </c>
      <c r="X786" s="39"/>
      <c r="Y786" s="74"/>
      <c r="Z786" s="74" t="str">
        <f>IF(OR(Table5[[#This Row],[Per Person Package Cost]]="", Table5[[#This Row],[No. of Pax]]=""), "", Table5[[#This Row],[Per Person Package Cost]] * Table5[[#This Row],[No. of Pax]])</f>
        <v/>
      </c>
      <c r="AA786" s="52"/>
      <c r="AB786" s="52"/>
      <c r="AC786" s="52"/>
      <c r="AD786" s="52"/>
      <c r="AE786" s="51" t="str">
        <f t="shared" si="73"/>
        <v/>
      </c>
      <c r="AF786" s="51" t="str">
        <f t="shared" si="74"/>
        <v/>
      </c>
      <c r="AG786" s="74" t="str">
        <f t="shared" si="75"/>
        <v/>
      </c>
      <c r="AH786" s="73" t="str">
        <f t="shared" si="72"/>
        <v/>
      </c>
      <c r="AI786" s="52"/>
      <c r="AJ786" s="56"/>
      <c r="AK786" s="59"/>
      <c r="AL786" s="60"/>
      <c r="AM786" s="54"/>
      <c r="AN786" s="64"/>
      <c r="AO786" s="26"/>
      <c r="AP786" s="93"/>
      <c r="AQ786" s="87"/>
      <c r="AR786" s="26"/>
      <c r="AS786" s="65"/>
      <c r="AT786" s="88"/>
      <c r="AU786" s="67"/>
      <c r="DA786" t="str" cm="1">
        <f t="array" ref="DA786">IF(U786&lt;&gt;"", TRANSPOSE(_xlfn._xlws.FILTER(CZ:CZ, CY:CY=U786, "")), "")</f>
        <v/>
      </c>
    </row>
    <row r="787" spans="2:105">
      <c r="B787" s="35">
        <v>783</v>
      </c>
      <c r="C787" s="36" t="s">
        <v>2652</v>
      </c>
      <c r="D787" s="76"/>
      <c r="E787" s="37" t="str">
        <f>IF(Table5[[#This Row],[Query Date]]&lt;&gt;"", TEXT(Table5[[#This Row],[Query Date]], "dddd"), "")</f>
        <v/>
      </c>
      <c r="F787" s="37" t="str">
        <f>IF(Table5[[#This Row],[Query Date]]&lt;&gt;"", TEXT(Table5[[#This Row],[Query Date]], "mmmm"), "")</f>
        <v/>
      </c>
      <c r="G787" s="28"/>
      <c r="H787" s="28"/>
      <c r="I787" s="28"/>
      <c r="J787" s="28"/>
      <c r="K787" s="28"/>
      <c r="L787" s="25"/>
      <c r="M787" s="25"/>
      <c r="N787" s="25"/>
      <c r="O787" s="130"/>
      <c r="P787" s="47"/>
      <c r="Q787" s="77"/>
      <c r="R787" s="77" t="str">
        <f>IF(Table5[[#This Row],[Tour Starting Date]]&lt;&gt;"", TEXT(Table5[[#This Row],[Tour Starting Date]], "dddd"), "")</f>
        <v/>
      </c>
      <c r="S787" s="77"/>
      <c r="T787" s="25" t="str">
        <f>IF(Table5[[#This Row],[Tour Ending Date]]&lt;&gt;"", TEXT(Table5[[#This Row],[Tour Ending Date]], "dddd"), "")</f>
        <v/>
      </c>
      <c r="U78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87" s="37" t="str">
        <f>IF(Table5[[#This Row],[Tour Starting Date]]&lt;&gt;"", TEXT(Table5[[#This Row],[Tour Starting Date]], "mmmm"), "")</f>
        <v/>
      </c>
      <c r="W787" s="80" t="str" cm="1">
        <f t="array" ref="W787">IF(Q787&lt;&gt;"", INDEX(CI:CI, MATCH(1, (Q787&gt;=CG:CG)*(Q787&lt;=CH:CH), 0)), "")</f>
        <v/>
      </c>
      <c r="X787" s="39"/>
      <c r="Y787" s="74"/>
      <c r="Z787" s="74" t="str">
        <f>IF(OR(Table5[[#This Row],[Per Person Package Cost]]="", Table5[[#This Row],[No. of Pax]]=""), "", Table5[[#This Row],[Per Person Package Cost]] * Table5[[#This Row],[No. of Pax]])</f>
        <v/>
      </c>
      <c r="AA787" s="52"/>
      <c r="AB787" s="52"/>
      <c r="AC787" s="52"/>
      <c r="AD787" s="52"/>
      <c r="AE787" s="51" t="str">
        <f t="shared" si="73"/>
        <v/>
      </c>
      <c r="AF787" s="51" t="str">
        <f t="shared" si="74"/>
        <v/>
      </c>
      <c r="AG787" s="74" t="str">
        <f t="shared" si="75"/>
        <v/>
      </c>
      <c r="AH787" s="73" t="str">
        <f t="shared" si="72"/>
        <v/>
      </c>
      <c r="AI787" s="52"/>
      <c r="AJ787" s="56"/>
      <c r="AK787" s="59"/>
      <c r="AL787" s="60"/>
      <c r="AM787" s="54"/>
      <c r="AN787" s="64"/>
      <c r="AO787" s="26"/>
      <c r="AP787" s="93"/>
      <c r="AQ787" s="87"/>
      <c r="AR787" s="26"/>
      <c r="AS787" s="65"/>
      <c r="AT787" s="88"/>
      <c r="AU787" s="67"/>
      <c r="DA787" t="str" cm="1">
        <f t="array" ref="DA787">IF(U787&lt;&gt;"", TRANSPOSE(_xlfn._xlws.FILTER(CZ:CZ, CY:CY=U787, "")), "")</f>
        <v/>
      </c>
    </row>
    <row r="788" spans="2:105">
      <c r="B788" s="35">
        <v>784</v>
      </c>
      <c r="C788" s="36" t="s">
        <v>2653</v>
      </c>
      <c r="D788" s="76"/>
      <c r="E788" s="37" t="str">
        <f>IF(Table5[[#This Row],[Query Date]]&lt;&gt;"", TEXT(Table5[[#This Row],[Query Date]], "dddd"), "")</f>
        <v/>
      </c>
      <c r="F788" s="37" t="str">
        <f>IF(Table5[[#This Row],[Query Date]]&lt;&gt;"", TEXT(Table5[[#This Row],[Query Date]], "mmmm"), "")</f>
        <v/>
      </c>
      <c r="G788" s="28"/>
      <c r="H788" s="28"/>
      <c r="I788" s="28"/>
      <c r="J788" s="28"/>
      <c r="K788" s="28"/>
      <c r="L788" s="25"/>
      <c r="M788" s="25"/>
      <c r="N788" s="25"/>
      <c r="O788" s="130"/>
      <c r="P788" s="47"/>
      <c r="Q788" s="77"/>
      <c r="R788" s="77" t="str">
        <f>IF(Table5[[#This Row],[Tour Starting Date]]&lt;&gt;"", TEXT(Table5[[#This Row],[Tour Starting Date]], "dddd"), "")</f>
        <v/>
      </c>
      <c r="S788" s="77"/>
      <c r="T788" s="25" t="str">
        <f>IF(Table5[[#This Row],[Tour Ending Date]]&lt;&gt;"", TEXT(Table5[[#This Row],[Tour Ending Date]], "dddd"), "")</f>
        <v/>
      </c>
      <c r="U78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88" s="37" t="str">
        <f>IF(Table5[[#This Row],[Tour Starting Date]]&lt;&gt;"", TEXT(Table5[[#This Row],[Tour Starting Date]], "mmmm"), "")</f>
        <v/>
      </c>
      <c r="W788" s="80" t="str" cm="1">
        <f t="array" ref="W788">IF(Q788&lt;&gt;"", INDEX(CI:CI, MATCH(1, (Q788&gt;=CG:CG)*(Q788&lt;=CH:CH), 0)), "")</f>
        <v/>
      </c>
      <c r="X788" s="39"/>
      <c r="Y788" s="74"/>
      <c r="Z788" s="74" t="str">
        <f>IF(OR(Table5[[#This Row],[Per Person Package Cost]]="", Table5[[#This Row],[No. of Pax]]=""), "", Table5[[#This Row],[Per Person Package Cost]] * Table5[[#This Row],[No. of Pax]])</f>
        <v/>
      </c>
      <c r="AA788" s="52"/>
      <c r="AB788" s="52"/>
      <c r="AC788" s="52"/>
      <c r="AD788" s="52"/>
      <c r="AE788" s="51" t="str">
        <f t="shared" si="73"/>
        <v/>
      </c>
      <c r="AF788" s="51" t="str">
        <f t="shared" si="74"/>
        <v/>
      </c>
      <c r="AG788" s="74" t="str">
        <f t="shared" si="75"/>
        <v/>
      </c>
      <c r="AH788" s="73" t="str">
        <f t="shared" ref="AH788:AH851" si="76">IF(AD788&lt;&gt;"", INDEX(CV:CV, MATCH(AD788, CZ:CZ, 0)), "")</f>
        <v/>
      </c>
      <c r="AI788" s="52"/>
      <c r="AJ788" s="56"/>
      <c r="AK788" s="59"/>
      <c r="AL788" s="60"/>
      <c r="AM788" s="54"/>
      <c r="AN788" s="64"/>
      <c r="AO788" s="26"/>
      <c r="AP788" s="93"/>
      <c r="AQ788" s="87"/>
      <c r="AR788" s="26"/>
      <c r="AS788" s="65"/>
      <c r="AT788" s="88"/>
      <c r="AU788" s="67"/>
      <c r="DA788" t="str" cm="1">
        <f t="array" ref="DA788">IF(U788&lt;&gt;"", TRANSPOSE(_xlfn._xlws.FILTER(CZ:CZ, CY:CY=U788, "")), "")</f>
        <v/>
      </c>
    </row>
    <row r="789" spans="2:105">
      <c r="B789" s="35">
        <v>785</v>
      </c>
      <c r="C789" s="36" t="s">
        <v>2654</v>
      </c>
      <c r="D789" s="76"/>
      <c r="E789" s="37" t="str">
        <f>IF(Table5[[#This Row],[Query Date]]&lt;&gt;"", TEXT(Table5[[#This Row],[Query Date]], "dddd"), "")</f>
        <v/>
      </c>
      <c r="F789" s="37" t="str">
        <f>IF(Table5[[#This Row],[Query Date]]&lt;&gt;"", TEXT(Table5[[#This Row],[Query Date]], "mmmm"), "")</f>
        <v/>
      </c>
      <c r="G789" s="28"/>
      <c r="H789" s="28"/>
      <c r="I789" s="28"/>
      <c r="J789" s="28"/>
      <c r="K789" s="28"/>
      <c r="L789" s="25"/>
      <c r="M789" s="25"/>
      <c r="N789" s="25"/>
      <c r="O789" s="130"/>
      <c r="P789" s="47"/>
      <c r="Q789" s="77"/>
      <c r="R789" s="77" t="str">
        <f>IF(Table5[[#This Row],[Tour Starting Date]]&lt;&gt;"", TEXT(Table5[[#This Row],[Tour Starting Date]], "dddd"), "")</f>
        <v/>
      </c>
      <c r="S789" s="77"/>
      <c r="T789" s="25" t="str">
        <f>IF(Table5[[#This Row],[Tour Ending Date]]&lt;&gt;"", TEXT(Table5[[#This Row],[Tour Ending Date]], "dddd"), "")</f>
        <v/>
      </c>
      <c r="U78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89" s="37" t="str">
        <f>IF(Table5[[#This Row],[Tour Starting Date]]&lt;&gt;"", TEXT(Table5[[#This Row],[Tour Starting Date]], "mmmm"), "")</f>
        <v/>
      </c>
      <c r="W789" s="80" t="str" cm="1">
        <f t="array" ref="W789">IF(Q789&lt;&gt;"", INDEX(CI:CI, MATCH(1, (Q789&gt;=CG:CG)*(Q789&lt;=CH:CH), 0)), "")</f>
        <v/>
      </c>
      <c r="X789" s="39"/>
      <c r="Y789" s="74"/>
      <c r="Z789" s="74" t="str">
        <f>IF(OR(Table5[[#This Row],[Per Person Package Cost]]="", Table5[[#This Row],[No. of Pax]]=""), "", Table5[[#This Row],[Per Person Package Cost]] * Table5[[#This Row],[No. of Pax]])</f>
        <v/>
      </c>
      <c r="AA789" s="52"/>
      <c r="AB789" s="52"/>
      <c r="AC789" s="52"/>
      <c r="AD789" s="52"/>
      <c r="AE789" s="51" t="str">
        <f t="shared" si="73"/>
        <v/>
      </c>
      <c r="AF789" s="51" t="str">
        <f t="shared" si="74"/>
        <v/>
      </c>
      <c r="AG789" s="74" t="str">
        <f t="shared" si="75"/>
        <v/>
      </c>
      <c r="AH789" s="73" t="str">
        <f t="shared" si="76"/>
        <v/>
      </c>
      <c r="AI789" s="52"/>
      <c r="AJ789" s="56"/>
      <c r="AK789" s="59"/>
      <c r="AL789" s="60"/>
      <c r="AM789" s="54"/>
      <c r="AN789" s="64"/>
      <c r="AO789" s="26"/>
      <c r="AP789" s="93"/>
      <c r="AQ789" s="87"/>
      <c r="AR789" s="26"/>
      <c r="AS789" s="65"/>
      <c r="AT789" s="88"/>
      <c r="AU789" s="67"/>
      <c r="DA789" t="str" cm="1">
        <f t="array" ref="DA789">IF(U789&lt;&gt;"", TRANSPOSE(_xlfn._xlws.FILTER(CZ:CZ, CY:CY=U789, "")), "")</f>
        <v/>
      </c>
    </row>
    <row r="790" spans="2:105">
      <c r="B790" s="35">
        <v>786</v>
      </c>
      <c r="C790" s="36" t="s">
        <v>2655</v>
      </c>
      <c r="D790" s="76"/>
      <c r="E790" s="37" t="str">
        <f>IF(Table5[[#This Row],[Query Date]]&lt;&gt;"", TEXT(Table5[[#This Row],[Query Date]], "dddd"), "")</f>
        <v/>
      </c>
      <c r="F790" s="37" t="str">
        <f>IF(Table5[[#This Row],[Query Date]]&lt;&gt;"", TEXT(Table5[[#This Row],[Query Date]], "mmmm"), "")</f>
        <v/>
      </c>
      <c r="G790" s="28"/>
      <c r="H790" s="28"/>
      <c r="I790" s="28"/>
      <c r="J790" s="28"/>
      <c r="K790" s="28"/>
      <c r="L790" s="25"/>
      <c r="M790" s="25"/>
      <c r="N790" s="25"/>
      <c r="O790" s="130"/>
      <c r="P790" s="47"/>
      <c r="Q790" s="77"/>
      <c r="R790" s="77" t="str">
        <f>IF(Table5[[#This Row],[Tour Starting Date]]&lt;&gt;"", TEXT(Table5[[#This Row],[Tour Starting Date]], "dddd"), "")</f>
        <v/>
      </c>
      <c r="S790" s="77"/>
      <c r="T790" s="25" t="str">
        <f>IF(Table5[[#This Row],[Tour Ending Date]]&lt;&gt;"", TEXT(Table5[[#This Row],[Tour Ending Date]], "dddd"), "")</f>
        <v/>
      </c>
      <c r="U79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90" s="37" t="str">
        <f>IF(Table5[[#This Row],[Tour Starting Date]]&lt;&gt;"", TEXT(Table5[[#This Row],[Tour Starting Date]], "mmmm"), "")</f>
        <v/>
      </c>
      <c r="W790" s="80" t="str" cm="1">
        <f t="array" ref="W790">IF(Q790&lt;&gt;"", INDEX(CI:CI, MATCH(1, (Q790&gt;=CG:CG)*(Q790&lt;=CH:CH), 0)), "")</f>
        <v/>
      </c>
      <c r="X790" s="39"/>
      <c r="Y790" s="74"/>
      <c r="Z790" s="74" t="str">
        <f>IF(OR(Table5[[#This Row],[Per Person Package Cost]]="", Table5[[#This Row],[No. of Pax]]=""), "", Table5[[#This Row],[Per Person Package Cost]] * Table5[[#This Row],[No. of Pax]])</f>
        <v/>
      </c>
      <c r="AA790" s="52"/>
      <c r="AB790" s="52"/>
      <c r="AC790" s="52"/>
      <c r="AD790" s="52"/>
      <c r="AE790" s="51" t="str">
        <f t="shared" si="73"/>
        <v/>
      </c>
      <c r="AF790" s="51" t="str">
        <f t="shared" si="74"/>
        <v/>
      </c>
      <c r="AG790" s="74" t="str">
        <f t="shared" si="75"/>
        <v/>
      </c>
      <c r="AH790" s="73" t="str">
        <f t="shared" si="76"/>
        <v/>
      </c>
      <c r="AI790" s="52"/>
      <c r="AJ790" s="56"/>
      <c r="AK790" s="59"/>
      <c r="AL790" s="60"/>
      <c r="AM790" s="54"/>
      <c r="AN790" s="64"/>
      <c r="AO790" s="26"/>
      <c r="AP790" s="93"/>
      <c r="AQ790" s="87"/>
      <c r="AR790" s="26"/>
      <c r="AS790" s="65"/>
      <c r="AT790" s="88"/>
      <c r="AU790" s="67"/>
      <c r="DA790" t="str" cm="1">
        <f t="array" ref="DA790">IF(U790&lt;&gt;"", TRANSPOSE(_xlfn._xlws.FILTER(CZ:CZ, CY:CY=U790, "")), "")</f>
        <v/>
      </c>
    </row>
    <row r="791" spans="2:105">
      <c r="B791" s="35">
        <v>787</v>
      </c>
      <c r="C791" s="36" t="s">
        <v>2656</v>
      </c>
      <c r="D791" s="76"/>
      <c r="E791" s="37" t="str">
        <f>IF(Table5[[#This Row],[Query Date]]&lt;&gt;"", TEXT(Table5[[#This Row],[Query Date]], "dddd"), "")</f>
        <v/>
      </c>
      <c r="F791" s="37" t="str">
        <f>IF(Table5[[#This Row],[Query Date]]&lt;&gt;"", TEXT(Table5[[#This Row],[Query Date]], "mmmm"), "")</f>
        <v/>
      </c>
      <c r="G791" s="28"/>
      <c r="H791" s="28"/>
      <c r="I791" s="28"/>
      <c r="J791" s="28"/>
      <c r="K791" s="28"/>
      <c r="L791" s="25"/>
      <c r="M791" s="25"/>
      <c r="N791" s="25"/>
      <c r="O791" s="130"/>
      <c r="P791" s="47"/>
      <c r="Q791" s="77"/>
      <c r="R791" s="77" t="str">
        <f>IF(Table5[[#This Row],[Tour Starting Date]]&lt;&gt;"", TEXT(Table5[[#This Row],[Tour Starting Date]], "dddd"), "")</f>
        <v/>
      </c>
      <c r="S791" s="77"/>
      <c r="T791" s="25" t="str">
        <f>IF(Table5[[#This Row],[Tour Ending Date]]&lt;&gt;"", TEXT(Table5[[#This Row],[Tour Ending Date]], "dddd"), "")</f>
        <v/>
      </c>
      <c r="U79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91" s="37" t="str">
        <f>IF(Table5[[#This Row],[Tour Starting Date]]&lt;&gt;"", TEXT(Table5[[#This Row],[Tour Starting Date]], "mmmm"), "")</f>
        <v/>
      </c>
      <c r="W791" s="80" t="str" cm="1">
        <f t="array" ref="W791">IF(Q791&lt;&gt;"", INDEX(CI:CI, MATCH(1, (Q791&gt;=CG:CG)*(Q791&lt;=CH:CH), 0)), "")</f>
        <v/>
      </c>
      <c r="X791" s="39"/>
      <c r="Y791" s="74"/>
      <c r="Z791" s="74" t="str">
        <f>IF(OR(Table5[[#This Row],[Per Person Package Cost]]="", Table5[[#This Row],[No. of Pax]]=""), "", Table5[[#This Row],[Per Person Package Cost]] * Table5[[#This Row],[No. of Pax]])</f>
        <v/>
      </c>
      <c r="AA791" s="52"/>
      <c r="AB791" s="52"/>
      <c r="AC791" s="52"/>
      <c r="AD791" s="52"/>
      <c r="AE791" s="51" t="str">
        <f t="shared" si="73"/>
        <v/>
      </c>
      <c r="AF791" s="51" t="str">
        <f t="shared" si="74"/>
        <v/>
      </c>
      <c r="AG791" s="74" t="str">
        <f t="shared" si="75"/>
        <v/>
      </c>
      <c r="AH791" s="73" t="str">
        <f t="shared" si="76"/>
        <v/>
      </c>
      <c r="AI791" s="52"/>
      <c r="AJ791" s="56"/>
      <c r="AK791" s="59"/>
      <c r="AL791" s="60"/>
      <c r="AM791" s="54"/>
      <c r="AN791" s="64"/>
      <c r="AO791" s="26"/>
      <c r="AP791" s="93"/>
      <c r="AQ791" s="87"/>
      <c r="AR791" s="26"/>
      <c r="AS791" s="65"/>
      <c r="AT791" s="88"/>
      <c r="AU791" s="67"/>
      <c r="DA791" t="str" cm="1">
        <f t="array" ref="DA791">IF(U791&lt;&gt;"", TRANSPOSE(_xlfn._xlws.FILTER(CZ:CZ, CY:CY=U791, "")), "")</f>
        <v/>
      </c>
    </row>
    <row r="792" spans="2:105">
      <c r="B792" s="35">
        <v>788</v>
      </c>
      <c r="C792" s="36" t="s">
        <v>2657</v>
      </c>
      <c r="D792" s="76"/>
      <c r="E792" s="37" t="str">
        <f>IF(Table5[[#This Row],[Query Date]]&lt;&gt;"", TEXT(Table5[[#This Row],[Query Date]], "dddd"), "")</f>
        <v/>
      </c>
      <c r="F792" s="37" t="str">
        <f>IF(Table5[[#This Row],[Query Date]]&lt;&gt;"", TEXT(Table5[[#This Row],[Query Date]], "mmmm"), "")</f>
        <v/>
      </c>
      <c r="G792" s="28"/>
      <c r="H792" s="28"/>
      <c r="I792" s="28"/>
      <c r="J792" s="28"/>
      <c r="K792" s="28"/>
      <c r="L792" s="25"/>
      <c r="M792" s="25"/>
      <c r="N792" s="25"/>
      <c r="O792" s="130"/>
      <c r="P792" s="47"/>
      <c r="Q792" s="77"/>
      <c r="R792" s="77" t="str">
        <f>IF(Table5[[#This Row],[Tour Starting Date]]&lt;&gt;"", TEXT(Table5[[#This Row],[Tour Starting Date]], "dddd"), "")</f>
        <v/>
      </c>
      <c r="S792" s="77"/>
      <c r="T792" s="25" t="str">
        <f>IF(Table5[[#This Row],[Tour Ending Date]]&lt;&gt;"", TEXT(Table5[[#This Row],[Tour Ending Date]], "dddd"), "")</f>
        <v/>
      </c>
      <c r="U79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92" s="37" t="str">
        <f>IF(Table5[[#This Row],[Tour Starting Date]]&lt;&gt;"", TEXT(Table5[[#This Row],[Tour Starting Date]], "mmmm"), "")</f>
        <v/>
      </c>
      <c r="W792" s="80" t="str" cm="1">
        <f t="array" ref="W792">IF(Q792&lt;&gt;"", INDEX(CI:CI, MATCH(1, (Q792&gt;=CG:CG)*(Q792&lt;=CH:CH), 0)), "")</f>
        <v/>
      </c>
      <c r="X792" s="39"/>
      <c r="Y792" s="74"/>
      <c r="Z792" s="74" t="str">
        <f>IF(OR(Table5[[#This Row],[Per Person Package Cost]]="", Table5[[#This Row],[No. of Pax]]=""), "", Table5[[#This Row],[Per Person Package Cost]] * Table5[[#This Row],[No. of Pax]])</f>
        <v/>
      </c>
      <c r="AA792" s="52"/>
      <c r="AB792" s="52"/>
      <c r="AC792" s="52"/>
      <c r="AD792" s="52"/>
      <c r="AE792" s="51" t="str">
        <f t="shared" si="73"/>
        <v/>
      </c>
      <c r="AF792" s="51" t="str">
        <f t="shared" si="74"/>
        <v/>
      </c>
      <c r="AG792" s="74" t="str">
        <f t="shared" si="75"/>
        <v/>
      </c>
      <c r="AH792" s="73" t="str">
        <f t="shared" si="76"/>
        <v/>
      </c>
      <c r="AI792" s="52"/>
      <c r="AJ792" s="56"/>
      <c r="AK792" s="59"/>
      <c r="AL792" s="60"/>
      <c r="AM792" s="54"/>
      <c r="AN792" s="64"/>
      <c r="AO792" s="26"/>
      <c r="AP792" s="93"/>
      <c r="AQ792" s="87"/>
      <c r="AR792" s="26"/>
      <c r="AS792" s="65"/>
      <c r="AT792" s="88"/>
      <c r="AU792" s="67"/>
      <c r="DA792" t="str" cm="1">
        <f t="array" ref="DA792">IF(U792&lt;&gt;"", TRANSPOSE(_xlfn._xlws.FILTER(CZ:CZ, CY:CY=U792, "")), "")</f>
        <v/>
      </c>
    </row>
    <row r="793" spans="2:105">
      <c r="B793" s="35">
        <v>789</v>
      </c>
      <c r="C793" s="36" t="s">
        <v>2658</v>
      </c>
      <c r="D793" s="76"/>
      <c r="E793" s="37" t="str">
        <f>IF(Table5[[#This Row],[Query Date]]&lt;&gt;"", TEXT(Table5[[#This Row],[Query Date]], "dddd"), "")</f>
        <v/>
      </c>
      <c r="F793" s="37" t="str">
        <f>IF(Table5[[#This Row],[Query Date]]&lt;&gt;"", TEXT(Table5[[#This Row],[Query Date]], "mmmm"), "")</f>
        <v/>
      </c>
      <c r="G793" s="28"/>
      <c r="H793" s="28"/>
      <c r="I793" s="28"/>
      <c r="J793" s="28"/>
      <c r="K793" s="28"/>
      <c r="L793" s="25"/>
      <c r="M793" s="25"/>
      <c r="N793" s="25"/>
      <c r="O793" s="130"/>
      <c r="P793" s="47"/>
      <c r="Q793" s="77"/>
      <c r="R793" s="77" t="str">
        <f>IF(Table5[[#This Row],[Tour Starting Date]]&lt;&gt;"", TEXT(Table5[[#This Row],[Tour Starting Date]], "dddd"), "")</f>
        <v/>
      </c>
      <c r="S793" s="77"/>
      <c r="T793" s="25" t="str">
        <f>IF(Table5[[#This Row],[Tour Ending Date]]&lt;&gt;"", TEXT(Table5[[#This Row],[Tour Ending Date]], "dddd"), "")</f>
        <v/>
      </c>
      <c r="U79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93" s="37" t="str">
        <f>IF(Table5[[#This Row],[Tour Starting Date]]&lt;&gt;"", TEXT(Table5[[#This Row],[Tour Starting Date]], "mmmm"), "")</f>
        <v/>
      </c>
      <c r="W793" s="80" t="str" cm="1">
        <f t="array" ref="W793">IF(Q793&lt;&gt;"", INDEX(CI:CI, MATCH(1, (Q793&gt;=CG:CG)*(Q793&lt;=CH:CH), 0)), "")</f>
        <v/>
      </c>
      <c r="X793" s="39"/>
      <c r="Y793" s="74"/>
      <c r="Z793" s="74" t="str">
        <f>IF(OR(Table5[[#This Row],[Per Person Package Cost]]="", Table5[[#This Row],[No. of Pax]]=""), "", Table5[[#This Row],[Per Person Package Cost]] * Table5[[#This Row],[No. of Pax]])</f>
        <v/>
      </c>
      <c r="AA793" s="52"/>
      <c r="AB793" s="52"/>
      <c r="AC793" s="52"/>
      <c r="AD793" s="52"/>
      <c r="AE793" s="51" t="str">
        <f t="shared" si="73"/>
        <v/>
      </c>
      <c r="AF793" s="51" t="str">
        <f t="shared" si="74"/>
        <v/>
      </c>
      <c r="AG793" s="74" t="str">
        <f t="shared" si="75"/>
        <v/>
      </c>
      <c r="AH793" s="73" t="str">
        <f t="shared" si="76"/>
        <v/>
      </c>
      <c r="AI793" s="52"/>
      <c r="AJ793" s="56"/>
      <c r="AK793" s="59"/>
      <c r="AL793" s="60"/>
      <c r="AM793" s="54"/>
      <c r="AN793" s="64"/>
      <c r="AO793" s="26"/>
      <c r="AP793" s="93"/>
      <c r="AQ793" s="87"/>
      <c r="AR793" s="26"/>
      <c r="AS793" s="65"/>
      <c r="AT793" s="88"/>
      <c r="AU793" s="67"/>
      <c r="DA793" t="str" cm="1">
        <f t="array" ref="DA793">IF(U793&lt;&gt;"", TRANSPOSE(_xlfn._xlws.FILTER(CZ:CZ, CY:CY=U793, "")), "")</f>
        <v/>
      </c>
    </row>
    <row r="794" spans="2:105">
      <c r="B794" s="35">
        <v>790</v>
      </c>
      <c r="C794" s="36" t="s">
        <v>2659</v>
      </c>
      <c r="D794" s="76"/>
      <c r="E794" s="37" t="str">
        <f>IF(Table5[[#This Row],[Query Date]]&lt;&gt;"", TEXT(Table5[[#This Row],[Query Date]], "dddd"), "")</f>
        <v/>
      </c>
      <c r="F794" s="37" t="str">
        <f>IF(Table5[[#This Row],[Query Date]]&lt;&gt;"", TEXT(Table5[[#This Row],[Query Date]], "mmmm"), "")</f>
        <v/>
      </c>
      <c r="G794" s="28"/>
      <c r="H794" s="28"/>
      <c r="I794" s="28"/>
      <c r="J794" s="28"/>
      <c r="K794" s="28"/>
      <c r="L794" s="25"/>
      <c r="M794" s="25"/>
      <c r="N794" s="25"/>
      <c r="O794" s="130"/>
      <c r="P794" s="47"/>
      <c r="Q794" s="77"/>
      <c r="R794" s="77" t="str">
        <f>IF(Table5[[#This Row],[Tour Starting Date]]&lt;&gt;"", TEXT(Table5[[#This Row],[Tour Starting Date]], "dddd"), "")</f>
        <v/>
      </c>
      <c r="S794" s="77"/>
      <c r="T794" s="25" t="str">
        <f>IF(Table5[[#This Row],[Tour Ending Date]]&lt;&gt;"", TEXT(Table5[[#This Row],[Tour Ending Date]], "dddd"), "")</f>
        <v/>
      </c>
      <c r="U79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94" s="37" t="str">
        <f>IF(Table5[[#This Row],[Tour Starting Date]]&lt;&gt;"", TEXT(Table5[[#This Row],[Tour Starting Date]], "mmmm"), "")</f>
        <v/>
      </c>
      <c r="W794" s="80" t="str" cm="1">
        <f t="array" ref="W794">IF(Q794&lt;&gt;"", INDEX(CI:CI, MATCH(1, (Q794&gt;=CG:CG)*(Q794&lt;=CH:CH), 0)), "")</f>
        <v/>
      </c>
      <c r="X794" s="39"/>
      <c r="Y794" s="74"/>
      <c r="Z794" s="74" t="str">
        <f>IF(OR(Table5[[#This Row],[Per Person Package Cost]]="", Table5[[#This Row],[No. of Pax]]=""), "", Table5[[#This Row],[Per Person Package Cost]] * Table5[[#This Row],[No. of Pax]])</f>
        <v/>
      </c>
      <c r="AA794" s="52"/>
      <c r="AB794" s="52"/>
      <c r="AC794" s="52"/>
      <c r="AD794" s="52"/>
      <c r="AE794" s="51" t="str">
        <f t="shared" si="73"/>
        <v/>
      </c>
      <c r="AF794" s="51" t="str">
        <f t="shared" si="74"/>
        <v/>
      </c>
      <c r="AG794" s="74" t="str">
        <f t="shared" si="75"/>
        <v/>
      </c>
      <c r="AH794" s="73" t="str">
        <f t="shared" si="76"/>
        <v/>
      </c>
      <c r="AI794" s="52"/>
      <c r="AJ794" s="56"/>
      <c r="AK794" s="59"/>
      <c r="AL794" s="60"/>
      <c r="AM794" s="54"/>
      <c r="AN794" s="64"/>
      <c r="AO794" s="26"/>
      <c r="AP794" s="93"/>
      <c r="AQ794" s="87"/>
      <c r="AR794" s="26"/>
      <c r="AS794" s="65"/>
      <c r="AT794" s="88"/>
      <c r="AU794" s="67"/>
      <c r="DA794" t="str" cm="1">
        <f t="array" ref="DA794">IF(U794&lt;&gt;"", TRANSPOSE(_xlfn._xlws.FILTER(CZ:CZ, CY:CY=U794, "")), "")</f>
        <v/>
      </c>
    </row>
    <row r="795" spans="2:105">
      <c r="B795" s="35">
        <v>791</v>
      </c>
      <c r="C795" s="36" t="s">
        <v>2660</v>
      </c>
      <c r="D795" s="76"/>
      <c r="E795" s="37" t="str">
        <f>IF(Table5[[#This Row],[Query Date]]&lt;&gt;"", TEXT(Table5[[#This Row],[Query Date]], "dddd"), "")</f>
        <v/>
      </c>
      <c r="F795" s="37" t="str">
        <f>IF(Table5[[#This Row],[Query Date]]&lt;&gt;"", TEXT(Table5[[#This Row],[Query Date]], "mmmm"), "")</f>
        <v/>
      </c>
      <c r="G795" s="28"/>
      <c r="H795" s="28"/>
      <c r="I795" s="28"/>
      <c r="J795" s="28"/>
      <c r="K795" s="28"/>
      <c r="L795" s="25"/>
      <c r="M795" s="25"/>
      <c r="N795" s="25"/>
      <c r="O795" s="130"/>
      <c r="P795" s="47"/>
      <c r="Q795" s="77"/>
      <c r="R795" s="77" t="str">
        <f>IF(Table5[[#This Row],[Tour Starting Date]]&lt;&gt;"", TEXT(Table5[[#This Row],[Tour Starting Date]], "dddd"), "")</f>
        <v/>
      </c>
      <c r="S795" s="77"/>
      <c r="T795" s="25" t="str">
        <f>IF(Table5[[#This Row],[Tour Ending Date]]&lt;&gt;"", TEXT(Table5[[#This Row],[Tour Ending Date]], "dddd"), "")</f>
        <v/>
      </c>
      <c r="U79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95" s="37" t="str">
        <f>IF(Table5[[#This Row],[Tour Starting Date]]&lt;&gt;"", TEXT(Table5[[#This Row],[Tour Starting Date]], "mmmm"), "")</f>
        <v/>
      </c>
      <c r="W795" s="80" t="str" cm="1">
        <f t="array" ref="W795">IF(Q795&lt;&gt;"", INDEX(CI:CI, MATCH(1, (Q795&gt;=CG:CG)*(Q795&lt;=CH:CH), 0)), "")</f>
        <v/>
      </c>
      <c r="X795" s="39"/>
      <c r="Y795" s="74"/>
      <c r="Z795" s="74" t="str">
        <f>IF(OR(Table5[[#This Row],[Per Person Package Cost]]="", Table5[[#This Row],[No. of Pax]]=""), "", Table5[[#This Row],[Per Person Package Cost]] * Table5[[#This Row],[No. of Pax]])</f>
        <v/>
      </c>
      <c r="AA795" s="52"/>
      <c r="AB795" s="52"/>
      <c r="AC795" s="52"/>
      <c r="AD795" s="52"/>
      <c r="AE795" s="51" t="str">
        <f t="shared" si="73"/>
        <v/>
      </c>
      <c r="AF795" s="51" t="str">
        <f t="shared" si="74"/>
        <v/>
      </c>
      <c r="AG795" s="74" t="str">
        <f t="shared" si="75"/>
        <v/>
      </c>
      <c r="AH795" s="73" t="str">
        <f t="shared" si="76"/>
        <v/>
      </c>
      <c r="AI795" s="52"/>
      <c r="AJ795" s="56"/>
      <c r="AK795" s="59"/>
      <c r="AL795" s="60"/>
      <c r="AM795" s="54"/>
      <c r="AN795" s="64"/>
      <c r="AO795" s="26"/>
      <c r="AP795" s="93"/>
      <c r="AQ795" s="87"/>
      <c r="AR795" s="26"/>
      <c r="AS795" s="65"/>
      <c r="AT795" s="88"/>
      <c r="AU795" s="67"/>
      <c r="DA795" t="str" cm="1">
        <f t="array" ref="DA795">IF(U795&lt;&gt;"", TRANSPOSE(_xlfn._xlws.FILTER(CZ:CZ, CY:CY=U795, "")), "")</f>
        <v/>
      </c>
    </row>
    <row r="796" spans="2:105">
      <c r="B796" s="35">
        <v>792</v>
      </c>
      <c r="C796" s="36" t="s">
        <v>2661</v>
      </c>
      <c r="D796" s="76"/>
      <c r="E796" s="37" t="str">
        <f>IF(Table5[[#This Row],[Query Date]]&lt;&gt;"", TEXT(Table5[[#This Row],[Query Date]], "dddd"), "")</f>
        <v/>
      </c>
      <c r="F796" s="37" t="str">
        <f>IF(Table5[[#This Row],[Query Date]]&lt;&gt;"", TEXT(Table5[[#This Row],[Query Date]], "mmmm"), "")</f>
        <v/>
      </c>
      <c r="G796" s="28"/>
      <c r="H796" s="28"/>
      <c r="I796" s="28"/>
      <c r="J796" s="28"/>
      <c r="K796" s="28"/>
      <c r="L796" s="25"/>
      <c r="M796" s="25"/>
      <c r="N796" s="25"/>
      <c r="O796" s="130"/>
      <c r="P796" s="47"/>
      <c r="Q796" s="77"/>
      <c r="R796" s="77" t="str">
        <f>IF(Table5[[#This Row],[Tour Starting Date]]&lt;&gt;"", TEXT(Table5[[#This Row],[Tour Starting Date]], "dddd"), "")</f>
        <v/>
      </c>
      <c r="S796" s="77"/>
      <c r="T796" s="25" t="str">
        <f>IF(Table5[[#This Row],[Tour Ending Date]]&lt;&gt;"", TEXT(Table5[[#This Row],[Tour Ending Date]], "dddd"), "")</f>
        <v/>
      </c>
      <c r="U79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96" s="37" t="str">
        <f>IF(Table5[[#This Row],[Tour Starting Date]]&lt;&gt;"", TEXT(Table5[[#This Row],[Tour Starting Date]], "mmmm"), "")</f>
        <v/>
      </c>
      <c r="W796" s="80" t="str" cm="1">
        <f t="array" ref="W796">IF(Q796&lt;&gt;"", INDEX(CI:CI, MATCH(1, (Q796&gt;=CG:CG)*(Q796&lt;=CH:CH), 0)), "")</f>
        <v/>
      </c>
      <c r="X796" s="39"/>
      <c r="Y796" s="74"/>
      <c r="Z796" s="74" t="str">
        <f>IF(OR(Table5[[#This Row],[Per Person Package Cost]]="", Table5[[#This Row],[No. of Pax]]=""), "", Table5[[#This Row],[Per Person Package Cost]] * Table5[[#This Row],[No. of Pax]])</f>
        <v/>
      </c>
      <c r="AA796" s="52"/>
      <c r="AB796" s="52"/>
      <c r="AC796" s="52"/>
      <c r="AD796" s="52"/>
      <c r="AE796" s="51" t="str">
        <f t="shared" si="73"/>
        <v/>
      </c>
      <c r="AF796" s="51" t="str">
        <f t="shared" si="74"/>
        <v/>
      </c>
      <c r="AG796" s="74" t="str">
        <f t="shared" si="75"/>
        <v/>
      </c>
      <c r="AH796" s="73" t="str">
        <f t="shared" si="76"/>
        <v/>
      </c>
      <c r="AI796" s="52"/>
      <c r="AJ796" s="56"/>
      <c r="AK796" s="59"/>
      <c r="AL796" s="60"/>
      <c r="AM796" s="54"/>
      <c r="AN796" s="64"/>
      <c r="AO796" s="26"/>
      <c r="AP796" s="93"/>
      <c r="AQ796" s="87"/>
      <c r="AR796" s="26"/>
      <c r="AS796" s="65"/>
      <c r="AT796" s="88"/>
      <c r="AU796" s="67"/>
      <c r="DA796" t="str" cm="1">
        <f t="array" ref="DA796">IF(U796&lt;&gt;"", TRANSPOSE(_xlfn._xlws.FILTER(CZ:CZ, CY:CY=U796, "")), "")</f>
        <v/>
      </c>
    </row>
    <row r="797" spans="2:105">
      <c r="B797" s="35">
        <v>793</v>
      </c>
      <c r="C797" s="36" t="s">
        <v>2662</v>
      </c>
      <c r="D797" s="76"/>
      <c r="E797" s="37" t="str">
        <f>IF(Table5[[#This Row],[Query Date]]&lt;&gt;"", TEXT(Table5[[#This Row],[Query Date]], "dddd"), "")</f>
        <v/>
      </c>
      <c r="F797" s="37" t="str">
        <f>IF(Table5[[#This Row],[Query Date]]&lt;&gt;"", TEXT(Table5[[#This Row],[Query Date]], "mmmm"), "")</f>
        <v/>
      </c>
      <c r="G797" s="28"/>
      <c r="H797" s="28"/>
      <c r="I797" s="28"/>
      <c r="J797" s="28"/>
      <c r="K797" s="28"/>
      <c r="L797" s="25"/>
      <c r="M797" s="25"/>
      <c r="N797" s="25"/>
      <c r="O797" s="130"/>
      <c r="P797" s="47"/>
      <c r="Q797" s="77"/>
      <c r="R797" s="77" t="str">
        <f>IF(Table5[[#This Row],[Tour Starting Date]]&lt;&gt;"", TEXT(Table5[[#This Row],[Tour Starting Date]], "dddd"), "")</f>
        <v/>
      </c>
      <c r="S797" s="77"/>
      <c r="T797" s="25" t="str">
        <f>IF(Table5[[#This Row],[Tour Ending Date]]&lt;&gt;"", TEXT(Table5[[#This Row],[Tour Ending Date]], "dddd"), "")</f>
        <v/>
      </c>
      <c r="U79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97" s="37" t="str">
        <f>IF(Table5[[#This Row],[Tour Starting Date]]&lt;&gt;"", TEXT(Table5[[#This Row],[Tour Starting Date]], "mmmm"), "")</f>
        <v/>
      </c>
      <c r="W797" s="80" t="str" cm="1">
        <f t="array" ref="W797">IF(Q797&lt;&gt;"", INDEX(CI:CI, MATCH(1, (Q797&gt;=CG:CG)*(Q797&lt;=CH:CH), 0)), "")</f>
        <v/>
      </c>
      <c r="X797" s="39"/>
      <c r="Y797" s="74"/>
      <c r="Z797" s="74" t="str">
        <f>IF(OR(Table5[[#This Row],[Per Person Package Cost]]="", Table5[[#This Row],[No. of Pax]]=""), "", Table5[[#This Row],[Per Person Package Cost]] * Table5[[#This Row],[No. of Pax]])</f>
        <v/>
      </c>
      <c r="AA797" s="52"/>
      <c r="AB797" s="52"/>
      <c r="AC797" s="52"/>
      <c r="AD797" s="52"/>
      <c r="AE797" s="51" t="str">
        <f t="shared" si="73"/>
        <v/>
      </c>
      <c r="AF797" s="51" t="str">
        <f t="shared" si="74"/>
        <v/>
      </c>
      <c r="AG797" s="74" t="str">
        <f t="shared" si="75"/>
        <v/>
      </c>
      <c r="AH797" s="73" t="str">
        <f t="shared" si="76"/>
        <v/>
      </c>
      <c r="AI797" s="52"/>
      <c r="AJ797" s="56"/>
      <c r="AK797" s="59"/>
      <c r="AL797" s="60"/>
      <c r="AM797" s="54"/>
      <c r="AN797" s="64"/>
      <c r="AO797" s="26"/>
      <c r="AP797" s="93"/>
      <c r="AQ797" s="87"/>
      <c r="AR797" s="26"/>
      <c r="AS797" s="65"/>
      <c r="AT797" s="88"/>
      <c r="AU797" s="67"/>
      <c r="DA797" t="str" cm="1">
        <f t="array" ref="DA797">IF(U797&lt;&gt;"", TRANSPOSE(_xlfn._xlws.FILTER(CZ:CZ, CY:CY=U797, "")), "")</f>
        <v/>
      </c>
    </row>
    <row r="798" spans="2:105">
      <c r="B798" s="35">
        <v>794</v>
      </c>
      <c r="C798" s="36" t="s">
        <v>2663</v>
      </c>
      <c r="D798" s="76"/>
      <c r="E798" s="37" t="str">
        <f>IF(Table5[[#This Row],[Query Date]]&lt;&gt;"", TEXT(Table5[[#This Row],[Query Date]], "dddd"), "")</f>
        <v/>
      </c>
      <c r="F798" s="37" t="str">
        <f>IF(Table5[[#This Row],[Query Date]]&lt;&gt;"", TEXT(Table5[[#This Row],[Query Date]], "mmmm"), "")</f>
        <v/>
      </c>
      <c r="G798" s="28"/>
      <c r="H798" s="28"/>
      <c r="I798" s="28"/>
      <c r="J798" s="28"/>
      <c r="K798" s="28"/>
      <c r="L798" s="25"/>
      <c r="M798" s="25"/>
      <c r="N798" s="25"/>
      <c r="O798" s="130"/>
      <c r="P798" s="47"/>
      <c r="Q798" s="77"/>
      <c r="R798" s="77" t="str">
        <f>IF(Table5[[#This Row],[Tour Starting Date]]&lt;&gt;"", TEXT(Table5[[#This Row],[Tour Starting Date]], "dddd"), "")</f>
        <v/>
      </c>
      <c r="S798" s="77"/>
      <c r="T798" s="25" t="str">
        <f>IF(Table5[[#This Row],[Tour Ending Date]]&lt;&gt;"", TEXT(Table5[[#This Row],[Tour Ending Date]], "dddd"), "")</f>
        <v/>
      </c>
      <c r="U79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98" s="37" t="str">
        <f>IF(Table5[[#This Row],[Tour Starting Date]]&lt;&gt;"", TEXT(Table5[[#This Row],[Tour Starting Date]], "mmmm"), "")</f>
        <v/>
      </c>
      <c r="W798" s="80" t="str" cm="1">
        <f t="array" ref="W798">IF(Q798&lt;&gt;"", INDEX(CI:CI, MATCH(1, (Q798&gt;=CG:CG)*(Q798&lt;=CH:CH), 0)), "")</f>
        <v/>
      </c>
      <c r="X798" s="39"/>
      <c r="Y798" s="74"/>
      <c r="Z798" s="74" t="str">
        <f>IF(OR(Table5[[#This Row],[Per Person Package Cost]]="", Table5[[#This Row],[No. of Pax]]=""), "", Table5[[#This Row],[Per Person Package Cost]] * Table5[[#This Row],[No. of Pax]])</f>
        <v/>
      </c>
      <c r="AA798" s="52"/>
      <c r="AB798" s="52"/>
      <c r="AC798" s="52"/>
      <c r="AD798" s="52"/>
      <c r="AE798" s="51" t="str">
        <f t="shared" si="73"/>
        <v/>
      </c>
      <c r="AF798" s="51" t="str">
        <f t="shared" si="74"/>
        <v/>
      </c>
      <c r="AG798" s="74" t="str">
        <f t="shared" si="75"/>
        <v/>
      </c>
      <c r="AH798" s="73" t="str">
        <f t="shared" si="76"/>
        <v/>
      </c>
      <c r="AI798" s="52"/>
      <c r="AJ798" s="56"/>
      <c r="AK798" s="59"/>
      <c r="AL798" s="60"/>
      <c r="AM798" s="54"/>
      <c r="AN798" s="64"/>
      <c r="AO798" s="26"/>
      <c r="AP798" s="93"/>
      <c r="AQ798" s="87"/>
      <c r="AR798" s="26"/>
      <c r="AS798" s="65"/>
      <c r="AT798" s="88"/>
      <c r="AU798" s="67"/>
      <c r="DA798" t="str" cm="1">
        <f t="array" ref="DA798">IF(U798&lt;&gt;"", TRANSPOSE(_xlfn._xlws.FILTER(CZ:CZ, CY:CY=U798, "")), "")</f>
        <v/>
      </c>
    </row>
    <row r="799" spans="2:105">
      <c r="B799" s="35">
        <v>795</v>
      </c>
      <c r="C799" s="36" t="s">
        <v>2664</v>
      </c>
      <c r="D799" s="76"/>
      <c r="E799" s="37" t="str">
        <f>IF(Table5[[#This Row],[Query Date]]&lt;&gt;"", TEXT(Table5[[#This Row],[Query Date]], "dddd"), "")</f>
        <v/>
      </c>
      <c r="F799" s="37" t="str">
        <f>IF(Table5[[#This Row],[Query Date]]&lt;&gt;"", TEXT(Table5[[#This Row],[Query Date]], "mmmm"), "")</f>
        <v/>
      </c>
      <c r="G799" s="28"/>
      <c r="H799" s="28"/>
      <c r="I799" s="28"/>
      <c r="J799" s="28"/>
      <c r="K799" s="28"/>
      <c r="L799" s="25"/>
      <c r="M799" s="25"/>
      <c r="N799" s="25"/>
      <c r="O799" s="130"/>
      <c r="P799" s="47"/>
      <c r="Q799" s="77"/>
      <c r="R799" s="77" t="str">
        <f>IF(Table5[[#This Row],[Tour Starting Date]]&lt;&gt;"", TEXT(Table5[[#This Row],[Tour Starting Date]], "dddd"), "")</f>
        <v/>
      </c>
      <c r="S799" s="77"/>
      <c r="T799" s="25" t="str">
        <f>IF(Table5[[#This Row],[Tour Ending Date]]&lt;&gt;"", TEXT(Table5[[#This Row],[Tour Ending Date]], "dddd"), "")</f>
        <v/>
      </c>
      <c r="U79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799" s="37" t="str">
        <f>IF(Table5[[#This Row],[Tour Starting Date]]&lt;&gt;"", TEXT(Table5[[#This Row],[Tour Starting Date]], "mmmm"), "")</f>
        <v/>
      </c>
      <c r="W799" s="80" t="str" cm="1">
        <f t="array" ref="W799">IF(Q799&lt;&gt;"", INDEX(CI:CI, MATCH(1, (Q799&gt;=CG:CG)*(Q799&lt;=CH:CH), 0)), "")</f>
        <v/>
      </c>
      <c r="X799" s="39"/>
      <c r="Y799" s="74"/>
      <c r="Z799" s="74" t="str">
        <f>IF(OR(Table5[[#This Row],[Per Person Package Cost]]="", Table5[[#This Row],[No. of Pax]]=""), "", Table5[[#This Row],[Per Person Package Cost]] * Table5[[#This Row],[No. of Pax]])</f>
        <v/>
      </c>
      <c r="AA799" s="52"/>
      <c r="AB799" s="52"/>
      <c r="AC799" s="52"/>
      <c r="AD799" s="52"/>
      <c r="AE799" s="51" t="str">
        <f t="shared" si="73"/>
        <v/>
      </c>
      <c r="AF799" s="51" t="str">
        <f t="shared" si="74"/>
        <v/>
      </c>
      <c r="AG799" s="74" t="str">
        <f t="shared" si="75"/>
        <v/>
      </c>
      <c r="AH799" s="73" t="str">
        <f t="shared" si="76"/>
        <v/>
      </c>
      <c r="AI799" s="52"/>
      <c r="AJ799" s="56"/>
      <c r="AK799" s="59"/>
      <c r="AL799" s="60"/>
      <c r="AM799" s="54"/>
      <c r="AN799" s="64"/>
      <c r="AO799" s="26"/>
      <c r="AP799" s="93"/>
      <c r="AQ799" s="87"/>
      <c r="AR799" s="26"/>
      <c r="AS799" s="65"/>
      <c r="AT799" s="88"/>
      <c r="AU799" s="67"/>
      <c r="DA799" t="str" cm="1">
        <f t="array" ref="DA799">IF(U799&lt;&gt;"", TRANSPOSE(_xlfn._xlws.FILTER(CZ:CZ, CY:CY=U799, "")), "")</f>
        <v/>
      </c>
    </row>
    <row r="800" spans="2:105">
      <c r="B800" s="35">
        <v>796</v>
      </c>
      <c r="C800" s="36" t="s">
        <v>2665</v>
      </c>
      <c r="D800" s="76"/>
      <c r="E800" s="37" t="str">
        <f>IF(Table5[[#This Row],[Query Date]]&lt;&gt;"", TEXT(Table5[[#This Row],[Query Date]], "dddd"), "")</f>
        <v/>
      </c>
      <c r="F800" s="37" t="str">
        <f>IF(Table5[[#This Row],[Query Date]]&lt;&gt;"", TEXT(Table5[[#This Row],[Query Date]], "mmmm"), "")</f>
        <v/>
      </c>
      <c r="G800" s="28"/>
      <c r="H800" s="28"/>
      <c r="I800" s="28"/>
      <c r="J800" s="28"/>
      <c r="K800" s="28"/>
      <c r="L800" s="25"/>
      <c r="M800" s="25"/>
      <c r="N800" s="25"/>
      <c r="O800" s="130"/>
      <c r="P800" s="47"/>
      <c r="Q800" s="77"/>
      <c r="R800" s="77" t="str">
        <f>IF(Table5[[#This Row],[Tour Starting Date]]&lt;&gt;"", TEXT(Table5[[#This Row],[Tour Starting Date]], "dddd"), "")</f>
        <v/>
      </c>
      <c r="S800" s="77"/>
      <c r="T800" s="25" t="str">
        <f>IF(Table5[[#This Row],[Tour Ending Date]]&lt;&gt;"", TEXT(Table5[[#This Row],[Tour Ending Date]], "dddd"), "")</f>
        <v/>
      </c>
      <c r="U80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00" s="37" t="str">
        <f>IF(Table5[[#This Row],[Tour Starting Date]]&lt;&gt;"", TEXT(Table5[[#This Row],[Tour Starting Date]], "mmmm"), "")</f>
        <v/>
      </c>
      <c r="W800" s="80" t="str" cm="1">
        <f t="array" ref="W800">IF(Q800&lt;&gt;"", INDEX(CI:CI, MATCH(1, (Q800&gt;=CG:CG)*(Q800&lt;=CH:CH), 0)), "")</f>
        <v/>
      </c>
      <c r="X800" s="39"/>
      <c r="Y800" s="74"/>
      <c r="Z800" s="74" t="str">
        <f>IF(OR(Table5[[#This Row],[Per Person Package Cost]]="", Table5[[#This Row],[No. of Pax]]=""), "", Table5[[#This Row],[Per Person Package Cost]] * Table5[[#This Row],[No. of Pax]])</f>
        <v/>
      </c>
      <c r="AA800" s="52"/>
      <c r="AB800" s="52"/>
      <c r="AC800" s="52"/>
      <c r="AD800" s="52"/>
      <c r="AE800" s="51" t="str">
        <f t="shared" si="73"/>
        <v/>
      </c>
      <c r="AF800" s="51" t="str">
        <f t="shared" si="74"/>
        <v/>
      </c>
      <c r="AG800" s="74" t="str">
        <f t="shared" si="75"/>
        <v/>
      </c>
      <c r="AH800" s="73" t="str">
        <f t="shared" si="76"/>
        <v/>
      </c>
      <c r="AI800" s="52"/>
      <c r="AJ800" s="56"/>
      <c r="AK800" s="59"/>
      <c r="AL800" s="60"/>
      <c r="AM800" s="54"/>
      <c r="AN800" s="64"/>
      <c r="AO800" s="26"/>
      <c r="AP800" s="93"/>
      <c r="AQ800" s="87"/>
      <c r="AR800" s="26"/>
      <c r="AS800" s="65"/>
      <c r="AT800" s="88"/>
      <c r="AU800" s="67"/>
      <c r="DA800" t="str" cm="1">
        <f t="array" ref="DA800">IF(U800&lt;&gt;"", TRANSPOSE(_xlfn._xlws.FILTER(CZ:CZ, CY:CY=U800, "")), "")</f>
        <v/>
      </c>
    </row>
    <row r="801" spans="2:105">
      <c r="B801" s="35">
        <v>797</v>
      </c>
      <c r="C801" s="36" t="s">
        <v>2666</v>
      </c>
      <c r="D801" s="76"/>
      <c r="E801" s="37" t="str">
        <f>IF(Table5[[#This Row],[Query Date]]&lt;&gt;"", TEXT(Table5[[#This Row],[Query Date]], "dddd"), "")</f>
        <v/>
      </c>
      <c r="F801" s="37" t="str">
        <f>IF(Table5[[#This Row],[Query Date]]&lt;&gt;"", TEXT(Table5[[#This Row],[Query Date]], "mmmm"), "")</f>
        <v/>
      </c>
      <c r="G801" s="28"/>
      <c r="H801" s="28"/>
      <c r="I801" s="28"/>
      <c r="J801" s="28"/>
      <c r="K801" s="28"/>
      <c r="L801" s="25"/>
      <c r="M801" s="25"/>
      <c r="N801" s="25"/>
      <c r="O801" s="130"/>
      <c r="P801" s="47"/>
      <c r="Q801" s="77"/>
      <c r="R801" s="77" t="str">
        <f>IF(Table5[[#This Row],[Tour Starting Date]]&lt;&gt;"", TEXT(Table5[[#This Row],[Tour Starting Date]], "dddd"), "")</f>
        <v/>
      </c>
      <c r="S801" s="77"/>
      <c r="T801" s="25" t="str">
        <f>IF(Table5[[#This Row],[Tour Ending Date]]&lt;&gt;"", TEXT(Table5[[#This Row],[Tour Ending Date]], "dddd"), "")</f>
        <v/>
      </c>
      <c r="U80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01" s="37" t="str">
        <f>IF(Table5[[#This Row],[Tour Starting Date]]&lt;&gt;"", TEXT(Table5[[#This Row],[Tour Starting Date]], "mmmm"), "")</f>
        <v/>
      </c>
      <c r="W801" s="80" t="str" cm="1">
        <f t="array" ref="W801">IF(Q801&lt;&gt;"", INDEX(CI:CI, MATCH(1, (Q801&gt;=CG:CG)*(Q801&lt;=CH:CH), 0)), "")</f>
        <v/>
      </c>
      <c r="X801" s="39"/>
      <c r="Y801" s="74"/>
      <c r="Z801" s="74" t="str">
        <f>IF(OR(Table5[[#This Row],[Per Person Package Cost]]="", Table5[[#This Row],[No. of Pax]]=""), "", Table5[[#This Row],[Per Person Package Cost]] * Table5[[#This Row],[No. of Pax]])</f>
        <v/>
      </c>
      <c r="AA801" s="52"/>
      <c r="AB801" s="52"/>
      <c r="AC801" s="52"/>
      <c r="AD801" s="52"/>
      <c r="AE801" s="51" t="str">
        <f t="shared" si="73"/>
        <v/>
      </c>
      <c r="AF801" s="51" t="str">
        <f t="shared" si="74"/>
        <v/>
      </c>
      <c r="AG801" s="74" t="str">
        <f t="shared" si="75"/>
        <v/>
      </c>
      <c r="AH801" s="73" t="str">
        <f t="shared" si="76"/>
        <v/>
      </c>
      <c r="AI801" s="52"/>
      <c r="AJ801" s="56"/>
      <c r="AK801" s="59"/>
      <c r="AL801" s="60"/>
      <c r="AM801" s="54"/>
      <c r="AN801" s="64"/>
      <c r="AO801" s="26"/>
      <c r="AP801" s="93"/>
      <c r="AQ801" s="87"/>
      <c r="AR801" s="26"/>
      <c r="AS801" s="65"/>
      <c r="AT801" s="88"/>
      <c r="AU801" s="67"/>
      <c r="DA801" t="str" cm="1">
        <f t="array" ref="DA801">IF(U801&lt;&gt;"", TRANSPOSE(_xlfn._xlws.FILTER(CZ:CZ, CY:CY=U801, "")), "")</f>
        <v/>
      </c>
    </row>
    <row r="802" spans="2:105">
      <c r="B802" s="35">
        <v>798</v>
      </c>
      <c r="C802" s="36" t="s">
        <v>2667</v>
      </c>
      <c r="D802" s="76"/>
      <c r="E802" s="37" t="str">
        <f>IF(Table5[[#This Row],[Query Date]]&lt;&gt;"", TEXT(Table5[[#This Row],[Query Date]], "dddd"), "")</f>
        <v/>
      </c>
      <c r="F802" s="37" t="str">
        <f>IF(Table5[[#This Row],[Query Date]]&lt;&gt;"", TEXT(Table5[[#This Row],[Query Date]], "mmmm"), "")</f>
        <v/>
      </c>
      <c r="G802" s="28"/>
      <c r="H802" s="28"/>
      <c r="I802" s="28"/>
      <c r="J802" s="28"/>
      <c r="K802" s="28"/>
      <c r="L802" s="25"/>
      <c r="M802" s="25"/>
      <c r="N802" s="25"/>
      <c r="O802" s="130"/>
      <c r="P802" s="47"/>
      <c r="Q802" s="77"/>
      <c r="R802" s="77" t="str">
        <f>IF(Table5[[#This Row],[Tour Starting Date]]&lt;&gt;"", TEXT(Table5[[#This Row],[Tour Starting Date]], "dddd"), "")</f>
        <v/>
      </c>
      <c r="S802" s="77"/>
      <c r="T802" s="25" t="str">
        <f>IF(Table5[[#This Row],[Tour Ending Date]]&lt;&gt;"", TEXT(Table5[[#This Row],[Tour Ending Date]], "dddd"), "")</f>
        <v/>
      </c>
      <c r="U80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02" s="37" t="str">
        <f>IF(Table5[[#This Row],[Tour Starting Date]]&lt;&gt;"", TEXT(Table5[[#This Row],[Tour Starting Date]], "mmmm"), "")</f>
        <v/>
      </c>
      <c r="W802" s="80" t="str" cm="1">
        <f t="array" ref="W802">IF(Q802&lt;&gt;"", INDEX(CI:CI, MATCH(1, (Q802&gt;=CG:CG)*(Q802&lt;=CH:CH), 0)), "")</f>
        <v/>
      </c>
      <c r="X802" s="39"/>
      <c r="Y802" s="74"/>
      <c r="Z802" s="74" t="str">
        <f>IF(OR(Table5[[#This Row],[Per Person Package Cost]]="", Table5[[#This Row],[No. of Pax]]=""), "", Table5[[#This Row],[Per Person Package Cost]] * Table5[[#This Row],[No. of Pax]])</f>
        <v/>
      </c>
      <c r="AA802" s="52"/>
      <c r="AB802" s="52"/>
      <c r="AC802" s="52"/>
      <c r="AD802" s="52"/>
      <c r="AE802" s="51" t="str">
        <f t="shared" si="73"/>
        <v/>
      </c>
      <c r="AF802" s="51" t="str">
        <f t="shared" si="74"/>
        <v/>
      </c>
      <c r="AG802" s="74" t="str">
        <f t="shared" si="75"/>
        <v/>
      </c>
      <c r="AH802" s="73" t="str">
        <f t="shared" si="76"/>
        <v/>
      </c>
      <c r="AI802" s="52"/>
      <c r="AJ802" s="56"/>
      <c r="AK802" s="59"/>
      <c r="AL802" s="60"/>
      <c r="AM802" s="54"/>
      <c r="AN802" s="64"/>
      <c r="AO802" s="26"/>
      <c r="AP802" s="93"/>
      <c r="AQ802" s="87"/>
      <c r="AR802" s="26"/>
      <c r="AS802" s="65"/>
      <c r="AT802" s="88"/>
      <c r="AU802" s="67"/>
      <c r="DA802" t="str" cm="1">
        <f t="array" ref="DA802">IF(U802&lt;&gt;"", TRANSPOSE(_xlfn._xlws.FILTER(CZ:CZ, CY:CY=U802, "")), "")</f>
        <v/>
      </c>
    </row>
    <row r="803" spans="2:105">
      <c r="B803" s="35">
        <v>799</v>
      </c>
      <c r="C803" s="36" t="s">
        <v>2668</v>
      </c>
      <c r="D803" s="76"/>
      <c r="E803" s="37" t="str">
        <f>IF(Table5[[#This Row],[Query Date]]&lt;&gt;"", TEXT(Table5[[#This Row],[Query Date]], "dddd"), "")</f>
        <v/>
      </c>
      <c r="F803" s="37" t="str">
        <f>IF(Table5[[#This Row],[Query Date]]&lt;&gt;"", TEXT(Table5[[#This Row],[Query Date]], "mmmm"), "")</f>
        <v/>
      </c>
      <c r="G803" s="28"/>
      <c r="H803" s="28"/>
      <c r="I803" s="28"/>
      <c r="J803" s="28"/>
      <c r="K803" s="28"/>
      <c r="L803" s="25"/>
      <c r="M803" s="25"/>
      <c r="N803" s="25"/>
      <c r="O803" s="130"/>
      <c r="P803" s="47"/>
      <c r="Q803" s="77"/>
      <c r="R803" s="77" t="str">
        <f>IF(Table5[[#This Row],[Tour Starting Date]]&lt;&gt;"", TEXT(Table5[[#This Row],[Tour Starting Date]], "dddd"), "")</f>
        <v/>
      </c>
      <c r="S803" s="77"/>
      <c r="T803" s="25" t="str">
        <f>IF(Table5[[#This Row],[Tour Ending Date]]&lt;&gt;"", TEXT(Table5[[#This Row],[Tour Ending Date]], "dddd"), "")</f>
        <v/>
      </c>
      <c r="U80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03" s="37" t="str">
        <f>IF(Table5[[#This Row],[Tour Starting Date]]&lt;&gt;"", TEXT(Table5[[#This Row],[Tour Starting Date]], "mmmm"), "")</f>
        <v/>
      </c>
      <c r="W803" s="80" t="str" cm="1">
        <f t="array" ref="W803">IF(Q803&lt;&gt;"", INDEX(CI:CI, MATCH(1, (Q803&gt;=CG:CG)*(Q803&lt;=CH:CH), 0)), "")</f>
        <v/>
      </c>
      <c r="X803" s="39"/>
      <c r="Y803" s="74"/>
      <c r="Z803" s="74" t="str">
        <f>IF(OR(Table5[[#This Row],[Per Person Package Cost]]="", Table5[[#This Row],[No. of Pax]]=""), "", Table5[[#This Row],[Per Person Package Cost]] * Table5[[#This Row],[No. of Pax]])</f>
        <v/>
      </c>
      <c r="AA803" s="52"/>
      <c r="AB803" s="52"/>
      <c r="AC803" s="52"/>
      <c r="AD803" s="52"/>
      <c r="AE803" s="51" t="str">
        <f t="shared" si="73"/>
        <v/>
      </c>
      <c r="AF803" s="51" t="str">
        <f t="shared" si="74"/>
        <v/>
      </c>
      <c r="AG803" s="74" t="str">
        <f t="shared" si="75"/>
        <v/>
      </c>
      <c r="AH803" s="73" t="str">
        <f t="shared" si="76"/>
        <v/>
      </c>
      <c r="AI803" s="52"/>
      <c r="AJ803" s="56"/>
      <c r="AK803" s="59"/>
      <c r="AL803" s="60"/>
      <c r="AM803" s="54"/>
      <c r="AN803" s="64"/>
      <c r="AO803" s="26"/>
      <c r="AP803" s="93"/>
      <c r="AQ803" s="87"/>
      <c r="AR803" s="26"/>
      <c r="AS803" s="65"/>
      <c r="AT803" s="88"/>
      <c r="AU803" s="67"/>
      <c r="DA803" t="str" cm="1">
        <f t="array" ref="DA803">IF(U803&lt;&gt;"", TRANSPOSE(_xlfn._xlws.FILTER(CZ:CZ, CY:CY=U803, "")), "")</f>
        <v/>
      </c>
    </row>
    <row r="804" spans="2:105">
      <c r="B804" s="35">
        <v>800</v>
      </c>
      <c r="C804" s="36" t="s">
        <v>2669</v>
      </c>
      <c r="D804" s="76"/>
      <c r="E804" s="37" t="str">
        <f>IF(Table5[[#This Row],[Query Date]]&lt;&gt;"", TEXT(Table5[[#This Row],[Query Date]], "dddd"), "")</f>
        <v/>
      </c>
      <c r="F804" s="37" t="str">
        <f>IF(Table5[[#This Row],[Query Date]]&lt;&gt;"", TEXT(Table5[[#This Row],[Query Date]], "mmmm"), "")</f>
        <v/>
      </c>
      <c r="G804" s="28"/>
      <c r="H804" s="28"/>
      <c r="I804" s="28"/>
      <c r="J804" s="28"/>
      <c r="K804" s="28"/>
      <c r="L804" s="25"/>
      <c r="M804" s="25"/>
      <c r="N804" s="25"/>
      <c r="O804" s="130"/>
      <c r="P804" s="47"/>
      <c r="Q804" s="77"/>
      <c r="R804" s="77" t="str">
        <f>IF(Table5[[#This Row],[Tour Starting Date]]&lt;&gt;"", TEXT(Table5[[#This Row],[Tour Starting Date]], "dddd"), "")</f>
        <v/>
      </c>
      <c r="S804" s="77"/>
      <c r="T804" s="25" t="str">
        <f>IF(Table5[[#This Row],[Tour Ending Date]]&lt;&gt;"", TEXT(Table5[[#This Row],[Tour Ending Date]], "dddd"), "")</f>
        <v/>
      </c>
      <c r="U80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04" s="37" t="str">
        <f>IF(Table5[[#This Row],[Tour Starting Date]]&lt;&gt;"", TEXT(Table5[[#This Row],[Tour Starting Date]], "mmmm"), "")</f>
        <v/>
      </c>
      <c r="W804" s="80" t="str" cm="1">
        <f t="array" ref="W804">IF(Q804&lt;&gt;"", INDEX(CI:CI, MATCH(1, (Q804&gt;=CG:CG)*(Q804&lt;=CH:CH), 0)), "")</f>
        <v/>
      </c>
      <c r="X804" s="39"/>
      <c r="Y804" s="74"/>
      <c r="Z804" s="74" t="str">
        <f>IF(OR(Table5[[#This Row],[Per Person Package Cost]]="", Table5[[#This Row],[No. of Pax]]=""), "", Table5[[#This Row],[Per Person Package Cost]] * Table5[[#This Row],[No. of Pax]])</f>
        <v/>
      </c>
      <c r="AA804" s="52"/>
      <c r="AB804" s="52"/>
      <c r="AC804" s="52"/>
      <c r="AD804" s="52"/>
      <c r="AE804" s="51" t="str">
        <f t="shared" si="73"/>
        <v/>
      </c>
      <c r="AF804" s="51" t="str">
        <f t="shared" si="74"/>
        <v/>
      </c>
      <c r="AG804" s="74" t="str">
        <f t="shared" si="75"/>
        <v/>
      </c>
      <c r="AH804" s="73" t="str">
        <f t="shared" si="76"/>
        <v/>
      </c>
      <c r="AI804" s="52"/>
      <c r="AJ804" s="56"/>
      <c r="AK804" s="59"/>
      <c r="AL804" s="60"/>
      <c r="AM804" s="54"/>
      <c r="AN804" s="64"/>
      <c r="AO804" s="26"/>
      <c r="AP804" s="93"/>
      <c r="AQ804" s="87"/>
      <c r="AR804" s="26"/>
      <c r="AS804" s="65"/>
      <c r="AT804" s="88"/>
      <c r="AU804" s="67"/>
      <c r="DA804" t="str" cm="1">
        <f t="array" ref="DA804">IF(U804&lt;&gt;"", TRANSPOSE(_xlfn._xlws.FILTER(CZ:CZ, CY:CY=U804, "")), "")</f>
        <v/>
      </c>
    </row>
    <row r="805" spans="2:105">
      <c r="B805" s="35">
        <v>801</v>
      </c>
      <c r="C805" s="36" t="s">
        <v>2670</v>
      </c>
      <c r="D805" s="76"/>
      <c r="E805" s="37" t="str">
        <f>IF(Table5[[#This Row],[Query Date]]&lt;&gt;"", TEXT(Table5[[#This Row],[Query Date]], "dddd"), "")</f>
        <v/>
      </c>
      <c r="F805" s="37" t="str">
        <f>IF(Table5[[#This Row],[Query Date]]&lt;&gt;"", TEXT(Table5[[#This Row],[Query Date]], "mmmm"), "")</f>
        <v/>
      </c>
      <c r="G805" s="28"/>
      <c r="H805" s="28"/>
      <c r="I805" s="28"/>
      <c r="J805" s="28"/>
      <c r="K805" s="28"/>
      <c r="L805" s="25"/>
      <c r="M805" s="25"/>
      <c r="N805" s="25"/>
      <c r="O805" s="130"/>
      <c r="P805" s="47"/>
      <c r="Q805" s="77"/>
      <c r="R805" s="77" t="str">
        <f>IF(Table5[[#This Row],[Tour Starting Date]]&lt;&gt;"", TEXT(Table5[[#This Row],[Tour Starting Date]], "dddd"), "")</f>
        <v/>
      </c>
      <c r="S805" s="77"/>
      <c r="T805" s="25" t="str">
        <f>IF(Table5[[#This Row],[Tour Ending Date]]&lt;&gt;"", TEXT(Table5[[#This Row],[Tour Ending Date]], "dddd"), "")</f>
        <v/>
      </c>
      <c r="U80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05" s="37" t="str">
        <f>IF(Table5[[#This Row],[Tour Starting Date]]&lt;&gt;"", TEXT(Table5[[#This Row],[Tour Starting Date]], "mmmm"), "")</f>
        <v/>
      </c>
      <c r="W805" s="80" t="str" cm="1">
        <f t="array" ref="W805">IF(Q805&lt;&gt;"", INDEX(CI:CI, MATCH(1, (Q805&gt;=CG:CG)*(Q805&lt;=CH:CH), 0)), "")</f>
        <v/>
      </c>
      <c r="X805" s="39"/>
      <c r="Y805" s="74"/>
      <c r="Z805" s="74" t="str">
        <f>IF(OR(Table5[[#This Row],[Per Person Package Cost]]="", Table5[[#This Row],[No. of Pax]]=""), "", Table5[[#This Row],[Per Person Package Cost]] * Table5[[#This Row],[No. of Pax]])</f>
        <v/>
      </c>
      <c r="AA805" s="52"/>
      <c r="AB805" s="52"/>
      <c r="AC805" s="52"/>
      <c r="AD805" s="52"/>
      <c r="AE805" s="51" t="str">
        <f t="shared" si="73"/>
        <v/>
      </c>
      <c r="AF805" s="51" t="str">
        <f t="shared" si="74"/>
        <v/>
      </c>
      <c r="AG805" s="74" t="str">
        <f t="shared" si="75"/>
        <v/>
      </c>
      <c r="AH805" s="73" t="str">
        <f t="shared" si="76"/>
        <v/>
      </c>
      <c r="AI805" s="52"/>
      <c r="AJ805" s="56"/>
      <c r="AK805" s="59"/>
      <c r="AL805" s="60"/>
      <c r="AM805" s="54"/>
      <c r="AN805" s="64"/>
      <c r="AO805" s="26"/>
      <c r="AP805" s="93"/>
      <c r="AQ805" s="87"/>
      <c r="AR805" s="26"/>
      <c r="AS805" s="65"/>
      <c r="AT805" s="88"/>
      <c r="AU805" s="67"/>
      <c r="DA805" t="str" cm="1">
        <f t="array" ref="DA805">IF(U805&lt;&gt;"", TRANSPOSE(_xlfn._xlws.FILTER(CZ:CZ, CY:CY=U805, "")), "")</f>
        <v/>
      </c>
    </row>
    <row r="806" spans="2:105">
      <c r="B806" s="35">
        <v>802</v>
      </c>
      <c r="C806" s="36" t="s">
        <v>2671</v>
      </c>
      <c r="D806" s="76"/>
      <c r="E806" s="37" t="str">
        <f>IF(Table5[[#This Row],[Query Date]]&lt;&gt;"", TEXT(Table5[[#This Row],[Query Date]], "dddd"), "")</f>
        <v/>
      </c>
      <c r="F806" s="37" t="str">
        <f>IF(Table5[[#This Row],[Query Date]]&lt;&gt;"", TEXT(Table5[[#This Row],[Query Date]], "mmmm"), "")</f>
        <v/>
      </c>
      <c r="G806" s="28"/>
      <c r="H806" s="28"/>
      <c r="I806" s="28"/>
      <c r="J806" s="28"/>
      <c r="K806" s="28"/>
      <c r="L806" s="25"/>
      <c r="M806" s="25"/>
      <c r="N806" s="25"/>
      <c r="O806" s="130"/>
      <c r="P806" s="47"/>
      <c r="Q806" s="77"/>
      <c r="R806" s="77" t="str">
        <f>IF(Table5[[#This Row],[Tour Starting Date]]&lt;&gt;"", TEXT(Table5[[#This Row],[Tour Starting Date]], "dddd"), "")</f>
        <v/>
      </c>
      <c r="S806" s="77"/>
      <c r="T806" s="25" t="str">
        <f>IF(Table5[[#This Row],[Tour Ending Date]]&lt;&gt;"", TEXT(Table5[[#This Row],[Tour Ending Date]], "dddd"), "")</f>
        <v/>
      </c>
      <c r="U80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06" s="37" t="str">
        <f>IF(Table5[[#This Row],[Tour Starting Date]]&lt;&gt;"", TEXT(Table5[[#This Row],[Tour Starting Date]], "mmmm"), "")</f>
        <v/>
      </c>
      <c r="W806" s="80" t="str" cm="1">
        <f t="array" ref="W806">IF(Q806&lt;&gt;"", INDEX(CI:CI, MATCH(1, (Q806&gt;=CG:CG)*(Q806&lt;=CH:CH), 0)), "")</f>
        <v/>
      </c>
      <c r="X806" s="39"/>
      <c r="Y806" s="74"/>
      <c r="Z806" s="74" t="str">
        <f>IF(OR(Table5[[#This Row],[Per Person Package Cost]]="", Table5[[#This Row],[No. of Pax]]=""), "", Table5[[#This Row],[Per Person Package Cost]] * Table5[[#This Row],[No. of Pax]])</f>
        <v/>
      </c>
      <c r="AA806" s="52"/>
      <c r="AB806" s="52"/>
      <c r="AC806" s="52"/>
      <c r="AD806" s="52"/>
      <c r="AE806" s="51" t="str">
        <f t="shared" si="73"/>
        <v/>
      </c>
      <c r="AF806" s="51" t="str">
        <f t="shared" si="74"/>
        <v/>
      </c>
      <c r="AG806" s="74" t="str">
        <f t="shared" si="75"/>
        <v/>
      </c>
      <c r="AH806" s="73" t="str">
        <f t="shared" si="76"/>
        <v/>
      </c>
      <c r="AI806" s="52"/>
      <c r="AJ806" s="56"/>
      <c r="AK806" s="59"/>
      <c r="AL806" s="60"/>
      <c r="AM806" s="54"/>
      <c r="AN806" s="64"/>
      <c r="AO806" s="26"/>
      <c r="AP806" s="93"/>
      <c r="AQ806" s="87"/>
      <c r="AR806" s="26"/>
      <c r="AS806" s="65"/>
      <c r="AT806" s="88"/>
      <c r="AU806" s="67"/>
      <c r="DA806" t="str" cm="1">
        <f t="array" ref="DA806">IF(U806&lt;&gt;"", TRANSPOSE(_xlfn._xlws.FILTER(CZ:CZ, CY:CY=U806, "")), "")</f>
        <v/>
      </c>
    </row>
    <row r="807" spans="2:105">
      <c r="B807" s="35">
        <v>803</v>
      </c>
      <c r="C807" s="36" t="s">
        <v>2672</v>
      </c>
      <c r="D807" s="76"/>
      <c r="E807" s="37" t="str">
        <f>IF(Table5[[#This Row],[Query Date]]&lt;&gt;"", TEXT(Table5[[#This Row],[Query Date]], "dddd"), "")</f>
        <v/>
      </c>
      <c r="F807" s="37" t="str">
        <f>IF(Table5[[#This Row],[Query Date]]&lt;&gt;"", TEXT(Table5[[#This Row],[Query Date]], "mmmm"), "")</f>
        <v/>
      </c>
      <c r="G807" s="28"/>
      <c r="H807" s="28"/>
      <c r="I807" s="28"/>
      <c r="J807" s="28"/>
      <c r="K807" s="28"/>
      <c r="L807" s="25"/>
      <c r="M807" s="25"/>
      <c r="N807" s="25"/>
      <c r="O807" s="130"/>
      <c r="P807" s="47"/>
      <c r="Q807" s="77"/>
      <c r="R807" s="77" t="str">
        <f>IF(Table5[[#This Row],[Tour Starting Date]]&lt;&gt;"", TEXT(Table5[[#This Row],[Tour Starting Date]], "dddd"), "")</f>
        <v/>
      </c>
      <c r="S807" s="77"/>
      <c r="T807" s="25" t="str">
        <f>IF(Table5[[#This Row],[Tour Ending Date]]&lt;&gt;"", TEXT(Table5[[#This Row],[Tour Ending Date]], "dddd"), "")</f>
        <v/>
      </c>
      <c r="U80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07" s="37" t="str">
        <f>IF(Table5[[#This Row],[Tour Starting Date]]&lt;&gt;"", TEXT(Table5[[#This Row],[Tour Starting Date]], "mmmm"), "")</f>
        <v/>
      </c>
      <c r="W807" s="80" t="str" cm="1">
        <f t="array" ref="W807">IF(Q807&lt;&gt;"", INDEX(CI:CI, MATCH(1, (Q807&gt;=CG:CG)*(Q807&lt;=CH:CH), 0)), "")</f>
        <v/>
      </c>
      <c r="X807" s="39"/>
      <c r="Y807" s="74"/>
      <c r="Z807" s="74" t="str">
        <f>IF(OR(Table5[[#This Row],[Per Person Package Cost]]="", Table5[[#This Row],[No. of Pax]]=""), "", Table5[[#This Row],[Per Person Package Cost]] * Table5[[#This Row],[No. of Pax]])</f>
        <v/>
      </c>
      <c r="AA807" s="52"/>
      <c r="AB807" s="52"/>
      <c r="AC807" s="52"/>
      <c r="AD807" s="52"/>
      <c r="AE807" s="51" t="str">
        <f t="shared" si="73"/>
        <v/>
      </c>
      <c r="AF807" s="51" t="str">
        <f t="shared" si="74"/>
        <v/>
      </c>
      <c r="AG807" s="74" t="str">
        <f t="shared" si="75"/>
        <v/>
      </c>
      <c r="AH807" s="73" t="str">
        <f t="shared" si="76"/>
        <v/>
      </c>
      <c r="AI807" s="52"/>
      <c r="AJ807" s="56"/>
      <c r="AK807" s="59"/>
      <c r="AL807" s="60"/>
      <c r="AM807" s="54"/>
      <c r="AN807" s="64"/>
      <c r="AO807" s="26"/>
      <c r="AP807" s="93"/>
      <c r="AQ807" s="87"/>
      <c r="AR807" s="26"/>
      <c r="AS807" s="65"/>
      <c r="AT807" s="88"/>
      <c r="AU807" s="67"/>
      <c r="DA807" t="str" cm="1">
        <f t="array" ref="DA807">IF(U807&lt;&gt;"", TRANSPOSE(_xlfn._xlws.FILTER(CZ:CZ, CY:CY=U807, "")), "")</f>
        <v/>
      </c>
    </row>
    <row r="808" spans="2:105">
      <c r="B808" s="35">
        <v>804</v>
      </c>
      <c r="C808" s="36" t="s">
        <v>2673</v>
      </c>
      <c r="D808" s="76"/>
      <c r="E808" s="37" t="str">
        <f>IF(Table5[[#This Row],[Query Date]]&lt;&gt;"", TEXT(Table5[[#This Row],[Query Date]], "dddd"), "")</f>
        <v/>
      </c>
      <c r="F808" s="37" t="str">
        <f>IF(Table5[[#This Row],[Query Date]]&lt;&gt;"", TEXT(Table5[[#This Row],[Query Date]], "mmmm"), "")</f>
        <v/>
      </c>
      <c r="G808" s="28"/>
      <c r="H808" s="28"/>
      <c r="I808" s="28"/>
      <c r="J808" s="28"/>
      <c r="K808" s="28"/>
      <c r="L808" s="25"/>
      <c r="M808" s="25"/>
      <c r="N808" s="25"/>
      <c r="O808" s="130"/>
      <c r="P808" s="47"/>
      <c r="Q808" s="77"/>
      <c r="R808" s="77" t="str">
        <f>IF(Table5[[#This Row],[Tour Starting Date]]&lt;&gt;"", TEXT(Table5[[#This Row],[Tour Starting Date]], "dddd"), "")</f>
        <v/>
      </c>
      <c r="S808" s="77"/>
      <c r="T808" s="25" t="str">
        <f>IF(Table5[[#This Row],[Tour Ending Date]]&lt;&gt;"", TEXT(Table5[[#This Row],[Tour Ending Date]], "dddd"), "")</f>
        <v/>
      </c>
      <c r="U80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08" s="37" t="str">
        <f>IF(Table5[[#This Row],[Tour Starting Date]]&lt;&gt;"", TEXT(Table5[[#This Row],[Tour Starting Date]], "mmmm"), "")</f>
        <v/>
      </c>
      <c r="W808" s="80" t="str" cm="1">
        <f t="array" ref="W808">IF(Q808&lt;&gt;"", INDEX(CI:CI, MATCH(1, (Q808&gt;=CG:CG)*(Q808&lt;=CH:CH), 0)), "")</f>
        <v/>
      </c>
      <c r="X808" s="39"/>
      <c r="Y808" s="74"/>
      <c r="Z808" s="74" t="str">
        <f>IF(OR(Table5[[#This Row],[Per Person Package Cost]]="", Table5[[#This Row],[No. of Pax]]=""), "", Table5[[#This Row],[Per Person Package Cost]] * Table5[[#This Row],[No. of Pax]])</f>
        <v/>
      </c>
      <c r="AA808" s="52"/>
      <c r="AB808" s="52"/>
      <c r="AC808" s="52"/>
      <c r="AD808" s="52"/>
      <c r="AE808" s="51" t="str">
        <f t="shared" si="73"/>
        <v/>
      </c>
      <c r="AF808" s="51" t="str">
        <f t="shared" si="74"/>
        <v/>
      </c>
      <c r="AG808" s="74" t="str">
        <f t="shared" si="75"/>
        <v/>
      </c>
      <c r="AH808" s="73" t="str">
        <f t="shared" si="76"/>
        <v/>
      </c>
      <c r="AI808" s="52"/>
      <c r="AJ808" s="56"/>
      <c r="AK808" s="59"/>
      <c r="AL808" s="60"/>
      <c r="AM808" s="54"/>
      <c r="AN808" s="64"/>
      <c r="AO808" s="26"/>
      <c r="AP808" s="93"/>
      <c r="AQ808" s="87"/>
      <c r="AR808" s="26"/>
      <c r="AS808" s="65"/>
      <c r="AT808" s="88"/>
      <c r="AU808" s="67"/>
      <c r="DA808" t="str" cm="1">
        <f t="array" ref="DA808">IF(U808&lt;&gt;"", TRANSPOSE(_xlfn._xlws.FILTER(CZ:CZ, CY:CY=U808, "")), "")</f>
        <v/>
      </c>
    </row>
    <row r="809" spans="2:105">
      <c r="B809" s="35">
        <v>805</v>
      </c>
      <c r="C809" s="36" t="s">
        <v>2674</v>
      </c>
      <c r="D809" s="76"/>
      <c r="E809" s="37" t="str">
        <f>IF(Table5[[#This Row],[Query Date]]&lt;&gt;"", TEXT(Table5[[#This Row],[Query Date]], "dddd"), "")</f>
        <v/>
      </c>
      <c r="F809" s="37" t="str">
        <f>IF(Table5[[#This Row],[Query Date]]&lt;&gt;"", TEXT(Table5[[#This Row],[Query Date]], "mmmm"), "")</f>
        <v/>
      </c>
      <c r="G809" s="28"/>
      <c r="H809" s="28"/>
      <c r="I809" s="28"/>
      <c r="J809" s="28"/>
      <c r="K809" s="28"/>
      <c r="L809" s="25"/>
      <c r="M809" s="25"/>
      <c r="N809" s="25"/>
      <c r="O809" s="130"/>
      <c r="P809" s="47"/>
      <c r="Q809" s="77"/>
      <c r="R809" s="77" t="str">
        <f>IF(Table5[[#This Row],[Tour Starting Date]]&lt;&gt;"", TEXT(Table5[[#This Row],[Tour Starting Date]], "dddd"), "")</f>
        <v/>
      </c>
      <c r="S809" s="77"/>
      <c r="T809" s="25" t="str">
        <f>IF(Table5[[#This Row],[Tour Ending Date]]&lt;&gt;"", TEXT(Table5[[#This Row],[Tour Ending Date]], "dddd"), "")</f>
        <v/>
      </c>
      <c r="U80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09" s="37" t="str">
        <f>IF(Table5[[#This Row],[Tour Starting Date]]&lt;&gt;"", TEXT(Table5[[#This Row],[Tour Starting Date]], "mmmm"), "")</f>
        <v/>
      </c>
      <c r="W809" s="80" t="str" cm="1">
        <f t="array" ref="W809">IF(Q809&lt;&gt;"", INDEX(CI:CI, MATCH(1, (Q809&gt;=CG:CG)*(Q809&lt;=CH:CH), 0)), "")</f>
        <v/>
      </c>
      <c r="X809" s="39"/>
      <c r="Y809" s="74"/>
      <c r="Z809" s="74" t="str">
        <f>IF(OR(Table5[[#This Row],[Per Person Package Cost]]="", Table5[[#This Row],[No. of Pax]]=""), "", Table5[[#This Row],[Per Person Package Cost]] * Table5[[#This Row],[No. of Pax]])</f>
        <v/>
      </c>
      <c r="AA809" s="52"/>
      <c r="AB809" s="52"/>
      <c r="AC809" s="52"/>
      <c r="AD809" s="52"/>
      <c r="AE809" s="51" t="str">
        <f t="shared" si="73"/>
        <v/>
      </c>
      <c r="AF809" s="51" t="str">
        <f t="shared" si="74"/>
        <v/>
      </c>
      <c r="AG809" s="74" t="str">
        <f t="shared" si="75"/>
        <v/>
      </c>
      <c r="AH809" s="73" t="str">
        <f t="shared" si="76"/>
        <v/>
      </c>
      <c r="AI809" s="52"/>
      <c r="AJ809" s="56"/>
      <c r="AK809" s="59"/>
      <c r="AL809" s="60"/>
      <c r="AM809" s="54"/>
      <c r="AN809" s="64"/>
      <c r="AO809" s="26"/>
      <c r="AP809" s="93"/>
      <c r="AQ809" s="87"/>
      <c r="AR809" s="26"/>
      <c r="AS809" s="65"/>
      <c r="AT809" s="88"/>
      <c r="AU809" s="67"/>
      <c r="DA809" t="str" cm="1">
        <f t="array" ref="DA809">IF(U809&lt;&gt;"", TRANSPOSE(_xlfn._xlws.FILTER(CZ:CZ, CY:CY=U809, "")), "")</f>
        <v/>
      </c>
    </row>
    <row r="810" spans="2:105">
      <c r="B810" s="35">
        <v>806</v>
      </c>
      <c r="C810" s="36" t="s">
        <v>2675</v>
      </c>
      <c r="D810" s="76"/>
      <c r="E810" s="37" t="str">
        <f>IF(Table5[[#This Row],[Query Date]]&lt;&gt;"", TEXT(Table5[[#This Row],[Query Date]], "dddd"), "")</f>
        <v/>
      </c>
      <c r="F810" s="37" t="str">
        <f>IF(Table5[[#This Row],[Query Date]]&lt;&gt;"", TEXT(Table5[[#This Row],[Query Date]], "mmmm"), "")</f>
        <v/>
      </c>
      <c r="G810" s="28"/>
      <c r="H810" s="28"/>
      <c r="I810" s="28"/>
      <c r="J810" s="28"/>
      <c r="K810" s="28"/>
      <c r="L810" s="25"/>
      <c r="M810" s="25"/>
      <c r="N810" s="25"/>
      <c r="O810" s="130"/>
      <c r="P810" s="47"/>
      <c r="Q810" s="77"/>
      <c r="R810" s="77" t="str">
        <f>IF(Table5[[#This Row],[Tour Starting Date]]&lt;&gt;"", TEXT(Table5[[#This Row],[Tour Starting Date]], "dddd"), "")</f>
        <v/>
      </c>
      <c r="S810" s="77"/>
      <c r="T810" s="25" t="str">
        <f>IF(Table5[[#This Row],[Tour Ending Date]]&lt;&gt;"", TEXT(Table5[[#This Row],[Tour Ending Date]], "dddd"), "")</f>
        <v/>
      </c>
      <c r="U81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10" s="37" t="str">
        <f>IF(Table5[[#This Row],[Tour Starting Date]]&lt;&gt;"", TEXT(Table5[[#This Row],[Tour Starting Date]], "mmmm"), "")</f>
        <v/>
      </c>
      <c r="W810" s="80" t="str" cm="1">
        <f t="array" ref="W810">IF(Q810&lt;&gt;"", INDEX(CI:CI, MATCH(1, (Q810&gt;=CG:CG)*(Q810&lt;=CH:CH), 0)), "")</f>
        <v/>
      </c>
      <c r="X810" s="39"/>
      <c r="Y810" s="74"/>
      <c r="Z810" s="74" t="str">
        <f>IF(OR(Table5[[#This Row],[Per Person Package Cost]]="", Table5[[#This Row],[No. of Pax]]=""), "", Table5[[#This Row],[Per Person Package Cost]] * Table5[[#This Row],[No. of Pax]])</f>
        <v/>
      </c>
      <c r="AA810" s="52"/>
      <c r="AB810" s="52"/>
      <c r="AC810" s="52"/>
      <c r="AD810" s="52"/>
      <c r="AE810" s="51" t="str">
        <f t="shared" si="73"/>
        <v/>
      </c>
      <c r="AF810" s="51" t="str">
        <f t="shared" si="74"/>
        <v/>
      </c>
      <c r="AG810" s="74" t="str">
        <f t="shared" si="75"/>
        <v/>
      </c>
      <c r="AH810" s="73" t="str">
        <f t="shared" si="76"/>
        <v/>
      </c>
      <c r="AI810" s="52"/>
      <c r="AJ810" s="56"/>
      <c r="AK810" s="59"/>
      <c r="AL810" s="60"/>
      <c r="AM810" s="54"/>
      <c r="AN810" s="64"/>
      <c r="AO810" s="26"/>
      <c r="AP810" s="93"/>
      <c r="AQ810" s="87"/>
      <c r="AR810" s="26"/>
      <c r="AS810" s="65"/>
      <c r="AT810" s="88"/>
      <c r="AU810" s="67"/>
      <c r="DA810" t="str" cm="1">
        <f t="array" ref="DA810">IF(U810&lt;&gt;"", TRANSPOSE(_xlfn._xlws.FILTER(CZ:CZ, CY:CY=U810, "")), "")</f>
        <v/>
      </c>
    </row>
    <row r="811" spans="2:105">
      <c r="B811" s="35">
        <v>807</v>
      </c>
      <c r="C811" s="36" t="s">
        <v>2676</v>
      </c>
      <c r="D811" s="76"/>
      <c r="E811" s="37" t="str">
        <f>IF(Table5[[#This Row],[Query Date]]&lt;&gt;"", TEXT(Table5[[#This Row],[Query Date]], "dddd"), "")</f>
        <v/>
      </c>
      <c r="F811" s="37" t="str">
        <f>IF(Table5[[#This Row],[Query Date]]&lt;&gt;"", TEXT(Table5[[#This Row],[Query Date]], "mmmm"), "")</f>
        <v/>
      </c>
      <c r="G811" s="28"/>
      <c r="H811" s="28"/>
      <c r="I811" s="28"/>
      <c r="J811" s="28"/>
      <c r="K811" s="28"/>
      <c r="L811" s="25"/>
      <c r="M811" s="25"/>
      <c r="N811" s="25"/>
      <c r="O811" s="130"/>
      <c r="P811" s="47"/>
      <c r="Q811" s="77"/>
      <c r="R811" s="77" t="str">
        <f>IF(Table5[[#This Row],[Tour Starting Date]]&lt;&gt;"", TEXT(Table5[[#This Row],[Tour Starting Date]], "dddd"), "")</f>
        <v/>
      </c>
      <c r="S811" s="77"/>
      <c r="T811" s="25" t="str">
        <f>IF(Table5[[#This Row],[Tour Ending Date]]&lt;&gt;"", TEXT(Table5[[#This Row],[Tour Ending Date]], "dddd"), "")</f>
        <v/>
      </c>
      <c r="U81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11" s="37" t="str">
        <f>IF(Table5[[#This Row],[Tour Starting Date]]&lt;&gt;"", TEXT(Table5[[#This Row],[Tour Starting Date]], "mmmm"), "")</f>
        <v/>
      </c>
      <c r="W811" s="80" t="str" cm="1">
        <f t="array" ref="W811">IF(Q811&lt;&gt;"", INDEX(CI:CI, MATCH(1, (Q811&gt;=CG:CG)*(Q811&lt;=CH:CH), 0)), "")</f>
        <v/>
      </c>
      <c r="X811" s="39"/>
      <c r="Y811" s="74"/>
      <c r="Z811" s="74" t="str">
        <f>IF(OR(Table5[[#This Row],[Per Person Package Cost]]="", Table5[[#This Row],[No. of Pax]]=""), "", Table5[[#This Row],[Per Person Package Cost]] * Table5[[#This Row],[No. of Pax]])</f>
        <v/>
      </c>
      <c r="AA811" s="52"/>
      <c r="AB811" s="52"/>
      <c r="AC811" s="52"/>
      <c r="AD811" s="52"/>
      <c r="AE811" s="51" t="str">
        <f t="shared" si="73"/>
        <v/>
      </c>
      <c r="AF811" s="51" t="str">
        <f t="shared" si="74"/>
        <v/>
      </c>
      <c r="AG811" s="74" t="str">
        <f t="shared" si="75"/>
        <v/>
      </c>
      <c r="AH811" s="73" t="str">
        <f t="shared" si="76"/>
        <v/>
      </c>
      <c r="AI811" s="52"/>
      <c r="AJ811" s="56"/>
      <c r="AK811" s="59"/>
      <c r="AL811" s="60"/>
      <c r="AM811" s="54"/>
      <c r="AN811" s="64"/>
      <c r="AO811" s="26"/>
      <c r="AP811" s="93"/>
      <c r="AQ811" s="87"/>
      <c r="AR811" s="26"/>
      <c r="AS811" s="65"/>
      <c r="AT811" s="88"/>
      <c r="AU811" s="67"/>
      <c r="DA811" t="str" cm="1">
        <f t="array" ref="DA811">IF(U811&lt;&gt;"", TRANSPOSE(_xlfn._xlws.FILTER(CZ:CZ, CY:CY=U811, "")), "")</f>
        <v/>
      </c>
    </row>
    <row r="812" spans="2:105">
      <c r="B812" s="35">
        <v>808</v>
      </c>
      <c r="C812" s="36" t="s">
        <v>2677</v>
      </c>
      <c r="D812" s="76"/>
      <c r="E812" s="37" t="str">
        <f>IF(Table5[[#This Row],[Query Date]]&lt;&gt;"", TEXT(Table5[[#This Row],[Query Date]], "dddd"), "")</f>
        <v/>
      </c>
      <c r="F812" s="37" t="str">
        <f>IF(Table5[[#This Row],[Query Date]]&lt;&gt;"", TEXT(Table5[[#This Row],[Query Date]], "mmmm"), "")</f>
        <v/>
      </c>
      <c r="G812" s="28"/>
      <c r="H812" s="28"/>
      <c r="I812" s="28"/>
      <c r="J812" s="28"/>
      <c r="K812" s="28"/>
      <c r="L812" s="25"/>
      <c r="M812" s="25"/>
      <c r="N812" s="25"/>
      <c r="O812" s="130"/>
      <c r="P812" s="47"/>
      <c r="Q812" s="77"/>
      <c r="R812" s="77" t="str">
        <f>IF(Table5[[#This Row],[Tour Starting Date]]&lt;&gt;"", TEXT(Table5[[#This Row],[Tour Starting Date]], "dddd"), "")</f>
        <v/>
      </c>
      <c r="S812" s="77"/>
      <c r="T812" s="25" t="str">
        <f>IF(Table5[[#This Row],[Tour Ending Date]]&lt;&gt;"", TEXT(Table5[[#This Row],[Tour Ending Date]], "dddd"), "")</f>
        <v/>
      </c>
      <c r="U81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12" s="37" t="str">
        <f>IF(Table5[[#This Row],[Tour Starting Date]]&lt;&gt;"", TEXT(Table5[[#This Row],[Tour Starting Date]], "mmmm"), "")</f>
        <v/>
      </c>
      <c r="W812" s="80" t="str" cm="1">
        <f t="array" ref="W812">IF(Q812&lt;&gt;"", INDEX(CI:CI, MATCH(1, (Q812&gt;=CG:CG)*(Q812&lt;=CH:CH), 0)), "")</f>
        <v/>
      </c>
      <c r="X812" s="39"/>
      <c r="Y812" s="74"/>
      <c r="Z812" s="74" t="str">
        <f>IF(OR(Table5[[#This Row],[Per Person Package Cost]]="", Table5[[#This Row],[No. of Pax]]=""), "", Table5[[#This Row],[Per Person Package Cost]] * Table5[[#This Row],[No. of Pax]])</f>
        <v/>
      </c>
      <c r="AA812" s="52"/>
      <c r="AB812" s="52"/>
      <c r="AC812" s="52"/>
      <c r="AD812" s="52"/>
      <c r="AE812" s="51" t="str">
        <f t="shared" si="73"/>
        <v/>
      </c>
      <c r="AF812" s="51" t="str">
        <f t="shared" si="74"/>
        <v/>
      </c>
      <c r="AG812" s="74" t="str">
        <f t="shared" si="75"/>
        <v/>
      </c>
      <c r="AH812" s="73" t="str">
        <f t="shared" si="76"/>
        <v/>
      </c>
      <c r="AI812" s="52"/>
      <c r="AJ812" s="56"/>
      <c r="AK812" s="59"/>
      <c r="AL812" s="60"/>
      <c r="AM812" s="54"/>
      <c r="AN812" s="64"/>
      <c r="AO812" s="26"/>
      <c r="AP812" s="93"/>
      <c r="AQ812" s="87"/>
      <c r="AR812" s="26"/>
      <c r="AS812" s="65"/>
      <c r="AT812" s="88"/>
      <c r="AU812" s="67"/>
      <c r="DA812" t="str" cm="1">
        <f t="array" ref="DA812">IF(U812&lt;&gt;"", TRANSPOSE(_xlfn._xlws.FILTER(CZ:CZ, CY:CY=U812, "")), "")</f>
        <v/>
      </c>
    </row>
    <row r="813" spans="2:105">
      <c r="B813" s="35">
        <v>809</v>
      </c>
      <c r="C813" s="36" t="s">
        <v>2678</v>
      </c>
      <c r="D813" s="76"/>
      <c r="E813" s="37" t="str">
        <f>IF(Table5[[#This Row],[Query Date]]&lt;&gt;"", TEXT(Table5[[#This Row],[Query Date]], "dddd"), "")</f>
        <v/>
      </c>
      <c r="F813" s="37" t="str">
        <f>IF(Table5[[#This Row],[Query Date]]&lt;&gt;"", TEXT(Table5[[#This Row],[Query Date]], "mmmm"), "")</f>
        <v/>
      </c>
      <c r="G813" s="28"/>
      <c r="H813" s="28"/>
      <c r="I813" s="28"/>
      <c r="J813" s="28"/>
      <c r="K813" s="28"/>
      <c r="L813" s="25"/>
      <c r="M813" s="25"/>
      <c r="N813" s="25"/>
      <c r="O813" s="130"/>
      <c r="P813" s="47"/>
      <c r="Q813" s="77"/>
      <c r="R813" s="77" t="str">
        <f>IF(Table5[[#This Row],[Tour Starting Date]]&lt;&gt;"", TEXT(Table5[[#This Row],[Tour Starting Date]], "dddd"), "")</f>
        <v/>
      </c>
      <c r="S813" s="77"/>
      <c r="T813" s="25" t="str">
        <f>IF(Table5[[#This Row],[Tour Ending Date]]&lt;&gt;"", TEXT(Table5[[#This Row],[Tour Ending Date]], "dddd"), "")</f>
        <v/>
      </c>
      <c r="U81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13" s="37" t="str">
        <f>IF(Table5[[#This Row],[Tour Starting Date]]&lt;&gt;"", TEXT(Table5[[#This Row],[Tour Starting Date]], "mmmm"), "")</f>
        <v/>
      </c>
      <c r="W813" s="80" t="str" cm="1">
        <f t="array" ref="W813">IF(Q813&lt;&gt;"", INDEX(CI:CI, MATCH(1, (Q813&gt;=CG:CG)*(Q813&lt;=CH:CH), 0)), "")</f>
        <v/>
      </c>
      <c r="X813" s="39"/>
      <c r="Y813" s="74"/>
      <c r="Z813" s="74" t="str">
        <f>IF(OR(Table5[[#This Row],[Per Person Package Cost]]="", Table5[[#This Row],[No. of Pax]]=""), "", Table5[[#This Row],[Per Person Package Cost]] * Table5[[#This Row],[No. of Pax]])</f>
        <v/>
      </c>
      <c r="AA813" s="52"/>
      <c r="AB813" s="52"/>
      <c r="AC813" s="52"/>
      <c r="AD813" s="52"/>
      <c r="AE813" s="51" t="str">
        <f t="shared" si="73"/>
        <v/>
      </c>
      <c r="AF813" s="51" t="str">
        <f t="shared" si="74"/>
        <v/>
      </c>
      <c r="AG813" s="74" t="str">
        <f t="shared" si="75"/>
        <v/>
      </c>
      <c r="AH813" s="73" t="str">
        <f t="shared" si="76"/>
        <v/>
      </c>
      <c r="AI813" s="52"/>
      <c r="AJ813" s="56"/>
      <c r="AK813" s="59"/>
      <c r="AL813" s="60"/>
      <c r="AM813" s="54"/>
      <c r="AN813" s="64"/>
      <c r="AO813" s="26"/>
      <c r="AP813" s="93"/>
      <c r="AQ813" s="87"/>
      <c r="AR813" s="26"/>
      <c r="AS813" s="65"/>
      <c r="AT813" s="88"/>
      <c r="AU813" s="67"/>
      <c r="DA813" t="str" cm="1">
        <f t="array" ref="DA813">IF(U813&lt;&gt;"", TRANSPOSE(_xlfn._xlws.FILTER(CZ:CZ, CY:CY=U813, "")), "")</f>
        <v/>
      </c>
    </row>
    <row r="814" spans="2:105">
      <c r="B814" s="35">
        <v>810</v>
      </c>
      <c r="C814" s="36" t="s">
        <v>2679</v>
      </c>
      <c r="D814" s="76"/>
      <c r="E814" s="37" t="str">
        <f>IF(Table5[[#This Row],[Query Date]]&lt;&gt;"", TEXT(Table5[[#This Row],[Query Date]], "dddd"), "")</f>
        <v/>
      </c>
      <c r="F814" s="37" t="str">
        <f>IF(Table5[[#This Row],[Query Date]]&lt;&gt;"", TEXT(Table5[[#This Row],[Query Date]], "mmmm"), "")</f>
        <v/>
      </c>
      <c r="G814" s="28"/>
      <c r="H814" s="28"/>
      <c r="I814" s="28"/>
      <c r="J814" s="28"/>
      <c r="K814" s="28"/>
      <c r="L814" s="25"/>
      <c r="M814" s="25"/>
      <c r="N814" s="25"/>
      <c r="O814" s="130"/>
      <c r="P814" s="47"/>
      <c r="Q814" s="77"/>
      <c r="R814" s="77" t="str">
        <f>IF(Table5[[#This Row],[Tour Starting Date]]&lt;&gt;"", TEXT(Table5[[#This Row],[Tour Starting Date]], "dddd"), "")</f>
        <v/>
      </c>
      <c r="S814" s="77"/>
      <c r="T814" s="25" t="str">
        <f>IF(Table5[[#This Row],[Tour Ending Date]]&lt;&gt;"", TEXT(Table5[[#This Row],[Tour Ending Date]], "dddd"), "")</f>
        <v/>
      </c>
      <c r="U81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14" s="37" t="str">
        <f>IF(Table5[[#This Row],[Tour Starting Date]]&lt;&gt;"", TEXT(Table5[[#This Row],[Tour Starting Date]], "mmmm"), "")</f>
        <v/>
      </c>
      <c r="W814" s="80" t="str" cm="1">
        <f t="array" ref="W814">IF(Q814&lt;&gt;"", INDEX(CI:CI, MATCH(1, (Q814&gt;=CG:CG)*(Q814&lt;=CH:CH), 0)), "")</f>
        <v/>
      </c>
      <c r="X814" s="39"/>
      <c r="Y814" s="74"/>
      <c r="Z814" s="74" t="str">
        <f>IF(OR(Table5[[#This Row],[Per Person Package Cost]]="", Table5[[#This Row],[No. of Pax]]=""), "", Table5[[#This Row],[Per Person Package Cost]] * Table5[[#This Row],[No. of Pax]])</f>
        <v/>
      </c>
      <c r="AA814" s="52"/>
      <c r="AB814" s="52"/>
      <c r="AC814" s="52"/>
      <c r="AD814" s="52"/>
      <c r="AE814" s="51" t="str">
        <f t="shared" si="73"/>
        <v/>
      </c>
      <c r="AF814" s="51" t="str">
        <f t="shared" si="74"/>
        <v/>
      </c>
      <c r="AG814" s="74" t="str">
        <f t="shared" si="75"/>
        <v/>
      </c>
      <c r="AH814" s="73" t="str">
        <f t="shared" si="76"/>
        <v/>
      </c>
      <c r="AI814" s="52"/>
      <c r="AJ814" s="56"/>
      <c r="AK814" s="59"/>
      <c r="AL814" s="60"/>
      <c r="AM814" s="54"/>
      <c r="AN814" s="64"/>
      <c r="AO814" s="26"/>
      <c r="AP814" s="93"/>
      <c r="AQ814" s="87"/>
      <c r="AR814" s="26"/>
      <c r="AS814" s="65"/>
      <c r="AT814" s="88"/>
      <c r="AU814" s="67"/>
      <c r="DA814" t="str" cm="1">
        <f t="array" ref="DA814">IF(U814&lt;&gt;"", TRANSPOSE(_xlfn._xlws.FILTER(CZ:CZ, CY:CY=U814, "")), "")</f>
        <v/>
      </c>
    </row>
    <row r="815" spans="2:105">
      <c r="B815" s="35">
        <v>811</v>
      </c>
      <c r="C815" s="36" t="s">
        <v>2680</v>
      </c>
      <c r="D815" s="76"/>
      <c r="E815" s="37" t="str">
        <f>IF(Table5[[#This Row],[Query Date]]&lt;&gt;"", TEXT(Table5[[#This Row],[Query Date]], "dddd"), "")</f>
        <v/>
      </c>
      <c r="F815" s="37" t="str">
        <f>IF(Table5[[#This Row],[Query Date]]&lt;&gt;"", TEXT(Table5[[#This Row],[Query Date]], "mmmm"), "")</f>
        <v/>
      </c>
      <c r="G815" s="28"/>
      <c r="H815" s="28"/>
      <c r="I815" s="28"/>
      <c r="J815" s="28"/>
      <c r="K815" s="28"/>
      <c r="L815" s="25"/>
      <c r="M815" s="25"/>
      <c r="N815" s="25"/>
      <c r="O815" s="130"/>
      <c r="P815" s="47"/>
      <c r="Q815" s="77"/>
      <c r="R815" s="77" t="str">
        <f>IF(Table5[[#This Row],[Tour Starting Date]]&lt;&gt;"", TEXT(Table5[[#This Row],[Tour Starting Date]], "dddd"), "")</f>
        <v/>
      </c>
      <c r="S815" s="77"/>
      <c r="T815" s="25" t="str">
        <f>IF(Table5[[#This Row],[Tour Ending Date]]&lt;&gt;"", TEXT(Table5[[#This Row],[Tour Ending Date]], "dddd"), "")</f>
        <v/>
      </c>
      <c r="U81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15" s="37" t="str">
        <f>IF(Table5[[#This Row],[Tour Starting Date]]&lt;&gt;"", TEXT(Table5[[#This Row],[Tour Starting Date]], "mmmm"), "")</f>
        <v/>
      </c>
      <c r="W815" s="80" t="str" cm="1">
        <f t="array" ref="W815">IF(Q815&lt;&gt;"", INDEX(CI:CI, MATCH(1, (Q815&gt;=CG:CG)*(Q815&lt;=CH:CH), 0)), "")</f>
        <v/>
      </c>
      <c r="X815" s="39"/>
      <c r="Y815" s="74"/>
      <c r="Z815" s="74" t="str">
        <f>IF(OR(Table5[[#This Row],[Per Person Package Cost]]="", Table5[[#This Row],[No. of Pax]]=""), "", Table5[[#This Row],[Per Person Package Cost]] * Table5[[#This Row],[No. of Pax]])</f>
        <v/>
      </c>
      <c r="AA815" s="52"/>
      <c r="AB815" s="52"/>
      <c r="AC815" s="52"/>
      <c r="AD815" s="52"/>
      <c r="AE815" s="51" t="str">
        <f t="shared" si="73"/>
        <v/>
      </c>
      <c r="AF815" s="51" t="str">
        <f t="shared" si="74"/>
        <v/>
      </c>
      <c r="AG815" s="74" t="str">
        <f t="shared" si="75"/>
        <v/>
      </c>
      <c r="AH815" s="73" t="str">
        <f t="shared" si="76"/>
        <v/>
      </c>
      <c r="AI815" s="52"/>
      <c r="AJ815" s="56"/>
      <c r="AK815" s="59"/>
      <c r="AL815" s="60"/>
      <c r="AM815" s="54"/>
      <c r="AN815" s="64"/>
      <c r="AO815" s="26"/>
      <c r="AP815" s="93"/>
      <c r="AQ815" s="87"/>
      <c r="AR815" s="26"/>
      <c r="AS815" s="65"/>
      <c r="AT815" s="88"/>
      <c r="AU815" s="67"/>
      <c r="DA815" t="str" cm="1">
        <f t="array" ref="DA815">IF(U815&lt;&gt;"", TRANSPOSE(_xlfn._xlws.FILTER(CZ:CZ, CY:CY=U815, "")), "")</f>
        <v/>
      </c>
    </row>
    <row r="816" spans="2:105">
      <c r="B816" s="35">
        <v>812</v>
      </c>
      <c r="C816" s="36" t="s">
        <v>2681</v>
      </c>
      <c r="D816" s="76"/>
      <c r="E816" s="37" t="str">
        <f>IF(Table5[[#This Row],[Query Date]]&lt;&gt;"", TEXT(Table5[[#This Row],[Query Date]], "dddd"), "")</f>
        <v/>
      </c>
      <c r="F816" s="37" t="str">
        <f>IF(Table5[[#This Row],[Query Date]]&lt;&gt;"", TEXT(Table5[[#This Row],[Query Date]], "mmmm"), "")</f>
        <v/>
      </c>
      <c r="G816" s="28"/>
      <c r="H816" s="28"/>
      <c r="I816" s="28"/>
      <c r="J816" s="28"/>
      <c r="K816" s="28"/>
      <c r="L816" s="25"/>
      <c r="M816" s="25"/>
      <c r="N816" s="25"/>
      <c r="O816" s="130"/>
      <c r="P816" s="47"/>
      <c r="Q816" s="77"/>
      <c r="R816" s="77" t="str">
        <f>IF(Table5[[#This Row],[Tour Starting Date]]&lt;&gt;"", TEXT(Table5[[#This Row],[Tour Starting Date]], "dddd"), "")</f>
        <v/>
      </c>
      <c r="S816" s="77"/>
      <c r="T816" s="25" t="str">
        <f>IF(Table5[[#This Row],[Tour Ending Date]]&lt;&gt;"", TEXT(Table5[[#This Row],[Tour Ending Date]], "dddd"), "")</f>
        <v/>
      </c>
      <c r="U81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16" s="37" t="str">
        <f>IF(Table5[[#This Row],[Tour Starting Date]]&lt;&gt;"", TEXT(Table5[[#This Row],[Tour Starting Date]], "mmmm"), "")</f>
        <v/>
      </c>
      <c r="W816" s="80" t="str" cm="1">
        <f t="array" ref="W816">IF(Q816&lt;&gt;"", INDEX(CI:CI, MATCH(1, (Q816&gt;=CG:CG)*(Q816&lt;=CH:CH), 0)), "")</f>
        <v/>
      </c>
      <c r="X816" s="39"/>
      <c r="Y816" s="74"/>
      <c r="Z816" s="74" t="str">
        <f>IF(OR(Table5[[#This Row],[Per Person Package Cost]]="", Table5[[#This Row],[No. of Pax]]=""), "", Table5[[#This Row],[Per Person Package Cost]] * Table5[[#This Row],[No. of Pax]])</f>
        <v/>
      </c>
      <c r="AA816" s="52"/>
      <c r="AB816" s="52"/>
      <c r="AC816" s="52"/>
      <c r="AD816" s="52"/>
      <c r="AE816" s="51" t="str">
        <f t="shared" si="73"/>
        <v/>
      </c>
      <c r="AF816" s="51" t="str">
        <f t="shared" si="74"/>
        <v/>
      </c>
      <c r="AG816" s="74" t="str">
        <f t="shared" si="75"/>
        <v/>
      </c>
      <c r="AH816" s="73" t="str">
        <f t="shared" si="76"/>
        <v/>
      </c>
      <c r="AI816" s="52"/>
      <c r="AJ816" s="56"/>
      <c r="AK816" s="59"/>
      <c r="AL816" s="60"/>
      <c r="AM816" s="54"/>
      <c r="AN816" s="64"/>
      <c r="AO816" s="26"/>
      <c r="AP816" s="93"/>
      <c r="AQ816" s="87"/>
      <c r="AR816" s="26"/>
      <c r="AS816" s="65"/>
      <c r="AT816" s="88"/>
      <c r="AU816" s="67"/>
      <c r="DA816" t="str" cm="1">
        <f t="array" ref="DA816">IF(U816&lt;&gt;"", TRANSPOSE(_xlfn._xlws.FILTER(CZ:CZ, CY:CY=U816, "")), "")</f>
        <v/>
      </c>
    </row>
    <row r="817" spans="2:105">
      <c r="B817" s="35">
        <v>813</v>
      </c>
      <c r="C817" s="36" t="s">
        <v>2682</v>
      </c>
      <c r="D817" s="76"/>
      <c r="E817" s="37" t="str">
        <f>IF(Table5[[#This Row],[Query Date]]&lt;&gt;"", TEXT(Table5[[#This Row],[Query Date]], "dddd"), "")</f>
        <v/>
      </c>
      <c r="F817" s="37" t="str">
        <f>IF(Table5[[#This Row],[Query Date]]&lt;&gt;"", TEXT(Table5[[#This Row],[Query Date]], "mmmm"), "")</f>
        <v/>
      </c>
      <c r="G817" s="28"/>
      <c r="H817" s="28"/>
      <c r="I817" s="28"/>
      <c r="J817" s="28"/>
      <c r="K817" s="28"/>
      <c r="L817" s="25"/>
      <c r="M817" s="25"/>
      <c r="N817" s="25"/>
      <c r="O817" s="130"/>
      <c r="P817" s="47"/>
      <c r="Q817" s="77"/>
      <c r="R817" s="77" t="str">
        <f>IF(Table5[[#This Row],[Tour Starting Date]]&lt;&gt;"", TEXT(Table5[[#This Row],[Tour Starting Date]], "dddd"), "")</f>
        <v/>
      </c>
      <c r="S817" s="77"/>
      <c r="T817" s="25" t="str">
        <f>IF(Table5[[#This Row],[Tour Ending Date]]&lt;&gt;"", TEXT(Table5[[#This Row],[Tour Ending Date]], "dddd"), "")</f>
        <v/>
      </c>
      <c r="U81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17" s="37" t="str">
        <f>IF(Table5[[#This Row],[Tour Starting Date]]&lt;&gt;"", TEXT(Table5[[#This Row],[Tour Starting Date]], "mmmm"), "")</f>
        <v/>
      </c>
      <c r="W817" s="80" t="str" cm="1">
        <f t="array" ref="W817">IF(Q817&lt;&gt;"", INDEX(CI:CI, MATCH(1, (Q817&gt;=CG:CG)*(Q817&lt;=CH:CH), 0)), "")</f>
        <v/>
      </c>
      <c r="X817" s="39"/>
      <c r="Y817" s="74"/>
      <c r="Z817" s="74" t="str">
        <f>IF(OR(Table5[[#This Row],[Per Person Package Cost]]="", Table5[[#This Row],[No. of Pax]]=""), "", Table5[[#This Row],[Per Person Package Cost]] * Table5[[#This Row],[No. of Pax]])</f>
        <v/>
      </c>
      <c r="AA817" s="52"/>
      <c r="AB817" s="52"/>
      <c r="AC817" s="52"/>
      <c r="AD817" s="52"/>
      <c r="AE817" s="51" t="str">
        <f t="shared" si="73"/>
        <v/>
      </c>
      <c r="AF817" s="51" t="str">
        <f t="shared" si="74"/>
        <v/>
      </c>
      <c r="AG817" s="74" t="str">
        <f t="shared" si="75"/>
        <v/>
      </c>
      <c r="AH817" s="73" t="str">
        <f t="shared" si="76"/>
        <v/>
      </c>
      <c r="AI817" s="52"/>
      <c r="AJ817" s="56"/>
      <c r="AK817" s="59"/>
      <c r="AL817" s="60"/>
      <c r="AM817" s="54"/>
      <c r="AN817" s="64"/>
      <c r="AO817" s="26"/>
      <c r="AP817" s="93"/>
      <c r="AQ817" s="87"/>
      <c r="AR817" s="26"/>
      <c r="AS817" s="65"/>
      <c r="AT817" s="88"/>
      <c r="AU817" s="67"/>
      <c r="DA817" t="str" cm="1">
        <f t="array" ref="DA817">IF(U817&lt;&gt;"", TRANSPOSE(_xlfn._xlws.FILTER(CZ:CZ, CY:CY=U817, "")), "")</f>
        <v/>
      </c>
    </row>
    <row r="818" spans="2:105">
      <c r="B818" s="35">
        <v>814</v>
      </c>
      <c r="C818" s="36" t="s">
        <v>2683</v>
      </c>
      <c r="D818" s="76"/>
      <c r="E818" s="37" t="str">
        <f>IF(Table5[[#This Row],[Query Date]]&lt;&gt;"", TEXT(Table5[[#This Row],[Query Date]], "dddd"), "")</f>
        <v/>
      </c>
      <c r="F818" s="37" t="str">
        <f>IF(Table5[[#This Row],[Query Date]]&lt;&gt;"", TEXT(Table5[[#This Row],[Query Date]], "mmmm"), "")</f>
        <v/>
      </c>
      <c r="G818" s="28"/>
      <c r="H818" s="28"/>
      <c r="I818" s="28"/>
      <c r="J818" s="28"/>
      <c r="K818" s="28"/>
      <c r="L818" s="25"/>
      <c r="M818" s="25"/>
      <c r="N818" s="25"/>
      <c r="O818" s="130"/>
      <c r="P818" s="47"/>
      <c r="Q818" s="77"/>
      <c r="R818" s="77" t="str">
        <f>IF(Table5[[#This Row],[Tour Starting Date]]&lt;&gt;"", TEXT(Table5[[#This Row],[Tour Starting Date]], "dddd"), "")</f>
        <v/>
      </c>
      <c r="S818" s="77"/>
      <c r="T818" s="25" t="str">
        <f>IF(Table5[[#This Row],[Tour Ending Date]]&lt;&gt;"", TEXT(Table5[[#This Row],[Tour Ending Date]], "dddd"), "")</f>
        <v/>
      </c>
      <c r="U81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18" s="37" t="str">
        <f>IF(Table5[[#This Row],[Tour Starting Date]]&lt;&gt;"", TEXT(Table5[[#This Row],[Tour Starting Date]], "mmmm"), "")</f>
        <v/>
      </c>
      <c r="W818" s="80" t="str" cm="1">
        <f t="array" ref="W818">IF(Q818&lt;&gt;"", INDEX(CI:CI, MATCH(1, (Q818&gt;=CG:CG)*(Q818&lt;=CH:CH), 0)), "")</f>
        <v/>
      </c>
      <c r="X818" s="39"/>
      <c r="Y818" s="74"/>
      <c r="Z818" s="74" t="str">
        <f>IF(OR(Table5[[#This Row],[Per Person Package Cost]]="", Table5[[#This Row],[No. of Pax]]=""), "", Table5[[#This Row],[Per Person Package Cost]] * Table5[[#This Row],[No. of Pax]])</f>
        <v/>
      </c>
      <c r="AA818" s="52"/>
      <c r="AB818" s="52"/>
      <c r="AC818" s="52"/>
      <c r="AD818" s="52"/>
      <c r="AE818" s="51" t="str">
        <f t="shared" si="73"/>
        <v/>
      </c>
      <c r="AF818" s="51" t="str">
        <f t="shared" si="74"/>
        <v/>
      </c>
      <c r="AG818" s="74" t="str">
        <f t="shared" si="75"/>
        <v/>
      </c>
      <c r="AH818" s="73" t="str">
        <f t="shared" si="76"/>
        <v/>
      </c>
      <c r="AI818" s="52"/>
      <c r="AJ818" s="56"/>
      <c r="AK818" s="59"/>
      <c r="AL818" s="60"/>
      <c r="AM818" s="54"/>
      <c r="AN818" s="64"/>
      <c r="AO818" s="26"/>
      <c r="AP818" s="93"/>
      <c r="AQ818" s="87"/>
      <c r="AR818" s="26"/>
      <c r="AS818" s="65"/>
      <c r="AT818" s="88"/>
      <c r="AU818" s="67"/>
      <c r="DA818" t="str" cm="1">
        <f t="array" ref="DA818">IF(U818&lt;&gt;"", TRANSPOSE(_xlfn._xlws.FILTER(CZ:CZ, CY:CY=U818, "")), "")</f>
        <v/>
      </c>
    </row>
    <row r="819" spans="2:105">
      <c r="B819" s="35">
        <v>815</v>
      </c>
      <c r="C819" s="36" t="s">
        <v>2684</v>
      </c>
      <c r="D819" s="76"/>
      <c r="E819" s="37" t="str">
        <f>IF(Table5[[#This Row],[Query Date]]&lt;&gt;"", TEXT(Table5[[#This Row],[Query Date]], "dddd"), "")</f>
        <v/>
      </c>
      <c r="F819" s="37" t="str">
        <f>IF(Table5[[#This Row],[Query Date]]&lt;&gt;"", TEXT(Table5[[#This Row],[Query Date]], "mmmm"), "")</f>
        <v/>
      </c>
      <c r="G819" s="28"/>
      <c r="H819" s="28"/>
      <c r="I819" s="28"/>
      <c r="J819" s="28"/>
      <c r="K819" s="28"/>
      <c r="L819" s="25"/>
      <c r="M819" s="25"/>
      <c r="N819" s="25"/>
      <c r="O819" s="130"/>
      <c r="P819" s="47"/>
      <c r="Q819" s="77"/>
      <c r="R819" s="77" t="str">
        <f>IF(Table5[[#This Row],[Tour Starting Date]]&lt;&gt;"", TEXT(Table5[[#This Row],[Tour Starting Date]], "dddd"), "")</f>
        <v/>
      </c>
      <c r="S819" s="77"/>
      <c r="T819" s="25" t="str">
        <f>IF(Table5[[#This Row],[Tour Ending Date]]&lt;&gt;"", TEXT(Table5[[#This Row],[Tour Ending Date]], "dddd"), "")</f>
        <v/>
      </c>
      <c r="U81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19" s="37" t="str">
        <f>IF(Table5[[#This Row],[Tour Starting Date]]&lt;&gt;"", TEXT(Table5[[#This Row],[Tour Starting Date]], "mmmm"), "")</f>
        <v/>
      </c>
      <c r="W819" s="80" t="str" cm="1">
        <f t="array" ref="W819">IF(Q819&lt;&gt;"", INDEX(CI:CI, MATCH(1, (Q819&gt;=CG:CG)*(Q819&lt;=CH:CH), 0)), "")</f>
        <v/>
      </c>
      <c r="X819" s="39"/>
      <c r="Y819" s="74"/>
      <c r="Z819" s="74" t="str">
        <f>IF(OR(Table5[[#This Row],[Per Person Package Cost]]="", Table5[[#This Row],[No. of Pax]]=""), "", Table5[[#This Row],[Per Person Package Cost]] * Table5[[#This Row],[No. of Pax]])</f>
        <v/>
      </c>
      <c r="AA819" s="52"/>
      <c r="AB819" s="52"/>
      <c r="AC819" s="52"/>
      <c r="AD819" s="52"/>
      <c r="AE819" s="51" t="str">
        <f t="shared" si="73"/>
        <v/>
      </c>
      <c r="AF819" s="51" t="str">
        <f t="shared" si="74"/>
        <v/>
      </c>
      <c r="AG819" s="74" t="str">
        <f t="shared" si="75"/>
        <v/>
      </c>
      <c r="AH819" s="73" t="str">
        <f t="shared" si="76"/>
        <v/>
      </c>
      <c r="AI819" s="52"/>
      <c r="AJ819" s="56"/>
      <c r="AK819" s="59"/>
      <c r="AL819" s="60"/>
      <c r="AM819" s="54"/>
      <c r="AN819" s="64"/>
      <c r="AO819" s="26"/>
      <c r="AP819" s="93"/>
      <c r="AQ819" s="87"/>
      <c r="AR819" s="26"/>
      <c r="AS819" s="65"/>
      <c r="AT819" s="88"/>
      <c r="AU819" s="67"/>
      <c r="DA819" t="str" cm="1">
        <f t="array" ref="DA819">IF(U819&lt;&gt;"", TRANSPOSE(_xlfn._xlws.FILTER(CZ:CZ, CY:CY=U819, "")), "")</f>
        <v/>
      </c>
    </row>
    <row r="820" spans="2:105">
      <c r="B820" s="35">
        <v>816</v>
      </c>
      <c r="C820" s="36" t="s">
        <v>2685</v>
      </c>
      <c r="D820" s="76"/>
      <c r="E820" s="37" t="str">
        <f>IF(Table5[[#This Row],[Query Date]]&lt;&gt;"", TEXT(Table5[[#This Row],[Query Date]], "dddd"), "")</f>
        <v/>
      </c>
      <c r="F820" s="37" t="str">
        <f>IF(Table5[[#This Row],[Query Date]]&lt;&gt;"", TEXT(Table5[[#This Row],[Query Date]], "mmmm"), "")</f>
        <v/>
      </c>
      <c r="G820" s="28"/>
      <c r="H820" s="28"/>
      <c r="I820" s="28"/>
      <c r="J820" s="28"/>
      <c r="K820" s="28"/>
      <c r="L820" s="25"/>
      <c r="M820" s="25"/>
      <c r="N820" s="25"/>
      <c r="O820" s="130"/>
      <c r="P820" s="47"/>
      <c r="Q820" s="77"/>
      <c r="R820" s="77" t="str">
        <f>IF(Table5[[#This Row],[Tour Starting Date]]&lt;&gt;"", TEXT(Table5[[#This Row],[Tour Starting Date]], "dddd"), "")</f>
        <v/>
      </c>
      <c r="S820" s="77"/>
      <c r="T820" s="25" t="str">
        <f>IF(Table5[[#This Row],[Tour Ending Date]]&lt;&gt;"", TEXT(Table5[[#This Row],[Tour Ending Date]], "dddd"), "")</f>
        <v/>
      </c>
      <c r="U82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20" s="37" t="str">
        <f>IF(Table5[[#This Row],[Tour Starting Date]]&lt;&gt;"", TEXT(Table5[[#This Row],[Tour Starting Date]], "mmmm"), "")</f>
        <v/>
      </c>
      <c r="W820" s="80" t="str" cm="1">
        <f t="array" ref="W820">IF(Q820&lt;&gt;"", INDEX(CI:CI, MATCH(1, (Q820&gt;=CG:CG)*(Q820&lt;=CH:CH), 0)), "")</f>
        <v/>
      </c>
      <c r="X820" s="39"/>
      <c r="Y820" s="74"/>
      <c r="Z820" s="74" t="str">
        <f>IF(OR(Table5[[#This Row],[Per Person Package Cost]]="", Table5[[#This Row],[No. of Pax]]=""), "", Table5[[#This Row],[Per Person Package Cost]] * Table5[[#This Row],[No. of Pax]])</f>
        <v/>
      </c>
      <c r="AA820" s="52"/>
      <c r="AB820" s="52"/>
      <c r="AC820" s="52"/>
      <c r="AD820" s="52"/>
      <c r="AE820" s="51" t="str">
        <f t="shared" si="73"/>
        <v/>
      </c>
      <c r="AF820" s="51" t="str">
        <f t="shared" si="74"/>
        <v/>
      </c>
      <c r="AG820" s="74" t="str">
        <f t="shared" si="75"/>
        <v/>
      </c>
      <c r="AH820" s="73" t="str">
        <f t="shared" si="76"/>
        <v/>
      </c>
      <c r="AI820" s="52"/>
      <c r="AJ820" s="56"/>
      <c r="AK820" s="59"/>
      <c r="AL820" s="60"/>
      <c r="AM820" s="54"/>
      <c r="AN820" s="64"/>
      <c r="AO820" s="26"/>
      <c r="AP820" s="93"/>
      <c r="AQ820" s="87"/>
      <c r="AR820" s="26"/>
      <c r="AS820" s="65"/>
      <c r="AT820" s="88"/>
      <c r="AU820" s="67"/>
      <c r="DA820" t="str" cm="1">
        <f t="array" ref="DA820">IF(U820&lt;&gt;"", TRANSPOSE(_xlfn._xlws.FILTER(CZ:CZ, CY:CY=U820, "")), "")</f>
        <v/>
      </c>
    </row>
    <row r="821" spans="2:105">
      <c r="B821" s="35">
        <v>817</v>
      </c>
      <c r="C821" s="36" t="s">
        <v>2686</v>
      </c>
      <c r="D821" s="76"/>
      <c r="E821" s="37" t="str">
        <f>IF(Table5[[#This Row],[Query Date]]&lt;&gt;"", TEXT(Table5[[#This Row],[Query Date]], "dddd"), "")</f>
        <v/>
      </c>
      <c r="F821" s="37" t="str">
        <f>IF(Table5[[#This Row],[Query Date]]&lt;&gt;"", TEXT(Table5[[#This Row],[Query Date]], "mmmm"), "")</f>
        <v/>
      </c>
      <c r="G821" s="28"/>
      <c r="H821" s="28"/>
      <c r="I821" s="28"/>
      <c r="J821" s="28"/>
      <c r="K821" s="28"/>
      <c r="L821" s="25"/>
      <c r="M821" s="25"/>
      <c r="N821" s="25"/>
      <c r="O821" s="130"/>
      <c r="P821" s="47"/>
      <c r="Q821" s="77"/>
      <c r="R821" s="77" t="str">
        <f>IF(Table5[[#This Row],[Tour Starting Date]]&lt;&gt;"", TEXT(Table5[[#This Row],[Tour Starting Date]], "dddd"), "")</f>
        <v/>
      </c>
      <c r="S821" s="77"/>
      <c r="T821" s="25" t="str">
        <f>IF(Table5[[#This Row],[Tour Ending Date]]&lt;&gt;"", TEXT(Table5[[#This Row],[Tour Ending Date]], "dddd"), "")</f>
        <v/>
      </c>
      <c r="U82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21" s="37" t="str">
        <f>IF(Table5[[#This Row],[Tour Starting Date]]&lt;&gt;"", TEXT(Table5[[#This Row],[Tour Starting Date]], "mmmm"), "")</f>
        <v/>
      </c>
      <c r="W821" s="80" t="str" cm="1">
        <f t="array" ref="W821">IF(Q821&lt;&gt;"", INDEX(CI:CI, MATCH(1, (Q821&gt;=CG:CG)*(Q821&lt;=CH:CH), 0)), "")</f>
        <v/>
      </c>
      <c r="X821" s="39"/>
      <c r="Y821" s="74"/>
      <c r="Z821" s="74" t="str">
        <f>IF(OR(Table5[[#This Row],[Per Person Package Cost]]="", Table5[[#This Row],[No. of Pax]]=""), "", Table5[[#This Row],[Per Person Package Cost]] * Table5[[#This Row],[No. of Pax]])</f>
        <v/>
      </c>
      <c r="AA821" s="52"/>
      <c r="AB821" s="52"/>
      <c r="AC821" s="52"/>
      <c r="AD821" s="52"/>
      <c r="AE821" s="51" t="str">
        <f t="shared" si="73"/>
        <v/>
      </c>
      <c r="AF821" s="51" t="str">
        <f t="shared" si="74"/>
        <v/>
      </c>
      <c r="AG821" s="74" t="str">
        <f t="shared" si="75"/>
        <v/>
      </c>
      <c r="AH821" s="73" t="str">
        <f t="shared" si="76"/>
        <v/>
      </c>
      <c r="AI821" s="52"/>
      <c r="AJ821" s="56"/>
      <c r="AK821" s="59"/>
      <c r="AL821" s="60"/>
      <c r="AM821" s="54"/>
      <c r="AN821" s="64"/>
      <c r="AO821" s="26"/>
      <c r="AP821" s="93"/>
      <c r="AQ821" s="87"/>
      <c r="AR821" s="26"/>
      <c r="AS821" s="65"/>
      <c r="AT821" s="88"/>
      <c r="AU821" s="67"/>
      <c r="DA821" t="str" cm="1">
        <f t="array" ref="DA821">IF(U821&lt;&gt;"", TRANSPOSE(_xlfn._xlws.FILTER(CZ:CZ, CY:CY=U821, "")), "")</f>
        <v/>
      </c>
    </row>
    <row r="822" spans="2:105">
      <c r="B822" s="35">
        <v>818</v>
      </c>
      <c r="C822" s="36" t="s">
        <v>2687</v>
      </c>
      <c r="D822" s="76"/>
      <c r="E822" s="37" t="str">
        <f>IF(Table5[[#This Row],[Query Date]]&lt;&gt;"", TEXT(Table5[[#This Row],[Query Date]], "dddd"), "")</f>
        <v/>
      </c>
      <c r="F822" s="37" t="str">
        <f>IF(Table5[[#This Row],[Query Date]]&lt;&gt;"", TEXT(Table5[[#This Row],[Query Date]], "mmmm"), "")</f>
        <v/>
      </c>
      <c r="G822" s="28"/>
      <c r="H822" s="28"/>
      <c r="I822" s="28"/>
      <c r="J822" s="28"/>
      <c r="K822" s="28"/>
      <c r="L822" s="25"/>
      <c r="M822" s="25"/>
      <c r="N822" s="25"/>
      <c r="O822" s="130"/>
      <c r="P822" s="47"/>
      <c r="Q822" s="77"/>
      <c r="R822" s="77" t="str">
        <f>IF(Table5[[#This Row],[Tour Starting Date]]&lt;&gt;"", TEXT(Table5[[#This Row],[Tour Starting Date]], "dddd"), "")</f>
        <v/>
      </c>
      <c r="S822" s="77"/>
      <c r="T822" s="25" t="str">
        <f>IF(Table5[[#This Row],[Tour Ending Date]]&lt;&gt;"", TEXT(Table5[[#This Row],[Tour Ending Date]], "dddd"), "")</f>
        <v/>
      </c>
      <c r="U82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22" s="37" t="str">
        <f>IF(Table5[[#This Row],[Tour Starting Date]]&lt;&gt;"", TEXT(Table5[[#This Row],[Tour Starting Date]], "mmmm"), "")</f>
        <v/>
      </c>
      <c r="W822" s="80" t="str" cm="1">
        <f t="array" ref="W822">IF(Q822&lt;&gt;"", INDEX(CI:CI, MATCH(1, (Q822&gt;=CG:CG)*(Q822&lt;=CH:CH), 0)), "")</f>
        <v/>
      </c>
      <c r="X822" s="39"/>
      <c r="Y822" s="74"/>
      <c r="Z822" s="74" t="str">
        <f>IF(OR(Table5[[#This Row],[Per Person Package Cost]]="", Table5[[#This Row],[No. of Pax]]=""), "", Table5[[#This Row],[Per Person Package Cost]] * Table5[[#This Row],[No. of Pax]])</f>
        <v/>
      </c>
      <c r="AA822" s="52"/>
      <c r="AB822" s="52"/>
      <c r="AC822" s="52"/>
      <c r="AD822" s="52"/>
      <c r="AE822" s="51" t="str">
        <f t="shared" si="73"/>
        <v/>
      </c>
      <c r="AF822" s="51" t="str">
        <f t="shared" si="74"/>
        <v/>
      </c>
      <c r="AG822" s="74" t="str">
        <f t="shared" si="75"/>
        <v/>
      </c>
      <c r="AH822" s="73" t="str">
        <f t="shared" si="76"/>
        <v/>
      </c>
      <c r="AI822" s="52"/>
      <c r="AJ822" s="56"/>
      <c r="AK822" s="59"/>
      <c r="AL822" s="60"/>
      <c r="AM822" s="54"/>
      <c r="AN822" s="64"/>
      <c r="AO822" s="26"/>
      <c r="AP822" s="93"/>
      <c r="AQ822" s="87"/>
      <c r="AR822" s="26"/>
      <c r="AS822" s="65"/>
      <c r="AT822" s="88"/>
      <c r="AU822" s="67"/>
      <c r="DA822" t="str" cm="1">
        <f t="array" ref="DA822">IF(U822&lt;&gt;"", TRANSPOSE(_xlfn._xlws.FILTER(CZ:CZ, CY:CY=U822, "")), "")</f>
        <v/>
      </c>
    </row>
    <row r="823" spans="2:105">
      <c r="B823" s="35">
        <v>819</v>
      </c>
      <c r="C823" s="36" t="s">
        <v>2688</v>
      </c>
      <c r="D823" s="76"/>
      <c r="E823" s="37" t="str">
        <f>IF(Table5[[#This Row],[Query Date]]&lt;&gt;"", TEXT(Table5[[#This Row],[Query Date]], "dddd"), "")</f>
        <v/>
      </c>
      <c r="F823" s="37" t="str">
        <f>IF(Table5[[#This Row],[Query Date]]&lt;&gt;"", TEXT(Table5[[#This Row],[Query Date]], "mmmm"), "")</f>
        <v/>
      </c>
      <c r="G823" s="28"/>
      <c r="H823" s="28"/>
      <c r="I823" s="28"/>
      <c r="J823" s="28"/>
      <c r="K823" s="28"/>
      <c r="L823" s="25"/>
      <c r="M823" s="25"/>
      <c r="N823" s="25"/>
      <c r="O823" s="130"/>
      <c r="P823" s="47"/>
      <c r="Q823" s="77"/>
      <c r="R823" s="77" t="str">
        <f>IF(Table5[[#This Row],[Tour Starting Date]]&lt;&gt;"", TEXT(Table5[[#This Row],[Tour Starting Date]], "dddd"), "")</f>
        <v/>
      </c>
      <c r="S823" s="77"/>
      <c r="T823" s="25" t="str">
        <f>IF(Table5[[#This Row],[Tour Ending Date]]&lt;&gt;"", TEXT(Table5[[#This Row],[Tour Ending Date]], "dddd"), "")</f>
        <v/>
      </c>
      <c r="U82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23" s="37" t="str">
        <f>IF(Table5[[#This Row],[Tour Starting Date]]&lt;&gt;"", TEXT(Table5[[#This Row],[Tour Starting Date]], "mmmm"), "")</f>
        <v/>
      </c>
      <c r="W823" s="80" t="str" cm="1">
        <f t="array" ref="W823">IF(Q823&lt;&gt;"", INDEX(CI:CI, MATCH(1, (Q823&gt;=CG:CG)*(Q823&lt;=CH:CH), 0)), "")</f>
        <v/>
      </c>
      <c r="X823" s="39"/>
      <c r="Y823" s="74"/>
      <c r="Z823" s="74" t="str">
        <f>IF(OR(Table5[[#This Row],[Per Person Package Cost]]="", Table5[[#This Row],[No. of Pax]]=""), "", Table5[[#This Row],[Per Person Package Cost]] * Table5[[#This Row],[No. of Pax]])</f>
        <v/>
      </c>
      <c r="AA823" s="52"/>
      <c r="AB823" s="52"/>
      <c r="AC823" s="52"/>
      <c r="AD823" s="52"/>
      <c r="AE823" s="51" t="str">
        <f t="shared" si="73"/>
        <v/>
      </c>
      <c r="AF823" s="51" t="str">
        <f t="shared" si="74"/>
        <v/>
      </c>
      <c r="AG823" s="74" t="str">
        <f t="shared" si="75"/>
        <v/>
      </c>
      <c r="AH823" s="73" t="str">
        <f t="shared" si="76"/>
        <v/>
      </c>
      <c r="AI823" s="52"/>
      <c r="AJ823" s="56"/>
      <c r="AK823" s="59"/>
      <c r="AL823" s="60"/>
      <c r="AM823" s="54"/>
      <c r="AN823" s="64"/>
      <c r="AO823" s="26"/>
      <c r="AP823" s="93"/>
      <c r="AQ823" s="87"/>
      <c r="AR823" s="26"/>
      <c r="AS823" s="65"/>
      <c r="AT823" s="88"/>
      <c r="AU823" s="67"/>
      <c r="DA823" t="str" cm="1">
        <f t="array" ref="DA823">IF(U823&lt;&gt;"", TRANSPOSE(_xlfn._xlws.FILTER(CZ:CZ, CY:CY=U823, "")), "")</f>
        <v/>
      </c>
    </row>
    <row r="824" spans="2:105">
      <c r="B824" s="35">
        <v>820</v>
      </c>
      <c r="C824" s="36" t="s">
        <v>2689</v>
      </c>
      <c r="D824" s="76"/>
      <c r="E824" s="37" t="str">
        <f>IF(Table5[[#This Row],[Query Date]]&lt;&gt;"", TEXT(Table5[[#This Row],[Query Date]], "dddd"), "")</f>
        <v/>
      </c>
      <c r="F824" s="37" t="str">
        <f>IF(Table5[[#This Row],[Query Date]]&lt;&gt;"", TEXT(Table5[[#This Row],[Query Date]], "mmmm"), "")</f>
        <v/>
      </c>
      <c r="G824" s="28"/>
      <c r="H824" s="28"/>
      <c r="I824" s="28"/>
      <c r="J824" s="28"/>
      <c r="K824" s="28"/>
      <c r="L824" s="25"/>
      <c r="M824" s="25"/>
      <c r="N824" s="25"/>
      <c r="O824" s="130"/>
      <c r="P824" s="47"/>
      <c r="Q824" s="77"/>
      <c r="R824" s="77" t="str">
        <f>IF(Table5[[#This Row],[Tour Starting Date]]&lt;&gt;"", TEXT(Table5[[#This Row],[Tour Starting Date]], "dddd"), "")</f>
        <v/>
      </c>
      <c r="S824" s="77"/>
      <c r="T824" s="25" t="str">
        <f>IF(Table5[[#This Row],[Tour Ending Date]]&lt;&gt;"", TEXT(Table5[[#This Row],[Tour Ending Date]], "dddd"), "")</f>
        <v/>
      </c>
      <c r="U82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24" s="37" t="str">
        <f>IF(Table5[[#This Row],[Tour Starting Date]]&lt;&gt;"", TEXT(Table5[[#This Row],[Tour Starting Date]], "mmmm"), "")</f>
        <v/>
      </c>
      <c r="W824" s="80" t="str" cm="1">
        <f t="array" ref="W824">IF(Q824&lt;&gt;"", INDEX(CI:CI, MATCH(1, (Q824&gt;=CG:CG)*(Q824&lt;=CH:CH), 0)), "")</f>
        <v/>
      </c>
      <c r="X824" s="39"/>
      <c r="Y824" s="74"/>
      <c r="Z824" s="74" t="str">
        <f>IF(OR(Table5[[#This Row],[Per Person Package Cost]]="", Table5[[#This Row],[No. of Pax]]=""), "", Table5[[#This Row],[Per Person Package Cost]] * Table5[[#This Row],[No. of Pax]])</f>
        <v/>
      </c>
      <c r="AA824" s="52"/>
      <c r="AB824" s="52"/>
      <c r="AC824" s="52"/>
      <c r="AD824" s="52"/>
      <c r="AE824" s="51" t="str">
        <f t="shared" si="73"/>
        <v/>
      </c>
      <c r="AF824" s="51" t="str">
        <f t="shared" si="74"/>
        <v/>
      </c>
      <c r="AG824" s="74" t="str">
        <f t="shared" si="75"/>
        <v/>
      </c>
      <c r="AH824" s="73" t="str">
        <f t="shared" si="76"/>
        <v/>
      </c>
      <c r="AI824" s="52"/>
      <c r="AJ824" s="56"/>
      <c r="AK824" s="59"/>
      <c r="AL824" s="60"/>
      <c r="AM824" s="54"/>
      <c r="AN824" s="64"/>
      <c r="AO824" s="26"/>
      <c r="AP824" s="93"/>
      <c r="AQ824" s="87"/>
      <c r="AR824" s="26"/>
      <c r="AS824" s="65"/>
      <c r="AT824" s="88"/>
      <c r="AU824" s="67"/>
      <c r="DA824" t="str" cm="1">
        <f t="array" ref="DA824">IF(U824&lt;&gt;"", TRANSPOSE(_xlfn._xlws.FILTER(CZ:CZ, CY:CY=U824, "")), "")</f>
        <v/>
      </c>
    </row>
    <row r="825" spans="2:105">
      <c r="B825" s="35">
        <v>821</v>
      </c>
      <c r="C825" s="36" t="s">
        <v>2690</v>
      </c>
      <c r="D825" s="76"/>
      <c r="E825" s="37" t="str">
        <f>IF(Table5[[#This Row],[Query Date]]&lt;&gt;"", TEXT(Table5[[#This Row],[Query Date]], "dddd"), "")</f>
        <v/>
      </c>
      <c r="F825" s="37" t="str">
        <f>IF(Table5[[#This Row],[Query Date]]&lt;&gt;"", TEXT(Table5[[#This Row],[Query Date]], "mmmm"), "")</f>
        <v/>
      </c>
      <c r="G825" s="28"/>
      <c r="H825" s="28"/>
      <c r="I825" s="28"/>
      <c r="J825" s="28"/>
      <c r="K825" s="28"/>
      <c r="L825" s="25"/>
      <c r="M825" s="25"/>
      <c r="N825" s="25"/>
      <c r="O825" s="130"/>
      <c r="P825" s="47"/>
      <c r="Q825" s="77"/>
      <c r="R825" s="77" t="str">
        <f>IF(Table5[[#This Row],[Tour Starting Date]]&lt;&gt;"", TEXT(Table5[[#This Row],[Tour Starting Date]], "dddd"), "")</f>
        <v/>
      </c>
      <c r="S825" s="77"/>
      <c r="T825" s="25" t="str">
        <f>IF(Table5[[#This Row],[Tour Ending Date]]&lt;&gt;"", TEXT(Table5[[#This Row],[Tour Ending Date]], "dddd"), "")</f>
        <v/>
      </c>
      <c r="U82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25" s="37" t="str">
        <f>IF(Table5[[#This Row],[Tour Starting Date]]&lt;&gt;"", TEXT(Table5[[#This Row],[Tour Starting Date]], "mmmm"), "")</f>
        <v/>
      </c>
      <c r="W825" s="80" t="str" cm="1">
        <f t="array" ref="W825">IF(Q825&lt;&gt;"", INDEX(CI:CI, MATCH(1, (Q825&gt;=CG:CG)*(Q825&lt;=CH:CH), 0)), "")</f>
        <v/>
      </c>
      <c r="X825" s="39"/>
      <c r="Y825" s="74"/>
      <c r="Z825" s="74" t="str">
        <f>IF(OR(Table5[[#This Row],[Per Person Package Cost]]="", Table5[[#This Row],[No. of Pax]]=""), "", Table5[[#This Row],[Per Person Package Cost]] * Table5[[#This Row],[No. of Pax]])</f>
        <v/>
      </c>
      <c r="AA825" s="52"/>
      <c r="AB825" s="52"/>
      <c r="AC825" s="52"/>
      <c r="AD825" s="52"/>
      <c r="AE825" s="51" t="str">
        <f t="shared" si="73"/>
        <v/>
      </c>
      <c r="AF825" s="51" t="str">
        <f t="shared" si="74"/>
        <v/>
      </c>
      <c r="AG825" s="74" t="str">
        <f t="shared" si="75"/>
        <v/>
      </c>
      <c r="AH825" s="73" t="str">
        <f t="shared" si="76"/>
        <v/>
      </c>
      <c r="AI825" s="52"/>
      <c r="AJ825" s="56"/>
      <c r="AK825" s="59"/>
      <c r="AL825" s="60"/>
      <c r="AM825" s="54"/>
      <c r="AN825" s="64"/>
      <c r="AO825" s="26"/>
      <c r="AP825" s="93"/>
      <c r="AQ825" s="87"/>
      <c r="AR825" s="26"/>
      <c r="AS825" s="65"/>
      <c r="AT825" s="88"/>
      <c r="AU825" s="67"/>
      <c r="DA825" t="str" cm="1">
        <f t="array" ref="DA825">IF(U825&lt;&gt;"", TRANSPOSE(_xlfn._xlws.FILTER(CZ:CZ, CY:CY=U825, "")), "")</f>
        <v/>
      </c>
    </row>
    <row r="826" spans="2:105">
      <c r="B826" s="35">
        <v>822</v>
      </c>
      <c r="C826" s="36" t="s">
        <v>2691</v>
      </c>
      <c r="D826" s="76"/>
      <c r="E826" s="37" t="str">
        <f>IF(Table5[[#This Row],[Query Date]]&lt;&gt;"", TEXT(Table5[[#This Row],[Query Date]], "dddd"), "")</f>
        <v/>
      </c>
      <c r="F826" s="37" t="str">
        <f>IF(Table5[[#This Row],[Query Date]]&lt;&gt;"", TEXT(Table5[[#This Row],[Query Date]], "mmmm"), "")</f>
        <v/>
      </c>
      <c r="G826" s="28"/>
      <c r="H826" s="28"/>
      <c r="I826" s="28"/>
      <c r="J826" s="28"/>
      <c r="K826" s="28"/>
      <c r="L826" s="25"/>
      <c r="M826" s="25"/>
      <c r="N826" s="25"/>
      <c r="O826" s="130"/>
      <c r="P826" s="47"/>
      <c r="Q826" s="77"/>
      <c r="R826" s="77" t="str">
        <f>IF(Table5[[#This Row],[Tour Starting Date]]&lt;&gt;"", TEXT(Table5[[#This Row],[Tour Starting Date]], "dddd"), "")</f>
        <v/>
      </c>
      <c r="S826" s="77"/>
      <c r="T826" s="25" t="str">
        <f>IF(Table5[[#This Row],[Tour Ending Date]]&lt;&gt;"", TEXT(Table5[[#This Row],[Tour Ending Date]], "dddd"), "")</f>
        <v/>
      </c>
      <c r="U82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26" s="37" t="str">
        <f>IF(Table5[[#This Row],[Tour Starting Date]]&lt;&gt;"", TEXT(Table5[[#This Row],[Tour Starting Date]], "mmmm"), "")</f>
        <v/>
      </c>
      <c r="W826" s="80" t="str" cm="1">
        <f t="array" ref="W826">IF(Q826&lt;&gt;"", INDEX(CI:CI, MATCH(1, (Q826&gt;=CG:CG)*(Q826&lt;=CH:CH), 0)), "")</f>
        <v/>
      </c>
      <c r="X826" s="39"/>
      <c r="Y826" s="74"/>
      <c r="Z826" s="74" t="str">
        <f>IF(OR(Table5[[#This Row],[Per Person Package Cost]]="", Table5[[#This Row],[No. of Pax]]=""), "", Table5[[#This Row],[Per Person Package Cost]] * Table5[[#This Row],[No. of Pax]])</f>
        <v/>
      </c>
      <c r="AA826" s="52"/>
      <c r="AB826" s="52"/>
      <c r="AC826" s="52"/>
      <c r="AD826" s="52"/>
      <c r="AE826" s="51" t="str">
        <f t="shared" si="73"/>
        <v/>
      </c>
      <c r="AF826" s="51" t="str">
        <f t="shared" si="74"/>
        <v/>
      </c>
      <c r="AG826" s="74" t="str">
        <f t="shared" si="75"/>
        <v/>
      </c>
      <c r="AH826" s="73" t="str">
        <f t="shared" si="76"/>
        <v/>
      </c>
      <c r="AI826" s="52"/>
      <c r="AJ826" s="56"/>
      <c r="AK826" s="59"/>
      <c r="AL826" s="60"/>
      <c r="AM826" s="54"/>
      <c r="AN826" s="64"/>
      <c r="AO826" s="26"/>
      <c r="AP826" s="93"/>
      <c r="AQ826" s="87"/>
      <c r="AR826" s="26"/>
      <c r="AS826" s="65"/>
      <c r="AT826" s="88"/>
      <c r="AU826" s="67"/>
      <c r="DA826" t="str" cm="1">
        <f t="array" ref="DA826">IF(U826&lt;&gt;"", TRANSPOSE(_xlfn._xlws.FILTER(CZ:CZ, CY:CY=U826, "")), "")</f>
        <v/>
      </c>
    </row>
    <row r="827" spans="2:105">
      <c r="B827" s="35">
        <v>823</v>
      </c>
      <c r="C827" s="36" t="s">
        <v>2692</v>
      </c>
      <c r="D827" s="76"/>
      <c r="E827" s="37" t="str">
        <f>IF(Table5[[#This Row],[Query Date]]&lt;&gt;"", TEXT(Table5[[#This Row],[Query Date]], "dddd"), "")</f>
        <v/>
      </c>
      <c r="F827" s="37" t="str">
        <f>IF(Table5[[#This Row],[Query Date]]&lt;&gt;"", TEXT(Table5[[#This Row],[Query Date]], "mmmm"), "")</f>
        <v/>
      </c>
      <c r="G827" s="28"/>
      <c r="H827" s="28"/>
      <c r="I827" s="28"/>
      <c r="J827" s="28"/>
      <c r="K827" s="28"/>
      <c r="L827" s="25"/>
      <c r="M827" s="25"/>
      <c r="N827" s="25"/>
      <c r="O827" s="130"/>
      <c r="P827" s="47"/>
      <c r="Q827" s="77"/>
      <c r="R827" s="77" t="str">
        <f>IF(Table5[[#This Row],[Tour Starting Date]]&lt;&gt;"", TEXT(Table5[[#This Row],[Tour Starting Date]], "dddd"), "")</f>
        <v/>
      </c>
      <c r="S827" s="77"/>
      <c r="T827" s="25" t="str">
        <f>IF(Table5[[#This Row],[Tour Ending Date]]&lt;&gt;"", TEXT(Table5[[#This Row],[Tour Ending Date]], "dddd"), "")</f>
        <v/>
      </c>
      <c r="U82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27" s="37" t="str">
        <f>IF(Table5[[#This Row],[Tour Starting Date]]&lt;&gt;"", TEXT(Table5[[#This Row],[Tour Starting Date]], "mmmm"), "")</f>
        <v/>
      </c>
      <c r="W827" s="80" t="str" cm="1">
        <f t="array" ref="W827">IF(Q827&lt;&gt;"", INDEX(CI:CI, MATCH(1, (Q827&gt;=CG:CG)*(Q827&lt;=CH:CH), 0)), "")</f>
        <v/>
      </c>
      <c r="X827" s="39"/>
      <c r="Y827" s="74"/>
      <c r="Z827" s="74" t="str">
        <f>IF(OR(Table5[[#This Row],[Per Person Package Cost]]="", Table5[[#This Row],[No. of Pax]]=""), "", Table5[[#This Row],[Per Person Package Cost]] * Table5[[#This Row],[No. of Pax]])</f>
        <v/>
      </c>
      <c r="AA827" s="52"/>
      <c r="AB827" s="52"/>
      <c r="AC827" s="52"/>
      <c r="AD827" s="52"/>
      <c r="AE827" s="51" t="str">
        <f t="shared" si="73"/>
        <v/>
      </c>
      <c r="AF827" s="51" t="str">
        <f t="shared" si="74"/>
        <v/>
      </c>
      <c r="AG827" s="74" t="str">
        <f t="shared" si="75"/>
        <v/>
      </c>
      <c r="AH827" s="73" t="str">
        <f t="shared" si="76"/>
        <v/>
      </c>
      <c r="AI827" s="52"/>
      <c r="AJ827" s="56"/>
      <c r="AK827" s="59"/>
      <c r="AL827" s="60"/>
      <c r="AM827" s="54"/>
      <c r="AN827" s="64"/>
      <c r="AO827" s="26"/>
      <c r="AP827" s="93"/>
      <c r="AQ827" s="87"/>
      <c r="AR827" s="26"/>
      <c r="AS827" s="65"/>
      <c r="AT827" s="88"/>
      <c r="AU827" s="67"/>
      <c r="DA827" t="str" cm="1">
        <f t="array" ref="DA827">IF(U827&lt;&gt;"", TRANSPOSE(_xlfn._xlws.FILTER(CZ:CZ, CY:CY=U827, "")), "")</f>
        <v/>
      </c>
    </row>
    <row r="828" spans="2:105">
      <c r="B828" s="35">
        <v>824</v>
      </c>
      <c r="C828" s="36" t="s">
        <v>2693</v>
      </c>
      <c r="D828" s="76"/>
      <c r="E828" s="37" t="str">
        <f>IF(Table5[[#This Row],[Query Date]]&lt;&gt;"", TEXT(Table5[[#This Row],[Query Date]], "dddd"), "")</f>
        <v/>
      </c>
      <c r="F828" s="37" t="str">
        <f>IF(Table5[[#This Row],[Query Date]]&lt;&gt;"", TEXT(Table5[[#This Row],[Query Date]], "mmmm"), "")</f>
        <v/>
      </c>
      <c r="G828" s="28"/>
      <c r="H828" s="28"/>
      <c r="I828" s="28"/>
      <c r="J828" s="28"/>
      <c r="K828" s="28"/>
      <c r="L828" s="25"/>
      <c r="M828" s="25"/>
      <c r="N828" s="25"/>
      <c r="O828" s="130"/>
      <c r="P828" s="47"/>
      <c r="Q828" s="77"/>
      <c r="R828" s="77" t="str">
        <f>IF(Table5[[#This Row],[Tour Starting Date]]&lt;&gt;"", TEXT(Table5[[#This Row],[Tour Starting Date]], "dddd"), "")</f>
        <v/>
      </c>
      <c r="S828" s="77"/>
      <c r="T828" s="25" t="str">
        <f>IF(Table5[[#This Row],[Tour Ending Date]]&lt;&gt;"", TEXT(Table5[[#This Row],[Tour Ending Date]], "dddd"), "")</f>
        <v/>
      </c>
      <c r="U82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28" s="37" t="str">
        <f>IF(Table5[[#This Row],[Tour Starting Date]]&lt;&gt;"", TEXT(Table5[[#This Row],[Tour Starting Date]], "mmmm"), "")</f>
        <v/>
      </c>
      <c r="W828" s="80" t="str" cm="1">
        <f t="array" ref="W828">IF(Q828&lt;&gt;"", INDEX(CI:CI, MATCH(1, (Q828&gt;=CG:CG)*(Q828&lt;=CH:CH), 0)), "")</f>
        <v/>
      </c>
      <c r="X828" s="39"/>
      <c r="Y828" s="74"/>
      <c r="Z828" s="74" t="str">
        <f>IF(OR(Table5[[#This Row],[Per Person Package Cost]]="", Table5[[#This Row],[No. of Pax]]=""), "", Table5[[#This Row],[Per Person Package Cost]] * Table5[[#This Row],[No. of Pax]])</f>
        <v/>
      </c>
      <c r="AA828" s="52"/>
      <c r="AB828" s="52"/>
      <c r="AC828" s="52"/>
      <c r="AD828" s="52"/>
      <c r="AE828" s="51" t="str">
        <f t="shared" si="73"/>
        <v/>
      </c>
      <c r="AF828" s="51" t="str">
        <f t="shared" si="74"/>
        <v/>
      </c>
      <c r="AG828" s="74" t="str">
        <f t="shared" si="75"/>
        <v/>
      </c>
      <c r="AH828" s="73" t="str">
        <f t="shared" si="76"/>
        <v/>
      </c>
      <c r="AI828" s="52"/>
      <c r="AJ828" s="56"/>
      <c r="AK828" s="59"/>
      <c r="AL828" s="60"/>
      <c r="AM828" s="54"/>
      <c r="AN828" s="64"/>
      <c r="AO828" s="26"/>
      <c r="AP828" s="93"/>
      <c r="AQ828" s="87"/>
      <c r="AR828" s="26"/>
      <c r="AS828" s="65"/>
      <c r="AT828" s="88"/>
      <c r="AU828" s="67"/>
      <c r="DA828" t="str" cm="1">
        <f t="array" ref="DA828">IF(U828&lt;&gt;"", TRANSPOSE(_xlfn._xlws.FILTER(CZ:CZ, CY:CY=U828, "")), "")</f>
        <v/>
      </c>
    </row>
    <row r="829" spans="2:105">
      <c r="B829" s="35">
        <v>825</v>
      </c>
      <c r="C829" s="36" t="s">
        <v>2694</v>
      </c>
      <c r="D829" s="76"/>
      <c r="E829" s="37" t="str">
        <f>IF(Table5[[#This Row],[Query Date]]&lt;&gt;"", TEXT(Table5[[#This Row],[Query Date]], "dddd"), "")</f>
        <v/>
      </c>
      <c r="F829" s="37" t="str">
        <f>IF(Table5[[#This Row],[Query Date]]&lt;&gt;"", TEXT(Table5[[#This Row],[Query Date]], "mmmm"), "")</f>
        <v/>
      </c>
      <c r="G829" s="28"/>
      <c r="H829" s="28"/>
      <c r="I829" s="28"/>
      <c r="J829" s="28"/>
      <c r="K829" s="28"/>
      <c r="L829" s="25"/>
      <c r="M829" s="25"/>
      <c r="N829" s="25"/>
      <c r="O829" s="130"/>
      <c r="P829" s="47"/>
      <c r="Q829" s="77"/>
      <c r="R829" s="77" t="str">
        <f>IF(Table5[[#This Row],[Tour Starting Date]]&lt;&gt;"", TEXT(Table5[[#This Row],[Tour Starting Date]], "dddd"), "")</f>
        <v/>
      </c>
      <c r="S829" s="77"/>
      <c r="T829" s="25" t="str">
        <f>IF(Table5[[#This Row],[Tour Ending Date]]&lt;&gt;"", TEXT(Table5[[#This Row],[Tour Ending Date]], "dddd"), "")</f>
        <v/>
      </c>
      <c r="U82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29" s="37" t="str">
        <f>IF(Table5[[#This Row],[Tour Starting Date]]&lt;&gt;"", TEXT(Table5[[#This Row],[Tour Starting Date]], "mmmm"), "")</f>
        <v/>
      </c>
      <c r="W829" s="80" t="str" cm="1">
        <f t="array" ref="W829">IF(Q829&lt;&gt;"", INDEX(CI:CI, MATCH(1, (Q829&gt;=CG:CG)*(Q829&lt;=CH:CH), 0)), "")</f>
        <v/>
      </c>
      <c r="X829" s="39"/>
      <c r="Y829" s="74"/>
      <c r="Z829" s="74" t="str">
        <f>IF(OR(Table5[[#This Row],[Per Person Package Cost]]="", Table5[[#This Row],[No. of Pax]]=""), "", Table5[[#This Row],[Per Person Package Cost]] * Table5[[#This Row],[No. of Pax]])</f>
        <v/>
      </c>
      <c r="AA829" s="52"/>
      <c r="AB829" s="52"/>
      <c r="AC829" s="52"/>
      <c r="AD829" s="52"/>
      <c r="AE829" s="51" t="str">
        <f t="shared" si="73"/>
        <v/>
      </c>
      <c r="AF829" s="51" t="str">
        <f t="shared" si="74"/>
        <v/>
      </c>
      <c r="AG829" s="74" t="str">
        <f t="shared" si="75"/>
        <v/>
      </c>
      <c r="AH829" s="73" t="str">
        <f t="shared" si="76"/>
        <v/>
      </c>
      <c r="AI829" s="52"/>
      <c r="AJ829" s="56"/>
      <c r="AK829" s="59"/>
      <c r="AL829" s="60"/>
      <c r="AM829" s="54"/>
      <c r="AN829" s="64"/>
      <c r="AO829" s="26"/>
      <c r="AP829" s="93"/>
      <c r="AQ829" s="87"/>
      <c r="AR829" s="26"/>
      <c r="AS829" s="65"/>
      <c r="AT829" s="88"/>
      <c r="AU829" s="67"/>
      <c r="DA829" t="str" cm="1">
        <f t="array" ref="DA829">IF(U829&lt;&gt;"", TRANSPOSE(_xlfn._xlws.FILTER(CZ:CZ, CY:CY=U829, "")), "")</f>
        <v/>
      </c>
    </row>
    <row r="830" spans="2:105">
      <c r="B830" s="35">
        <v>826</v>
      </c>
      <c r="C830" s="36" t="s">
        <v>2695</v>
      </c>
      <c r="D830" s="76"/>
      <c r="E830" s="37" t="str">
        <f>IF(Table5[[#This Row],[Query Date]]&lt;&gt;"", TEXT(Table5[[#This Row],[Query Date]], "dddd"), "")</f>
        <v/>
      </c>
      <c r="F830" s="37" t="str">
        <f>IF(Table5[[#This Row],[Query Date]]&lt;&gt;"", TEXT(Table5[[#This Row],[Query Date]], "mmmm"), "")</f>
        <v/>
      </c>
      <c r="G830" s="28"/>
      <c r="H830" s="28"/>
      <c r="I830" s="28"/>
      <c r="J830" s="28"/>
      <c r="K830" s="28"/>
      <c r="L830" s="25"/>
      <c r="M830" s="25"/>
      <c r="N830" s="25"/>
      <c r="O830" s="130"/>
      <c r="P830" s="47"/>
      <c r="Q830" s="77"/>
      <c r="R830" s="77" t="str">
        <f>IF(Table5[[#This Row],[Tour Starting Date]]&lt;&gt;"", TEXT(Table5[[#This Row],[Tour Starting Date]], "dddd"), "")</f>
        <v/>
      </c>
      <c r="S830" s="77"/>
      <c r="T830" s="25" t="str">
        <f>IF(Table5[[#This Row],[Tour Ending Date]]&lt;&gt;"", TEXT(Table5[[#This Row],[Tour Ending Date]], "dddd"), "")</f>
        <v/>
      </c>
      <c r="U83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30" s="37" t="str">
        <f>IF(Table5[[#This Row],[Tour Starting Date]]&lt;&gt;"", TEXT(Table5[[#This Row],[Tour Starting Date]], "mmmm"), "")</f>
        <v/>
      </c>
      <c r="W830" s="80" t="str" cm="1">
        <f t="array" ref="W830">IF(Q830&lt;&gt;"", INDEX(CI:CI, MATCH(1, (Q830&gt;=CG:CG)*(Q830&lt;=CH:CH), 0)), "")</f>
        <v/>
      </c>
      <c r="X830" s="39"/>
      <c r="Y830" s="74"/>
      <c r="Z830" s="74" t="str">
        <f>IF(OR(Table5[[#This Row],[Per Person Package Cost]]="", Table5[[#This Row],[No. of Pax]]=""), "", Table5[[#This Row],[Per Person Package Cost]] * Table5[[#This Row],[No. of Pax]])</f>
        <v/>
      </c>
      <c r="AA830" s="52"/>
      <c r="AB830" s="52"/>
      <c r="AC830" s="52"/>
      <c r="AD830" s="52"/>
      <c r="AE830" s="51" t="str">
        <f t="shared" si="73"/>
        <v/>
      </c>
      <c r="AF830" s="51" t="str">
        <f t="shared" si="74"/>
        <v/>
      </c>
      <c r="AG830" s="74" t="str">
        <f t="shared" si="75"/>
        <v/>
      </c>
      <c r="AH830" s="73" t="str">
        <f t="shared" si="76"/>
        <v/>
      </c>
      <c r="AI830" s="52"/>
      <c r="AJ830" s="56"/>
      <c r="AK830" s="59"/>
      <c r="AL830" s="60"/>
      <c r="AM830" s="54"/>
      <c r="AN830" s="64"/>
      <c r="AO830" s="26"/>
      <c r="AP830" s="93"/>
      <c r="AQ830" s="87"/>
      <c r="AR830" s="26"/>
      <c r="AS830" s="65"/>
      <c r="AT830" s="88"/>
      <c r="AU830" s="67"/>
      <c r="DA830" t="str" cm="1">
        <f t="array" ref="DA830">IF(U830&lt;&gt;"", TRANSPOSE(_xlfn._xlws.FILTER(CZ:CZ, CY:CY=U830, "")), "")</f>
        <v/>
      </c>
    </row>
    <row r="831" spans="2:105">
      <c r="B831" s="35">
        <v>827</v>
      </c>
      <c r="C831" s="36" t="s">
        <v>2696</v>
      </c>
      <c r="D831" s="76"/>
      <c r="E831" s="37" t="str">
        <f>IF(Table5[[#This Row],[Query Date]]&lt;&gt;"", TEXT(Table5[[#This Row],[Query Date]], "dddd"), "")</f>
        <v/>
      </c>
      <c r="F831" s="37" t="str">
        <f>IF(Table5[[#This Row],[Query Date]]&lt;&gt;"", TEXT(Table5[[#This Row],[Query Date]], "mmmm"), "")</f>
        <v/>
      </c>
      <c r="G831" s="28"/>
      <c r="H831" s="28"/>
      <c r="I831" s="28"/>
      <c r="J831" s="28"/>
      <c r="K831" s="28"/>
      <c r="L831" s="25"/>
      <c r="M831" s="25"/>
      <c r="N831" s="25"/>
      <c r="O831" s="130"/>
      <c r="P831" s="47"/>
      <c r="Q831" s="77"/>
      <c r="R831" s="77" t="str">
        <f>IF(Table5[[#This Row],[Tour Starting Date]]&lt;&gt;"", TEXT(Table5[[#This Row],[Tour Starting Date]], "dddd"), "")</f>
        <v/>
      </c>
      <c r="S831" s="77"/>
      <c r="T831" s="25" t="str">
        <f>IF(Table5[[#This Row],[Tour Ending Date]]&lt;&gt;"", TEXT(Table5[[#This Row],[Tour Ending Date]], "dddd"), "")</f>
        <v/>
      </c>
      <c r="U83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31" s="37" t="str">
        <f>IF(Table5[[#This Row],[Tour Starting Date]]&lt;&gt;"", TEXT(Table5[[#This Row],[Tour Starting Date]], "mmmm"), "")</f>
        <v/>
      </c>
      <c r="W831" s="80" t="str" cm="1">
        <f t="array" ref="W831">IF(Q831&lt;&gt;"", INDEX(CI:CI, MATCH(1, (Q831&gt;=CG:CG)*(Q831&lt;=CH:CH), 0)), "")</f>
        <v/>
      </c>
      <c r="X831" s="39"/>
      <c r="Y831" s="74"/>
      <c r="Z831" s="74" t="str">
        <f>IF(OR(Table5[[#This Row],[Per Person Package Cost]]="", Table5[[#This Row],[No. of Pax]]=""), "", Table5[[#This Row],[Per Person Package Cost]] * Table5[[#This Row],[No. of Pax]])</f>
        <v/>
      </c>
      <c r="AA831" s="52"/>
      <c r="AB831" s="52"/>
      <c r="AC831" s="52"/>
      <c r="AD831" s="52"/>
      <c r="AE831" s="51" t="str">
        <f t="shared" si="73"/>
        <v/>
      </c>
      <c r="AF831" s="51" t="str">
        <f t="shared" si="74"/>
        <v/>
      </c>
      <c r="AG831" s="74" t="str">
        <f t="shared" si="75"/>
        <v/>
      </c>
      <c r="AH831" s="73" t="str">
        <f t="shared" si="76"/>
        <v/>
      </c>
      <c r="AI831" s="52"/>
      <c r="AJ831" s="56"/>
      <c r="AK831" s="59"/>
      <c r="AL831" s="60"/>
      <c r="AM831" s="54"/>
      <c r="AN831" s="64"/>
      <c r="AO831" s="26"/>
      <c r="AP831" s="93"/>
      <c r="AQ831" s="87"/>
      <c r="AR831" s="26"/>
      <c r="AS831" s="65"/>
      <c r="AT831" s="88"/>
      <c r="AU831" s="67"/>
      <c r="DA831" t="str" cm="1">
        <f t="array" ref="DA831">IF(U831&lt;&gt;"", TRANSPOSE(_xlfn._xlws.FILTER(CZ:CZ, CY:CY=U831, "")), "")</f>
        <v/>
      </c>
    </row>
    <row r="832" spans="2:105">
      <c r="B832" s="35">
        <v>828</v>
      </c>
      <c r="C832" s="36" t="s">
        <v>2697</v>
      </c>
      <c r="D832" s="76"/>
      <c r="E832" s="37" t="str">
        <f>IF(Table5[[#This Row],[Query Date]]&lt;&gt;"", TEXT(Table5[[#This Row],[Query Date]], "dddd"), "")</f>
        <v/>
      </c>
      <c r="F832" s="37" t="str">
        <f>IF(Table5[[#This Row],[Query Date]]&lt;&gt;"", TEXT(Table5[[#This Row],[Query Date]], "mmmm"), "")</f>
        <v/>
      </c>
      <c r="G832" s="28"/>
      <c r="H832" s="28"/>
      <c r="I832" s="28"/>
      <c r="J832" s="28"/>
      <c r="K832" s="28"/>
      <c r="L832" s="25"/>
      <c r="M832" s="25"/>
      <c r="N832" s="25"/>
      <c r="O832" s="130"/>
      <c r="P832" s="47"/>
      <c r="Q832" s="77"/>
      <c r="R832" s="77" t="str">
        <f>IF(Table5[[#This Row],[Tour Starting Date]]&lt;&gt;"", TEXT(Table5[[#This Row],[Tour Starting Date]], "dddd"), "")</f>
        <v/>
      </c>
      <c r="S832" s="77"/>
      <c r="T832" s="25" t="str">
        <f>IF(Table5[[#This Row],[Tour Ending Date]]&lt;&gt;"", TEXT(Table5[[#This Row],[Tour Ending Date]], "dddd"), "")</f>
        <v/>
      </c>
      <c r="U83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32" s="37" t="str">
        <f>IF(Table5[[#This Row],[Tour Starting Date]]&lt;&gt;"", TEXT(Table5[[#This Row],[Tour Starting Date]], "mmmm"), "")</f>
        <v/>
      </c>
      <c r="W832" s="80" t="str" cm="1">
        <f t="array" ref="W832">IF(Q832&lt;&gt;"", INDEX(CI:CI, MATCH(1, (Q832&gt;=CG:CG)*(Q832&lt;=CH:CH), 0)), "")</f>
        <v/>
      </c>
      <c r="X832" s="39"/>
      <c r="Y832" s="74"/>
      <c r="Z832" s="74" t="str">
        <f>IF(OR(Table5[[#This Row],[Per Person Package Cost]]="", Table5[[#This Row],[No. of Pax]]=""), "", Table5[[#This Row],[Per Person Package Cost]] * Table5[[#This Row],[No. of Pax]])</f>
        <v/>
      </c>
      <c r="AA832" s="52"/>
      <c r="AB832" s="52"/>
      <c r="AC832" s="52"/>
      <c r="AD832" s="52"/>
      <c r="AE832" s="51" t="str">
        <f t="shared" si="73"/>
        <v/>
      </c>
      <c r="AF832" s="51" t="str">
        <f t="shared" si="74"/>
        <v/>
      </c>
      <c r="AG832" s="74" t="str">
        <f t="shared" si="75"/>
        <v/>
      </c>
      <c r="AH832" s="73" t="str">
        <f t="shared" si="76"/>
        <v/>
      </c>
      <c r="AI832" s="52"/>
      <c r="AJ832" s="56"/>
      <c r="AK832" s="59"/>
      <c r="AL832" s="60"/>
      <c r="AM832" s="54"/>
      <c r="AN832" s="64"/>
      <c r="AO832" s="26"/>
      <c r="AP832" s="93"/>
      <c r="AQ832" s="87"/>
      <c r="AR832" s="26"/>
      <c r="AS832" s="65"/>
      <c r="AT832" s="88"/>
      <c r="AU832" s="67"/>
      <c r="DA832" t="str" cm="1">
        <f t="array" ref="DA832">IF(U832&lt;&gt;"", TRANSPOSE(_xlfn._xlws.FILTER(CZ:CZ, CY:CY=U832, "")), "")</f>
        <v/>
      </c>
    </row>
    <row r="833" spans="2:105">
      <c r="B833" s="35">
        <v>829</v>
      </c>
      <c r="C833" s="36" t="s">
        <v>2698</v>
      </c>
      <c r="D833" s="76"/>
      <c r="E833" s="37" t="str">
        <f>IF(Table5[[#This Row],[Query Date]]&lt;&gt;"", TEXT(Table5[[#This Row],[Query Date]], "dddd"), "")</f>
        <v/>
      </c>
      <c r="F833" s="37" t="str">
        <f>IF(Table5[[#This Row],[Query Date]]&lt;&gt;"", TEXT(Table5[[#This Row],[Query Date]], "mmmm"), "")</f>
        <v/>
      </c>
      <c r="G833" s="28"/>
      <c r="H833" s="28"/>
      <c r="I833" s="28"/>
      <c r="J833" s="28"/>
      <c r="K833" s="28"/>
      <c r="L833" s="25"/>
      <c r="M833" s="25"/>
      <c r="N833" s="25"/>
      <c r="O833" s="130"/>
      <c r="P833" s="47"/>
      <c r="Q833" s="77"/>
      <c r="R833" s="77" t="str">
        <f>IF(Table5[[#This Row],[Tour Starting Date]]&lt;&gt;"", TEXT(Table5[[#This Row],[Tour Starting Date]], "dddd"), "")</f>
        <v/>
      </c>
      <c r="S833" s="77"/>
      <c r="T833" s="25" t="str">
        <f>IF(Table5[[#This Row],[Tour Ending Date]]&lt;&gt;"", TEXT(Table5[[#This Row],[Tour Ending Date]], "dddd"), "")</f>
        <v/>
      </c>
      <c r="U83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33" s="37" t="str">
        <f>IF(Table5[[#This Row],[Tour Starting Date]]&lt;&gt;"", TEXT(Table5[[#This Row],[Tour Starting Date]], "mmmm"), "")</f>
        <v/>
      </c>
      <c r="W833" s="80" t="str" cm="1">
        <f t="array" ref="W833">IF(Q833&lt;&gt;"", INDEX(CI:CI, MATCH(1, (Q833&gt;=CG:CG)*(Q833&lt;=CH:CH), 0)), "")</f>
        <v/>
      </c>
      <c r="X833" s="39"/>
      <c r="Y833" s="74"/>
      <c r="Z833" s="74" t="str">
        <f>IF(OR(Table5[[#This Row],[Per Person Package Cost]]="", Table5[[#This Row],[No. of Pax]]=""), "", Table5[[#This Row],[Per Person Package Cost]] * Table5[[#This Row],[No. of Pax]])</f>
        <v/>
      </c>
      <c r="AA833" s="52"/>
      <c r="AB833" s="52"/>
      <c r="AC833" s="52"/>
      <c r="AD833" s="52"/>
      <c r="AE833" s="51" t="str">
        <f t="shared" si="73"/>
        <v/>
      </c>
      <c r="AF833" s="51" t="str">
        <f t="shared" si="74"/>
        <v/>
      </c>
      <c r="AG833" s="74" t="str">
        <f t="shared" si="75"/>
        <v/>
      </c>
      <c r="AH833" s="73" t="str">
        <f t="shared" si="76"/>
        <v/>
      </c>
      <c r="AI833" s="52"/>
      <c r="AJ833" s="56"/>
      <c r="AK833" s="59"/>
      <c r="AL833" s="60"/>
      <c r="AM833" s="54"/>
      <c r="AN833" s="64"/>
      <c r="AO833" s="26"/>
      <c r="AP833" s="93"/>
      <c r="AQ833" s="87"/>
      <c r="AR833" s="26"/>
      <c r="AS833" s="65"/>
      <c r="AT833" s="88"/>
      <c r="AU833" s="67"/>
      <c r="DA833" t="str" cm="1">
        <f t="array" ref="DA833">IF(U833&lt;&gt;"", TRANSPOSE(_xlfn._xlws.FILTER(CZ:CZ, CY:CY=U833, "")), "")</f>
        <v/>
      </c>
    </row>
    <row r="834" spans="2:105">
      <c r="B834" s="35">
        <v>830</v>
      </c>
      <c r="C834" s="36" t="s">
        <v>2699</v>
      </c>
      <c r="D834" s="76"/>
      <c r="E834" s="37" t="str">
        <f>IF(Table5[[#This Row],[Query Date]]&lt;&gt;"", TEXT(Table5[[#This Row],[Query Date]], "dddd"), "")</f>
        <v/>
      </c>
      <c r="F834" s="37" t="str">
        <f>IF(Table5[[#This Row],[Query Date]]&lt;&gt;"", TEXT(Table5[[#This Row],[Query Date]], "mmmm"), "")</f>
        <v/>
      </c>
      <c r="G834" s="28"/>
      <c r="H834" s="28"/>
      <c r="I834" s="28"/>
      <c r="J834" s="28"/>
      <c r="K834" s="28"/>
      <c r="L834" s="25"/>
      <c r="M834" s="25"/>
      <c r="N834" s="25"/>
      <c r="O834" s="130"/>
      <c r="P834" s="47"/>
      <c r="Q834" s="77"/>
      <c r="R834" s="77" t="str">
        <f>IF(Table5[[#This Row],[Tour Starting Date]]&lt;&gt;"", TEXT(Table5[[#This Row],[Tour Starting Date]], "dddd"), "")</f>
        <v/>
      </c>
      <c r="S834" s="77"/>
      <c r="T834" s="25" t="str">
        <f>IF(Table5[[#This Row],[Tour Ending Date]]&lt;&gt;"", TEXT(Table5[[#This Row],[Tour Ending Date]], "dddd"), "")</f>
        <v/>
      </c>
      <c r="U83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34" s="37" t="str">
        <f>IF(Table5[[#This Row],[Tour Starting Date]]&lt;&gt;"", TEXT(Table5[[#This Row],[Tour Starting Date]], "mmmm"), "")</f>
        <v/>
      </c>
      <c r="W834" s="80" t="str" cm="1">
        <f t="array" ref="W834">IF(Q834&lt;&gt;"", INDEX(CI:CI, MATCH(1, (Q834&gt;=CG:CG)*(Q834&lt;=CH:CH), 0)), "")</f>
        <v/>
      </c>
      <c r="X834" s="39"/>
      <c r="Y834" s="74"/>
      <c r="Z834" s="74" t="str">
        <f>IF(OR(Table5[[#This Row],[Per Person Package Cost]]="", Table5[[#This Row],[No. of Pax]]=""), "", Table5[[#This Row],[Per Person Package Cost]] * Table5[[#This Row],[No. of Pax]])</f>
        <v/>
      </c>
      <c r="AA834" s="52"/>
      <c r="AB834" s="52"/>
      <c r="AC834" s="52"/>
      <c r="AD834" s="52"/>
      <c r="AE834" s="51" t="str">
        <f t="shared" si="73"/>
        <v/>
      </c>
      <c r="AF834" s="51" t="str">
        <f t="shared" si="74"/>
        <v/>
      </c>
      <c r="AG834" s="74" t="str">
        <f t="shared" si="75"/>
        <v/>
      </c>
      <c r="AH834" s="73" t="str">
        <f t="shared" si="76"/>
        <v/>
      </c>
      <c r="AI834" s="52"/>
      <c r="AJ834" s="56"/>
      <c r="AK834" s="59"/>
      <c r="AL834" s="60"/>
      <c r="AM834" s="54"/>
      <c r="AN834" s="64"/>
      <c r="AO834" s="26"/>
      <c r="AP834" s="93"/>
      <c r="AQ834" s="87"/>
      <c r="AR834" s="26"/>
      <c r="AS834" s="65"/>
      <c r="AT834" s="88"/>
      <c r="AU834" s="67"/>
      <c r="DA834" t="str" cm="1">
        <f t="array" ref="DA834">IF(U834&lt;&gt;"", TRANSPOSE(_xlfn._xlws.FILTER(CZ:CZ, CY:CY=U834, "")), "")</f>
        <v/>
      </c>
    </row>
    <row r="835" spans="2:105">
      <c r="B835" s="35">
        <v>831</v>
      </c>
      <c r="C835" s="36" t="s">
        <v>2700</v>
      </c>
      <c r="D835" s="76"/>
      <c r="E835" s="37" t="str">
        <f>IF(Table5[[#This Row],[Query Date]]&lt;&gt;"", TEXT(Table5[[#This Row],[Query Date]], "dddd"), "")</f>
        <v/>
      </c>
      <c r="F835" s="37" t="str">
        <f>IF(Table5[[#This Row],[Query Date]]&lt;&gt;"", TEXT(Table5[[#This Row],[Query Date]], "mmmm"), "")</f>
        <v/>
      </c>
      <c r="G835" s="28"/>
      <c r="H835" s="28"/>
      <c r="I835" s="28"/>
      <c r="J835" s="28"/>
      <c r="K835" s="28"/>
      <c r="L835" s="25"/>
      <c r="M835" s="25"/>
      <c r="N835" s="25"/>
      <c r="O835" s="130"/>
      <c r="P835" s="47"/>
      <c r="Q835" s="77"/>
      <c r="R835" s="77" t="str">
        <f>IF(Table5[[#This Row],[Tour Starting Date]]&lt;&gt;"", TEXT(Table5[[#This Row],[Tour Starting Date]], "dddd"), "")</f>
        <v/>
      </c>
      <c r="S835" s="77"/>
      <c r="T835" s="25" t="str">
        <f>IF(Table5[[#This Row],[Tour Ending Date]]&lt;&gt;"", TEXT(Table5[[#This Row],[Tour Ending Date]], "dddd"), "")</f>
        <v/>
      </c>
      <c r="U83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35" s="37" t="str">
        <f>IF(Table5[[#This Row],[Tour Starting Date]]&lt;&gt;"", TEXT(Table5[[#This Row],[Tour Starting Date]], "mmmm"), "")</f>
        <v/>
      </c>
      <c r="W835" s="80" t="str" cm="1">
        <f t="array" ref="W835">IF(Q835&lt;&gt;"", INDEX(CI:CI, MATCH(1, (Q835&gt;=CG:CG)*(Q835&lt;=CH:CH), 0)), "")</f>
        <v/>
      </c>
      <c r="X835" s="39"/>
      <c r="Y835" s="74"/>
      <c r="Z835" s="74" t="str">
        <f>IF(OR(Table5[[#This Row],[Per Person Package Cost]]="", Table5[[#This Row],[No. of Pax]]=""), "", Table5[[#This Row],[Per Person Package Cost]] * Table5[[#This Row],[No. of Pax]])</f>
        <v/>
      </c>
      <c r="AA835" s="52"/>
      <c r="AB835" s="52"/>
      <c r="AC835" s="52"/>
      <c r="AD835" s="52"/>
      <c r="AE835" s="51" t="str">
        <f t="shared" si="73"/>
        <v/>
      </c>
      <c r="AF835" s="51" t="str">
        <f t="shared" si="74"/>
        <v/>
      </c>
      <c r="AG835" s="74" t="str">
        <f t="shared" si="75"/>
        <v/>
      </c>
      <c r="AH835" s="73" t="str">
        <f t="shared" si="76"/>
        <v/>
      </c>
      <c r="AI835" s="52"/>
      <c r="AJ835" s="56"/>
      <c r="AK835" s="59"/>
      <c r="AL835" s="60"/>
      <c r="AM835" s="54"/>
      <c r="AN835" s="64"/>
      <c r="AO835" s="26"/>
      <c r="AP835" s="93"/>
      <c r="AQ835" s="87"/>
      <c r="AR835" s="26"/>
      <c r="AS835" s="65"/>
      <c r="AT835" s="88"/>
      <c r="AU835" s="67"/>
      <c r="DA835" t="str" cm="1">
        <f t="array" ref="DA835">IF(U835&lt;&gt;"", TRANSPOSE(_xlfn._xlws.FILTER(CZ:CZ, CY:CY=U835, "")), "")</f>
        <v/>
      </c>
    </row>
    <row r="836" spans="2:105">
      <c r="B836" s="35">
        <v>832</v>
      </c>
      <c r="C836" s="36" t="s">
        <v>2701</v>
      </c>
      <c r="D836" s="76"/>
      <c r="E836" s="37" t="str">
        <f>IF(Table5[[#This Row],[Query Date]]&lt;&gt;"", TEXT(Table5[[#This Row],[Query Date]], "dddd"), "")</f>
        <v/>
      </c>
      <c r="F836" s="37" t="str">
        <f>IF(Table5[[#This Row],[Query Date]]&lt;&gt;"", TEXT(Table5[[#This Row],[Query Date]], "mmmm"), "")</f>
        <v/>
      </c>
      <c r="G836" s="28"/>
      <c r="H836" s="28"/>
      <c r="I836" s="28"/>
      <c r="J836" s="28"/>
      <c r="K836" s="28"/>
      <c r="L836" s="25"/>
      <c r="M836" s="25"/>
      <c r="N836" s="25"/>
      <c r="O836" s="130"/>
      <c r="P836" s="47"/>
      <c r="Q836" s="77"/>
      <c r="R836" s="77" t="str">
        <f>IF(Table5[[#This Row],[Tour Starting Date]]&lt;&gt;"", TEXT(Table5[[#This Row],[Tour Starting Date]], "dddd"), "")</f>
        <v/>
      </c>
      <c r="S836" s="77"/>
      <c r="T836" s="25" t="str">
        <f>IF(Table5[[#This Row],[Tour Ending Date]]&lt;&gt;"", TEXT(Table5[[#This Row],[Tour Ending Date]], "dddd"), "")</f>
        <v/>
      </c>
      <c r="U83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36" s="37" t="str">
        <f>IF(Table5[[#This Row],[Tour Starting Date]]&lt;&gt;"", TEXT(Table5[[#This Row],[Tour Starting Date]], "mmmm"), "")</f>
        <v/>
      </c>
      <c r="W836" s="80" t="str" cm="1">
        <f t="array" ref="W836">IF(Q836&lt;&gt;"", INDEX(CI:CI, MATCH(1, (Q836&gt;=CG:CG)*(Q836&lt;=CH:CH), 0)), "")</f>
        <v/>
      </c>
      <c r="X836" s="39"/>
      <c r="Y836" s="74"/>
      <c r="Z836" s="74" t="str">
        <f>IF(OR(Table5[[#This Row],[Per Person Package Cost]]="", Table5[[#This Row],[No. of Pax]]=""), "", Table5[[#This Row],[Per Person Package Cost]] * Table5[[#This Row],[No. of Pax]])</f>
        <v/>
      </c>
      <c r="AA836" s="52"/>
      <c r="AB836" s="52"/>
      <c r="AC836" s="52"/>
      <c r="AD836" s="52"/>
      <c r="AE836" s="51" t="str">
        <f t="shared" si="73"/>
        <v/>
      </c>
      <c r="AF836" s="51" t="str">
        <f t="shared" si="74"/>
        <v/>
      </c>
      <c r="AG836" s="74" t="str">
        <f t="shared" si="75"/>
        <v/>
      </c>
      <c r="AH836" s="73" t="str">
        <f t="shared" si="76"/>
        <v/>
      </c>
      <c r="AI836" s="52"/>
      <c r="AJ836" s="56"/>
      <c r="AK836" s="59"/>
      <c r="AL836" s="60"/>
      <c r="AM836" s="54"/>
      <c r="AN836" s="64"/>
      <c r="AO836" s="26"/>
      <c r="AP836" s="93"/>
      <c r="AQ836" s="87"/>
      <c r="AR836" s="26"/>
      <c r="AS836" s="65"/>
      <c r="AT836" s="88"/>
      <c r="AU836" s="67"/>
      <c r="DA836" t="str" cm="1">
        <f t="array" ref="DA836">IF(U836&lt;&gt;"", TRANSPOSE(_xlfn._xlws.FILTER(CZ:CZ, CY:CY=U836, "")), "")</f>
        <v/>
      </c>
    </row>
    <row r="837" spans="2:105">
      <c r="B837" s="35">
        <v>833</v>
      </c>
      <c r="C837" s="36" t="s">
        <v>2702</v>
      </c>
      <c r="D837" s="76"/>
      <c r="E837" s="37" t="str">
        <f>IF(Table5[[#This Row],[Query Date]]&lt;&gt;"", TEXT(Table5[[#This Row],[Query Date]], "dddd"), "")</f>
        <v/>
      </c>
      <c r="F837" s="37" t="str">
        <f>IF(Table5[[#This Row],[Query Date]]&lt;&gt;"", TEXT(Table5[[#This Row],[Query Date]], "mmmm"), "")</f>
        <v/>
      </c>
      <c r="G837" s="28"/>
      <c r="H837" s="28"/>
      <c r="I837" s="28"/>
      <c r="J837" s="28"/>
      <c r="K837" s="28"/>
      <c r="L837" s="25"/>
      <c r="M837" s="25"/>
      <c r="N837" s="25"/>
      <c r="O837" s="130"/>
      <c r="P837" s="47"/>
      <c r="Q837" s="77"/>
      <c r="R837" s="77" t="str">
        <f>IF(Table5[[#This Row],[Tour Starting Date]]&lt;&gt;"", TEXT(Table5[[#This Row],[Tour Starting Date]], "dddd"), "")</f>
        <v/>
      </c>
      <c r="S837" s="77"/>
      <c r="T837" s="25" t="str">
        <f>IF(Table5[[#This Row],[Tour Ending Date]]&lt;&gt;"", TEXT(Table5[[#This Row],[Tour Ending Date]], "dddd"), "")</f>
        <v/>
      </c>
      <c r="U83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37" s="37" t="str">
        <f>IF(Table5[[#This Row],[Tour Starting Date]]&lt;&gt;"", TEXT(Table5[[#This Row],[Tour Starting Date]], "mmmm"), "")</f>
        <v/>
      </c>
      <c r="W837" s="80" t="str" cm="1">
        <f t="array" ref="W837">IF(Q837&lt;&gt;"", INDEX(CI:CI, MATCH(1, (Q837&gt;=CG:CG)*(Q837&lt;=CH:CH), 0)), "")</f>
        <v/>
      </c>
      <c r="X837" s="39"/>
      <c r="Y837" s="74"/>
      <c r="Z837" s="74" t="str">
        <f>IF(OR(Table5[[#This Row],[Per Person Package Cost]]="", Table5[[#This Row],[No. of Pax]]=""), "", Table5[[#This Row],[Per Person Package Cost]] * Table5[[#This Row],[No. of Pax]])</f>
        <v/>
      </c>
      <c r="AA837" s="52"/>
      <c r="AB837" s="52"/>
      <c r="AC837" s="52"/>
      <c r="AD837" s="52"/>
      <c r="AE837" s="51" t="str">
        <f t="shared" ref="AE837:AE900" si="77">IF(AD837&lt;&gt;"", INDEX(CW:CW, MATCH(AD837, CZ:CZ, 0)), "")</f>
        <v/>
      </c>
      <c r="AF837" s="51" t="str">
        <f t="shared" ref="AF837:AF900" si="78">IF(AD837&lt;&gt;"", INDEX(CX:CX, MATCH(AD837, CZ:CZ, 0)), "")</f>
        <v/>
      </c>
      <c r="AG837" s="74" t="str">
        <f t="shared" ref="AG837:AG900" si="79">IF(AE837&lt;&gt;"", INDEX(CU:CU, MATCH(AE837, CW:CW, 0)), "")</f>
        <v/>
      </c>
      <c r="AH837" s="73" t="str">
        <f t="shared" si="76"/>
        <v/>
      </c>
      <c r="AI837" s="52"/>
      <c r="AJ837" s="56"/>
      <c r="AK837" s="59"/>
      <c r="AL837" s="60"/>
      <c r="AM837" s="54"/>
      <c r="AN837" s="64"/>
      <c r="AO837" s="26"/>
      <c r="AP837" s="93"/>
      <c r="AQ837" s="87"/>
      <c r="AR837" s="26"/>
      <c r="AS837" s="65"/>
      <c r="AT837" s="88"/>
      <c r="AU837" s="67"/>
      <c r="DA837" t="str" cm="1">
        <f t="array" ref="DA837">IF(U837&lt;&gt;"", TRANSPOSE(_xlfn._xlws.FILTER(CZ:CZ, CY:CY=U837, "")), "")</f>
        <v/>
      </c>
    </row>
    <row r="838" spans="2:105">
      <c r="B838" s="35">
        <v>834</v>
      </c>
      <c r="C838" s="36" t="s">
        <v>2703</v>
      </c>
      <c r="D838" s="76"/>
      <c r="E838" s="37" t="str">
        <f>IF(Table5[[#This Row],[Query Date]]&lt;&gt;"", TEXT(Table5[[#This Row],[Query Date]], "dddd"), "")</f>
        <v/>
      </c>
      <c r="F838" s="37" t="str">
        <f>IF(Table5[[#This Row],[Query Date]]&lt;&gt;"", TEXT(Table5[[#This Row],[Query Date]], "mmmm"), "")</f>
        <v/>
      </c>
      <c r="G838" s="28"/>
      <c r="H838" s="28"/>
      <c r="I838" s="28"/>
      <c r="J838" s="28"/>
      <c r="K838" s="28"/>
      <c r="L838" s="25"/>
      <c r="M838" s="25"/>
      <c r="N838" s="25"/>
      <c r="O838" s="130"/>
      <c r="P838" s="47"/>
      <c r="Q838" s="77"/>
      <c r="R838" s="77" t="str">
        <f>IF(Table5[[#This Row],[Tour Starting Date]]&lt;&gt;"", TEXT(Table5[[#This Row],[Tour Starting Date]], "dddd"), "")</f>
        <v/>
      </c>
      <c r="S838" s="77"/>
      <c r="T838" s="25" t="str">
        <f>IF(Table5[[#This Row],[Tour Ending Date]]&lt;&gt;"", TEXT(Table5[[#This Row],[Tour Ending Date]], "dddd"), "")</f>
        <v/>
      </c>
      <c r="U83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38" s="37" t="str">
        <f>IF(Table5[[#This Row],[Tour Starting Date]]&lt;&gt;"", TEXT(Table5[[#This Row],[Tour Starting Date]], "mmmm"), "")</f>
        <v/>
      </c>
      <c r="W838" s="80" t="str" cm="1">
        <f t="array" ref="W838">IF(Q838&lt;&gt;"", INDEX(CI:CI, MATCH(1, (Q838&gt;=CG:CG)*(Q838&lt;=CH:CH), 0)), "")</f>
        <v/>
      </c>
      <c r="X838" s="39"/>
      <c r="Y838" s="74"/>
      <c r="Z838" s="74" t="str">
        <f>IF(OR(Table5[[#This Row],[Per Person Package Cost]]="", Table5[[#This Row],[No. of Pax]]=""), "", Table5[[#This Row],[Per Person Package Cost]] * Table5[[#This Row],[No. of Pax]])</f>
        <v/>
      </c>
      <c r="AA838" s="52"/>
      <c r="AB838" s="52"/>
      <c r="AC838" s="52"/>
      <c r="AD838" s="52"/>
      <c r="AE838" s="51" t="str">
        <f t="shared" si="77"/>
        <v/>
      </c>
      <c r="AF838" s="51" t="str">
        <f t="shared" si="78"/>
        <v/>
      </c>
      <c r="AG838" s="74" t="str">
        <f t="shared" si="79"/>
        <v/>
      </c>
      <c r="AH838" s="73" t="str">
        <f t="shared" si="76"/>
        <v/>
      </c>
      <c r="AI838" s="52"/>
      <c r="AJ838" s="56"/>
      <c r="AK838" s="59"/>
      <c r="AL838" s="60"/>
      <c r="AM838" s="54"/>
      <c r="AN838" s="64"/>
      <c r="AO838" s="26"/>
      <c r="AP838" s="93"/>
      <c r="AQ838" s="87"/>
      <c r="AR838" s="26"/>
      <c r="AS838" s="65"/>
      <c r="AT838" s="88"/>
      <c r="AU838" s="67"/>
      <c r="DA838" t="str" cm="1">
        <f t="array" ref="DA838">IF(U838&lt;&gt;"", TRANSPOSE(_xlfn._xlws.FILTER(CZ:CZ, CY:CY=U838, "")), "")</f>
        <v/>
      </c>
    </row>
    <row r="839" spans="2:105">
      <c r="B839" s="35">
        <v>835</v>
      </c>
      <c r="C839" s="36" t="s">
        <v>2704</v>
      </c>
      <c r="D839" s="76"/>
      <c r="E839" s="37" t="str">
        <f>IF(Table5[[#This Row],[Query Date]]&lt;&gt;"", TEXT(Table5[[#This Row],[Query Date]], "dddd"), "")</f>
        <v/>
      </c>
      <c r="F839" s="37" t="str">
        <f>IF(Table5[[#This Row],[Query Date]]&lt;&gt;"", TEXT(Table5[[#This Row],[Query Date]], "mmmm"), "")</f>
        <v/>
      </c>
      <c r="G839" s="28"/>
      <c r="H839" s="28"/>
      <c r="I839" s="28"/>
      <c r="J839" s="28"/>
      <c r="K839" s="28"/>
      <c r="L839" s="25"/>
      <c r="M839" s="25"/>
      <c r="N839" s="25"/>
      <c r="O839" s="130"/>
      <c r="P839" s="47"/>
      <c r="Q839" s="77"/>
      <c r="R839" s="77" t="str">
        <f>IF(Table5[[#This Row],[Tour Starting Date]]&lt;&gt;"", TEXT(Table5[[#This Row],[Tour Starting Date]], "dddd"), "")</f>
        <v/>
      </c>
      <c r="S839" s="77"/>
      <c r="T839" s="25" t="str">
        <f>IF(Table5[[#This Row],[Tour Ending Date]]&lt;&gt;"", TEXT(Table5[[#This Row],[Tour Ending Date]], "dddd"), "")</f>
        <v/>
      </c>
      <c r="U83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39" s="37" t="str">
        <f>IF(Table5[[#This Row],[Tour Starting Date]]&lt;&gt;"", TEXT(Table5[[#This Row],[Tour Starting Date]], "mmmm"), "")</f>
        <v/>
      </c>
      <c r="W839" s="80" t="str" cm="1">
        <f t="array" ref="W839">IF(Q839&lt;&gt;"", INDEX(CI:CI, MATCH(1, (Q839&gt;=CG:CG)*(Q839&lt;=CH:CH), 0)), "")</f>
        <v/>
      </c>
      <c r="X839" s="39"/>
      <c r="Y839" s="74"/>
      <c r="Z839" s="74" t="str">
        <f>IF(OR(Table5[[#This Row],[Per Person Package Cost]]="", Table5[[#This Row],[No. of Pax]]=""), "", Table5[[#This Row],[Per Person Package Cost]] * Table5[[#This Row],[No. of Pax]])</f>
        <v/>
      </c>
      <c r="AA839" s="52"/>
      <c r="AB839" s="52"/>
      <c r="AC839" s="52"/>
      <c r="AD839" s="52"/>
      <c r="AE839" s="51" t="str">
        <f t="shared" si="77"/>
        <v/>
      </c>
      <c r="AF839" s="51" t="str">
        <f t="shared" si="78"/>
        <v/>
      </c>
      <c r="AG839" s="74" t="str">
        <f t="shared" si="79"/>
        <v/>
      </c>
      <c r="AH839" s="73" t="str">
        <f t="shared" si="76"/>
        <v/>
      </c>
      <c r="AI839" s="52"/>
      <c r="AJ839" s="56"/>
      <c r="AK839" s="59"/>
      <c r="AL839" s="60"/>
      <c r="AM839" s="54"/>
      <c r="AN839" s="64"/>
      <c r="AO839" s="26"/>
      <c r="AP839" s="93"/>
      <c r="AQ839" s="87"/>
      <c r="AR839" s="26"/>
      <c r="AS839" s="65"/>
      <c r="AT839" s="88"/>
      <c r="AU839" s="67"/>
      <c r="DA839" t="str" cm="1">
        <f t="array" ref="DA839">IF(U839&lt;&gt;"", TRANSPOSE(_xlfn._xlws.FILTER(CZ:CZ, CY:CY=U839, "")), "")</f>
        <v/>
      </c>
    </row>
    <row r="840" spans="2:105">
      <c r="B840" s="35">
        <v>836</v>
      </c>
      <c r="C840" s="36" t="s">
        <v>2705</v>
      </c>
      <c r="D840" s="76"/>
      <c r="E840" s="37" t="str">
        <f>IF(Table5[[#This Row],[Query Date]]&lt;&gt;"", TEXT(Table5[[#This Row],[Query Date]], "dddd"), "")</f>
        <v/>
      </c>
      <c r="F840" s="37" t="str">
        <f>IF(Table5[[#This Row],[Query Date]]&lt;&gt;"", TEXT(Table5[[#This Row],[Query Date]], "mmmm"), "")</f>
        <v/>
      </c>
      <c r="G840" s="28"/>
      <c r="H840" s="28"/>
      <c r="I840" s="28"/>
      <c r="J840" s="28"/>
      <c r="K840" s="28"/>
      <c r="L840" s="25"/>
      <c r="M840" s="25"/>
      <c r="N840" s="25"/>
      <c r="O840" s="130"/>
      <c r="P840" s="47"/>
      <c r="Q840" s="77"/>
      <c r="R840" s="77" t="str">
        <f>IF(Table5[[#This Row],[Tour Starting Date]]&lt;&gt;"", TEXT(Table5[[#This Row],[Tour Starting Date]], "dddd"), "")</f>
        <v/>
      </c>
      <c r="S840" s="77"/>
      <c r="T840" s="25" t="str">
        <f>IF(Table5[[#This Row],[Tour Ending Date]]&lt;&gt;"", TEXT(Table5[[#This Row],[Tour Ending Date]], "dddd"), "")</f>
        <v/>
      </c>
      <c r="U84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40" s="37" t="str">
        <f>IF(Table5[[#This Row],[Tour Starting Date]]&lt;&gt;"", TEXT(Table5[[#This Row],[Tour Starting Date]], "mmmm"), "")</f>
        <v/>
      </c>
      <c r="W840" s="80" t="str" cm="1">
        <f t="array" ref="W840">IF(Q840&lt;&gt;"", INDEX(CI:CI, MATCH(1, (Q840&gt;=CG:CG)*(Q840&lt;=CH:CH), 0)), "")</f>
        <v/>
      </c>
      <c r="X840" s="39"/>
      <c r="Y840" s="74"/>
      <c r="Z840" s="74" t="str">
        <f>IF(OR(Table5[[#This Row],[Per Person Package Cost]]="", Table5[[#This Row],[No. of Pax]]=""), "", Table5[[#This Row],[Per Person Package Cost]] * Table5[[#This Row],[No. of Pax]])</f>
        <v/>
      </c>
      <c r="AA840" s="52"/>
      <c r="AB840" s="52"/>
      <c r="AC840" s="52"/>
      <c r="AD840" s="52"/>
      <c r="AE840" s="51" t="str">
        <f t="shared" si="77"/>
        <v/>
      </c>
      <c r="AF840" s="51" t="str">
        <f t="shared" si="78"/>
        <v/>
      </c>
      <c r="AG840" s="74" t="str">
        <f t="shared" si="79"/>
        <v/>
      </c>
      <c r="AH840" s="73" t="str">
        <f t="shared" si="76"/>
        <v/>
      </c>
      <c r="AI840" s="52"/>
      <c r="AJ840" s="56"/>
      <c r="AK840" s="59"/>
      <c r="AL840" s="60"/>
      <c r="AM840" s="54"/>
      <c r="AN840" s="64"/>
      <c r="AO840" s="26"/>
      <c r="AP840" s="93"/>
      <c r="AQ840" s="87"/>
      <c r="AR840" s="26"/>
      <c r="AS840" s="65"/>
      <c r="AT840" s="88"/>
      <c r="AU840" s="67"/>
      <c r="DA840" t="str" cm="1">
        <f t="array" ref="DA840">IF(U840&lt;&gt;"", TRANSPOSE(_xlfn._xlws.FILTER(CZ:CZ, CY:CY=U840, "")), "")</f>
        <v/>
      </c>
    </row>
    <row r="841" spans="2:105">
      <c r="B841" s="35">
        <v>837</v>
      </c>
      <c r="C841" s="36" t="s">
        <v>2706</v>
      </c>
      <c r="D841" s="76"/>
      <c r="E841" s="37" t="str">
        <f>IF(Table5[[#This Row],[Query Date]]&lt;&gt;"", TEXT(Table5[[#This Row],[Query Date]], "dddd"), "")</f>
        <v/>
      </c>
      <c r="F841" s="37" t="str">
        <f>IF(Table5[[#This Row],[Query Date]]&lt;&gt;"", TEXT(Table5[[#This Row],[Query Date]], "mmmm"), "")</f>
        <v/>
      </c>
      <c r="G841" s="28"/>
      <c r="H841" s="28"/>
      <c r="I841" s="28"/>
      <c r="J841" s="28"/>
      <c r="K841" s="28"/>
      <c r="L841" s="25"/>
      <c r="M841" s="25"/>
      <c r="N841" s="25"/>
      <c r="O841" s="130"/>
      <c r="P841" s="47"/>
      <c r="Q841" s="77"/>
      <c r="R841" s="77" t="str">
        <f>IF(Table5[[#This Row],[Tour Starting Date]]&lt;&gt;"", TEXT(Table5[[#This Row],[Tour Starting Date]], "dddd"), "")</f>
        <v/>
      </c>
      <c r="S841" s="77"/>
      <c r="T841" s="25" t="str">
        <f>IF(Table5[[#This Row],[Tour Ending Date]]&lt;&gt;"", TEXT(Table5[[#This Row],[Tour Ending Date]], "dddd"), "")</f>
        <v/>
      </c>
      <c r="U84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41" s="37" t="str">
        <f>IF(Table5[[#This Row],[Tour Starting Date]]&lt;&gt;"", TEXT(Table5[[#This Row],[Tour Starting Date]], "mmmm"), "")</f>
        <v/>
      </c>
      <c r="W841" s="80" t="str" cm="1">
        <f t="array" ref="W841">IF(Q841&lt;&gt;"", INDEX(CI:CI, MATCH(1, (Q841&gt;=CG:CG)*(Q841&lt;=CH:CH), 0)), "")</f>
        <v/>
      </c>
      <c r="X841" s="39"/>
      <c r="Y841" s="74"/>
      <c r="Z841" s="74" t="str">
        <f>IF(OR(Table5[[#This Row],[Per Person Package Cost]]="", Table5[[#This Row],[No. of Pax]]=""), "", Table5[[#This Row],[Per Person Package Cost]] * Table5[[#This Row],[No. of Pax]])</f>
        <v/>
      </c>
      <c r="AA841" s="52"/>
      <c r="AB841" s="52"/>
      <c r="AC841" s="52"/>
      <c r="AD841" s="52"/>
      <c r="AE841" s="51" t="str">
        <f t="shared" si="77"/>
        <v/>
      </c>
      <c r="AF841" s="51" t="str">
        <f t="shared" si="78"/>
        <v/>
      </c>
      <c r="AG841" s="74" t="str">
        <f t="shared" si="79"/>
        <v/>
      </c>
      <c r="AH841" s="73" t="str">
        <f t="shared" si="76"/>
        <v/>
      </c>
      <c r="AI841" s="52"/>
      <c r="AJ841" s="56"/>
      <c r="AK841" s="59"/>
      <c r="AL841" s="60"/>
      <c r="AM841" s="54"/>
      <c r="AN841" s="64"/>
      <c r="AO841" s="26"/>
      <c r="AP841" s="93"/>
      <c r="AQ841" s="87"/>
      <c r="AR841" s="26"/>
      <c r="AS841" s="65"/>
      <c r="AT841" s="88"/>
      <c r="AU841" s="67"/>
      <c r="DA841" t="str" cm="1">
        <f t="array" ref="DA841">IF(U841&lt;&gt;"", TRANSPOSE(_xlfn._xlws.FILTER(CZ:CZ, CY:CY=U841, "")), "")</f>
        <v/>
      </c>
    </row>
    <row r="842" spans="2:105">
      <c r="B842" s="35">
        <v>838</v>
      </c>
      <c r="C842" s="36" t="s">
        <v>2707</v>
      </c>
      <c r="D842" s="76"/>
      <c r="E842" s="37" t="str">
        <f>IF(Table5[[#This Row],[Query Date]]&lt;&gt;"", TEXT(Table5[[#This Row],[Query Date]], "dddd"), "")</f>
        <v/>
      </c>
      <c r="F842" s="37" t="str">
        <f>IF(Table5[[#This Row],[Query Date]]&lt;&gt;"", TEXT(Table5[[#This Row],[Query Date]], "mmmm"), "")</f>
        <v/>
      </c>
      <c r="G842" s="28"/>
      <c r="H842" s="28"/>
      <c r="I842" s="28"/>
      <c r="J842" s="28"/>
      <c r="K842" s="28"/>
      <c r="L842" s="25"/>
      <c r="M842" s="25"/>
      <c r="N842" s="25"/>
      <c r="O842" s="130"/>
      <c r="P842" s="47"/>
      <c r="Q842" s="77"/>
      <c r="R842" s="77" t="str">
        <f>IF(Table5[[#This Row],[Tour Starting Date]]&lt;&gt;"", TEXT(Table5[[#This Row],[Tour Starting Date]], "dddd"), "")</f>
        <v/>
      </c>
      <c r="S842" s="77"/>
      <c r="T842" s="25" t="str">
        <f>IF(Table5[[#This Row],[Tour Ending Date]]&lt;&gt;"", TEXT(Table5[[#This Row],[Tour Ending Date]], "dddd"), "")</f>
        <v/>
      </c>
      <c r="U84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42" s="37" t="str">
        <f>IF(Table5[[#This Row],[Tour Starting Date]]&lt;&gt;"", TEXT(Table5[[#This Row],[Tour Starting Date]], "mmmm"), "")</f>
        <v/>
      </c>
      <c r="W842" s="80" t="str" cm="1">
        <f t="array" ref="W842">IF(Q842&lt;&gt;"", INDEX(CI:CI, MATCH(1, (Q842&gt;=CG:CG)*(Q842&lt;=CH:CH), 0)), "")</f>
        <v/>
      </c>
      <c r="X842" s="39"/>
      <c r="Y842" s="74"/>
      <c r="Z842" s="74" t="str">
        <f>IF(OR(Table5[[#This Row],[Per Person Package Cost]]="", Table5[[#This Row],[No. of Pax]]=""), "", Table5[[#This Row],[Per Person Package Cost]] * Table5[[#This Row],[No. of Pax]])</f>
        <v/>
      </c>
      <c r="AA842" s="52"/>
      <c r="AB842" s="52"/>
      <c r="AC842" s="52"/>
      <c r="AD842" s="52"/>
      <c r="AE842" s="51" t="str">
        <f t="shared" si="77"/>
        <v/>
      </c>
      <c r="AF842" s="51" t="str">
        <f t="shared" si="78"/>
        <v/>
      </c>
      <c r="AG842" s="74" t="str">
        <f t="shared" si="79"/>
        <v/>
      </c>
      <c r="AH842" s="73" t="str">
        <f t="shared" si="76"/>
        <v/>
      </c>
      <c r="AI842" s="52"/>
      <c r="AJ842" s="56"/>
      <c r="AK842" s="59"/>
      <c r="AL842" s="60"/>
      <c r="AM842" s="54"/>
      <c r="AN842" s="64"/>
      <c r="AO842" s="26"/>
      <c r="AP842" s="93"/>
      <c r="AQ842" s="87"/>
      <c r="AR842" s="26"/>
      <c r="AS842" s="65"/>
      <c r="AT842" s="88"/>
      <c r="AU842" s="67"/>
      <c r="DA842" t="str" cm="1">
        <f t="array" ref="DA842">IF(U842&lt;&gt;"", TRANSPOSE(_xlfn._xlws.FILTER(CZ:CZ, CY:CY=U842, "")), "")</f>
        <v/>
      </c>
    </row>
    <row r="843" spans="2:105">
      <c r="B843" s="35">
        <v>839</v>
      </c>
      <c r="C843" s="36" t="s">
        <v>2708</v>
      </c>
      <c r="D843" s="76"/>
      <c r="E843" s="37" t="str">
        <f>IF(Table5[[#This Row],[Query Date]]&lt;&gt;"", TEXT(Table5[[#This Row],[Query Date]], "dddd"), "")</f>
        <v/>
      </c>
      <c r="F843" s="37" t="str">
        <f>IF(Table5[[#This Row],[Query Date]]&lt;&gt;"", TEXT(Table5[[#This Row],[Query Date]], "mmmm"), "")</f>
        <v/>
      </c>
      <c r="G843" s="28"/>
      <c r="H843" s="28"/>
      <c r="I843" s="28"/>
      <c r="J843" s="28"/>
      <c r="K843" s="28"/>
      <c r="L843" s="25"/>
      <c r="M843" s="25"/>
      <c r="N843" s="25"/>
      <c r="O843" s="130"/>
      <c r="P843" s="47"/>
      <c r="Q843" s="77"/>
      <c r="R843" s="77" t="str">
        <f>IF(Table5[[#This Row],[Tour Starting Date]]&lt;&gt;"", TEXT(Table5[[#This Row],[Tour Starting Date]], "dddd"), "")</f>
        <v/>
      </c>
      <c r="S843" s="77"/>
      <c r="T843" s="25" t="str">
        <f>IF(Table5[[#This Row],[Tour Ending Date]]&lt;&gt;"", TEXT(Table5[[#This Row],[Tour Ending Date]], "dddd"), "")</f>
        <v/>
      </c>
      <c r="U84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43" s="37" t="str">
        <f>IF(Table5[[#This Row],[Tour Starting Date]]&lt;&gt;"", TEXT(Table5[[#This Row],[Tour Starting Date]], "mmmm"), "")</f>
        <v/>
      </c>
      <c r="W843" s="80" t="str" cm="1">
        <f t="array" ref="W843">IF(Q843&lt;&gt;"", INDEX(CI:CI, MATCH(1, (Q843&gt;=CG:CG)*(Q843&lt;=CH:CH), 0)), "")</f>
        <v/>
      </c>
      <c r="X843" s="39"/>
      <c r="Y843" s="74"/>
      <c r="Z843" s="74" t="str">
        <f>IF(OR(Table5[[#This Row],[Per Person Package Cost]]="", Table5[[#This Row],[No. of Pax]]=""), "", Table5[[#This Row],[Per Person Package Cost]] * Table5[[#This Row],[No. of Pax]])</f>
        <v/>
      </c>
      <c r="AA843" s="52"/>
      <c r="AB843" s="52"/>
      <c r="AC843" s="52"/>
      <c r="AD843" s="52"/>
      <c r="AE843" s="51" t="str">
        <f t="shared" si="77"/>
        <v/>
      </c>
      <c r="AF843" s="51" t="str">
        <f t="shared" si="78"/>
        <v/>
      </c>
      <c r="AG843" s="74" t="str">
        <f t="shared" si="79"/>
        <v/>
      </c>
      <c r="AH843" s="73" t="str">
        <f t="shared" si="76"/>
        <v/>
      </c>
      <c r="AI843" s="52"/>
      <c r="AJ843" s="56"/>
      <c r="AK843" s="59"/>
      <c r="AL843" s="60"/>
      <c r="AM843" s="54"/>
      <c r="AN843" s="64"/>
      <c r="AO843" s="26"/>
      <c r="AP843" s="93"/>
      <c r="AQ843" s="87"/>
      <c r="AR843" s="26"/>
      <c r="AS843" s="65"/>
      <c r="AT843" s="88"/>
      <c r="AU843" s="67"/>
      <c r="DA843" t="str" cm="1">
        <f t="array" ref="DA843">IF(U843&lt;&gt;"", TRANSPOSE(_xlfn._xlws.FILTER(CZ:CZ, CY:CY=U843, "")), "")</f>
        <v/>
      </c>
    </row>
    <row r="844" spans="2:105">
      <c r="B844" s="35">
        <v>840</v>
      </c>
      <c r="C844" s="36" t="s">
        <v>2709</v>
      </c>
      <c r="D844" s="76"/>
      <c r="E844" s="37" t="str">
        <f>IF(Table5[[#This Row],[Query Date]]&lt;&gt;"", TEXT(Table5[[#This Row],[Query Date]], "dddd"), "")</f>
        <v/>
      </c>
      <c r="F844" s="37" t="str">
        <f>IF(Table5[[#This Row],[Query Date]]&lt;&gt;"", TEXT(Table5[[#This Row],[Query Date]], "mmmm"), "")</f>
        <v/>
      </c>
      <c r="G844" s="28"/>
      <c r="H844" s="28"/>
      <c r="I844" s="28"/>
      <c r="J844" s="28"/>
      <c r="K844" s="28"/>
      <c r="L844" s="25"/>
      <c r="M844" s="25"/>
      <c r="N844" s="25"/>
      <c r="O844" s="130"/>
      <c r="P844" s="47"/>
      <c r="Q844" s="77"/>
      <c r="R844" s="77" t="str">
        <f>IF(Table5[[#This Row],[Tour Starting Date]]&lt;&gt;"", TEXT(Table5[[#This Row],[Tour Starting Date]], "dddd"), "")</f>
        <v/>
      </c>
      <c r="S844" s="77"/>
      <c r="T844" s="25" t="str">
        <f>IF(Table5[[#This Row],[Tour Ending Date]]&lt;&gt;"", TEXT(Table5[[#This Row],[Tour Ending Date]], "dddd"), "")</f>
        <v/>
      </c>
      <c r="U84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44" s="37" t="str">
        <f>IF(Table5[[#This Row],[Tour Starting Date]]&lt;&gt;"", TEXT(Table5[[#This Row],[Tour Starting Date]], "mmmm"), "")</f>
        <v/>
      </c>
      <c r="W844" s="80" t="str" cm="1">
        <f t="array" ref="W844">IF(Q844&lt;&gt;"", INDEX(CI:CI, MATCH(1, (Q844&gt;=CG:CG)*(Q844&lt;=CH:CH), 0)), "")</f>
        <v/>
      </c>
      <c r="X844" s="39"/>
      <c r="Y844" s="74"/>
      <c r="Z844" s="74" t="str">
        <f>IF(OR(Table5[[#This Row],[Per Person Package Cost]]="", Table5[[#This Row],[No. of Pax]]=""), "", Table5[[#This Row],[Per Person Package Cost]] * Table5[[#This Row],[No. of Pax]])</f>
        <v/>
      </c>
      <c r="AA844" s="52"/>
      <c r="AB844" s="52"/>
      <c r="AC844" s="52"/>
      <c r="AD844" s="52"/>
      <c r="AE844" s="51" t="str">
        <f t="shared" si="77"/>
        <v/>
      </c>
      <c r="AF844" s="51" t="str">
        <f t="shared" si="78"/>
        <v/>
      </c>
      <c r="AG844" s="74" t="str">
        <f t="shared" si="79"/>
        <v/>
      </c>
      <c r="AH844" s="73" t="str">
        <f t="shared" si="76"/>
        <v/>
      </c>
      <c r="AI844" s="52"/>
      <c r="AJ844" s="56"/>
      <c r="AK844" s="59"/>
      <c r="AL844" s="60"/>
      <c r="AM844" s="54"/>
      <c r="AN844" s="64"/>
      <c r="AO844" s="26"/>
      <c r="AP844" s="93"/>
      <c r="AQ844" s="87"/>
      <c r="AR844" s="26"/>
      <c r="AS844" s="65"/>
      <c r="AT844" s="88"/>
      <c r="AU844" s="67"/>
      <c r="DA844" t="str" cm="1">
        <f t="array" ref="DA844">IF(U844&lt;&gt;"", TRANSPOSE(_xlfn._xlws.FILTER(CZ:CZ, CY:CY=U844, "")), "")</f>
        <v/>
      </c>
    </row>
    <row r="845" spans="2:105">
      <c r="B845" s="35">
        <v>841</v>
      </c>
      <c r="C845" s="36" t="s">
        <v>2710</v>
      </c>
      <c r="D845" s="76"/>
      <c r="E845" s="37" t="str">
        <f>IF(Table5[[#This Row],[Query Date]]&lt;&gt;"", TEXT(Table5[[#This Row],[Query Date]], "dddd"), "")</f>
        <v/>
      </c>
      <c r="F845" s="37" t="str">
        <f>IF(Table5[[#This Row],[Query Date]]&lt;&gt;"", TEXT(Table5[[#This Row],[Query Date]], "mmmm"), "")</f>
        <v/>
      </c>
      <c r="G845" s="28"/>
      <c r="H845" s="28"/>
      <c r="I845" s="28"/>
      <c r="J845" s="28"/>
      <c r="K845" s="28"/>
      <c r="L845" s="25"/>
      <c r="M845" s="25"/>
      <c r="N845" s="25"/>
      <c r="O845" s="130"/>
      <c r="P845" s="47"/>
      <c r="Q845" s="77"/>
      <c r="R845" s="77" t="str">
        <f>IF(Table5[[#This Row],[Tour Starting Date]]&lt;&gt;"", TEXT(Table5[[#This Row],[Tour Starting Date]], "dddd"), "")</f>
        <v/>
      </c>
      <c r="S845" s="77"/>
      <c r="T845" s="25" t="str">
        <f>IF(Table5[[#This Row],[Tour Ending Date]]&lt;&gt;"", TEXT(Table5[[#This Row],[Tour Ending Date]], "dddd"), "")</f>
        <v/>
      </c>
      <c r="U84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45" s="37" t="str">
        <f>IF(Table5[[#This Row],[Tour Starting Date]]&lt;&gt;"", TEXT(Table5[[#This Row],[Tour Starting Date]], "mmmm"), "")</f>
        <v/>
      </c>
      <c r="W845" s="80" t="str" cm="1">
        <f t="array" ref="W845">IF(Q845&lt;&gt;"", INDEX(CI:CI, MATCH(1, (Q845&gt;=CG:CG)*(Q845&lt;=CH:CH), 0)), "")</f>
        <v/>
      </c>
      <c r="X845" s="39"/>
      <c r="Y845" s="74"/>
      <c r="Z845" s="74" t="str">
        <f>IF(OR(Table5[[#This Row],[Per Person Package Cost]]="", Table5[[#This Row],[No. of Pax]]=""), "", Table5[[#This Row],[Per Person Package Cost]] * Table5[[#This Row],[No. of Pax]])</f>
        <v/>
      </c>
      <c r="AA845" s="52"/>
      <c r="AB845" s="52"/>
      <c r="AC845" s="52"/>
      <c r="AD845" s="52"/>
      <c r="AE845" s="51" t="str">
        <f t="shared" si="77"/>
        <v/>
      </c>
      <c r="AF845" s="51" t="str">
        <f t="shared" si="78"/>
        <v/>
      </c>
      <c r="AG845" s="74" t="str">
        <f t="shared" si="79"/>
        <v/>
      </c>
      <c r="AH845" s="73" t="str">
        <f t="shared" si="76"/>
        <v/>
      </c>
      <c r="AI845" s="52"/>
      <c r="AJ845" s="56"/>
      <c r="AK845" s="59"/>
      <c r="AL845" s="60"/>
      <c r="AM845" s="54"/>
      <c r="AN845" s="64"/>
      <c r="AO845" s="26"/>
      <c r="AP845" s="93"/>
      <c r="AQ845" s="87"/>
      <c r="AR845" s="26"/>
      <c r="AS845" s="65"/>
      <c r="AT845" s="88"/>
      <c r="AU845" s="67"/>
      <c r="DA845" t="str" cm="1">
        <f t="array" ref="DA845">IF(U845&lt;&gt;"", TRANSPOSE(_xlfn._xlws.FILTER(CZ:CZ, CY:CY=U845, "")), "")</f>
        <v/>
      </c>
    </row>
    <row r="846" spans="2:105">
      <c r="B846" s="35">
        <v>842</v>
      </c>
      <c r="C846" s="36" t="s">
        <v>2711</v>
      </c>
      <c r="D846" s="76"/>
      <c r="E846" s="37" t="str">
        <f>IF(Table5[[#This Row],[Query Date]]&lt;&gt;"", TEXT(Table5[[#This Row],[Query Date]], "dddd"), "")</f>
        <v/>
      </c>
      <c r="F846" s="37" t="str">
        <f>IF(Table5[[#This Row],[Query Date]]&lt;&gt;"", TEXT(Table5[[#This Row],[Query Date]], "mmmm"), "")</f>
        <v/>
      </c>
      <c r="G846" s="28"/>
      <c r="H846" s="28"/>
      <c r="I846" s="28"/>
      <c r="J846" s="28"/>
      <c r="K846" s="28"/>
      <c r="L846" s="25"/>
      <c r="M846" s="25"/>
      <c r="N846" s="25"/>
      <c r="O846" s="130"/>
      <c r="P846" s="47"/>
      <c r="Q846" s="77"/>
      <c r="R846" s="77" t="str">
        <f>IF(Table5[[#This Row],[Tour Starting Date]]&lt;&gt;"", TEXT(Table5[[#This Row],[Tour Starting Date]], "dddd"), "")</f>
        <v/>
      </c>
      <c r="S846" s="77"/>
      <c r="T846" s="25" t="str">
        <f>IF(Table5[[#This Row],[Tour Ending Date]]&lt;&gt;"", TEXT(Table5[[#This Row],[Tour Ending Date]], "dddd"), "")</f>
        <v/>
      </c>
      <c r="U84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46" s="37" t="str">
        <f>IF(Table5[[#This Row],[Tour Starting Date]]&lt;&gt;"", TEXT(Table5[[#This Row],[Tour Starting Date]], "mmmm"), "")</f>
        <v/>
      </c>
      <c r="W846" s="80" t="str" cm="1">
        <f t="array" ref="W846">IF(Q846&lt;&gt;"", INDEX(CI:CI, MATCH(1, (Q846&gt;=CG:CG)*(Q846&lt;=CH:CH), 0)), "")</f>
        <v/>
      </c>
      <c r="X846" s="39"/>
      <c r="Y846" s="74"/>
      <c r="Z846" s="74" t="str">
        <f>IF(OR(Table5[[#This Row],[Per Person Package Cost]]="", Table5[[#This Row],[No. of Pax]]=""), "", Table5[[#This Row],[Per Person Package Cost]] * Table5[[#This Row],[No. of Pax]])</f>
        <v/>
      </c>
      <c r="AA846" s="52"/>
      <c r="AB846" s="52"/>
      <c r="AC846" s="52"/>
      <c r="AD846" s="52"/>
      <c r="AE846" s="51" t="str">
        <f t="shared" si="77"/>
        <v/>
      </c>
      <c r="AF846" s="51" t="str">
        <f t="shared" si="78"/>
        <v/>
      </c>
      <c r="AG846" s="74" t="str">
        <f t="shared" si="79"/>
        <v/>
      </c>
      <c r="AH846" s="73" t="str">
        <f t="shared" si="76"/>
        <v/>
      </c>
      <c r="AI846" s="52"/>
      <c r="AJ846" s="56"/>
      <c r="AK846" s="59"/>
      <c r="AL846" s="60"/>
      <c r="AM846" s="54"/>
      <c r="AN846" s="64"/>
      <c r="AO846" s="26"/>
      <c r="AP846" s="93"/>
      <c r="AQ846" s="87"/>
      <c r="AR846" s="26"/>
      <c r="AS846" s="65"/>
      <c r="AT846" s="88"/>
      <c r="AU846" s="67"/>
      <c r="DA846" t="str" cm="1">
        <f t="array" ref="DA846">IF(U846&lt;&gt;"", TRANSPOSE(_xlfn._xlws.FILTER(CZ:CZ, CY:CY=U846, "")), "")</f>
        <v/>
      </c>
    </row>
    <row r="847" spans="2:105">
      <c r="B847" s="35">
        <v>843</v>
      </c>
      <c r="C847" s="36" t="s">
        <v>2712</v>
      </c>
      <c r="D847" s="76"/>
      <c r="E847" s="37" t="str">
        <f>IF(Table5[[#This Row],[Query Date]]&lt;&gt;"", TEXT(Table5[[#This Row],[Query Date]], "dddd"), "")</f>
        <v/>
      </c>
      <c r="F847" s="37" t="str">
        <f>IF(Table5[[#This Row],[Query Date]]&lt;&gt;"", TEXT(Table5[[#This Row],[Query Date]], "mmmm"), "")</f>
        <v/>
      </c>
      <c r="G847" s="28"/>
      <c r="H847" s="28"/>
      <c r="I847" s="28"/>
      <c r="J847" s="28"/>
      <c r="K847" s="28"/>
      <c r="L847" s="25"/>
      <c r="M847" s="25"/>
      <c r="N847" s="25"/>
      <c r="O847" s="130"/>
      <c r="P847" s="47"/>
      <c r="Q847" s="77"/>
      <c r="R847" s="77" t="str">
        <f>IF(Table5[[#This Row],[Tour Starting Date]]&lt;&gt;"", TEXT(Table5[[#This Row],[Tour Starting Date]], "dddd"), "")</f>
        <v/>
      </c>
      <c r="S847" s="77"/>
      <c r="T847" s="25" t="str">
        <f>IF(Table5[[#This Row],[Tour Ending Date]]&lt;&gt;"", TEXT(Table5[[#This Row],[Tour Ending Date]], "dddd"), "")</f>
        <v/>
      </c>
      <c r="U84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47" s="37" t="str">
        <f>IF(Table5[[#This Row],[Tour Starting Date]]&lt;&gt;"", TEXT(Table5[[#This Row],[Tour Starting Date]], "mmmm"), "")</f>
        <v/>
      </c>
      <c r="W847" s="80" t="str" cm="1">
        <f t="array" ref="W847">IF(Q847&lt;&gt;"", INDEX(CI:CI, MATCH(1, (Q847&gt;=CG:CG)*(Q847&lt;=CH:CH), 0)), "")</f>
        <v/>
      </c>
      <c r="X847" s="39"/>
      <c r="Y847" s="74"/>
      <c r="Z847" s="74" t="str">
        <f>IF(OR(Table5[[#This Row],[Per Person Package Cost]]="", Table5[[#This Row],[No. of Pax]]=""), "", Table5[[#This Row],[Per Person Package Cost]] * Table5[[#This Row],[No. of Pax]])</f>
        <v/>
      </c>
      <c r="AA847" s="52"/>
      <c r="AB847" s="52"/>
      <c r="AC847" s="52"/>
      <c r="AD847" s="52"/>
      <c r="AE847" s="51" t="str">
        <f t="shared" si="77"/>
        <v/>
      </c>
      <c r="AF847" s="51" t="str">
        <f t="shared" si="78"/>
        <v/>
      </c>
      <c r="AG847" s="74" t="str">
        <f t="shared" si="79"/>
        <v/>
      </c>
      <c r="AH847" s="73" t="str">
        <f t="shared" si="76"/>
        <v/>
      </c>
      <c r="AI847" s="52"/>
      <c r="AJ847" s="56"/>
      <c r="AK847" s="59"/>
      <c r="AL847" s="60"/>
      <c r="AM847" s="54"/>
      <c r="AN847" s="64"/>
      <c r="AO847" s="26"/>
      <c r="AP847" s="93"/>
      <c r="AQ847" s="87"/>
      <c r="AR847" s="26"/>
      <c r="AS847" s="65"/>
      <c r="AT847" s="88"/>
      <c r="AU847" s="67"/>
      <c r="DA847" t="str" cm="1">
        <f t="array" ref="DA847">IF(U847&lt;&gt;"", TRANSPOSE(_xlfn._xlws.FILTER(CZ:CZ, CY:CY=U847, "")), "")</f>
        <v/>
      </c>
    </row>
    <row r="848" spans="2:105">
      <c r="B848" s="35">
        <v>844</v>
      </c>
      <c r="C848" s="36" t="s">
        <v>2713</v>
      </c>
      <c r="D848" s="76"/>
      <c r="E848" s="37" t="str">
        <f>IF(Table5[[#This Row],[Query Date]]&lt;&gt;"", TEXT(Table5[[#This Row],[Query Date]], "dddd"), "")</f>
        <v/>
      </c>
      <c r="F848" s="37" t="str">
        <f>IF(Table5[[#This Row],[Query Date]]&lt;&gt;"", TEXT(Table5[[#This Row],[Query Date]], "mmmm"), "")</f>
        <v/>
      </c>
      <c r="G848" s="28"/>
      <c r="H848" s="28"/>
      <c r="I848" s="28"/>
      <c r="J848" s="28"/>
      <c r="K848" s="28"/>
      <c r="L848" s="25"/>
      <c r="M848" s="25"/>
      <c r="N848" s="25"/>
      <c r="O848" s="130"/>
      <c r="P848" s="47"/>
      <c r="Q848" s="77"/>
      <c r="R848" s="77" t="str">
        <f>IF(Table5[[#This Row],[Tour Starting Date]]&lt;&gt;"", TEXT(Table5[[#This Row],[Tour Starting Date]], "dddd"), "")</f>
        <v/>
      </c>
      <c r="S848" s="77"/>
      <c r="T848" s="25" t="str">
        <f>IF(Table5[[#This Row],[Tour Ending Date]]&lt;&gt;"", TEXT(Table5[[#This Row],[Tour Ending Date]], "dddd"), "")</f>
        <v/>
      </c>
      <c r="U84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48" s="37" t="str">
        <f>IF(Table5[[#This Row],[Tour Starting Date]]&lt;&gt;"", TEXT(Table5[[#This Row],[Tour Starting Date]], "mmmm"), "")</f>
        <v/>
      </c>
      <c r="W848" s="80" t="str" cm="1">
        <f t="array" ref="W848">IF(Q848&lt;&gt;"", INDEX(CI:CI, MATCH(1, (Q848&gt;=CG:CG)*(Q848&lt;=CH:CH), 0)), "")</f>
        <v/>
      </c>
      <c r="X848" s="39"/>
      <c r="Y848" s="74"/>
      <c r="Z848" s="74" t="str">
        <f>IF(OR(Table5[[#This Row],[Per Person Package Cost]]="", Table5[[#This Row],[No. of Pax]]=""), "", Table5[[#This Row],[Per Person Package Cost]] * Table5[[#This Row],[No. of Pax]])</f>
        <v/>
      </c>
      <c r="AA848" s="52"/>
      <c r="AB848" s="52"/>
      <c r="AC848" s="52"/>
      <c r="AD848" s="52"/>
      <c r="AE848" s="51" t="str">
        <f t="shared" si="77"/>
        <v/>
      </c>
      <c r="AF848" s="51" t="str">
        <f t="shared" si="78"/>
        <v/>
      </c>
      <c r="AG848" s="74" t="str">
        <f t="shared" si="79"/>
        <v/>
      </c>
      <c r="AH848" s="73" t="str">
        <f t="shared" si="76"/>
        <v/>
      </c>
      <c r="AI848" s="52"/>
      <c r="AJ848" s="56"/>
      <c r="AK848" s="59"/>
      <c r="AL848" s="60"/>
      <c r="AM848" s="54"/>
      <c r="AN848" s="64"/>
      <c r="AO848" s="26"/>
      <c r="AP848" s="93"/>
      <c r="AQ848" s="87"/>
      <c r="AR848" s="26"/>
      <c r="AS848" s="65"/>
      <c r="AT848" s="88"/>
      <c r="AU848" s="67"/>
      <c r="DA848" t="str" cm="1">
        <f t="array" ref="DA848">IF(U848&lt;&gt;"", TRANSPOSE(_xlfn._xlws.FILTER(CZ:CZ, CY:CY=U848, "")), "")</f>
        <v/>
      </c>
    </row>
    <row r="849" spans="2:105">
      <c r="B849" s="35">
        <v>845</v>
      </c>
      <c r="C849" s="36" t="s">
        <v>2714</v>
      </c>
      <c r="D849" s="76"/>
      <c r="E849" s="37" t="str">
        <f>IF(Table5[[#This Row],[Query Date]]&lt;&gt;"", TEXT(Table5[[#This Row],[Query Date]], "dddd"), "")</f>
        <v/>
      </c>
      <c r="F849" s="37" t="str">
        <f>IF(Table5[[#This Row],[Query Date]]&lt;&gt;"", TEXT(Table5[[#This Row],[Query Date]], "mmmm"), "")</f>
        <v/>
      </c>
      <c r="G849" s="28"/>
      <c r="H849" s="28"/>
      <c r="I849" s="28"/>
      <c r="J849" s="28"/>
      <c r="K849" s="28"/>
      <c r="L849" s="25"/>
      <c r="M849" s="25"/>
      <c r="N849" s="25"/>
      <c r="O849" s="130"/>
      <c r="P849" s="47"/>
      <c r="Q849" s="77"/>
      <c r="R849" s="77" t="str">
        <f>IF(Table5[[#This Row],[Tour Starting Date]]&lt;&gt;"", TEXT(Table5[[#This Row],[Tour Starting Date]], "dddd"), "")</f>
        <v/>
      </c>
      <c r="S849" s="77"/>
      <c r="T849" s="25" t="str">
        <f>IF(Table5[[#This Row],[Tour Ending Date]]&lt;&gt;"", TEXT(Table5[[#This Row],[Tour Ending Date]], "dddd"), "")</f>
        <v/>
      </c>
      <c r="U84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49" s="37" t="str">
        <f>IF(Table5[[#This Row],[Tour Starting Date]]&lt;&gt;"", TEXT(Table5[[#This Row],[Tour Starting Date]], "mmmm"), "")</f>
        <v/>
      </c>
      <c r="W849" s="80" t="str" cm="1">
        <f t="array" ref="W849">IF(Q849&lt;&gt;"", INDEX(CI:CI, MATCH(1, (Q849&gt;=CG:CG)*(Q849&lt;=CH:CH), 0)), "")</f>
        <v/>
      </c>
      <c r="X849" s="39"/>
      <c r="Y849" s="74"/>
      <c r="Z849" s="74" t="str">
        <f>IF(OR(Table5[[#This Row],[Per Person Package Cost]]="", Table5[[#This Row],[No. of Pax]]=""), "", Table5[[#This Row],[Per Person Package Cost]] * Table5[[#This Row],[No. of Pax]])</f>
        <v/>
      </c>
      <c r="AA849" s="52"/>
      <c r="AB849" s="52"/>
      <c r="AC849" s="52"/>
      <c r="AD849" s="52"/>
      <c r="AE849" s="51" t="str">
        <f t="shared" si="77"/>
        <v/>
      </c>
      <c r="AF849" s="51" t="str">
        <f t="shared" si="78"/>
        <v/>
      </c>
      <c r="AG849" s="74" t="str">
        <f t="shared" si="79"/>
        <v/>
      </c>
      <c r="AH849" s="73" t="str">
        <f t="shared" si="76"/>
        <v/>
      </c>
      <c r="AI849" s="52"/>
      <c r="AJ849" s="56"/>
      <c r="AK849" s="59"/>
      <c r="AL849" s="60"/>
      <c r="AM849" s="54"/>
      <c r="AN849" s="64"/>
      <c r="AO849" s="26"/>
      <c r="AP849" s="93"/>
      <c r="AQ849" s="87"/>
      <c r="AR849" s="26"/>
      <c r="AS849" s="65"/>
      <c r="AT849" s="88"/>
      <c r="AU849" s="67"/>
      <c r="DA849" t="str" cm="1">
        <f t="array" ref="DA849">IF(U849&lt;&gt;"", TRANSPOSE(_xlfn._xlws.FILTER(CZ:CZ, CY:CY=U849, "")), "")</f>
        <v/>
      </c>
    </row>
    <row r="850" spans="2:105">
      <c r="B850" s="35">
        <v>846</v>
      </c>
      <c r="C850" s="36" t="s">
        <v>2715</v>
      </c>
      <c r="D850" s="76"/>
      <c r="E850" s="37" t="str">
        <f>IF(Table5[[#This Row],[Query Date]]&lt;&gt;"", TEXT(Table5[[#This Row],[Query Date]], "dddd"), "")</f>
        <v/>
      </c>
      <c r="F850" s="37" t="str">
        <f>IF(Table5[[#This Row],[Query Date]]&lt;&gt;"", TEXT(Table5[[#This Row],[Query Date]], "mmmm"), "")</f>
        <v/>
      </c>
      <c r="G850" s="28"/>
      <c r="H850" s="28"/>
      <c r="I850" s="28"/>
      <c r="J850" s="28"/>
      <c r="K850" s="28"/>
      <c r="L850" s="25"/>
      <c r="M850" s="25"/>
      <c r="N850" s="25"/>
      <c r="O850" s="130"/>
      <c r="P850" s="47"/>
      <c r="Q850" s="77"/>
      <c r="R850" s="77" t="str">
        <f>IF(Table5[[#This Row],[Tour Starting Date]]&lt;&gt;"", TEXT(Table5[[#This Row],[Tour Starting Date]], "dddd"), "")</f>
        <v/>
      </c>
      <c r="S850" s="77"/>
      <c r="T850" s="25" t="str">
        <f>IF(Table5[[#This Row],[Tour Ending Date]]&lt;&gt;"", TEXT(Table5[[#This Row],[Tour Ending Date]], "dddd"), "")</f>
        <v/>
      </c>
      <c r="U85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50" s="37" t="str">
        <f>IF(Table5[[#This Row],[Tour Starting Date]]&lt;&gt;"", TEXT(Table5[[#This Row],[Tour Starting Date]], "mmmm"), "")</f>
        <v/>
      </c>
      <c r="W850" s="80" t="str" cm="1">
        <f t="array" ref="W850">IF(Q850&lt;&gt;"", INDEX(CI:CI, MATCH(1, (Q850&gt;=CG:CG)*(Q850&lt;=CH:CH), 0)), "")</f>
        <v/>
      </c>
      <c r="X850" s="39"/>
      <c r="Y850" s="74"/>
      <c r="Z850" s="74" t="str">
        <f>IF(OR(Table5[[#This Row],[Per Person Package Cost]]="", Table5[[#This Row],[No. of Pax]]=""), "", Table5[[#This Row],[Per Person Package Cost]] * Table5[[#This Row],[No. of Pax]])</f>
        <v/>
      </c>
      <c r="AA850" s="52"/>
      <c r="AB850" s="52"/>
      <c r="AC850" s="52"/>
      <c r="AD850" s="52"/>
      <c r="AE850" s="51" t="str">
        <f t="shared" si="77"/>
        <v/>
      </c>
      <c r="AF850" s="51" t="str">
        <f t="shared" si="78"/>
        <v/>
      </c>
      <c r="AG850" s="74" t="str">
        <f t="shared" si="79"/>
        <v/>
      </c>
      <c r="AH850" s="73" t="str">
        <f t="shared" si="76"/>
        <v/>
      </c>
      <c r="AI850" s="52"/>
      <c r="AJ850" s="56"/>
      <c r="AK850" s="59"/>
      <c r="AL850" s="60"/>
      <c r="AM850" s="54"/>
      <c r="AN850" s="64"/>
      <c r="AO850" s="26"/>
      <c r="AP850" s="93"/>
      <c r="AQ850" s="87"/>
      <c r="AR850" s="26"/>
      <c r="AS850" s="65"/>
      <c r="AT850" s="88"/>
      <c r="AU850" s="67"/>
      <c r="DA850" t="str" cm="1">
        <f t="array" ref="DA850">IF(U850&lt;&gt;"", TRANSPOSE(_xlfn._xlws.FILTER(CZ:CZ, CY:CY=U850, "")), "")</f>
        <v/>
      </c>
    </row>
    <row r="851" spans="2:105">
      <c r="B851" s="35">
        <v>847</v>
      </c>
      <c r="C851" s="36" t="s">
        <v>2716</v>
      </c>
      <c r="D851" s="76"/>
      <c r="E851" s="37" t="str">
        <f>IF(Table5[[#This Row],[Query Date]]&lt;&gt;"", TEXT(Table5[[#This Row],[Query Date]], "dddd"), "")</f>
        <v/>
      </c>
      <c r="F851" s="37" t="str">
        <f>IF(Table5[[#This Row],[Query Date]]&lt;&gt;"", TEXT(Table5[[#This Row],[Query Date]], "mmmm"), "")</f>
        <v/>
      </c>
      <c r="G851" s="28"/>
      <c r="H851" s="28"/>
      <c r="I851" s="28"/>
      <c r="J851" s="28"/>
      <c r="K851" s="28"/>
      <c r="L851" s="25"/>
      <c r="M851" s="25"/>
      <c r="N851" s="25"/>
      <c r="O851" s="130"/>
      <c r="P851" s="47"/>
      <c r="Q851" s="77"/>
      <c r="R851" s="77" t="str">
        <f>IF(Table5[[#This Row],[Tour Starting Date]]&lt;&gt;"", TEXT(Table5[[#This Row],[Tour Starting Date]], "dddd"), "")</f>
        <v/>
      </c>
      <c r="S851" s="77"/>
      <c r="T851" s="25" t="str">
        <f>IF(Table5[[#This Row],[Tour Ending Date]]&lt;&gt;"", TEXT(Table5[[#This Row],[Tour Ending Date]], "dddd"), "")</f>
        <v/>
      </c>
      <c r="U85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51" s="37" t="str">
        <f>IF(Table5[[#This Row],[Tour Starting Date]]&lt;&gt;"", TEXT(Table5[[#This Row],[Tour Starting Date]], "mmmm"), "")</f>
        <v/>
      </c>
      <c r="W851" s="80" t="str" cm="1">
        <f t="array" ref="W851">IF(Q851&lt;&gt;"", INDEX(CI:CI, MATCH(1, (Q851&gt;=CG:CG)*(Q851&lt;=CH:CH), 0)), "")</f>
        <v/>
      </c>
      <c r="X851" s="39"/>
      <c r="Y851" s="74"/>
      <c r="Z851" s="74" t="str">
        <f>IF(OR(Table5[[#This Row],[Per Person Package Cost]]="", Table5[[#This Row],[No. of Pax]]=""), "", Table5[[#This Row],[Per Person Package Cost]] * Table5[[#This Row],[No. of Pax]])</f>
        <v/>
      </c>
      <c r="AA851" s="52"/>
      <c r="AB851" s="52"/>
      <c r="AC851" s="52"/>
      <c r="AD851" s="52"/>
      <c r="AE851" s="51" t="str">
        <f t="shared" si="77"/>
        <v/>
      </c>
      <c r="AF851" s="51" t="str">
        <f t="shared" si="78"/>
        <v/>
      </c>
      <c r="AG851" s="74" t="str">
        <f t="shared" si="79"/>
        <v/>
      </c>
      <c r="AH851" s="73" t="str">
        <f t="shared" si="76"/>
        <v/>
      </c>
      <c r="AI851" s="52"/>
      <c r="AJ851" s="56"/>
      <c r="AK851" s="59"/>
      <c r="AL851" s="60"/>
      <c r="AM851" s="54"/>
      <c r="AN851" s="64"/>
      <c r="AO851" s="26"/>
      <c r="AP851" s="93"/>
      <c r="AQ851" s="87"/>
      <c r="AR851" s="26"/>
      <c r="AS851" s="65"/>
      <c r="AT851" s="88"/>
      <c r="AU851" s="67"/>
      <c r="DA851" t="str" cm="1">
        <f t="array" ref="DA851">IF(U851&lt;&gt;"", TRANSPOSE(_xlfn._xlws.FILTER(CZ:CZ, CY:CY=U851, "")), "")</f>
        <v/>
      </c>
    </row>
    <row r="852" spans="2:105">
      <c r="B852" s="35">
        <v>848</v>
      </c>
      <c r="C852" s="36" t="s">
        <v>2717</v>
      </c>
      <c r="D852" s="76"/>
      <c r="E852" s="37" t="str">
        <f>IF(Table5[[#This Row],[Query Date]]&lt;&gt;"", TEXT(Table5[[#This Row],[Query Date]], "dddd"), "")</f>
        <v/>
      </c>
      <c r="F852" s="37" t="str">
        <f>IF(Table5[[#This Row],[Query Date]]&lt;&gt;"", TEXT(Table5[[#This Row],[Query Date]], "mmmm"), "")</f>
        <v/>
      </c>
      <c r="G852" s="28"/>
      <c r="H852" s="28"/>
      <c r="I852" s="28"/>
      <c r="J852" s="28"/>
      <c r="K852" s="28"/>
      <c r="L852" s="25"/>
      <c r="M852" s="25"/>
      <c r="N852" s="25"/>
      <c r="O852" s="130"/>
      <c r="P852" s="47"/>
      <c r="Q852" s="77"/>
      <c r="R852" s="77" t="str">
        <f>IF(Table5[[#This Row],[Tour Starting Date]]&lt;&gt;"", TEXT(Table5[[#This Row],[Tour Starting Date]], "dddd"), "")</f>
        <v/>
      </c>
      <c r="S852" s="77"/>
      <c r="T852" s="25" t="str">
        <f>IF(Table5[[#This Row],[Tour Ending Date]]&lt;&gt;"", TEXT(Table5[[#This Row],[Tour Ending Date]], "dddd"), "")</f>
        <v/>
      </c>
      <c r="U85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52" s="37" t="str">
        <f>IF(Table5[[#This Row],[Tour Starting Date]]&lt;&gt;"", TEXT(Table5[[#This Row],[Tour Starting Date]], "mmmm"), "")</f>
        <v/>
      </c>
      <c r="W852" s="80" t="str" cm="1">
        <f t="array" ref="W852">IF(Q852&lt;&gt;"", INDEX(CI:CI, MATCH(1, (Q852&gt;=CG:CG)*(Q852&lt;=CH:CH), 0)), "")</f>
        <v/>
      </c>
      <c r="X852" s="39"/>
      <c r="Y852" s="74"/>
      <c r="Z852" s="74" t="str">
        <f>IF(OR(Table5[[#This Row],[Per Person Package Cost]]="", Table5[[#This Row],[No. of Pax]]=""), "", Table5[[#This Row],[Per Person Package Cost]] * Table5[[#This Row],[No. of Pax]])</f>
        <v/>
      </c>
      <c r="AA852" s="52"/>
      <c r="AB852" s="52"/>
      <c r="AC852" s="52"/>
      <c r="AD852" s="52"/>
      <c r="AE852" s="51" t="str">
        <f t="shared" si="77"/>
        <v/>
      </c>
      <c r="AF852" s="51" t="str">
        <f t="shared" si="78"/>
        <v/>
      </c>
      <c r="AG852" s="74" t="str">
        <f t="shared" si="79"/>
        <v/>
      </c>
      <c r="AH852" s="73" t="str">
        <f t="shared" ref="AH852:AH915" si="80">IF(AD852&lt;&gt;"", INDEX(CV:CV, MATCH(AD852, CZ:CZ, 0)), "")</f>
        <v/>
      </c>
      <c r="AI852" s="52"/>
      <c r="AJ852" s="56"/>
      <c r="AK852" s="59"/>
      <c r="AL852" s="60"/>
      <c r="AM852" s="54"/>
      <c r="AN852" s="64"/>
      <c r="AO852" s="26"/>
      <c r="AP852" s="93"/>
      <c r="AQ852" s="87"/>
      <c r="AR852" s="26"/>
      <c r="AS852" s="65"/>
      <c r="AT852" s="88"/>
      <c r="AU852" s="67"/>
      <c r="DA852" t="str" cm="1">
        <f t="array" ref="DA852">IF(U852&lt;&gt;"", TRANSPOSE(_xlfn._xlws.FILTER(CZ:CZ, CY:CY=U852, "")), "")</f>
        <v/>
      </c>
    </row>
    <row r="853" spans="2:105">
      <c r="B853" s="35">
        <v>849</v>
      </c>
      <c r="C853" s="36" t="s">
        <v>2718</v>
      </c>
      <c r="D853" s="76"/>
      <c r="E853" s="37" t="str">
        <f>IF(Table5[[#This Row],[Query Date]]&lt;&gt;"", TEXT(Table5[[#This Row],[Query Date]], "dddd"), "")</f>
        <v/>
      </c>
      <c r="F853" s="37" t="str">
        <f>IF(Table5[[#This Row],[Query Date]]&lt;&gt;"", TEXT(Table5[[#This Row],[Query Date]], "mmmm"), "")</f>
        <v/>
      </c>
      <c r="G853" s="28"/>
      <c r="H853" s="28"/>
      <c r="I853" s="28"/>
      <c r="J853" s="28"/>
      <c r="K853" s="28"/>
      <c r="L853" s="25"/>
      <c r="M853" s="25"/>
      <c r="N853" s="25"/>
      <c r="O853" s="130"/>
      <c r="P853" s="47"/>
      <c r="Q853" s="77"/>
      <c r="R853" s="77" t="str">
        <f>IF(Table5[[#This Row],[Tour Starting Date]]&lt;&gt;"", TEXT(Table5[[#This Row],[Tour Starting Date]], "dddd"), "")</f>
        <v/>
      </c>
      <c r="S853" s="77"/>
      <c r="T853" s="25" t="str">
        <f>IF(Table5[[#This Row],[Tour Ending Date]]&lt;&gt;"", TEXT(Table5[[#This Row],[Tour Ending Date]], "dddd"), "")</f>
        <v/>
      </c>
      <c r="U85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53" s="37" t="str">
        <f>IF(Table5[[#This Row],[Tour Starting Date]]&lt;&gt;"", TEXT(Table5[[#This Row],[Tour Starting Date]], "mmmm"), "")</f>
        <v/>
      </c>
      <c r="W853" s="80" t="str" cm="1">
        <f t="array" ref="W853">IF(Q853&lt;&gt;"", INDEX(CI:CI, MATCH(1, (Q853&gt;=CG:CG)*(Q853&lt;=CH:CH), 0)), "")</f>
        <v/>
      </c>
      <c r="X853" s="39"/>
      <c r="Y853" s="74"/>
      <c r="Z853" s="74" t="str">
        <f>IF(OR(Table5[[#This Row],[Per Person Package Cost]]="", Table5[[#This Row],[No. of Pax]]=""), "", Table5[[#This Row],[Per Person Package Cost]] * Table5[[#This Row],[No. of Pax]])</f>
        <v/>
      </c>
      <c r="AA853" s="52"/>
      <c r="AB853" s="52"/>
      <c r="AC853" s="52"/>
      <c r="AD853" s="52"/>
      <c r="AE853" s="51" t="str">
        <f t="shared" si="77"/>
        <v/>
      </c>
      <c r="AF853" s="51" t="str">
        <f t="shared" si="78"/>
        <v/>
      </c>
      <c r="AG853" s="74" t="str">
        <f t="shared" si="79"/>
        <v/>
      </c>
      <c r="AH853" s="73" t="str">
        <f t="shared" si="80"/>
        <v/>
      </c>
      <c r="AI853" s="52"/>
      <c r="AJ853" s="56"/>
      <c r="AK853" s="59"/>
      <c r="AL853" s="60"/>
      <c r="AM853" s="54"/>
      <c r="AN853" s="64"/>
      <c r="AO853" s="26"/>
      <c r="AP853" s="93"/>
      <c r="AQ853" s="87"/>
      <c r="AR853" s="26"/>
      <c r="AS853" s="65"/>
      <c r="AT853" s="88"/>
      <c r="AU853" s="67"/>
      <c r="DA853" t="str" cm="1">
        <f t="array" ref="DA853">IF(U853&lt;&gt;"", TRANSPOSE(_xlfn._xlws.FILTER(CZ:CZ, CY:CY=U853, "")), "")</f>
        <v/>
      </c>
    </row>
    <row r="854" spans="2:105">
      <c r="B854" s="35">
        <v>850</v>
      </c>
      <c r="C854" s="36" t="s">
        <v>2719</v>
      </c>
      <c r="D854" s="76"/>
      <c r="E854" s="37" t="str">
        <f>IF(Table5[[#This Row],[Query Date]]&lt;&gt;"", TEXT(Table5[[#This Row],[Query Date]], "dddd"), "")</f>
        <v/>
      </c>
      <c r="F854" s="37" t="str">
        <f>IF(Table5[[#This Row],[Query Date]]&lt;&gt;"", TEXT(Table5[[#This Row],[Query Date]], "mmmm"), "")</f>
        <v/>
      </c>
      <c r="G854" s="28"/>
      <c r="H854" s="28"/>
      <c r="I854" s="28"/>
      <c r="J854" s="28"/>
      <c r="K854" s="28"/>
      <c r="L854" s="25"/>
      <c r="M854" s="25"/>
      <c r="N854" s="25"/>
      <c r="O854" s="130"/>
      <c r="P854" s="47"/>
      <c r="Q854" s="77"/>
      <c r="R854" s="77" t="str">
        <f>IF(Table5[[#This Row],[Tour Starting Date]]&lt;&gt;"", TEXT(Table5[[#This Row],[Tour Starting Date]], "dddd"), "")</f>
        <v/>
      </c>
      <c r="S854" s="77"/>
      <c r="T854" s="25" t="str">
        <f>IF(Table5[[#This Row],[Tour Ending Date]]&lt;&gt;"", TEXT(Table5[[#This Row],[Tour Ending Date]], "dddd"), "")</f>
        <v/>
      </c>
      <c r="U85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54" s="37" t="str">
        <f>IF(Table5[[#This Row],[Tour Starting Date]]&lt;&gt;"", TEXT(Table5[[#This Row],[Tour Starting Date]], "mmmm"), "")</f>
        <v/>
      </c>
      <c r="W854" s="80" t="str" cm="1">
        <f t="array" ref="W854">IF(Q854&lt;&gt;"", INDEX(CI:CI, MATCH(1, (Q854&gt;=CG:CG)*(Q854&lt;=CH:CH), 0)), "")</f>
        <v/>
      </c>
      <c r="X854" s="39"/>
      <c r="Y854" s="74"/>
      <c r="Z854" s="74" t="str">
        <f>IF(OR(Table5[[#This Row],[Per Person Package Cost]]="", Table5[[#This Row],[No. of Pax]]=""), "", Table5[[#This Row],[Per Person Package Cost]] * Table5[[#This Row],[No. of Pax]])</f>
        <v/>
      </c>
      <c r="AA854" s="52"/>
      <c r="AB854" s="52"/>
      <c r="AC854" s="52"/>
      <c r="AD854" s="52"/>
      <c r="AE854" s="51" t="str">
        <f t="shared" si="77"/>
        <v/>
      </c>
      <c r="AF854" s="51" t="str">
        <f t="shared" si="78"/>
        <v/>
      </c>
      <c r="AG854" s="74" t="str">
        <f t="shared" si="79"/>
        <v/>
      </c>
      <c r="AH854" s="73" t="str">
        <f t="shared" si="80"/>
        <v/>
      </c>
      <c r="AI854" s="52"/>
      <c r="AJ854" s="56"/>
      <c r="AK854" s="59"/>
      <c r="AL854" s="60"/>
      <c r="AM854" s="54"/>
      <c r="AN854" s="64"/>
      <c r="AO854" s="26"/>
      <c r="AP854" s="93"/>
      <c r="AQ854" s="87"/>
      <c r="AR854" s="26"/>
      <c r="AS854" s="65"/>
      <c r="AT854" s="88"/>
      <c r="AU854" s="67"/>
      <c r="DA854" t="str" cm="1">
        <f t="array" ref="DA854">IF(U854&lt;&gt;"", TRANSPOSE(_xlfn._xlws.FILTER(CZ:CZ, CY:CY=U854, "")), "")</f>
        <v/>
      </c>
    </row>
    <row r="855" spans="2:105">
      <c r="B855" s="35">
        <v>851</v>
      </c>
      <c r="C855" s="36" t="s">
        <v>2720</v>
      </c>
      <c r="D855" s="76"/>
      <c r="E855" s="37" t="str">
        <f>IF(Table5[[#This Row],[Query Date]]&lt;&gt;"", TEXT(Table5[[#This Row],[Query Date]], "dddd"), "")</f>
        <v/>
      </c>
      <c r="F855" s="37" t="str">
        <f>IF(Table5[[#This Row],[Query Date]]&lt;&gt;"", TEXT(Table5[[#This Row],[Query Date]], "mmmm"), "")</f>
        <v/>
      </c>
      <c r="G855" s="28"/>
      <c r="H855" s="28"/>
      <c r="I855" s="28"/>
      <c r="J855" s="28"/>
      <c r="K855" s="28"/>
      <c r="L855" s="25"/>
      <c r="M855" s="25"/>
      <c r="N855" s="25"/>
      <c r="O855" s="130"/>
      <c r="P855" s="47"/>
      <c r="Q855" s="77"/>
      <c r="R855" s="77" t="str">
        <f>IF(Table5[[#This Row],[Tour Starting Date]]&lt;&gt;"", TEXT(Table5[[#This Row],[Tour Starting Date]], "dddd"), "")</f>
        <v/>
      </c>
      <c r="S855" s="77"/>
      <c r="T855" s="25" t="str">
        <f>IF(Table5[[#This Row],[Tour Ending Date]]&lt;&gt;"", TEXT(Table5[[#This Row],[Tour Ending Date]], "dddd"), "")</f>
        <v/>
      </c>
      <c r="U85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55" s="37" t="str">
        <f>IF(Table5[[#This Row],[Tour Starting Date]]&lt;&gt;"", TEXT(Table5[[#This Row],[Tour Starting Date]], "mmmm"), "")</f>
        <v/>
      </c>
      <c r="W855" s="80" t="str" cm="1">
        <f t="array" ref="W855">IF(Q855&lt;&gt;"", INDEX(CI:CI, MATCH(1, (Q855&gt;=CG:CG)*(Q855&lt;=CH:CH), 0)), "")</f>
        <v/>
      </c>
      <c r="X855" s="39"/>
      <c r="Y855" s="74"/>
      <c r="Z855" s="74" t="str">
        <f>IF(OR(Table5[[#This Row],[Per Person Package Cost]]="", Table5[[#This Row],[No. of Pax]]=""), "", Table5[[#This Row],[Per Person Package Cost]] * Table5[[#This Row],[No. of Pax]])</f>
        <v/>
      </c>
      <c r="AA855" s="52"/>
      <c r="AB855" s="52"/>
      <c r="AC855" s="52"/>
      <c r="AD855" s="52"/>
      <c r="AE855" s="51" t="str">
        <f t="shared" si="77"/>
        <v/>
      </c>
      <c r="AF855" s="51" t="str">
        <f t="shared" si="78"/>
        <v/>
      </c>
      <c r="AG855" s="74" t="str">
        <f t="shared" si="79"/>
        <v/>
      </c>
      <c r="AH855" s="73" t="str">
        <f t="shared" si="80"/>
        <v/>
      </c>
      <c r="AI855" s="52"/>
      <c r="AJ855" s="56"/>
      <c r="AK855" s="59"/>
      <c r="AL855" s="60"/>
      <c r="AM855" s="54"/>
      <c r="AN855" s="64"/>
      <c r="AO855" s="26"/>
      <c r="AP855" s="93"/>
      <c r="AQ855" s="87"/>
      <c r="AR855" s="26"/>
      <c r="AS855" s="65"/>
      <c r="AT855" s="88"/>
      <c r="AU855" s="67"/>
      <c r="DA855" t="str" cm="1">
        <f t="array" ref="DA855">IF(U855&lt;&gt;"", TRANSPOSE(_xlfn._xlws.FILTER(CZ:CZ, CY:CY=U855, "")), "")</f>
        <v/>
      </c>
    </row>
    <row r="856" spans="2:105">
      <c r="B856" s="35">
        <v>852</v>
      </c>
      <c r="C856" s="36" t="s">
        <v>2721</v>
      </c>
      <c r="D856" s="76"/>
      <c r="E856" s="37" t="str">
        <f>IF(Table5[[#This Row],[Query Date]]&lt;&gt;"", TEXT(Table5[[#This Row],[Query Date]], "dddd"), "")</f>
        <v/>
      </c>
      <c r="F856" s="37" t="str">
        <f>IF(Table5[[#This Row],[Query Date]]&lt;&gt;"", TEXT(Table5[[#This Row],[Query Date]], "mmmm"), "")</f>
        <v/>
      </c>
      <c r="G856" s="28"/>
      <c r="H856" s="28"/>
      <c r="I856" s="28"/>
      <c r="J856" s="28"/>
      <c r="K856" s="28"/>
      <c r="L856" s="25"/>
      <c r="M856" s="25"/>
      <c r="N856" s="25"/>
      <c r="O856" s="130"/>
      <c r="P856" s="47"/>
      <c r="Q856" s="77"/>
      <c r="R856" s="77" t="str">
        <f>IF(Table5[[#This Row],[Tour Starting Date]]&lt;&gt;"", TEXT(Table5[[#This Row],[Tour Starting Date]], "dddd"), "")</f>
        <v/>
      </c>
      <c r="S856" s="77"/>
      <c r="T856" s="25" t="str">
        <f>IF(Table5[[#This Row],[Tour Ending Date]]&lt;&gt;"", TEXT(Table5[[#This Row],[Tour Ending Date]], "dddd"), "")</f>
        <v/>
      </c>
      <c r="U85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56" s="37" t="str">
        <f>IF(Table5[[#This Row],[Tour Starting Date]]&lt;&gt;"", TEXT(Table5[[#This Row],[Tour Starting Date]], "mmmm"), "")</f>
        <v/>
      </c>
      <c r="W856" s="80" t="str" cm="1">
        <f t="array" ref="W856">IF(Q856&lt;&gt;"", INDEX(CI:CI, MATCH(1, (Q856&gt;=CG:CG)*(Q856&lt;=CH:CH), 0)), "")</f>
        <v/>
      </c>
      <c r="X856" s="39"/>
      <c r="Y856" s="74"/>
      <c r="Z856" s="74" t="str">
        <f>IF(OR(Table5[[#This Row],[Per Person Package Cost]]="", Table5[[#This Row],[No. of Pax]]=""), "", Table5[[#This Row],[Per Person Package Cost]] * Table5[[#This Row],[No. of Pax]])</f>
        <v/>
      </c>
      <c r="AA856" s="52"/>
      <c r="AB856" s="52"/>
      <c r="AC856" s="52"/>
      <c r="AD856" s="52"/>
      <c r="AE856" s="51" t="str">
        <f t="shared" si="77"/>
        <v/>
      </c>
      <c r="AF856" s="51" t="str">
        <f t="shared" si="78"/>
        <v/>
      </c>
      <c r="AG856" s="74" t="str">
        <f t="shared" si="79"/>
        <v/>
      </c>
      <c r="AH856" s="73" t="str">
        <f t="shared" si="80"/>
        <v/>
      </c>
      <c r="AI856" s="52"/>
      <c r="AJ856" s="56"/>
      <c r="AK856" s="59"/>
      <c r="AL856" s="60"/>
      <c r="AM856" s="54"/>
      <c r="AN856" s="64"/>
      <c r="AO856" s="26"/>
      <c r="AP856" s="93"/>
      <c r="AQ856" s="87"/>
      <c r="AR856" s="26"/>
      <c r="AS856" s="65"/>
      <c r="AT856" s="88"/>
      <c r="AU856" s="67"/>
      <c r="DA856" t="str" cm="1">
        <f t="array" ref="DA856">IF(U856&lt;&gt;"", TRANSPOSE(_xlfn._xlws.FILTER(CZ:CZ, CY:CY=U856, "")), "")</f>
        <v/>
      </c>
    </row>
    <row r="857" spans="2:105">
      <c r="B857" s="35">
        <v>853</v>
      </c>
      <c r="C857" s="36" t="s">
        <v>2722</v>
      </c>
      <c r="D857" s="76"/>
      <c r="E857" s="37" t="str">
        <f>IF(Table5[[#This Row],[Query Date]]&lt;&gt;"", TEXT(Table5[[#This Row],[Query Date]], "dddd"), "")</f>
        <v/>
      </c>
      <c r="F857" s="37" t="str">
        <f>IF(Table5[[#This Row],[Query Date]]&lt;&gt;"", TEXT(Table5[[#This Row],[Query Date]], "mmmm"), "")</f>
        <v/>
      </c>
      <c r="G857" s="28"/>
      <c r="H857" s="28"/>
      <c r="I857" s="28"/>
      <c r="J857" s="28"/>
      <c r="K857" s="28"/>
      <c r="L857" s="25"/>
      <c r="M857" s="25"/>
      <c r="N857" s="25"/>
      <c r="O857" s="130"/>
      <c r="P857" s="47"/>
      <c r="Q857" s="77"/>
      <c r="R857" s="77" t="str">
        <f>IF(Table5[[#This Row],[Tour Starting Date]]&lt;&gt;"", TEXT(Table5[[#This Row],[Tour Starting Date]], "dddd"), "")</f>
        <v/>
      </c>
      <c r="S857" s="77"/>
      <c r="T857" s="25" t="str">
        <f>IF(Table5[[#This Row],[Tour Ending Date]]&lt;&gt;"", TEXT(Table5[[#This Row],[Tour Ending Date]], "dddd"), "")</f>
        <v/>
      </c>
      <c r="U85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57" s="37" t="str">
        <f>IF(Table5[[#This Row],[Tour Starting Date]]&lt;&gt;"", TEXT(Table5[[#This Row],[Tour Starting Date]], "mmmm"), "")</f>
        <v/>
      </c>
      <c r="W857" s="80" t="str" cm="1">
        <f t="array" ref="W857">IF(Q857&lt;&gt;"", INDEX(CI:CI, MATCH(1, (Q857&gt;=CG:CG)*(Q857&lt;=CH:CH), 0)), "")</f>
        <v/>
      </c>
      <c r="X857" s="39"/>
      <c r="Y857" s="74"/>
      <c r="Z857" s="74" t="str">
        <f>IF(OR(Table5[[#This Row],[Per Person Package Cost]]="", Table5[[#This Row],[No. of Pax]]=""), "", Table5[[#This Row],[Per Person Package Cost]] * Table5[[#This Row],[No. of Pax]])</f>
        <v/>
      </c>
      <c r="AA857" s="52"/>
      <c r="AB857" s="52"/>
      <c r="AC857" s="52"/>
      <c r="AD857" s="52"/>
      <c r="AE857" s="51" t="str">
        <f t="shared" si="77"/>
        <v/>
      </c>
      <c r="AF857" s="51" t="str">
        <f t="shared" si="78"/>
        <v/>
      </c>
      <c r="AG857" s="74" t="str">
        <f t="shared" si="79"/>
        <v/>
      </c>
      <c r="AH857" s="73" t="str">
        <f t="shared" si="80"/>
        <v/>
      </c>
      <c r="AI857" s="52"/>
      <c r="AJ857" s="56"/>
      <c r="AK857" s="59"/>
      <c r="AL857" s="60"/>
      <c r="AM857" s="54"/>
      <c r="AN857" s="64"/>
      <c r="AO857" s="26"/>
      <c r="AP857" s="93"/>
      <c r="AQ857" s="87"/>
      <c r="AR857" s="26"/>
      <c r="AS857" s="65"/>
      <c r="AT857" s="88"/>
      <c r="AU857" s="67"/>
      <c r="DA857" t="str" cm="1">
        <f t="array" ref="DA857">IF(U857&lt;&gt;"", TRANSPOSE(_xlfn._xlws.FILTER(CZ:CZ, CY:CY=U857, "")), "")</f>
        <v/>
      </c>
    </row>
    <row r="858" spans="2:105">
      <c r="B858" s="35">
        <v>854</v>
      </c>
      <c r="C858" s="36" t="s">
        <v>2723</v>
      </c>
      <c r="D858" s="76"/>
      <c r="E858" s="37" t="str">
        <f>IF(Table5[[#This Row],[Query Date]]&lt;&gt;"", TEXT(Table5[[#This Row],[Query Date]], "dddd"), "")</f>
        <v/>
      </c>
      <c r="F858" s="37" t="str">
        <f>IF(Table5[[#This Row],[Query Date]]&lt;&gt;"", TEXT(Table5[[#This Row],[Query Date]], "mmmm"), "")</f>
        <v/>
      </c>
      <c r="G858" s="28"/>
      <c r="H858" s="28"/>
      <c r="I858" s="28"/>
      <c r="J858" s="28"/>
      <c r="K858" s="28"/>
      <c r="L858" s="25"/>
      <c r="M858" s="25"/>
      <c r="N858" s="25"/>
      <c r="O858" s="130"/>
      <c r="P858" s="47"/>
      <c r="Q858" s="77"/>
      <c r="R858" s="77" t="str">
        <f>IF(Table5[[#This Row],[Tour Starting Date]]&lt;&gt;"", TEXT(Table5[[#This Row],[Tour Starting Date]], "dddd"), "")</f>
        <v/>
      </c>
      <c r="S858" s="77"/>
      <c r="T858" s="25" t="str">
        <f>IF(Table5[[#This Row],[Tour Ending Date]]&lt;&gt;"", TEXT(Table5[[#This Row],[Tour Ending Date]], "dddd"), "")</f>
        <v/>
      </c>
      <c r="U85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58" s="37" t="str">
        <f>IF(Table5[[#This Row],[Tour Starting Date]]&lt;&gt;"", TEXT(Table5[[#This Row],[Tour Starting Date]], "mmmm"), "")</f>
        <v/>
      </c>
      <c r="W858" s="80" t="str" cm="1">
        <f t="array" ref="W858">IF(Q858&lt;&gt;"", INDEX(CI:CI, MATCH(1, (Q858&gt;=CG:CG)*(Q858&lt;=CH:CH), 0)), "")</f>
        <v/>
      </c>
      <c r="X858" s="39"/>
      <c r="Y858" s="74"/>
      <c r="Z858" s="74" t="str">
        <f>IF(OR(Table5[[#This Row],[Per Person Package Cost]]="", Table5[[#This Row],[No. of Pax]]=""), "", Table5[[#This Row],[Per Person Package Cost]] * Table5[[#This Row],[No. of Pax]])</f>
        <v/>
      </c>
      <c r="AA858" s="52"/>
      <c r="AB858" s="52"/>
      <c r="AC858" s="52"/>
      <c r="AD858" s="52"/>
      <c r="AE858" s="51" t="str">
        <f t="shared" si="77"/>
        <v/>
      </c>
      <c r="AF858" s="51" t="str">
        <f t="shared" si="78"/>
        <v/>
      </c>
      <c r="AG858" s="74" t="str">
        <f t="shared" si="79"/>
        <v/>
      </c>
      <c r="AH858" s="73" t="str">
        <f t="shared" si="80"/>
        <v/>
      </c>
      <c r="AI858" s="52"/>
      <c r="AJ858" s="56"/>
      <c r="AK858" s="59"/>
      <c r="AL858" s="60"/>
      <c r="AM858" s="54"/>
      <c r="AN858" s="64"/>
      <c r="AO858" s="26"/>
      <c r="AP858" s="93"/>
      <c r="AQ858" s="87"/>
      <c r="AR858" s="26"/>
      <c r="AS858" s="65"/>
      <c r="AT858" s="88"/>
      <c r="AU858" s="67"/>
      <c r="DA858" t="str" cm="1">
        <f t="array" ref="DA858">IF(U858&lt;&gt;"", TRANSPOSE(_xlfn._xlws.FILTER(CZ:CZ, CY:CY=U858, "")), "")</f>
        <v/>
      </c>
    </row>
    <row r="859" spans="2:105">
      <c r="B859" s="35">
        <v>855</v>
      </c>
      <c r="C859" s="36" t="s">
        <v>2724</v>
      </c>
      <c r="D859" s="76"/>
      <c r="E859" s="37" t="str">
        <f>IF(Table5[[#This Row],[Query Date]]&lt;&gt;"", TEXT(Table5[[#This Row],[Query Date]], "dddd"), "")</f>
        <v/>
      </c>
      <c r="F859" s="37" t="str">
        <f>IF(Table5[[#This Row],[Query Date]]&lt;&gt;"", TEXT(Table5[[#This Row],[Query Date]], "mmmm"), "")</f>
        <v/>
      </c>
      <c r="G859" s="28"/>
      <c r="H859" s="28"/>
      <c r="I859" s="28"/>
      <c r="J859" s="28"/>
      <c r="K859" s="28"/>
      <c r="L859" s="25"/>
      <c r="M859" s="25"/>
      <c r="N859" s="25"/>
      <c r="O859" s="130"/>
      <c r="P859" s="47"/>
      <c r="Q859" s="77"/>
      <c r="R859" s="77" t="str">
        <f>IF(Table5[[#This Row],[Tour Starting Date]]&lt;&gt;"", TEXT(Table5[[#This Row],[Tour Starting Date]], "dddd"), "")</f>
        <v/>
      </c>
      <c r="S859" s="77"/>
      <c r="T859" s="25" t="str">
        <f>IF(Table5[[#This Row],[Tour Ending Date]]&lt;&gt;"", TEXT(Table5[[#This Row],[Tour Ending Date]], "dddd"), "")</f>
        <v/>
      </c>
      <c r="U85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59" s="37" t="str">
        <f>IF(Table5[[#This Row],[Tour Starting Date]]&lt;&gt;"", TEXT(Table5[[#This Row],[Tour Starting Date]], "mmmm"), "")</f>
        <v/>
      </c>
      <c r="W859" s="80" t="str" cm="1">
        <f t="array" ref="W859">IF(Q859&lt;&gt;"", INDEX(CI:CI, MATCH(1, (Q859&gt;=CG:CG)*(Q859&lt;=CH:CH), 0)), "")</f>
        <v/>
      </c>
      <c r="X859" s="39"/>
      <c r="Y859" s="74"/>
      <c r="Z859" s="74" t="str">
        <f>IF(OR(Table5[[#This Row],[Per Person Package Cost]]="", Table5[[#This Row],[No. of Pax]]=""), "", Table5[[#This Row],[Per Person Package Cost]] * Table5[[#This Row],[No. of Pax]])</f>
        <v/>
      </c>
      <c r="AA859" s="52"/>
      <c r="AB859" s="52"/>
      <c r="AC859" s="52"/>
      <c r="AD859" s="52"/>
      <c r="AE859" s="51" t="str">
        <f t="shared" si="77"/>
        <v/>
      </c>
      <c r="AF859" s="51" t="str">
        <f t="shared" si="78"/>
        <v/>
      </c>
      <c r="AG859" s="74" t="str">
        <f t="shared" si="79"/>
        <v/>
      </c>
      <c r="AH859" s="73" t="str">
        <f t="shared" si="80"/>
        <v/>
      </c>
      <c r="AI859" s="52"/>
      <c r="AJ859" s="56"/>
      <c r="AK859" s="59"/>
      <c r="AL859" s="60"/>
      <c r="AM859" s="54"/>
      <c r="AN859" s="64"/>
      <c r="AO859" s="26"/>
      <c r="AP859" s="93"/>
      <c r="AQ859" s="87"/>
      <c r="AR859" s="26"/>
      <c r="AS859" s="65"/>
      <c r="AT859" s="88"/>
      <c r="AU859" s="67"/>
      <c r="DA859" t="str" cm="1">
        <f t="array" ref="DA859">IF(U859&lt;&gt;"", TRANSPOSE(_xlfn._xlws.FILTER(CZ:CZ, CY:CY=U859, "")), "")</f>
        <v/>
      </c>
    </row>
    <row r="860" spans="2:105">
      <c r="B860" s="35">
        <v>856</v>
      </c>
      <c r="C860" s="36" t="s">
        <v>2725</v>
      </c>
      <c r="D860" s="76"/>
      <c r="E860" s="37" t="str">
        <f>IF(Table5[[#This Row],[Query Date]]&lt;&gt;"", TEXT(Table5[[#This Row],[Query Date]], "dddd"), "")</f>
        <v/>
      </c>
      <c r="F860" s="37" t="str">
        <f>IF(Table5[[#This Row],[Query Date]]&lt;&gt;"", TEXT(Table5[[#This Row],[Query Date]], "mmmm"), "")</f>
        <v/>
      </c>
      <c r="G860" s="28"/>
      <c r="H860" s="28"/>
      <c r="I860" s="28"/>
      <c r="J860" s="28"/>
      <c r="K860" s="28"/>
      <c r="L860" s="25"/>
      <c r="M860" s="25"/>
      <c r="N860" s="25"/>
      <c r="O860" s="130"/>
      <c r="P860" s="47"/>
      <c r="Q860" s="77"/>
      <c r="R860" s="77" t="str">
        <f>IF(Table5[[#This Row],[Tour Starting Date]]&lt;&gt;"", TEXT(Table5[[#This Row],[Tour Starting Date]], "dddd"), "")</f>
        <v/>
      </c>
      <c r="S860" s="77"/>
      <c r="T860" s="25" t="str">
        <f>IF(Table5[[#This Row],[Tour Ending Date]]&lt;&gt;"", TEXT(Table5[[#This Row],[Tour Ending Date]], "dddd"), "")</f>
        <v/>
      </c>
      <c r="U86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60" s="37" t="str">
        <f>IF(Table5[[#This Row],[Tour Starting Date]]&lt;&gt;"", TEXT(Table5[[#This Row],[Tour Starting Date]], "mmmm"), "")</f>
        <v/>
      </c>
      <c r="W860" s="80" t="str" cm="1">
        <f t="array" ref="W860">IF(Q860&lt;&gt;"", INDEX(CI:CI, MATCH(1, (Q860&gt;=CG:CG)*(Q860&lt;=CH:CH), 0)), "")</f>
        <v/>
      </c>
      <c r="X860" s="39"/>
      <c r="Y860" s="74"/>
      <c r="Z860" s="74" t="str">
        <f>IF(OR(Table5[[#This Row],[Per Person Package Cost]]="", Table5[[#This Row],[No. of Pax]]=""), "", Table5[[#This Row],[Per Person Package Cost]] * Table5[[#This Row],[No. of Pax]])</f>
        <v/>
      </c>
      <c r="AA860" s="52"/>
      <c r="AB860" s="52"/>
      <c r="AC860" s="52"/>
      <c r="AD860" s="52"/>
      <c r="AE860" s="51" t="str">
        <f t="shared" si="77"/>
        <v/>
      </c>
      <c r="AF860" s="51" t="str">
        <f t="shared" si="78"/>
        <v/>
      </c>
      <c r="AG860" s="74" t="str">
        <f t="shared" si="79"/>
        <v/>
      </c>
      <c r="AH860" s="73" t="str">
        <f t="shared" si="80"/>
        <v/>
      </c>
      <c r="AI860" s="52"/>
      <c r="AJ860" s="56"/>
      <c r="AK860" s="59"/>
      <c r="AL860" s="60"/>
      <c r="AM860" s="54"/>
      <c r="AN860" s="64"/>
      <c r="AO860" s="26"/>
      <c r="AP860" s="93"/>
      <c r="AQ860" s="87"/>
      <c r="AR860" s="26"/>
      <c r="AS860" s="65"/>
      <c r="AT860" s="88"/>
      <c r="AU860" s="67"/>
      <c r="DA860" t="str" cm="1">
        <f t="array" ref="DA860">IF(U860&lt;&gt;"", TRANSPOSE(_xlfn._xlws.FILTER(CZ:CZ, CY:CY=U860, "")), "")</f>
        <v/>
      </c>
    </row>
    <row r="861" spans="2:105">
      <c r="B861" s="35">
        <v>857</v>
      </c>
      <c r="C861" s="36" t="s">
        <v>2726</v>
      </c>
      <c r="D861" s="76"/>
      <c r="E861" s="37" t="str">
        <f>IF(Table5[[#This Row],[Query Date]]&lt;&gt;"", TEXT(Table5[[#This Row],[Query Date]], "dddd"), "")</f>
        <v/>
      </c>
      <c r="F861" s="37" t="str">
        <f>IF(Table5[[#This Row],[Query Date]]&lt;&gt;"", TEXT(Table5[[#This Row],[Query Date]], "mmmm"), "")</f>
        <v/>
      </c>
      <c r="G861" s="28"/>
      <c r="H861" s="28"/>
      <c r="I861" s="28"/>
      <c r="J861" s="28"/>
      <c r="K861" s="28"/>
      <c r="L861" s="25"/>
      <c r="M861" s="25"/>
      <c r="N861" s="25"/>
      <c r="O861" s="130"/>
      <c r="P861" s="47"/>
      <c r="Q861" s="77"/>
      <c r="R861" s="77" t="str">
        <f>IF(Table5[[#This Row],[Tour Starting Date]]&lt;&gt;"", TEXT(Table5[[#This Row],[Tour Starting Date]], "dddd"), "")</f>
        <v/>
      </c>
      <c r="S861" s="77"/>
      <c r="T861" s="25" t="str">
        <f>IF(Table5[[#This Row],[Tour Ending Date]]&lt;&gt;"", TEXT(Table5[[#This Row],[Tour Ending Date]], "dddd"), "")</f>
        <v/>
      </c>
      <c r="U86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61" s="37" t="str">
        <f>IF(Table5[[#This Row],[Tour Starting Date]]&lt;&gt;"", TEXT(Table5[[#This Row],[Tour Starting Date]], "mmmm"), "")</f>
        <v/>
      </c>
      <c r="W861" s="80" t="str" cm="1">
        <f t="array" ref="W861">IF(Q861&lt;&gt;"", INDEX(CI:CI, MATCH(1, (Q861&gt;=CG:CG)*(Q861&lt;=CH:CH), 0)), "")</f>
        <v/>
      </c>
      <c r="X861" s="39"/>
      <c r="Y861" s="74"/>
      <c r="Z861" s="74" t="str">
        <f>IF(OR(Table5[[#This Row],[Per Person Package Cost]]="", Table5[[#This Row],[No. of Pax]]=""), "", Table5[[#This Row],[Per Person Package Cost]] * Table5[[#This Row],[No. of Pax]])</f>
        <v/>
      </c>
      <c r="AA861" s="52"/>
      <c r="AB861" s="52"/>
      <c r="AC861" s="52"/>
      <c r="AD861" s="52"/>
      <c r="AE861" s="51" t="str">
        <f t="shared" si="77"/>
        <v/>
      </c>
      <c r="AF861" s="51" t="str">
        <f t="shared" si="78"/>
        <v/>
      </c>
      <c r="AG861" s="74" t="str">
        <f t="shared" si="79"/>
        <v/>
      </c>
      <c r="AH861" s="73" t="str">
        <f t="shared" si="80"/>
        <v/>
      </c>
      <c r="AI861" s="52"/>
      <c r="AJ861" s="56"/>
      <c r="AK861" s="59"/>
      <c r="AL861" s="60"/>
      <c r="AM861" s="54"/>
      <c r="AN861" s="64"/>
      <c r="AO861" s="26"/>
      <c r="AP861" s="93"/>
      <c r="AQ861" s="87"/>
      <c r="AR861" s="26"/>
      <c r="AS861" s="65"/>
      <c r="AT861" s="88"/>
      <c r="AU861" s="67"/>
      <c r="DA861" t="str" cm="1">
        <f t="array" ref="DA861">IF(U861&lt;&gt;"", TRANSPOSE(_xlfn._xlws.FILTER(CZ:CZ, CY:CY=U861, "")), "")</f>
        <v/>
      </c>
    </row>
    <row r="862" spans="2:105">
      <c r="B862" s="35">
        <v>858</v>
      </c>
      <c r="C862" s="36" t="s">
        <v>2727</v>
      </c>
      <c r="D862" s="76"/>
      <c r="E862" s="37" t="str">
        <f>IF(Table5[[#This Row],[Query Date]]&lt;&gt;"", TEXT(Table5[[#This Row],[Query Date]], "dddd"), "")</f>
        <v/>
      </c>
      <c r="F862" s="37" t="str">
        <f>IF(Table5[[#This Row],[Query Date]]&lt;&gt;"", TEXT(Table5[[#This Row],[Query Date]], "mmmm"), "")</f>
        <v/>
      </c>
      <c r="G862" s="28"/>
      <c r="H862" s="28"/>
      <c r="I862" s="28"/>
      <c r="J862" s="28"/>
      <c r="K862" s="28"/>
      <c r="L862" s="25"/>
      <c r="M862" s="25"/>
      <c r="N862" s="25"/>
      <c r="O862" s="130"/>
      <c r="P862" s="47"/>
      <c r="Q862" s="77"/>
      <c r="R862" s="77" t="str">
        <f>IF(Table5[[#This Row],[Tour Starting Date]]&lt;&gt;"", TEXT(Table5[[#This Row],[Tour Starting Date]], "dddd"), "")</f>
        <v/>
      </c>
      <c r="S862" s="77"/>
      <c r="T862" s="25" t="str">
        <f>IF(Table5[[#This Row],[Tour Ending Date]]&lt;&gt;"", TEXT(Table5[[#This Row],[Tour Ending Date]], "dddd"), "")</f>
        <v/>
      </c>
      <c r="U86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62" s="37" t="str">
        <f>IF(Table5[[#This Row],[Tour Starting Date]]&lt;&gt;"", TEXT(Table5[[#This Row],[Tour Starting Date]], "mmmm"), "")</f>
        <v/>
      </c>
      <c r="W862" s="80" t="str" cm="1">
        <f t="array" ref="W862">IF(Q862&lt;&gt;"", INDEX(CI:CI, MATCH(1, (Q862&gt;=CG:CG)*(Q862&lt;=CH:CH), 0)), "")</f>
        <v/>
      </c>
      <c r="X862" s="39"/>
      <c r="Y862" s="74"/>
      <c r="Z862" s="74" t="str">
        <f>IF(OR(Table5[[#This Row],[Per Person Package Cost]]="", Table5[[#This Row],[No. of Pax]]=""), "", Table5[[#This Row],[Per Person Package Cost]] * Table5[[#This Row],[No. of Pax]])</f>
        <v/>
      </c>
      <c r="AA862" s="52"/>
      <c r="AB862" s="52"/>
      <c r="AC862" s="52"/>
      <c r="AD862" s="52"/>
      <c r="AE862" s="51" t="str">
        <f t="shared" si="77"/>
        <v/>
      </c>
      <c r="AF862" s="51" t="str">
        <f t="shared" si="78"/>
        <v/>
      </c>
      <c r="AG862" s="74" t="str">
        <f t="shared" si="79"/>
        <v/>
      </c>
      <c r="AH862" s="73" t="str">
        <f t="shared" si="80"/>
        <v/>
      </c>
      <c r="AI862" s="52"/>
      <c r="AJ862" s="56"/>
      <c r="AK862" s="59"/>
      <c r="AL862" s="60"/>
      <c r="AM862" s="54"/>
      <c r="AN862" s="64"/>
      <c r="AO862" s="26"/>
      <c r="AP862" s="93"/>
      <c r="AQ862" s="87"/>
      <c r="AR862" s="26"/>
      <c r="AS862" s="65"/>
      <c r="AT862" s="88"/>
      <c r="AU862" s="67"/>
      <c r="DA862" t="str" cm="1">
        <f t="array" ref="DA862">IF(U862&lt;&gt;"", TRANSPOSE(_xlfn._xlws.FILTER(CZ:CZ, CY:CY=U862, "")), "")</f>
        <v/>
      </c>
    </row>
    <row r="863" spans="2:105">
      <c r="B863" s="35">
        <v>859</v>
      </c>
      <c r="C863" s="36" t="s">
        <v>2728</v>
      </c>
      <c r="D863" s="76"/>
      <c r="E863" s="37" t="str">
        <f>IF(Table5[[#This Row],[Query Date]]&lt;&gt;"", TEXT(Table5[[#This Row],[Query Date]], "dddd"), "")</f>
        <v/>
      </c>
      <c r="F863" s="37" t="str">
        <f>IF(Table5[[#This Row],[Query Date]]&lt;&gt;"", TEXT(Table5[[#This Row],[Query Date]], "mmmm"), "")</f>
        <v/>
      </c>
      <c r="G863" s="28"/>
      <c r="H863" s="28"/>
      <c r="I863" s="28"/>
      <c r="J863" s="28"/>
      <c r="K863" s="28"/>
      <c r="L863" s="25"/>
      <c r="M863" s="25"/>
      <c r="N863" s="25"/>
      <c r="O863" s="130"/>
      <c r="P863" s="47"/>
      <c r="Q863" s="77"/>
      <c r="R863" s="77" t="str">
        <f>IF(Table5[[#This Row],[Tour Starting Date]]&lt;&gt;"", TEXT(Table5[[#This Row],[Tour Starting Date]], "dddd"), "")</f>
        <v/>
      </c>
      <c r="S863" s="77"/>
      <c r="T863" s="25" t="str">
        <f>IF(Table5[[#This Row],[Tour Ending Date]]&lt;&gt;"", TEXT(Table5[[#This Row],[Tour Ending Date]], "dddd"), "")</f>
        <v/>
      </c>
      <c r="U86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63" s="37" t="str">
        <f>IF(Table5[[#This Row],[Tour Starting Date]]&lt;&gt;"", TEXT(Table5[[#This Row],[Tour Starting Date]], "mmmm"), "")</f>
        <v/>
      </c>
      <c r="W863" s="80" t="str" cm="1">
        <f t="array" ref="W863">IF(Q863&lt;&gt;"", INDEX(CI:CI, MATCH(1, (Q863&gt;=CG:CG)*(Q863&lt;=CH:CH), 0)), "")</f>
        <v/>
      </c>
      <c r="X863" s="39"/>
      <c r="Y863" s="74"/>
      <c r="Z863" s="74" t="str">
        <f>IF(OR(Table5[[#This Row],[Per Person Package Cost]]="", Table5[[#This Row],[No. of Pax]]=""), "", Table5[[#This Row],[Per Person Package Cost]] * Table5[[#This Row],[No. of Pax]])</f>
        <v/>
      </c>
      <c r="AA863" s="52"/>
      <c r="AB863" s="52"/>
      <c r="AC863" s="52"/>
      <c r="AD863" s="52"/>
      <c r="AE863" s="51" t="str">
        <f t="shared" si="77"/>
        <v/>
      </c>
      <c r="AF863" s="51" t="str">
        <f t="shared" si="78"/>
        <v/>
      </c>
      <c r="AG863" s="74" t="str">
        <f t="shared" si="79"/>
        <v/>
      </c>
      <c r="AH863" s="73" t="str">
        <f t="shared" si="80"/>
        <v/>
      </c>
      <c r="AI863" s="52"/>
      <c r="AJ863" s="56"/>
      <c r="AK863" s="59"/>
      <c r="AL863" s="60"/>
      <c r="AM863" s="54"/>
      <c r="AN863" s="64"/>
      <c r="AO863" s="26"/>
      <c r="AP863" s="93"/>
      <c r="AQ863" s="87"/>
      <c r="AR863" s="26"/>
      <c r="AS863" s="65"/>
      <c r="AT863" s="88"/>
      <c r="AU863" s="67"/>
      <c r="DA863" t="str" cm="1">
        <f t="array" ref="DA863">IF(U863&lt;&gt;"", TRANSPOSE(_xlfn._xlws.FILTER(CZ:CZ, CY:CY=U863, "")), "")</f>
        <v/>
      </c>
    </row>
    <row r="864" spans="2:105">
      <c r="B864" s="35">
        <v>860</v>
      </c>
      <c r="C864" s="36" t="s">
        <v>2729</v>
      </c>
      <c r="D864" s="76"/>
      <c r="E864" s="37" t="str">
        <f>IF(Table5[[#This Row],[Query Date]]&lt;&gt;"", TEXT(Table5[[#This Row],[Query Date]], "dddd"), "")</f>
        <v/>
      </c>
      <c r="F864" s="37" t="str">
        <f>IF(Table5[[#This Row],[Query Date]]&lt;&gt;"", TEXT(Table5[[#This Row],[Query Date]], "mmmm"), "")</f>
        <v/>
      </c>
      <c r="G864" s="28"/>
      <c r="H864" s="28"/>
      <c r="I864" s="28"/>
      <c r="J864" s="28"/>
      <c r="K864" s="28"/>
      <c r="L864" s="25"/>
      <c r="M864" s="25"/>
      <c r="N864" s="25"/>
      <c r="O864" s="130"/>
      <c r="P864" s="47"/>
      <c r="Q864" s="77"/>
      <c r="R864" s="77" t="str">
        <f>IF(Table5[[#This Row],[Tour Starting Date]]&lt;&gt;"", TEXT(Table5[[#This Row],[Tour Starting Date]], "dddd"), "")</f>
        <v/>
      </c>
      <c r="S864" s="77"/>
      <c r="T864" s="25" t="str">
        <f>IF(Table5[[#This Row],[Tour Ending Date]]&lt;&gt;"", TEXT(Table5[[#This Row],[Tour Ending Date]], "dddd"), "")</f>
        <v/>
      </c>
      <c r="U86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64" s="37" t="str">
        <f>IF(Table5[[#This Row],[Tour Starting Date]]&lt;&gt;"", TEXT(Table5[[#This Row],[Tour Starting Date]], "mmmm"), "")</f>
        <v/>
      </c>
      <c r="W864" s="80" t="str" cm="1">
        <f t="array" ref="W864">IF(Q864&lt;&gt;"", INDEX(CI:CI, MATCH(1, (Q864&gt;=CG:CG)*(Q864&lt;=CH:CH), 0)), "")</f>
        <v/>
      </c>
      <c r="X864" s="39"/>
      <c r="Y864" s="74"/>
      <c r="Z864" s="74" t="str">
        <f>IF(OR(Table5[[#This Row],[Per Person Package Cost]]="", Table5[[#This Row],[No. of Pax]]=""), "", Table5[[#This Row],[Per Person Package Cost]] * Table5[[#This Row],[No. of Pax]])</f>
        <v/>
      </c>
      <c r="AA864" s="52"/>
      <c r="AB864" s="52"/>
      <c r="AC864" s="52"/>
      <c r="AD864" s="52"/>
      <c r="AE864" s="51" t="str">
        <f t="shared" si="77"/>
        <v/>
      </c>
      <c r="AF864" s="51" t="str">
        <f t="shared" si="78"/>
        <v/>
      </c>
      <c r="AG864" s="74" t="str">
        <f t="shared" si="79"/>
        <v/>
      </c>
      <c r="AH864" s="73" t="str">
        <f t="shared" si="80"/>
        <v/>
      </c>
      <c r="AI864" s="52"/>
      <c r="AJ864" s="56"/>
      <c r="AK864" s="59"/>
      <c r="AL864" s="60"/>
      <c r="AM864" s="54"/>
      <c r="AN864" s="64"/>
      <c r="AO864" s="26"/>
      <c r="AP864" s="93"/>
      <c r="AQ864" s="87"/>
      <c r="AR864" s="26"/>
      <c r="AS864" s="65"/>
      <c r="AT864" s="88"/>
      <c r="AU864" s="67"/>
      <c r="DA864" t="str" cm="1">
        <f t="array" ref="DA864">IF(U864&lt;&gt;"", TRANSPOSE(_xlfn._xlws.FILTER(CZ:CZ, CY:CY=U864, "")), "")</f>
        <v/>
      </c>
    </row>
    <row r="865" spans="2:105">
      <c r="B865" s="35">
        <v>861</v>
      </c>
      <c r="C865" s="36" t="s">
        <v>2730</v>
      </c>
      <c r="D865" s="76"/>
      <c r="E865" s="37" t="str">
        <f>IF(Table5[[#This Row],[Query Date]]&lt;&gt;"", TEXT(Table5[[#This Row],[Query Date]], "dddd"), "")</f>
        <v/>
      </c>
      <c r="F865" s="37" t="str">
        <f>IF(Table5[[#This Row],[Query Date]]&lt;&gt;"", TEXT(Table5[[#This Row],[Query Date]], "mmmm"), "")</f>
        <v/>
      </c>
      <c r="G865" s="28"/>
      <c r="H865" s="28"/>
      <c r="I865" s="28"/>
      <c r="J865" s="28"/>
      <c r="K865" s="28"/>
      <c r="L865" s="25"/>
      <c r="M865" s="25"/>
      <c r="N865" s="25"/>
      <c r="O865" s="130"/>
      <c r="P865" s="47"/>
      <c r="Q865" s="77"/>
      <c r="R865" s="77" t="str">
        <f>IF(Table5[[#This Row],[Tour Starting Date]]&lt;&gt;"", TEXT(Table5[[#This Row],[Tour Starting Date]], "dddd"), "")</f>
        <v/>
      </c>
      <c r="S865" s="77"/>
      <c r="T865" s="25" t="str">
        <f>IF(Table5[[#This Row],[Tour Ending Date]]&lt;&gt;"", TEXT(Table5[[#This Row],[Tour Ending Date]], "dddd"), "")</f>
        <v/>
      </c>
      <c r="U86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65" s="37" t="str">
        <f>IF(Table5[[#This Row],[Tour Starting Date]]&lt;&gt;"", TEXT(Table5[[#This Row],[Tour Starting Date]], "mmmm"), "")</f>
        <v/>
      </c>
      <c r="W865" s="80" t="str" cm="1">
        <f t="array" ref="W865">IF(Q865&lt;&gt;"", INDEX(CI:CI, MATCH(1, (Q865&gt;=CG:CG)*(Q865&lt;=CH:CH), 0)), "")</f>
        <v/>
      </c>
      <c r="X865" s="39"/>
      <c r="Y865" s="74"/>
      <c r="Z865" s="74" t="str">
        <f>IF(OR(Table5[[#This Row],[Per Person Package Cost]]="", Table5[[#This Row],[No. of Pax]]=""), "", Table5[[#This Row],[Per Person Package Cost]] * Table5[[#This Row],[No. of Pax]])</f>
        <v/>
      </c>
      <c r="AA865" s="52"/>
      <c r="AB865" s="52"/>
      <c r="AC865" s="52"/>
      <c r="AD865" s="52"/>
      <c r="AE865" s="51" t="str">
        <f t="shared" si="77"/>
        <v/>
      </c>
      <c r="AF865" s="51" t="str">
        <f t="shared" si="78"/>
        <v/>
      </c>
      <c r="AG865" s="74" t="str">
        <f t="shared" si="79"/>
        <v/>
      </c>
      <c r="AH865" s="73" t="str">
        <f t="shared" si="80"/>
        <v/>
      </c>
      <c r="AI865" s="52"/>
      <c r="AJ865" s="56"/>
      <c r="AK865" s="59"/>
      <c r="AL865" s="60"/>
      <c r="AM865" s="54"/>
      <c r="AN865" s="64"/>
      <c r="AO865" s="26"/>
      <c r="AP865" s="93"/>
      <c r="AQ865" s="87"/>
      <c r="AR865" s="26"/>
      <c r="AS865" s="65"/>
      <c r="AT865" s="88"/>
      <c r="AU865" s="67"/>
      <c r="DA865" t="str" cm="1">
        <f t="array" ref="DA865">IF(U865&lt;&gt;"", TRANSPOSE(_xlfn._xlws.FILTER(CZ:CZ, CY:CY=U865, "")), "")</f>
        <v/>
      </c>
    </row>
    <row r="866" spans="2:105">
      <c r="B866" s="35">
        <v>862</v>
      </c>
      <c r="C866" s="36" t="s">
        <v>2731</v>
      </c>
      <c r="D866" s="76"/>
      <c r="E866" s="37" t="str">
        <f>IF(Table5[[#This Row],[Query Date]]&lt;&gt;"", TEXT(Table5[[#This Row],[Query Date]], "dddd"), "")</f>
        <v/>
      </c>
      <c r="F866" s="37" t="str">
        <f>IF(Table5[[#This Row],[Query Date]]&lt;&gt;"", TEXT(Table5[[#This Row],[Query Date]], "mmmm"), "")</f>
        <v/>
      </c>
      <c r="G866" s="28"/>
      <c r="H866" s="28"/>
      <c r="I866" s="28"/>
      <c r="J866" s="28"/>
      <c r="K866" s="28"/>
      <c r="L866" s="25"/>
      <c r="M866" s="25"/>
      <c r="N866" s="25"/>
      <c r="O866" s="130"/>
      <c r="P866" s="47"/>
      <c r="Q866" s="77"/>
      <c r="R866" s="77" t="str">
        <f>IF(Table5[[#This Row],[Tour Starting Date]]&lt;&gt;"", TEXT(Table5[[#This Row],[Tour Starting Date]], "dddd"), "")</f>
        <v/>
      </c>
      <c r="S866" s="77"/>
      <c r="T866" s="25" t="str">
        <f>IF(Table5[[#This Row],[Tour Ending Date]]&lt;&gt;"", TEXT(Table5[[#This Row],[Tour Ending Date]], "dddd"), "")</f>
        <v/>
      </c>
      <c r="U86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66" s="37" t="str">
        <f>IF(Table5[[#This Row],[Tour Starting Date]]&lt;&gt;"", TEXT(Table5[[#This Row],[Tour Starting Date]], "mmmm"), "")</f>
        <v/>
      </c>
      <c r="W866" s="80" t="str" cm="1">
        <f t="array" ref="W866">IF(Q866&lt;&gt;"", INDEX(CI:CI, MATCH(1, (Q866&gt;=CG:CG)*(Q866&lt;=CH:CH), 0)), "")</f>
        <v/>
      </c>
      <c r="X866" s="39"/>
      <c r="Y866" s="74"/>
      <c r="Z866" s="74" t="str">
        <f>IF(OR(Table5[[#This Row],[Per Person Package Cost]]="", Table5[[#This Row],[No. of Pax]]=""), "", Table5[[#This Row],[Per Person Package Cost]] * Table5[[#This Row],[No. of Pax]])</f>
        <v/>
      </c>
      <c r="AA866" s="52"/>
      <c r="AB866" s="52"/>
      <c r="AC866" s="52"/>
      <c r="AD866" s="52"/>
      <c r="AE866" s="51" t="str">
        <f t="shared" si="77"/>
        <v/>
      </c>
      <c r="AF866" s="51" t="str">
        <f t="shared" si="78"/>
        <v/>
      </c>
      <c r="AG866" s="74" t="str">
        <f t="shared" si="79"/>
        <v/>
      </c>
      <c r="AH866" s="73" t="str">
        <f t="shared" si="80"/>
        <v/>
      </c>
      <c r="AI866" s="52"/>
      <c r="AJ866" s="56"/>
      <c r="AK866" s="59"/>
      <c r="AL866" s="60"/>
      <c r="AM866" s="54"/>
      <c r="AN866" s="64"/>
      <c r="AO866" s="26"/>
      <c r="AP866" s="93"/>
      <c r="AQ866" s="87"/>
      <c r="AR866" s="26"/>
      <c r="AS866" s="65"/>
      <c r="AT866" s="88"/>
      <c r="AU866" s="67"/>
      <c r="DA866" t="str" cm="1">
        <f t="array" ref="DA866">IF(U866&lt;&gt;"", TRANSPOSE(_xlfn._xlws.FILTER(CZ:CZ, CY:CY=U866, "")), "")</f>
        <v/>
      </c>
    </row>
    <row r="867" spans="2:105">
      <c r="B867" s="35">
        <v>863</v>
      </c>
      <c r="C867" s="36" t="s">
        <v>2732</v>
      </c>
      <c r="D867" s="76"/>
      <c r="E867" s="37" t="str">
        <f>IF(Table5[[#This Row],[Query Date]]&lt;&gt;"", TEXT(Table5[[#This Row],[Query Date]], "dddd"), "")</f>
        <v/>
      </c>
      <c r="F867" s="37" t="str">
        <f>IF(Table5[[#This Row],[Query Date]]&lt;&gt;"", TEXT(Table5[[#This Row],[Query Date]], "mmmm"), "")</f>
        <v/>
      </c>
      <c r="G867" s="28"/>
      <c r="H867" s="28"/>
      <c r="I867" s="28"/>
      <c r="J867" s="28"/>
      <c r="K867" s="28"/>
      <c r="L867" s="25"/>
      <c r="M867" s="25"/>
      <c r="N867" s="25"/>
      <c r="O867" s="130"/>
      <c r="P867" s="47"/>
      <c r="Q867" s="77"/>
      <c r="R867" s="77" t="str">
        <f>IF(Table5[[#This Row],[Tour Starting Date]]&lt;&gt;"", TEXT(Table5[[#This Row],[Tour Starting Date]], "dddd"), "")</f>
        <v/>
      </c>
      <c r="S867" s="77"/>
      <c r="T867" s="25" t="str">
        <f>IF(Table5[[#This Row],[Tour Ending Date]]&lt;&gt;"", TEXT(Table5[[#This Row],[Tour Ending Date]], "dddd"), "")</f>
        <v/>
      </c>
      <c r="U86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67" s="37" t="str">
        <f>IF(Table5[[#This Row],[Tour Starting Date]]&lt;&gt;"", TEXT(Table5[[#This Row],[Tour Starting Date]], "mmmm"), "")</f>
        <v/>
      </c>
      <c r="W867" s="80" t="str" cm="1">
        <f t="array" ref="W867">IF(Q867&lt;&gt;"", INDEX(CI:CI, MATCH(1, (Q867&gt;=CG:CG)*(Q867&lt;=CH:CH), 0)), "")</f>
        <v/>
      </c>
      <c r="X867" s="39"/>
      <c r="Y867" s="74"/>
      <c r="Z867" s="74" t="str">
        <f>IF(OR(Table5[[#This Row],[Per Person Package Cost]]="", Table5[[#This Row],[No. of Pax]]=""), "", Table5[[#This Row],[Per Person Package Cost]] * Table5[[#This Row],[No. of Pax]])</f>
        <v/>
      </c>
      <c r="AA867" s="52"/>
      <c r="AB867" s="52"/>
      <c r="AC867" s="52"/>
      <c r="AD867" s="52"/>
      <c r="AE867" s="51" t="str">
        <f t="shared" si="77"/>
        <v/>
      </c>
      <c r="AF867" s="51" t="str">
        <f t="shared" si="78"/>
        <v/>
      </c>
      <c r="AG867" s="74" t="str">
        <f t="shared" si="79"/>
        <v/>
      </c>
      <c r="AH867" s="73" t="str">
        <f t="shared" si="80"/>
        <v/>
      </c>
      <c r="AI867" s="52"/>
      <c r="AJ867" s="56"/>
      <c r="AK867" s="59"/>
      <c r="AL867" s="60"/>
      <c r="AM867" s="54"/>
      <c r="AN867" s="64"/>
      <c r="AO867" s="26"/>
      <c r="AP867" s="93"/>
      <c r="AQ867" s="87"/>
      <c r="AR867" s="26"/>
      <c r="AS867" s="65"/>
      <c r="AT867" s="88"/>
      <c r="AU867" s="67"/>
      <c r="DA867" t="str" cm="1">
        <f t="array" ref="DA867">IF(U867&lt;&gt;"", TRANSPOSE(_xlfn._xlws.FILTER(CZ:CZ, CY:CY=U867, "")), "")</f>
        <v/>
      </c>
    </row>
    <row r="868" spans="2:105">
      <c r="B868" s="35">
        <v>864</v>
      </c>
      <c r="C868" s="36" t="s">
        <v>2733</v>
      </c>
      <c r="D868" s="76"/>
      <c r="E868" s="37" t="str">
        <f>IF(Table5[[#This Row],[Query Date]]&lt;&gt;"", TEXT(Table5[[#This Row],[Query Date]], "dddd"), "")</f>
        <v/>
      </c>
      <c r="F868" s="37" t="str">
        <f>IF(Table5[[#This Row],[Query Date]]&lt;&gt;"", TEXT(Table5[[#This Row],[Query Date]], "mmmm"), "")</f>
        <v/>
      </c>
      <c r="G868" s="28"/>
      <c r="H868" s="28"/>
      <c r="I868" s="28"/>
      <c r="J868" s="28"/>
      <c r="K868" s="28"/>
      <c r="L868" s="25"/>
      <c r="M868" s="25"/>
      <c r="N868" s="25"/>
      <c r="O868" s="130"/>
      <c r="P868" s="47"/>
      <c r="Q868" s="77"/>
      <c r="R868" s="77" t="str">
        <f>IF(Table5[[#This Row],[Tour Starting Date]]&lt;&gt;"", TEXT(Table5[[#This Row],[Tour Starting Date]], "dddd"), "")</f>
        <v/>
      </c>
      <c r="S868" s="77"/>
      <c r="T868" s="25" t="str">
        <f>IF(Table5[[#This Row],[Tour Ending Date]]&lt;&gt;"", TEXT(Table5[[#This Row],[Tour Ending Date]], "dddd"), "")</f>
        <v/>
      </c>
      <c r="U86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68" s="37" t="str">
        <f>IF(Table5[[#This Row],[Tour Starting Date]]&lt;&gt;"", TEXT(Table5[[#This Row],[Tour Starting Date]], "mmmm"), "")</f>
        <v/>
      </c>
      <c r="W868" s="80" t="str" cm="1">
        <f t="array" ref="W868">IF(Q868&lt;&gt;"", INDEX(CI:CI, MATCH(1, (Q868&gt;=CG:CG)*(Q868&lt;=CH:CH), 0)), "")</f>
        <v/>
      </c>
      <c r="X868" s="39"/>
      <c r="Y868" s="74"/>
      <c r="Z868" s="74" t="str">
        <f>IF(OR(Table5[[#This Row],[Per Person Package Cost]]="", Table5[[#This Row],[No. of Pax]]=""), "", Table5[[#This Row],[Per Person Package Cost]] * Table5[[#This Row],[No. of Pax]])</f>
        <v/>
      </c>
      <c r="AA868" s="52"/>
      <c r="AB868" s="52"/>
      <c r="AC868" s="52"/>
      <c r="AD868" s="52"/>
      <c r="AE868" s="51" t="str">
        <f t="shared" si="77"/>
        <v/>
      </c>
      <c r="AF868" s="51" t="str">
        <f t="shared" si="78"/>
        <v/>
      </c>
      <c r="AG868" s="74" t="str">
        <f t="shared" si="79"/>
        <v/>
      </c>
      <c r="AH868" s="73" t="str">
        <f t="shared" si="80"/>
        <v/>
      </c>
      <c r="AI868" s="52"/>
      <c r="AJ868" s="56"/>
      <c r="AK868" s="59"/>
      <c r="AL868" s="60"/>
      <c r="AM868" s="54"/>
      <c r="AN868" s="64"/>
      <c r="AO868" s="26"/>
      <c r="AP868" s="93"/>
      <c r="AQ868" s="87"/>
      <c r="AR868" s="26"/>
      <c r="AS868" s="65"/>
      <c r="AT868" s="88"/>
      <c r="AU868" s="67"/>
      <c r="DA868" t="str" cm="1">
        <f t="array" ref="DA868">IF(U868&lt;&gt;"", TRANSPOSE(_xlfn._xlws.FILTER(CZ:CZ, CY:CY=U868, "")), "")</f>
        <v/>
      </c>
    </row>
    <row r="869" spans="2:105">
      <c r="B869" s="35">
        <v>865</v>
      </c>
      <c r="C869" s="36" t="s">
        <v>2734</v>
      </c>
      <c r="D869" s="76"/>
      <c r="E869" s="37" t="str">
        <f>IF(Table5[[#This Row],[Query Date]]&lt;&gt;"", TEXT(Table5[[#This Row],[Query Date]], "dddd"), "")</f>
        <v/>
      </c>
      <c r="F869" s="37" t="str">
        <f>IF(Table5[[#This Row],[Query Date]]&lt;&gt;"", TEXT(Table5[[#This Row],[Query Date]], "mmmm"), "")</f>
        <v/>
      </c>
      <c r="G869" s="28"/>
      <c r="H869" s="28"/>
      <c r="I869" s="28"/>
      <c r="J869" s="28"/>
      <c r="K869" s="28"/>
      <c r="L869" s="25"/>
      <c r="M869" s="25"/>
      <c r="N869" s="25"/>
      <c r="O869" s="130"/>
      <c r="P869" s="47"/>
      <c r="Q869" s="77"/>
      <c r="R869" s="77" t="str">
        <f>IF(Table5[[#This Row],[Tour Starting Date]]&lt;&gt;"", TEXT(Table5[[#This Row],[Tour Starting Date]], "dddd"), "")</f>
        <v/>
      </c>
      <c r="S869" s="77"/>
      <c r="T869" s="25" t="str">
        <f>IF(Table5[[#This Row],[Tour Ending Date]]&lt;&gt;"", TEXT(Table5[[#This Row],[Tour Ending Date]], "dddd"), "")</f>
        <v/>
      </c>
      <c r="U86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69" s="37" t="str">
        <f>IF(Table5[[#This Row],[Tour Starting Date]]&lt;&gt;"", TEXT(Table5[[#This Row],[Tour Starting Date]], "mmmm"), "")</f>
        <v/>
      </c>
      <c r="W869" s="80" t="str" cm="1">
        <f t="array" ref="W869">IF(Q869&lt;&gt;"", INDEX(CI:CI, MATCH(1, (Q869&gt;=CG:CG)*(Q869&lt;=CH:CH), 0)), "")</f>
        <v/>
      </c>
      <c r="X869" s="39"/>
      <c r="Y869" s="74"/>
      <c r="Z869" s="74" t="str">
        <f>IF(OR(Table5[[#This Row],[Per Person Package Cost]]="", Table5[[#This Row],[No. of Pax]]=""), "", Table5[[#This Row],[Per Person Package Cost]] * Table5[[#This Row],[No. of Pax]])</f>
        <v/>
      </c>
      <c r="AA869" s="52"/>
      <c r="AB869" s="52"/>
      <c r="AC869" s="52"/>
      <c r="AD869" s="52"/>
      <c r="AE869" s="51" t="str">
        <f t="shared" si="77"/>
        <v/>
      </c>
      <c r="AF869" s="51" t="str">
        <f t="shared" si="78"/>
        <v/>
      </c>
      <c r="AG869" s="74" t="str">
        <f t="shared" si="79"/>
        <v/>
      </c>
      <c r="AH869" s="73" t="str">
        <f t="shared" si="80"/>
        <v/>
      </c>
      <c r="AI869" s="52"/>
      <c r="AJ869" s="56"/>
      <c r="AK869" s="59"/>
      <c r="AL869" s="60"/>
      <c r="AM869" s="54"/>
      <c r="AN869" s="64"/>
      <c r="AO869" s="26"/>
      <c r="AP869" s="93"/>
      <c r="AQ869" s="87"/>
      <c r="AR869" s="26"/>
      <c r="AS869" s="65"/>
      <c r="AT869" s="88"/>
      <c r="AU869" s="67"/>
      <c r="DA869" t="str" cm="1">
        <f t="array" ref="DA869">IF(U869&lt;&gt;"", TRANSPOSE(_xlfn._xlws.FILTER(CZ:CZ, CY:CY=U869, "")), "")</f>
        <v/>
      </c>
    </row>
    <row r="870" spans="2:105">
      <c r="B870" s="35">
        <v>866</v>
      </c>
      <c r="C870" s="36" t="s">
        <v>2735</v>
      </c>
      <c r="D870" s="76"/>
      <c r="E870" s="37" t="str">
        <f>IF(Table5[[#This Row],[Query Date]]&lt;&gt;"", TEXT(Table5[[#This Row],[Query Date]], "dddd"), "")</f>
        <v/>
      </c>
      <c r="F870" s="37" t="str">
        <f>IF(Table5[[#This Row],[Query Date]]&lt;&gt;"", TEXT(Table5[[#This Row],[Query Date]], "mmmm"), "")</f>
        <v/>
      </c>
      <c r="G870" s="28"/>
      <c r="H870" s="28"/>
      <c r="I870" s="28"/>
      <c r="J870" s="28"/>
      <c r="K870" s="28"/>
      <c r="L870" s="25"/>
      <c r="M870" s="25"/>
      <c r="N870" s="25"/>
      <c r="O870" s="130"/>
      <c r="P870" s="47"/>
      <c r="Q870" s="77"/>
      <c r="R870" s="77" t="str">
        <f>IF(Table5[[#This Row],[Tour Starting Date]]&lt;&gt;"", TEXT(Table5[[#This Row],[Tour Starting Date]], "dddd"), "")</f>
        <v/>
      </c>
      <c r="S870" s="77"/>
      <c r="T870" s="25" t="str">
        <f>IF(Table5[[#This Row],[Tour Ending Date]]&lt;&gt;"", TEXT(Table5[[#This Row],[Tour Ending Date]], "dddd"), "")</f>
        <v/>
      </c>
      <c r="U87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70" s="37" t="str">
        <f>IF(Table5[[#This Row],[Tour Starting Date]]&lt;&gt;"", TEXT(Table5[[#This Row],[Tour Starting Date]], "mmmm"), "")</f>
        <v/>
      </c>
      <c r="W870" s="80" t="str" cm="1">
        <f t="array" ref="W870">IF(Q870&lt;&gt;"", INDEX(CI:CI, MATCH(1, (Q870&gt;=CG:CG)*(Q870&lt;=CH:CH), 0)), "")</f>
        <v/>
      </c>
      <c r="X870" s="39"/>
      <c r="Y870" s="74"/>
      <c r="Z870" s="74" t="str">
        <f>IF(OR(Table5[[#This Row],[Per Person Package Cost]]="", Table5[[#This Row],[No. of Pax]]=""), "", Table5[[#This Row],[Per Person Package Cost]] * Table5[[#This Row],[No. of Pax]])</f>
        <v/>
      </c>
      <c r="AA870" s="52"/>
      <c r="AB870" s="52"/>
      <c r="AC870" s="52"/>
      <c r="AD870" s="52"/>
      <c r="AE870" s="51" t="str">
        <f t="shared" si="77"/>
        <v/>
      </c>
      <c r="AF870" s="51" t="str">
        <f t="shared" si="78"/>
        <v/>
      </c>
      <c r="AG870" s="74" t="str">
        <f t="shared" si="79"/>
        <v/>
      </c>
      <c r="AH870" s="73" t="str">
        <f t="shared" si="80"/>
        <v/>
      </c>
      <c r="AI870" s="52"/>
      <c r="AJ870" s="56"/>
      <c r="AK870" s="59"/>
      <c r="AL870" s="60"/>
      <c r="AM870" s="54"/>
      <c r="AN870" s="64"/>
      <c r="AO870" s="26"/>
      <c r="AP870" s="93"/>
      <c r="AQ870" s="87"/>
      <c r="AR870" s="26"/>
      <c r="AS870" s="65"/>
      <c r="AT870" s="88"/>
      <c r="AU870" s="67"/>
      <c r="DA870" t="str" cm="1">
        <f t="array" ref="DA870">IF(U870&lt;&gt;"", TRANSPOSE(_xlfn._xlws.FILTER(CZ:CZ, CY:CY=U870, "")), "")</f>
        <v/>
      </c>
    </row>
    <row r="871" spans="2:105">
      <c r="B871" s="35">
        <v>867</v>
      </c>
      <c r="C871" s="36" t="s">
        <v>2736</v>
      </c>
      <c r="D871" s="76"/>
      <c r="E871" s="37" t="str">
        <f>IF(Table5[[#This Row],[Query Date]]&lt;&gt;"", TEXT(Table5[[#This Row],[Query Date]], "dddd"), "")</f>
        <v/>
      </c>
      <c r="F871" s="37" t="str">
        <f>IF(Table5[[#This Row],[Query Date]]&lt;&gt;"", TEXT(Table5[[#This Row],[Query Date]], "mmmm"), "")</f>
        <v/>
      </c>
      <c r="G871" s="28"/>
      <c r="H871" s="28"/>
      <c r="I871" s="28"/>
      <c r="J871" s="28"/>
      <c r="K871" s="28"/>
      <c r="L871" s="25"/>
      <c r="M871" s="25"/>
      <c r="N871" s="25"/>
      <c r="O871" s="130"/>
      <c r="P871" s="47"/>
      <c r="Q871" s="77"/>
      <c r="R871" s="77" t="str">
        <f>IF(Table5[[#This Row],[Tour Starting Date]]&lt;&gt;"", TEXT(Table5[[#This Row],[Tour Starting Date]], "dddd"), "")</f>
        <v/>
      </c>
      <c r="S871" s="77"/>
      <c r="T871" s="25" t="str">
        <f>IF(Table5[[#This Row],[Tour Ending Date]]&lt;&gt;"", TEXT(Table5[[#This Row],[Tour Ending Date]], "dddd"), "")</f>
        <v/>
      </c>
      <c r="U87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71" s="37" t="str">
        <f>IF(Table5[[#This Row],[Tour Starting Date]]&lt;&gt;"", TEXT(Table5[[#This Row],[Tour Starting Date]], "mmmm"), "")</f>
        <v/>
      </c>
      <c r="W871" s="80" t="str" cm="1">
        <f t="array" ref="W871">IF(Q871&lt;&gt;"", INDEX(CI:CI, MATCH(1, (Q871&gt;=CG:CG)*(Q871&lt;=CH:CH), 0)), "")</f>
        <v/>
      </c>
      <c r="X871" s="39"/>
      <c r="Y871" s="74"/>
      <c r="Z871" s="74" t="str">
        <f>IF(OR(Table5[[#This Row],[Per Person Package Cost]]="", Table5[[#This Row],[No. of Pax]]=""), "", Table5[[#This Row],[Per Person Package Cost]] * Table5[[#This Row],[No. of Pax]])</f>
        <v/>
      </c>
      <c r="AA871" s="52"/>
      <c r="AB871" s="52"/>
      <c r="AC871" s="52"/>
      <c r="AD871" s="52"/>
      <c r="AE871" s="51" t="str">
        <f t="shared" si="77"/>
        <v/>
      </c>
      <c r="AF871" s="51" t="str">
        <f t="shared" si="78"/>
        <v/>
      </c>
      <c r="AG871" s="74" t="str">
        <f t="shared" si="79"/>
        <v/>
      </c>
      <c r="AH871" s="73" t="str">
        <f t="shared" si="80"/>
        <v/>
      </c>
      <c r="AI871" s="52"/>
      <c r="AJ871" s="56"/>
      <c r="AK871" s="59"/>
      <c r="AL871" s="60"/>
      <c r="AM871" s="54"/>
      <c r="AN871" s="64"/>
      <c r="AO871" s="26"/>
      <c r="AP871" s="93"/>
      <c r="AQ871" s="87"/>
      <c r="AR871" s="26"/>
      <c r="AS871" s="65"/>
      <c r="AT871" s="88"/>
      <c r="AU871" s="67"/>
      <c r="DA871" t="str" cm="1">
        <f t="array" ref="DA871">IF(U871&lt;&gt;"", TRANSPOSE(_xlfn._xlws.FILTER(CZ:CZ, CY:CY=U871, "")), "")</f>
        <v/>
      </c>
    </row>
    <row r="872" spans="2:105">
      <c r="B872" s="35">
        <v>868</v>
      </c>
      <c r="C872" s="36" t="s">
        <v>2737</v>
      </c>
      <c r="D872" s="76"/>
      <c r="E872" s="37" t="str">
        <f>IF(Table5[[#This Row],[Query Date]]&lt;&gt;"", TEXT(Table5[[#This Row],[Query Date]], "dddd"), "")</f>
        <v/>
      </c>
      <c r="F872" s="37" t="str">
        <f>IF(Table5[[#This Row],[Query Date]]&lt;&gt;"", TEXT(Table5[[#This Row],[Query Date]], "mmmm"), "")</f>
        <v/>
      </c>
      <c r="G872" s="28"/>
      <c r="H872" s="28"/>
      <c r="I872" s="28"/>
      <c r="J872" s="28"/>
      <c r="K872" s="28"/>
      <c r="L872" s="25"/>
      <c r="M872" s="25"/>
      <c r="N872" s="25"/>
      <c r="O872" s="130"/>
      <c r="P872" s="47"/>
      <c r="Q872" s="77"/>
      <c r="R872" s="77" t="str">
        <f>IF(Table5[[#This Row],[Tour Starting Date]]&lt;&gt;"", TEXT(Table5[[#This Row],[Tour Starting Date]], "dddd"), "")</f>
        <v/>
      </c>
      <c r="S872" s="77"/>
      <c r="T872" s="25" t="str">
        <f>IF(Table5[[#This Row],[Tour Ending Date]]&lt;&gt;"", TEXT(Table5[[#This Row],[Tour Ending Date]], "dddd"), "")</f>
        <v/>
      </c>
      <c r="U87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72" s="37" t="str">
        <f>IF(Table5[[#This Row],[Tour Starting Date]]&lt;&gt;"", TEXT(Table5[[#This Row],[Tour Starting Date]], "mmmm"), "")</f>
        <v/>
      </c>
      <c r="W872" s="80" t="str" cm="1">
        <f t="array" ref="W872">IF(Q872&lt;&gt;"", INDEX(CI:CI, MATCH(1, (Q872&gt;=CG:CG)*(Q872&lt;=CH:CH), 0)), "")</f>
        <v/>
      </c>
      <c r="X872" s="39"/>
      <c r="Y872" s="74"/>
      <c r="Z872" s="74" t="str">
        <f>IF(OR(Table5[[#This Row],[Per Person Package Cost]]="", Table5[[#This Row],[No. of Pax]]=""), "", Table5[[#This Row],[Per Person Package Cost]] * Table5[[#This Row],[No. of Pax]])</f>
        <v/>
      </c>
      <c r="AA872" s="52"/>
      <c r="AB872" s="52"/>
      <c r="AC872" s="52"/>
      <c r="AD872" s="52"/>
      <c r="AE872" s="51" t="str">
        <f t="shared" si="77"/>
        <v/>
      </c>
      <c r="AF872" s="51" t="str">
        <f t="shared" si="78"/>
        <v/>
      </c>
      <c r="AG872" s="74" t="str">
        <f t="shared" si="79"/>
        <v/>
      </c>
      <c r="AH872" s="73" t="str">
        <f t="shared" si="80"/>
        <v/>
      </c>
      <c r="AI872" s="52"/>
      <c r="AJ872" s="56"/>
      <c r="AK872" s="59"/>
      <c r="AL872" s="60"/>
      <c r="AM872" s="54"/>
      <c r="AN872" s="64"/>
      <c r="AO872" s="26"/>
      <c r="AP872" s="93"/>
      <c r="AQ872" s="87"/>
      <c r="AR872" s="26"/>
      <c r="AS872" s="65"/>
      <c r="AT872" s="88"/>
      <c r="AU872" s="67"/>
      <c r="DA872" t="str" cm="1">
        <f t="array" ref="DA872">IF(U872&lt;&gt;"", TRANSPOSE(_xlfn._xlws.FILTER(CZ:CZ, CY:CY=U872, "")), "")</f>
        <v/>
      </c>
    </row>
    <row r="873" spans="2:105">
      <c r="B873" s="35">
        <v>869</v>
      </c>
      <c r="C873" s="36" t="s">
        <v>2738</v>
      </c>
      <c r="D873" s="76"/>
      <c r="E873" s="37" t="str">
        <f>IF(Table5[[#This Row],[Query Date]]&lt;&gt;"", TEXT(Table5[[#This Row],[Query Date]], "dddd"), "")</f>
        <v/>
      </c>
      <c r="F873" s="37" t="str">
        <f>IF(Table5[[#This Row],[Query Date]]&lt;&gt;"", TEXT(Table5[[#This Row],[Query Date]], "mmmm"), "")</f>
        <v/>
      </c>
      <c r="G873" s="28"/>
      <c r="H873" s="28"/>
      <c r="I873" s="28"/>
      <c r="J873" s="28"/>
      <c r="K873" s="28"/>
      <c r="L873" s="25"/>
      <c r="M873" s="25"/>
      <c r="N873" s="25"/>
      <c r="O873" s="130"/>
      <c r="P873" s="47"/>
      <c r="Q873" s="77"/>
      <c r="R873" s="77" t="str">
        <f>IF(Table5[[#This Row],[Tour Starting Date]]&lt;&gt;"", TEXT(Table5[[#This Row],[Tour Starting Date]], "dddd"), "")</f>
        <v/>
      </c>
      <c r="S873" s="77"/>
      <c r="T873" s="25" t="str">
        <f>IF(Table5[[#This Row],[Tour Ending Date]]&lt;&gt;"", TEXT(Table5[[#This Row],[Tour Ending Date]], "dddd"), "")</f>
        <v/>
      </c>
      <c r="U87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73" s="37" t="str">
        <f>IF(Table5[[#This Row],[Tour Starting Date]]&lt;&gt;"", TEXT(Table5[[#This Row],[Tour Starting Date]], "mmmm"), "")</f>
        <v/>
      </c>
      <c r="W873" s="80" t="str" cm="1">
        <f t="array" ref="W873">IF(Q873&lt;&gt;"", INDEX(CI:CI, MATCH(1, (Q873&gt;=CG:CG)*(Q873&lt;=CH:CH), 0)), "")</f>
        <v/>
      </c>
      <c r="X873" s="39"/>
      <c r="Y873" s="74"/>
      <c r="Z873" s="74" t="str">
        <f>IF(OR(Table5[[#This Row],[Per Person Package Cost]]="", Table5[[#This Row],[No. of Pax]]=""), "", Table5[[#This Row],[Per Person Package Cost]] * Table5[[#This Row],[No. of Pax]])</f>
        <v/>
      </c>
      <c r="AA873" s="52"/>
      <c r="AB873" s="52"/>
      <c r="AC873" s="52"/>
      <c r="AD873" s="52"/>
      <c r="AE873" s="51" t="str">
        <f t="shared" si="77"/>
        <v/>
      </c>
      <c r="AF873" s="51" t="str">
        <f t="shared" si="78"/>
        <v/>
      </c>
      <c r="AG873" s="74" t="str">
        <f t="shared" si="79"/>
        <v/>
      </c>
      <c r="AH873" s="73" t="str">
        <f t="shared" si="80"/>
        <v/>
      </c>
      <c r="AI873" s="52"/>
      <c r="AJ873" s="56"/>
      <c r="AK873" s="59"/>
      <c r="AL873" s="60"/>
      <c r="AM873" s="54"/>
      <c r="AN873" s="64"/>
      <c r="AO873" s="26"/>
      <c r="AP873" s="93"/>
      <c r="AQ873" s="87"/>
      <c r="AR873" s="26"/>
      <c r="AS873" s="65"/>
      <c r="AT873" s="88"/>
      <c r="AU873" s="67"/>
      <c r="DA873" t="str" cm="1">
        <f t="array" ref="DA873">IF(U873&lt;&gt;"", TRANSPOSE(_xlfn._xlws.FILTER(CZ:CZ, CY:CY=U873, "")), "")</f>
        <v/>
      </c>
    </row>
    <row r="874" spans="2:105">
      <c r="B874" s="35">
        <v>870</v>
      </c>
      <c r="C874" s="36" t="s">
        <v>2739</v>
      </c>
      <c r="D874" s="76"/>
      <c r="E874" s="37" t="str">
        <f>IF(Table5[[#This Row],[Query Date]]&lt;&gt;"", TEXT(Table5[[#This Row],[Query Date]], "dddd"), "")</f>
        <v/>
      </c>
      <c r="F874" s="37" t="str">
        <f>IF(Table5[[#This Row],[Query Date]]&lt;&gt;"", TEXT(Table5[[#This Row],[Query Date]], "mmmm"), "")</f>
        <v/>
      </c>
      <c r="G874" s="28"/>
      <c r="H874" s="28"/>
      <c r="I874" s="28"/>
      <c r="J874" s="28"/>
      <c r="K874" s="28"/>
      <c r="L874" s="25"/>
      <c r="M874" s="25"/>
      <c r="N874" s="25"/>
      <c r="O874" s="130"/>
      <c r="P874" s="47"/>
      <c r="Q874" s="77"/>
      <c r="R874" s="77" t="str">
        <f>IF(Table5[[#This Row],[Tour Starting Date]]&lt;&gt;"", TEXT(Table5[[#This Row],[Tour Starting Date]], "dddd"), "")</f>
        <v/>
      </c>
      <c r="S874" s="77"/>
      <c r="T874" s="25" t="str">
        <f>IF(Table5[[#This Row],[Tour Ending Date]]&lt;&gt;"", TEXT(Table5[[#This Row],[Tour Ending Date]], "dddd"), "")</f>
        <v/>
      </c>
      <c r="U87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74" s="37" t="str">
        <f>IF(Table5[[#This Row],[Tour Starting Date]]&lt;&gt;"", TEXT(Table5[[#This Row],[Tour Starting Date]], "mmmm"), "")</f>
        <v/>
      </c>
      <c r="W874" s="80" t="str" cm="1">
        <f t="array" ref="W874">IF(Q874&lt;&gt;"", INDEX(CI:CI, MATCH(1, (Q874&gt;=CG:CG)*(Q874&lt;=CH:CH), 0)), "")</f>
        <v/>
      </c>
      <c r="X874" s="39"/>
      <c r="Y874" s="74"/>
      <c r="Z874" s="74" t="str">
        <f>IF(OR(Table5[[#This Row],[Per Person Package Cost]]="", Table5[[#This Row],[No. of Pax]]=""), "", Table5[[#This Row],[Per Person Package Cost]] * Table5[[#This Row],[No. of Pax]])</f>
        <v/>
      </c>
      <c r="AA874" s="52"/>
      <c r="AB874" s="52"/>
      <c r="AC874" s="52"/>
      <c r="AD874" s="52"/>
      <c r="AE874" s="51" t="str">
        <f t="shared" si="77"/>
        <v/>
      </c>
      <c r="AF874" s="51" t="str">
        <f t="shared" si="78"/>
        <v/>
      </c>
      <c r="AG874" s="74" t="str">
        <f t="shared" si="79"/>
        <v/>
      </c>
      <c r="AH874" s="73" t="str">
        <f t="shared" si="80"/>
        <v/>
      </c>
      <c r="AI874" s="52"/>
      <c r="AJ874" s="56"/>
      <c r="AK874" s="59"/>
      <c r="AL874" s="60"/>
      <c r="AM874" s="54"/>
      <c r="AN874" s="64"/>
      <c r="AO874" s="26"/>
      <c r="AP874" s="93"/>
      <c r="AQ874" s="87"/>
      <c r="AR874" s="26"/>
      <c r="AS874" s="65"/>
      <c r="AT874" s="88"/>
      <c r="AU874" s="67"/>
      <c r="DA874" t="str" cm="1">
        <f t="array" ref="DA874">IF(U874&lt;&gt;"", TRANSPOSE(_xlfn._xlws.FILTER(CZ:CZ, CY:CY=U874, "")), "")</f>
        <v/>
      </c>
    </row>
    <row r="875" spans="2:105">
      <c r="B875" s="35">
        <v>871</v>
      </c>
      <c r="C875" s="36" t="s">
        <v>2740</v>
      </c>
      <c r="D875" s="76"/>
      <c r="E875" s="37" t="str">
        <f>IF(Table5[[#This Row],[Query Date]]&lt;&gt;"", TEXT(Table5[[#This Row],[Query Date]], "dddd"), "")</f>
        <v/>
      </c>
      <c r="F875" s="37" t="str">
        <f>IF(Table5[[#This Row],[Query Date]]&lt;&gt;"", TEXT(Table5[[#This Row],[Query Date]], "mmmm"), "")</f>
        <v/>
      </c>
      <c r="G875" s="28"/>
      <c r="H875" s="28"/>
      <c r="I875" s="28"/>
      <c r="J875" s="28"/>
      <c r="K875" s="28"/>
      <c r="L875" s="25"/>
      <c r="M875" s="25"/>
      <c r="N875" s="25"/>
      <c r="O875" s="130"/>
      <c r="P875" s="47"/>
      <c r="Q875" s="77"/>
      <c r="R875" s="77" t="str">
        <f>IF(Table5[[#This Row],[Tour Starting Date]]&lt;&gt;"", TEXT(Table5[[#This Row],[Tour Starting Date]], "dddd"), "")</f>
        <v/>
      </c>
      <c r="S875" s="77"/>
      <c r="T875" s="25" t="str">
        <f>IF(Table5[[#This Row],[Tour Ending Date]]&lt;&gt;"", TEXT(Table5[[#This Row],[Tour Ending Date]], "dddd"), "")</f>
        <v/>
      </c>
      <c r="U87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75" s="37" t="str">
        <f>IF(Table5[[#This Row],[Tour Starting Date]]&lt;&gt;"", TEXT(Table5[[#This Row],[Tour Starting Date]], "mmmm"), "")</f>
        <v/>
      </c>
      <c r="W875" s="80" t="str" cm="1">
        <f t="array" ref="W875">IF(Q875&lt;&gt;"", INDEX(CI:CI, MATCH(1, (Q875&gt;=CG:CG)*(Q875&lt;=CH:CH), 0)), "")</f>
        <v/>
      </c>
      <c r="X875" s="39"/>
      <c r="Y875" s="74"/>
      <c r="Z875" s="74" t="str">
        <f>IF(OR(Table5[[#This Row],[Per Person Package Cost]]="", Table5[[#This Row],[No. of Pax]]=""), "", Table5[[#This Row],[Per Person Package Cost]] * Table5[[#This Row],[No. of Pax]])</f>
        <v/>
      </c>
      <c r="AA875" s="52"/>
      <c r="AB875" s="52"/>
      <c r="AC875" s="52"/>
      <c r="AD875" s="52"/>
      <c r="AE875" s="51" t="str">
        <f t="shared" si="77"/>
        <v/>
      </c>
      <c r="AF875" s="51" t="str">
        <f t="shared" si="78"/>
        <v/>
      </c>
      <c r="AG875" s="74" t="str">
        <f t="shared" si="79"/>
        <v/>
      </c>
      <c r="AH875" s="73" t="str">
        <f t="shared" si="80"/>
        <v/>
      </c>
      <c r="AI875" s="52"/>
      <c r="AJ875" s="56"/>
      <c r="AK875" s="59"/>
      <c r="AL875" s="60"/>
      <c r="AM875" s="54"/>
      <c r="AN875" s="64"/>
      <c r="AO875" s="26"/>
      <c r="AP875" s="93"/>
      <c r="AQ875" s="87"/>
      <c r="AR875" s="26"/>
      <c r="AS875" s="65"/>
      <c r="AT875" s="88"/>
      <c r="AU875" s="67"/>
      <c r="DA875" t="str" cm="1">
        <f t="array" ref="DA875">IF(U875&lt;&gt;"", TRANSPOSE(_xlfn._xlws.FILTER(CZ:CZ, CY:CY=U875, "")), "")</f>
        <v/>
      </c>
    </row>
    <row r="876" spans="2:105">
      <c r="B876" s="35">
        <v>872</v>
      </c>
      <c r="C876" s="36" t="s">
        <v>2741</v>
      </c>
      <c r="D876" s="76"/>
      <c r="E876" s="37" t="str">
        <f>IF(Table5[[#This Row],[Query Date]]&lt;&gt;"", TEXT(Table5[[#This Row],[Query Date]], "dddd"), "")</f>
        <v/>
      </c>
      <c r="F876" s="37" t="str">
        <f>IF(Table5[[#This Row],[Query Date]]&lt;&gt;"", TEXT(Table5[[#This Row],[Query Date]], "mmmm"), "")</f>
        <v/>
      </c>
      <c r="G876" s="28"/>
      <c r="H876" s="28"/>
      <c r="I876" s="28"/>
      <c r="J876" s="28"/>
      <c r="K876" s="28"/>
      <c r="L876" s="25"/>
      <c r="M876" s="25"/>
      <c r="N876" s="25"/>
      <c r="O876" s="130"/>
      <c r="P876" s="47"/>
      <c r="Q876" s="77"/>
      <c r="R876" s="77" t="str">
        <f>IF(Table5[[#This Row],[Tour Starting Date]]&lt;&gt;"", TEXT(Table5[[#This Row],[Tour Starting Date]], "dddd"), "")</f>
        <v/>
      </c>
      <c r="S876" s="77"/>
      <c r="T876" s="25" t="str">
        <f>IF(Table5[[#This Row],[Tour Ending Date]]&lt;&gt;"", TEXT(Table5[[#This Row],[Tour Ending Date]], "dddd"), "")</f>
        <v/>
      </c>
      <c r="U87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76" s="37" t="str">
        <f>IF(Table5[[#This Row],[Tour Starting Date]]&lt;&gt;"", TEXT(Table5[[#This Row],[Tour Starting Date]], "mmmm"), "")</f>
        <v/>
      </c>
      <c r="W876" s="80" t="str" cm="1">
        <f t="array" ref="W876">IF(Q876&lt;&gt;"", INDEX(CI:CI, MATCH(1, (Q876&gt;=CG:CG)*(Q876&lt;=CH:CH), 0)), "")</f>
        <v/>
      </c>
      <c r="X876" s="39"/>
      <c r="Y876" s="74"/>
      <c r="Z876" s="74" t="str">
        <f>IF(OR(Table5[[#This Row],[Per Person Package Cost]]="", Table5[[#This Row],[No. of Pax]]=""), "", Table5[[#This Row],[Per Person Package Cost]] * Table5[[#This Row],[No. of Pax]])</f>
        <v/>
      </c>
      <c r="AA876" s="52"/>
      <c r="AB876" s="52"/>
      <c r="AC876" s="52"/>
      <c r="AD876" s="52"/>
      <c r="AE876" s="51" t="str">
        <f t="shared" si="77"/>
        <v/>
      </c>
      <c r="AF876" s="51" t="str">
        <f t="shared" si="78"/>
        <v/>
      </c>
      <c r="AG876" s="74" t="str">
        <f t="shared" si="79"/>
        <v/>
      </c>
      <c r="AH876" s="73" t="str">
        <f t="shared" si="80"/>
        <v/>
      </c>
      <c r="AI876" s="52"/>
      <c r="AJ876" s="56"/>
      <c r="AK876" s="59"/>
      <c r="AL876" s="60"/>
      <c r="AM876" s="54"/>
      <c r="AN876" s="64"/>
      <c r="AO876" s="26"/>
      <c r="AP876" s="93"/>
      <c r="AQ876" s="87"/>
      <c r="AR876" s="26"/>
      <c r="AS876" s="65"/>
      <c r="AT876" s="88"/>
      <c r="AU876" s="67"/>
      <c r="DA876" t="str" cm="1">
        <f t="array" ref="DA876">IF(U876&lt;&gt;"", TRANSPOSE(_xlfn._xlws.FILTER(CZ:CZ, CY:CY=U876, "")), "")</f>
        <v/>
      </c>
    </row>
    <row r="877" spans="2:105">
      <c r="B877" s="35">
        <v>873</v>
      </c>
      <c r="C877" s="36" t="s">
        <v>2742</v>
      </c>
      <c r="D877" s="76"/>
      <c r="E877" s="37" t="str">
        <f>IF(Table5[[#This Row],[Query Date]]&lt;&gt;"", TEXT(Table5[[#This Row],[Query Date]], "dddd"), "")</f>
        <v/>
      </c>
      <c r="F877" s="37" t="str">
        <f>IF(Table5[[#This Row],[Query Date]]&lt;&gt;"", TEXT(Table5[[#This Row],[Query Date]], "mmmm"), "")</f>
        <v/>
      </c>
      <c r="G877" s="28"/>
      <c r="H877" s="28"/>
      <c r="I877" s="28"/>
      <c r="J877" s="28"/>
      <c r="K877" s="28"/>
      <c r="L877" s="25"/>
      <c r="M877" s="25"/>
      <c r="N877" s="25"/>
      <c r="O877" s="130"/>
      <c r="P877" s="47"/>
      <c r="Q877" s="77"/>
      <c r="R877" s="77" t="str">
        <f>IF(Table5[[#This Row],[Tour Starting Date]]&lt;&gt;"", TEXT(Table5[[#This Row],[Tour Starting Date]], "dddd"), "")</f>
        <v/>
      </c>
      <c r="S877" s="77"/>
      <c r="T877" s="25" t="str">
        <f>IF(Table5[[#This Row],[Tour Ending Date]]&lt;&gt;"", TEXT(Table5[[#This Row],[Tour Ending Date]], "dddd"), "")</f>
        <v/>
      </c>
      <c r="U87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77" s="37" t="str">
        <f>IF(Table5[[#This Row],[Tour Starting Date]]&lt;&gt;"", TEXT(Table5[[#This Row],[Tour Starting Date]], "mmmm"), "")</f>
        <v/>
      </c>
      <c r="W877" s="80" t="str" cm="1">
        <f t="array" ref="W877">IF(Q877&lt;&gt;"", INDEX(CI:CI, MATCH(1, (Q877&gt;=CG:CG)*(Q877&lt;=CH:CH), 0)), "")</f>
        <v/>
      </c>
      <c r="X877" s="39"/>
      <c r="Y877" s="74"/>
      <c r="Z877" s="74" t="str">
        <f>IF(OR(Table5[[#This Row],[Per Person Package Cost]]="", Table5[[#This Row],[No. of Pax]]=""), "", Table5[[#This Row],[Per Person Package Cost]] * Table5[[#This Row],[No. of Pax]])</f>
        <v/>
      </c>
      <c r="AA877" s="52"/>
      <c r="AB877" s="52"/>
      <c r="AC877" s="52"/>
      <c r="AD877" s="52"/>
      <c r="AE877" s="51" t="str">
        <f t="shared" si="77"/>
        <v/>
      </c>
      <c r="AF877" s="51" t="str">
        <f t="shared" si="78"/>
        <v/>
      </c>
      <c r="AG877" s="74" t="str">
        <f t="shared" si="79"/>
        <v/>
      </c>
      <c r="AH877" s="73" t="str">
        <f t="shared" si="80"/>
        <v/>
      </c>
      <c r="AI877" s="52"/>
      <c r="AJ877" s="56"/>
      <c r="AK877" s="59"/>
      <c r="AL877" s="60"/>
      <c r="AM877" s="54"/>
      <c r="AN877" s="64"/>
      <c r="AO877" s="26"/>
      <c r="AP877" s="93"/>
      <c r="AQ877" s="87"/>
      <c r="AR877" s="26"/>
      <c r="AS877" s="65"/>
      <c r="AT877" s="88"/>
      <c r="AU877" s="67"/>
      <c r="DA877" t="str" cm="1">
        <f t="array" ref="DA877">IF(U877&lt;&gt;"", TRANSPOSE(_xlfn._xlws.FILTER(CZ:CZ, CY:CY=U877, "")), "")</f>
        <v/>
      </c>
    </row>
    <row r="878" spans="2:105">
      <c r="B878" s="35">
        <v>874</v>
      </c>
      <c r="C878" s="36" t="s">
        <v>2743</v>
      </c>
      <c r="D878" s="76"/>
      <c r="E878" s="37" t="str">
        <f>IF(Table5[[#This Row],[Query Date]]&lt;&gt;"", TEXT(Table5[[#This Row],[Query Date]], "dddd"), "")</f>
        <v/>
      </c>
      <c r="F878" s="37" t="str">
        <f>IF(Table5[[#This Row],[Query Date]]&lt;&gt;"", TEXT(Table5[[#This Row],[Query Date]], "mmmm"), "")</f>
        <v/>
      </c>
      <c r="G878" s="28"/>
      <c r="H878" s="28"/>
      <c r="I878" s="28"/>
      <c r="J878" s="28"/>
      <c r="K878" s="28"/>
      <c r="L878" s="25"/>
      <c r="M878" s="25"/>
      <c r="N878" s="25"/>
      <c r="O878" s="130"/>
      <c r="P878" s="47"/>
      <c r="Q878" s="77"/>
      <c r="R878" s="77" t="str">
        <f>IF(Table5[[#This Row],[Tour Starting Date]]&lt;&gt;"", TEXT(Table5[[#This Row],[Tour Starting Date]], "dddd"), "")</f>
        <v/>
      </c>
      <c r="S878" s="77"/>
      <c r="T878" s="25" t="str">
        <f>IF(Table5[[#This Row],[Tour Ending Date]]&lt;&gt;"", TEXT(Table5[[#This Row],[Tour Ending Date]], "dddd"), "")</f>
        <v/>
      </c>
      <c r="U87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78" s="37" t="str">
        <f>IF(Table5[[#This Row],[Tour Starting Date]]&lt;&gt;"", TEXT(Table5[[#This Row],[Tour Starting Date]], "mmmm"), "")</f>
        <v/>
      </c>
      <c r="W878" s="80" t="str" cm="1">
        <f t="array" ref="W878">IF(Q878&lt;&gt;"", INDEX(CI:CI, MATCH(1, (Q878&gt;=CG:CG)*(Q878&lt;=CH:CH), 0)), "")</f>
        <v/>
      </c>
      <c r="X878" s="39"/>
      <c r="Y878" s="74"/>
      <c r="Z878" s="74" t="str">
        <f>IF(OR(Table5[[#This Row],[Per Person Package Cost]]="", Table5[[#This Row],[No. of Pax]]=""), "", Table5[[#This Row],[Per Person Package Cost]] * Table5[[#This Row],[No. of Pax]])</f>
        <v/>
      </c>
      <c r="AA878" s="52"/>
      <c r="AB878" s="52"/>
      <c r="AC878" s="52"/>
      <c r="AD878" s="52"/>
      <c r="AE878" s="51" t="str">
        <f t="shared" si="77"/>
        <v/>
      </c>
      <c r="AF878" s="51" t="str">
        <f t="shared" si="78"/>
        <v/>
      </c>
      <c r="AG878" s="74" t="str">
        <f t="shared" si="79"/>
        <v/>
      </c>
      <c r="AH878" s="73" t="str">
        <f t="shared" si="80"/>
        <v/>
      </c>
      <c r="AI878" s="52"/>
      <c r="AJ878" s="56"/>
      <c r="AK878" s="59"/>
      <c r="AL878" s="60"/>
      <c r="AM878" s="54"/>
      <c r="AN878" s="64"/>
      <c r="AO878" s="26"/>
      <c r="AP878" s="93"/>
      <c r="AQ878" s="87"/>
      <c r="AR878" s="26"/>
      <c r="AS878" s="65"/>
      <c r="AT878" s="88"/>
      <c r="AU878" s="67"/>
      <c r="DA878" t="str" cm="1">
        <f t="array" ref="DA878">IF(U878&lt;&gt;"", TRANSPOSE(_xlfn._xlws.FILTER(CZ:CZ, CY:CY=U878, "")), "")</f>
        <v/>
      </c>
    </row>
    <row r="879" spans="2:105">
      <c r="B879" s="35">
        <v>875</v>
      </c>
      <c r="C879" s="36" t="s">
        <v>2744</v>
      </c>
      <c r="D879" s="76"/>
      <c r="E879" s="37" t="str">
        <f>IF(Table5[[#This Row],[Query Date]]&lt;&gt;"", TEXT(Table5[[#This Row],[Query Date]], "dddd"), "")</f>
        <v/>
      </c>
      <c r="F879" s="37" t="str">
        <f>IF(Table5[[#This Row],[Query Date]]&lt;&gt;"", TEXT(Table5[[#This Row],[Query Date]], "mmmm"), "")</f>
        <v/>
      </c>
      <c r="G879" s="28"/>
      <c r="H879" s="28"/>
      <c r="I879" s="28"/>
      <c r="J879" s="28"/>
      <c r="K879" s="28"/>
      <c r="L879" s="25"/>
      <c r="M879" s="25"/>
      <c r="N879" s="25"/>
      <c r="O879" s="130"/>
      <c r="P879" s="47"/>
      <c r="Q879" s="77"/>
      <c r="R879" s="77" t="str">
        <f>IF(Table5[[#This Row],[Tour Starting Date]]&lt;&gt;"", TEXT(Table5[[#This Row],[Tour Starting Date]], "dddd"), "")</f>
        <v/>
      </c>
      <c r="S879" s="77"/>
      <c r="T879" s="25" t="str">
        <f>IF(Table5[[#This Row],[Tour Ending Date]]&lt;&gt;"", TEXT(Table5[[#This Row],[Tour Ending Date]], "dddd"), "")</f>
        <v/>
      </c>
      <c r="U87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79" s="37" t="str">
        <f>IF(Table5[[#This Row],[Tour Starting Date]]&lt;&gt;"", TEXT(Table5[[#This Row],[Tour Starting Date]], "mmmm"), "")</f>
        <v/>
      </c>
      <c r="W879" s="80" t="str" cm="1">
        <f t="array" ref="W879">IF(Q879&lt;&gt;"", INDEX(CI:CI, MATCH(1, (Q879&gt;=CG:CG)*(Q879&lt;=CH:CH), 0)), "")</f>
        <v/>
      </c>
      <c r="X879" s="39"/>
      <c r="Y879" s="74"/>
      <c r="Z879" s="74" t="str">
        <f>IF(OR(Table5[[#This Row],[Per Person Package Cost]]="", Table5[[#This Row],[No. of Pax]]=""), "", Table5[[#This Row],[Per Person Package Cost]] * Table5[[#This Row],[No. of Pax]])</f>
        <v/>
      </c>
      <c r="AA879" s="52"/>
      <c r="AB879" s="52"/>
      <c r="AC879" s="52"/>
      <c r="AD879" s="52"/>
      <c r="AE879" s="51" t="str">
        <f t="shared" si="77"/>
        <v/>
      </c>
      <c r="AF879" s="51" t="str">
        <f t="shared" si="78"/>
        <v/>
      </c>
      <c r="AG879" s="74" t="str">
        <f t="shared" si="79"/>
        <v/>
      </c>
      <c r="AH879" s="73" t="str">
        <f t="shared" si="80"/>
        <v/>
      </c>
      <c r="AI879" s="52"/>
      <c r="AJ879" s="56"/>
      <c r="AK879" s="59"/>
      <c r="AL879" s="60"/>
      <c r="AM879" s="54"/>
      <c r="AN879" s="64"/>
      <c r="AO879" s="26"/>
      <c r="AP879" s="93"/>
      <c r="AQ879" s="87"/>
      <c r="AR879" s="26"/>
      <c r="AS879" s="65"/>
      <c r="AT879" s="88"/>
      <c r="AU879" s="67"/>
      <c r="DA879" t="str" cm="1">
        <f t="array" ref="DA879">IF(U879&lt;&gt;"", TRANSPOSE(_xlfn._xlws.FILTER(CZ:CZ, CY:CY=U879, "")), "")</f>
        <v/>
      </c>
    </row>
    <row r="880" spans="2:105">
      <c r="B880" s="35">
        <v>876</v>
      </c>
      <c r="C880" s="36" t="s">
        <v>2745</v>
      </c>
      <c r="D880" s="76"/>
      <c r="E880" s="37" t="str">
        <f>IF(Table5[[#This Row],[Query Date]]&lt;&gt;"", TEXT(Table5[[#This Row],[Query Date]], "dddd"), "")</f>
        <v/>
      </c>
      <c r="F880" s="37" t="str">
        <f>IF(Table5[[#This Row],[Query Date]]&lt;&gt;"", TEXT(Table5[[#This Row],[Query Date]], "mmmm"), "")</f>
        <v/>
      </c>
      <c r="G880" s="28"/>
      <c r="H880" s="28"/>
      <c r="I880" s="28"/>
      <c r="J880" s="28"/>
      <c r="K880" s="28"/>
      <c r="L880" s="25"/>
      <c r="M880" s="25"/>
      <c r="N880" s="25"/>
      <c r="O880" s="130"/>
      <c r="P880" s="47"/>
      <c r="Q880" s="77"/>
      <c r="R880" s="77" t="str">
        <f>IF(Table5[[#This Row],[Tour Starting Date]]&lt;&gt;"", TEXT(Table5[[#This Row],[Tour Starting Date]], "dddd"), "")</f>
        <v/>
      </c>
      <c r="S880" s="77"/>
      <c r="T880" s="25" t="str">
        <f>IF(Table5[[#This Row],[Tour Ending Date]]&lt;&gt;"", TEXT(Table5[[#This Row],[Tour Ending Date]], "dddd"), "")</f>
        <v/>
      </c>
      <c r="U88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80" s="37" t="str">
        <f>IF(Table5[[#This Row],[Tour Starting Date]]&lt;&gt;"", TEXT(Table5[[#This Row],[Tour Starting Date]], "mmmm"), "")</f>
        <v/>
      </c>
      <c r="W880" s="80" t="str" cm="1">
        <f t="array" ref="W880">IF(Q880&lt;&gt;"", INDEX(CI:CI, MATCH(1, (Q880&gt;=CG:CG)*(Q880&lt;=CH:CH), 0)), "")</f>
        <v/>
      </c>
      <c r="X880" s="39"/>
      <c r="Y880" s="74"/>
      <c r="Z880" s="74" t="str">
        <f>IF(OR(Table5[[#This Row],[Per Person Package Cost]]="", Table5[[#This Row],[No. of Pax]]=""), "", Table5[[#This Row],[Per Person Package Cost]] * Table5[[#This Row],[No. of Pax]])</f>
        <v/>
      </c>
      <c r="AA880" s="52"/>
      <c r="AB880" s="52"/>
      <c r="AC880" s="52"/>
      <c r="AD880" s="52"/>
      <c r="AE880" s="51" t="str">
        <f t="shared" si="77"/>
        <v/>
      </c>
      <c r="AF880" s="51" t="str">
        <f t="shared" si="78"/>
        <v/>
      </c>
      <c r="AG880" s="74" t="str">
        <f t="shared" si="79"/>
        <v/>
      </c>
      <c r="AH880" s="73" t="str">
        <f t="shared" si="80"/>
        <v/>
      </c>
      <c r="AI880" s="52"/>
      <c r="AJ880" s="56"/>
      <c r="AK880" s="59"/>
      <c r="AL880" s="60"/>
      <c r="AM880" s="54"/>
      <c r="AN880" s="64"/>
      <c r="AO880" s="26"/>
      <c r="AP880" s="93"/>
      <c r="AQ880" s="87"/>
      <c r="AR880" s="26"/>
      <c r="AS880" s="65"/>
      <c r="AT880" s="88"/>
      <c r="AU880" s="67"/>
      <c r="DA880" t="str" cm="1">
        <f t="array" ref="DA880">IF(U880&lt;&gt;"", TRANSPOSE(_xlfn._xlws.FILTER(CZ:CZ, CY:CY=U880, "")), "")</f>
        <v/>
      </c>
    </row>
    <row r="881" spans="2:105">
      <c r="B881" s="35">
        <v>877</v>
      </c>
      <c r="C881" s="36" t="s">
        <v>2746</v>
      </c>
      <c r="D881" s="76"/>
      <c r="E881" s="37" t="str">
        <f>IF(Table5[[#This Row],[Query Date]]&lt;&gt;"", TEXT(Table5[[#This Row],[Query Date]], "dddd"), "")</f>
        <v/>
      </c>
      <c r="F881" s="37" t="str">
        <f>IF(Table5[[#This Row],[Query Date]]&lt;&gt;"", TEXT(Table5[[#This Row],[Query Date]], "mmmm"), "")</f>
        <v/>
      </c>
      <c r="G881" s="28"/>
      <c r="H881" s="28"/>
      <c r="I881" s="28"/>
      <c r="J881" s="28"/>
      <c r="K881" s="28"/>
      <c r="L881" s="25"/>
      <c r="M881" s="25"/>
      <c r="N881" s="25"/>
      <c r="O881" s="130"/>
      <c r="P881" s="47"/>
      <c r="Q881" s="77"/>
      <c r="R881" s="77" t="str">
        <f>IF(Table5[[#This Row],[Tour Starting Date]]&lt;&gt;"", TEXT(Table5[[#This Row],[Tour Starting Date]], "dddd"), "")</f>
        <v/>
      </c>
      <c r="S881" s="77"/>
      <c r="T881" s="25" t="str">
        <f>IF(Table5[[#This Row],[Tour Ending Date]]&lt;&gt;"", TEXT(Table5[[#This Row],[Tour Ending Date]], "dddd"), "")</f>
        <v/>
      </c>
      <c r="U88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81" s="37" t="str">
        <f>IF(Table5[[#This Row],[Tour Starting Date]]&lt;&gt;"", TEXT(Table5[[#This Row],[Tour Starting Date]], "mmmm"), "")</f>
        <v/>
      </c>
      <c r="W881" s="80" t="str" cm="1">
        <f t="array" ref="W881">IF(Q881&lt;&gt;"", INDEX(CI:CI, MATCH(1, (Q881&gt;=CG:CG)*(Q881&lt;=CH:CH), 0)), "")</f>
        <v/>
      </c>
      <c r="X881" s="39"/>
      <c r="Y881" s="74"/>
      <c r="Z881" s="74" t="str">
        <f>IF(OR(Table5[[#This Row],[Per Person Package Cost]]="", Table5[[#This Row],[No. of Pax]]=""), "", Table5[[#This Row],[Per Person Package Cost]] * Table5[[#This Row],[No. of Pax]])</f>
        <v/>
      </c>
      <c r="AA881" s="52"/>
      <c r="AB881" s="52"/>
      <c r="AC881" s="52"/>
      <c r="AD881" s="52"/>
      <c r="AE881" s="51" t="str">
        <f t="shared" si="77"/>
        <v/>
      </c>
      <c r="AF881" s="51" t="str">
        <f t="shared" si="78"/>
        <v/>
      </c>
      <c r="AG881" s="74" t="str">
        <f t="shared" si="79"/>
        <v/>
      </c>
      <c r="AH881" s="73" t="str">
        <f t="shared" si="80"/>
        <v/>
      </c>
      <c r="AI881" s="52"/>
      <c r="AJ881" s="56"/>
      <c r="AK881" s="59"/>
      <c r="AL881" s="60"/>
      <c r="AM881" s="54"/>
      <c r="AN881" s="64"/>
      <c r="AO881" s="26"/>
      <c r="AP881" s="93"/>
      <c r="AQ881" s="87"/>
      <c r="AR881" s="26"/>
      <c r="AS881" s="65"/>
      <c r="AT881" s="88"/>
      <c r="AU881" s="67"/>
      <c r="DA881" t="str" cm="1">
        <f t="array" ref="DA881">IF(U881&lt;&gt;"", TRANSPOSE(_xlfn._xlws.FILTER(CZ:CZ, CY:CY=U881, "")), "")</f>
        <v/>
      </c>
    </row>
    <row r="882" spans="2:105">
      <c r="B882" s="35">
        <v>878</v>
      </c>
      <c r="C882" s="36" t="s">
        <v>2747</v>
      </c>
      <c r="D882" s="76"/>
      <c r="E882" s="37" t="str">
        <f>IF(Table5[[#This Row],[Query Date]]&lt;&gt;"", TEXT(Table5[[#This Row],[Query Date]], "dddd"), "")</f>
        <v/>
      </c>
      <c r="F882" s="37" t="str">
        <f>IF(Table5[[#This Row],[Query Date]]&lt;&gt;"", TEXT(Table5[[#This Row],[Query Date]], "mmmm"), "")</f>
        <v/>
      </c>
      <c r="G882" s="28"/>
      <c r="H882" s="28"/>
      <c r="I882" s="28"/>
      <c r="J882" s="28"/>
      <c r="K882" s="28"/>
      <c r="L882" s="25"/>
      <c r="M882" s="25"/>
      <c r="N882" s="25"/>
      <c r="O882" s="130"/>
      <c r="P882" s="47"/>
      <c r="Q882" s="77"/>
      <c r="R882" s="77" t="str">
        <f>IF(Table5[[#This Row],[Tour Starting Date]]&lt;&gt;"", TEXT(Table5[[#This Row],[Tour Starting Date]], "dddd"), "")</f>
        <v/>
      </c>
      <c r="S882" s="77"/>
      <c r="T882" s="25" t="str">
        <f>IF(Table5[[#This Row],[Tour Ending Date]]&lt;&gt;"", TEXT(Table5[[#This Row],[Tour Ending Date]], "dddd"), "")</f>
        <v/>
      </c>
      <c r="U88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82" s="37" t="str">
        <f>IF(Table5[[#This Row],[Tour Starting Date]]&lt;&gt;"", TEXT(Table5[[#This Row],[Tour Starting Date]], "mmmm"), "")</f>
        <v/>
      </c>
      <c r="W882" s="80" t="str" cm="1">
        <f t="array" ref="W882">IF(Q882&lt;&gt;"", INDEX(CI:CI, MATCH(1, (Q882&gt;=CG:CG)*(Q882&lt;=CH:CH), 0)), "")</f>
        <v/>
      </c>
      <c r="X882" s="39"/>
      <c r="Y882" s="74"/>
      <c r="Z882" s="74" t="str">
        <f>IF(OR(Table5[[#This Row],[Per Person Package Cost]]="", Table5[[#This Row],[No. of Pax]]=""), "", Table5[[#This Row],[Per Person Package Cost]] * Table5[[#This Row],[No. of Pax]])</f>
        <v/>
      </c>
      <c r="AA882" s="52"/>
      <c r="AB882" s="52"/>
      <c r="AC882" s="52"/>
      <c r="AD882" s="52"/>
      <c r="AE882" s="51" t="str">
        <f t="shared" si="77"/>
        <v/>
      </c>
      <c r="AF882" s="51" t="str">
        <f t="shared" si="78"/>
        <v/>
      </c>
      <c r="AG882" s="74" t="str">
        <f t="shared" si="79"/>
        <v/>
      </c>
      <c r="AH882" s="73" t="str">
        <f t="shared" si="80"/>
        <v/>
      </c>
      <c r="AI882" s="52"/>
      <c r="AJ882" s="56"/>
      <c r="AK882" s="59"/>
      <c r="AL882" s="60"/>
      <c r="AM882" s="54"/>
      <c r="AN882" s="64"/>
      <c r="AO882" s="26"/>
      <c r="AP882" s="93"/>
      <c r="AQ882" s="87"/>
      <c r="AR882" s="26"/>
      <c r="AS882" s="65"/>
      <c r="AT882" s="88"/>
      <c r="AU882" s="67"/>
      <c r="DA882" t="str" cm="1">
        <f t="array" ref="DA882">IF(U882&lt;&gt;"", TRANSPOSE(_xlfn._xlws.FILTER(CZ:CZ, CY:CY=U882, "")), "")</f>
        <v/>
      </c>
    </row>
    <row r="883" spans="2:105">
      <c r="B883" s="35">
        <v>879</v>
      </c>
      <c r="C883" s="36" t="s">
        <v>2748</v>
      </c>
      <c r="D883" s="76"/>
      <c r="E883" s="37" t="str">
        <f>IF(Table5[[#This Row],[Query Date]]&lt;&gt;"", TEXT(Table5[[#This Row],[Query Date]], "dddd"), "")</f>
        <v/>
      </c>
      <c r="F883" s="37" t="str">
        <f>IF(Table5[[#This Row],[Query Date]]&lt;&gt;"", TEXT(Table5[[#This Row],[Query Date]], "mmmm"), "")</f>
        <v/>
      </c>
      <c r="G883" s="28"/>
      <c r="H883" s="28"/>
      <c r="I883" s="28"/>
      <c r="J883" s="28"/>
      <c r="K883" s="28"/>
      <c r="L883" s="25"/>
      <c r="M883" s="25"/>
      <c r="N883" s="25"/>
      <c r="O883" s="130"/>
      <c r="P883" s="47"/>
      <c r="Q883" s="77"/>
      <c r="R883" s="77" t="str">
        <f>IF(Table5[[#This Row],[Tour Starting Date]]&lt;&gt;"", TEXT(Table5[[#This Row],[Tour Starting Date]], "dddd"), "")</f>
        <v/>
      </c>
      <c r="S883" s="77"/>
      <c r="T883" s="25" t="str">
        <f>IF(Table5[[#This Row],[Tour Ending Date]]&lt;&gt;"", TEXT(Table5[[#This Row],[Tour Ending Date]], "dddd"), "")</f>
        <v/>
      </c>
      <c r="U88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83" s="37" t="str">
        <f>IF(Table5[[#This Row],[Tour Starting Date]]&lt;&gt;"", TEXT(Table5[[#This Row],[Tour Starting Date]], "mmmm"), "")</f>
        <v/>
      </c>
      <c r="W883" s="80" t="str" cm="1">
        <f t="array" ref="W883">IF(Q883&lt;&gt;"", INDEX(CI:CI, MATCH(1, (Q883&gt;=CG:CG)*(Q883&lt;=CH:CH), 0)), "")</f>
        <v/>
      </c>
      <c r="X883" s="39"/>
      <c r="Y883" s="74"/>
      <c r="Z883" s="74" t="str">
        <f>IF(OR(Table5[[#This Row],[Per Person Package Cost]]="", Table5[[#This Row],[No. of Pax]]=""), "", Table5[[#This Row],[Per Person Package Cost]] * Table5[[#This Row],[No. of Pax]])</f>
        <v/>
      </c>
      <c r="AA883" s="52"/>
      <c r="AB883" s="52"/>
      <c r="AC883" s="52"/>
      <c r="AD883" s="52"/>
      <c r="AE883" s="51" t="str">
        <f t="shared" si="77"/>
        <v/>
      </c>
      <c r="AF883" s="51" t="str">
        <f t="shared" si="78"/>
        <v/>
      </c>
      <c r="AG883" s="74" t="str">
        <f t="shared" si="79"/>
        <v/>
      </c>
      <c r="AH883" s="73" t="str">
        <f t="shared" si="80"/>
        <v/>
      </c>
      <c r="AI883" s="52"/>
      <c r="AJ883" s="56"/>
      <c r="AK883" s="59"/>
      <c r="AL883" s="60"/>
      <c r="AM883" s="54"/>
      <c r="AN883" s="64"/>
      <c r="AO883" s="26"/>
      <c r="AP883" s="93"/>
      <c r="AQ883" s="87"/>
      <c r="AR883" s="26"/>
      <c r="AS883" s="65"/>
      <c r="AT883" s="88"/>
      <c r="AU883" s="67"/>
      <c r="DA883" t="str" cm="1">
        <f t="array" ref="DA883">IF(U883&lt;&gt;"", TRANSPOSE(_xlfn._xlws.FILTER(CZ:CZ, CY:CY=U883, "")), "")</f>
        <v/>
      </c>
    </row>
    <row r="884" spans="2:105">
      <c r="B884" s="35">
        <v>880</v>
      </c>
      <c r="C884" s="36" t="s">
        <v>2749</v>
      </c>
      <c r="D884" s="76"/>
      <c r="E884" s="37" t="str">
        <f>IF(Table5[[#This Row],[Query Date]]&lt;&gt;"", TEXT(Table5[[#This Row],[Query Date]], "dddd"), "")</f>
        <v/>
      </c>
      <c r="F884" s="37" t="str">
        <f>IF(Table5[[#This Row],[Query Date]]&lt;&gt;"", TEXT(Table5[[#This Row],[Query Date]], "mmmm"), "")</f>
        <v/>
      </c>
      <c r="G884" s="28"/>
      <c r="H884" s="28"/>
      <c r="I884" s="28"/>
      <c r="J884" s="28"/>
      <c r="K884" s="28"/>
      <c r="L884" s="25"/>
      <c r="M884" s="25"/>
      <c r="N884" s="25"/>
      <c r="O884" s="130"/>
      <c r="P884" s="47"/>
      <c r="Q884" s="77"/>
      <c r="R884" s="77" t="str">
        <f>IF(Table5[[#This Row],[Tour Starting Date]]&lt;&gt;"", TEXT(Table5[[#This Row],[Tour Starting Date]], "dddd"), "")</f>
        <v/>
      </c>
      <c r="S884" s="77"/>
      <c r="T884" s="25" t="str">
        <f>IF(Table5[[#This Row],[Tour Ending Date]]&lt;&gt;"", TEXT(Table5[[#This Row],[Tour Ending Date]], "dddd"), "")</f>
        <v/>
      </c>
      <c r="U88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84" s="37" t="str">
        <f>IF(Table5[[#This Row],[Tour Starting Date]]&lt;&gt;"", TEXT(Table5[[#This Row],[Tour Starting Date]], "mmmm"), "")</f>
        <v/>
      </c>
      <c r="W884" s="80" t="str" cm="1">
        <f t="array" ref="W884">IF(Q884&lt;&gt;"", INDEX(CI:CI, MATCH(1, (Q884&gt;=CG:CG)*(Q884&lt;=CH:CH), 0)), "")</f>
        <v/>
      </c>
      <c r="X884" s="39"/>
      <c r="Y884" s="74"/>
      <c r="Z884" s="74" t="str">
        <f>IF(OR(Table5[[#This Row],[Per Person Package Cost]]="", Table5[[#This Row],[No. of Pax]]=""), "", Table5[[#This Row],[Per Person Package Cost]] * Table5[[#This Row],[No. of Pax]])</f>
        <v/>
      </c>
      <c r="AA884" s="52"/>
      <c r="AB884" s="52"/>
      <c r="AC884" s="52"/>
      <c r="AD884" s="52"/>
      <c r="AE884" s="51" t="str">
        <f t="shared" si="77"/>
        <v/>
      </c>
      <c r="AF884" s="51" t="str">
        <f t="shared" si="78"/>
        <v/>
      </c>
      <c r="AG884" s="74" t="str">
        <f t="shared" si="79"/>
        <v/>
      </c>
      <c r="AH884" s="73" t="str">
        <f t="shared" si="80"/>
        <v/>
      </c>
      <c r="AI884" s="52"/>
      <c r="AJ884" s="56"/>
      <c r="AK884" s="59"/>
      <c r="AL884" s="60"/>
      <c r="AM884" s="54"/>
      <c r="AN884" s="64"/>
      <c r="AO884" s="26"/>
      <c r="AP884" s="93"/>
      <c r="AQ884" s="87"/>
      <c r="AR884" s="26"/>
      <c r="AS884" s="65"/>
      <c r="AT884" s="88"/>
      <c r="AU884" s="67"/>
      <c r="DA884" t="str" cm="1">
        <f t="array" ref="DA884">IF(U884&lt;&gt;"", TRANSPOSE(_xlfn._xlws.FILTER(CZ:CZ, CY:CY=U884, "")), "")</f>
        <v/>
      </c>
    </row>
    <row r="885" spans="2:105">
      <c r="B885" s="35">
        <v>881</v>
      </c>
      <c r="C885" s="36" t="s">
        <v>2750</v>
      </c>
      <c r="D885" s="76"/>
      <c r="E885" s="37" t="str">
        <f>IF(Table5[[#This Row],[Query Date]]&lt;&gt;"", TEXT(Table5[[#This Row],[Query Date]], "dddd"), "")</f>
        <v/>
      </c>
      <c r="F885" s="37" t="str">
        <f>IF(Table5[[#This Row],[Query Date]]&lt;&gt;"", TEXT(Table5[[#This Row],[Query Date]], "mmmm"), "")</f>
        <v/>
      </c>
      <c r="G885" s="28"/>
      <c r="H885" s="28"/>
      <c r="I885" s="28"/>
      <c r="J885" s="28"/>
      <c r="K885" s="28"/>
      <c r="L885" s="25"/>
      <c r="M885" s="25"/>
      <c r="N885" s="25"/>
      <c r="O885" s="130"/>
      <c r="P885" s="47"/>
      <c r="Q885" s="77"/>
      <c r="R885" s="77" t="str">
        <f>IF(Table5[[#This Row],[Tour Starting Date]]&lt;&gt;"", TEXT(Table5[[#This Row],[Tour Starting Date]], "dddd"), "")</f>
        <v/>
      </c>
      <c r="S885" s="77"/>
      <c r="T885" s="25" t="str">
        <f>IF(Table5[[#This Row],[Tour Ending Date]]&lt;&gt;"", TEXT(Table5[[#This Row],[Tour Ending Date]], "dddd"), "")</f>
        <v/>
      </c>
      <c r="U88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85" s="37" t="str">
        <f>IF(Table5[[#This Row],[Tour Starting Date]]&lt;&gt;"", TEXT(Table5[[#This Row],[Tour Starting Date]], "mmmm"), "")</f>
        <v/>
      </c>
      <c r="W885" s="80" t="str" cm="1">
        <f t="array" ref="W885">IF(Q885&lt;&gt;"", INDEX(CI:CI, MATCH(1, (Q885&gt;=CG:CG)*(Q885&lt;=CH:CH), 0)), "")</f>
        <v/>
      </c>
      <c r="X885" s="39"/>
      <c r="Y885" s="74"/>
      <c r="Z885" s="74" t="str">
        <f>IF(OR(Table5[[#This Row],[Per Person Package Cost]]="", Table5[[#This Row],[No. of Pax]]=""), "", Table5[[#This Row],[Per Person Package Cost]] * Table5[[#This Row],[No. of Pax]])</f>
        <v/>
      </c>
      <c r="AA885" s="52"/>
      <c r="AB885" s="52"/>
      <c r="AC885" s="52"/>
      <c r="AD885" s="52"/>
      <c r="AE885" s="51" t="str">
        <f t="shared" si="77"/>
        <v/>
      </c>
      <c r="AF885" s="51" t="str">
        <f t="shared" si="78"/>
        <v/>
      </c>
      <c r="AG885" s="74" t="str">
        <f t="shared" si="79"/>
        <v/>
      </c>
      <c r="AH885" s="73" t="str">
        <f t="shared" si="80"/>
        <v/>
      </c>
      <c r="AI885" s="52"/>
      <c r="AJ885" s="56"/>
      <c r="AK885" s="59"/>
      <c r="AL885" s="60"/>
      <c r="AM885" s="54"/>
      <c r="AN885" s="64"/>
      <c r="AO885" s="26"/>
      <c r="AP885" s="93"/>
      <c r="AQ885" s="87"/>
      <c r="AR885" s="26"/>
      <c r="AS885" s="65"/>
      <c r="AT885" s="88"/>
      <c r="AU885" s="67"/>
      <c r="DA885" t="str" cm="1">
        <f t="array" ref="DA885">IF(U885&lt;&gt;"", TRANSPOSE(_xlfn._xlws.FILTER(CZ:CZ, CY:CY=U885, "")), "")</f>
        <v/>
      </c>
    </row>
    <row r="886" spans="2:105">
      <c r="B886" s="35">
        <v>882</v>
      </c>
      <c r="C886" s="36" t="s">
        <v>2751</v>
      </c>
      <c r="D886" s="76"/>
      <c r="E886" s="37" t="str">
        <f>IF(Table5[[#This Row],[Query Date]]&lt;&gt;"", TEXT(Table5[[#This Row],[Query Date]], "dddd"), "")</f>
        <v/>
      </c>
      <c r="F886" s="37" t="str">
        <f>IF(Table5[[#This Row],[Query Date]]&lt;&gt;"", TEXT(Table5[[#This Row],[Query Date]], "mmmm"), "")</f>
        <v/>
      </c>
      <c r="G886" s="28"/>
      <c r="H886" s="28"/>
      <c r="I886" s="28"/>
      <c r="J886" s="28"/>
      <c r="K886" s="28"/>
      <c r="L886" s="25"/>
      <c r="M886" s="25"/>
      <c r="N886" s="25"/>
      <c r="O886" s="130"/>
      <c r="P886" s="47"/>
      <c r="Q886" s="77"/>
      <c r="R886" s="77" t="str">
        <f>IF(Table5[[#This Row],[Tour Starting Date]]&lt;&gt;"", TEXT(Table5[[#This Row],[Tour Starting Date]], "dddd"), "")</f>
        <v/>
      </c>
      <c r="S886" s="77"/>
      <c r="T886" s="25" t="str">
        <f>IF(Table5[[#This Row],[Tour Ending Date]]&lt;&gt;"", TEXT(Table5[[#This Row],[Tour Ending Date]], "dddd"), "")</f>
        <v/>
      </c>
      <c r="U88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86" s="37" t="str">
        <f>IF(Table5[[#This Row],[Tour Starting Date]]&lt;&gt;"", TEXT(Table5[[#This Row],[Tour Starting Date]], "mmmm"), "")</f>
        <v/>
      </c>
      <c r="W886" s="80" t="str" cm="1">
        <f t="array" ref="W886">IF(Q886&lt;&gt;"", INDEX(CI:CI, MATCH(1, (Q886&gt;=CG:CG)*(Q886&lt;=CH:CH), 0)), "")</f>
        <v/>
      </c>
      <c r="X886" s="39"/>
      <c r="Y886" s="74"/>
      <c r="Z886" s="74" t="str">
        <f>IF(OR(Table5[[#This Row],[Per Person Package Cost]]="", Table5[[#This Row],[No. of Pax]]=""), "", Table5[[#This Row],[Per Person Package Cost]] * Table5[[#This Row],[No. of Pax]])</f>
        <v/>
      </c>
      <c r="AA886" s="52"/>
      <c r="AB886" s="52"/>
      <c r="AC886" s="52"/>
      <c r="AD886" s="52"/>
      <c r="AE886" s="51" t="str">
        <f t="shared" si="77"/>
        <v/>
      </c>
      <c r="AF886" s="51" t="str">
        <f t="shared" si="78"/>
        <v/>
      </c>
      <c r="AG886" s="74" t="str">
        <f t="shared" si="79"/>
        <v/>
      </c>
      <c r="AH886" s="73" t="str">
        <f t="shared" si="80"/>
        <v/>
      </c>
      <c r="AI886" s="52"/>
      <c r="AJ886" s="56"/>
      <c r="AK886" s="59"/>
      <c r="AL886" s="60"/>
      <c r="AM886" s="54"/>
      <c r="AN886" s="64"/>
      <c r="AO886" s="26"/>
      <c r="AP886" s="93"/>
      <c r="AQ886" s="87"/>
      <c r="AR886" s="26"/>
      <c r="AS886" s="65"/>
      <c r="AT886" s="88"/>
      <c r="AU886" s="67"/>
      <c r="DA886" t="str" cm="1">
        <f t="array" ref="DA886">IF(U886&lt;&gt;"", TRANSPOSE(_xlfn._xlws.FILTER(CZ:CZ, CY:CY=U886, "")), "")</f>
        <v/>
      </c>
    </row>
    <row r="887" spans="2:105">
      <c r="B887" s="35">
        <v>883</v>
      </c>
      <c r="C887" s="36" t="s">
        <v>2752</v>
      </c>
      <c r="D887" s="76"/>
      <c r="E887" s="37" t="str">
        <f>IF(Table5[[#This Row],[Query Date]]&lt;&gt;"", TEXT(Table5[[#This Row],[Query Date]], "dddd"), "")</f>
        <v/>
      </c>
      <c r="F887" s="37" t="str">
        <f>IF(Table5[[#This Row],[Query Date]]&lt;&gt;"", TEXT(Table5[[#This Row],[Query Date]], "mmmm"), "")</f>
        <v/>
      </c>
      <c r="G887" s="28"/>
      <c r="H887" s="28"/>
      <c r="I887" s="28"/>
      <c r="J887" s="28"/>
      <c r="K887" s="28"/>
      <c r="L887" s="25"/>
      <c r="M887" s="25"/>
      <c r="N887" s="25"/>
      <c r="O887" s="130"/>
      <c r="P887" s="47"/>
      <c r="Q887" s="77"/>
      <c r="R887" s="77" t="str">
        <f>IF(Table5[[#This Row],[Tour Starting Date]]&lt;&gt;"", TEXT(Table5[[#This Row],[Tour Starting Date]], "dddd"), "")</f>
        <v/>
      </c>
      <c r="S887" s="77"/>
      <c r="T887" s="25" t="str">
        <f>IF(Table5[[#This Row],[Tour Ending Date]]&lt;&gt;"", TEXT(Table5[[#This Row],[Tour Ending Date]], "dddd"), "")</f>
        <v/>
      </c>
      <c r="U88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87" s="37" t="str">
        <f>IF(Table5[[#This Row],[Tour Starting Date]]&lt;&gt;"", TEXT(Table5[[#This Row],[Tour Starting Date]], "mmmm"), "")</f>
        <v/>
      </c>
      <c r="W887" s="80" t="str" cm="1">
        <f t="array" ref="W887">IF(Q887&lt;&gt;"", INDEX(CI:CI, MATCH(1, (Q887&gt;=CG:CG)*(Q887&lt;=CH:CH), 0)), "")</f>
        <v/>
      </c>
      <c r="X887" s="39"/>
      <c r="Y887" s="74"/>
      <c r="Z887" s="74" t="str">
        <f>IF(OR(Table5[[#This Row],[Per Person Package Cost]]="", Table5[[#This Row],[No. of Pax]]=""), "", Table5[[#This Row],[Per Person Package Cost]] * Table5[[#This Row],[No. of Pax]])</f>
        <v/>
      </c>
      <c r="AA887" s="52"/>
      <c r="AB887" s="52"/>
      <c r="AC887" s="52"/>
      <c r="AD887" s="52"/>
      <c r="AE887" s="51" t="str">
        <f t="shared" si="77"/>
        <v/>
      </c>
      <c r="AF887" s="51" t="str">
        <f t="shared" si="78"/>
        <v/>
      </c>
      <c r="AG887" s="74" t="str">
        <f t="shared" si="79"/>
        <v/>
      </c>
      <c r="AH887" s="73" t="str">
        <f t="shared" si="80"/>
        <v/>
      </c>
      <c r="AI887" s="52"/>
      <c r="AJ887" s="56"/>
      <c r="AK887" s="59"/>
      <c r="AL887" s="60"/>
      <c r="AM887" s="54"/>
      <c r="AN887" s="64"/>
      <c r="AO887" s="26"/>
      <c r="AP887" s="93"/>
      <c r="AQ887" s="87"/>
      <c r="AR887" s="26"/>
      <c r="AS887" s="65"/>
      <c r="AT887" s="88"/>
      <c r="AU887" s="67"/>
      <c r="DA887" t="str" cm="1">
        <f t="array" ref="DA887">IF(U887&lt;&gt;"", TRANSPOSE(_xlfn._xlws.FILTER(CZ:CZ, CY:CY=U887, "")), "")</f>
        <v/>
      </c>
    </row>
    <row r="888" spans="2:105">
      <c r="B888" s="35">
        <v>884</v>
      </c>
      <c r="C888" s="36" t="s">
        <v>2753</v>
      </c>
      <c r="D888" s="76"/>
      <c r="E888" s="37" t="str">
        <f>IF(Table5[[#This Row],[Query Date]]&lt;&gt;"", TEXT(Table5[[#This Row],[Query Date]], "dddd"), "")</f>
        <v/>
      </c>
      <c r="F888" s="37" t="str">
        <f>IF(Table5[[#This Row],[Query Date]]&lt;&gt;"", TEXT(Table5[[#This Row],[Query Date]], "mmmm"), "")</f>
        <v/>
      </c>
      <c r="G888" s="28"/>
      <c r="H888" s="28"/>
      <c r="I888" s="28"/>
      <c r="J888" s="28"/>
      <c r="K888" s="28"/>
      <c r="L888" s="25"/>
      <c r="M888" s="25"/>
      <c r="N888" s="25"/>
      <c r="O888" s="130"/>
      <c r="P888" s="47"/>
      <c r="Q888" s="77"/>
      <c r="R888" s="77" t="str">
        <f>IF(Table5[[#This Row],[Tour Starting Date]]&lt;&gt;"", TEXT(Table5[[#This Row],[Tour Starting Date]], "dddd"), "")</f>
        <v/>
      </c>
      <c r="S888" s="77"/>
      <c r="T888" s="25" t="str">
        <f>IF(Table5[[#This Row],[Tour Ending Date]]&lt;&gt;"", TEXT(Table5[[#This Row],[Tour Ending Date]], "dddd"), "")</f>
        <v/>
      </c>
      <c r="U88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88" s="37" t="str">
        <f>IF(Table5[[#This Row],[Tour Starting Date]]&lt;&gt;"", TEXT(Table5[[#This Row],[Tour Starting Date]], "mmmm"), "")</f>
        <v/>
      </c>
      <c r="W888" s="80" t="str" cm="1">
        <f t="array" ref="W888">IF(Q888&lt;&gt;"", INDEX(CI:CI, MATCH(1, (Q888&gt;=CG:CG)*(Q888&lt;=CH:CH), 0)), "")</f>
        <v/>
      </c>
      <c r="X888" s="39"/>
      <c r="Y888" s="74"/>
      <c r="Z888" s="74" t="str">
        <f>IF(OR(Table5[[#This Row],[Per Person Package Cost]]="", Table5[[#This Row],[No. of Pax]]=""), "", Table5[[#This Row],[Per Person Package Cost]] * Table5[[#This Row],[No. of Pax]])</f>
        <v/>
      </c>
      <c r="AA888" s="52"/>
      <c r="AB888" s="52"/>
      <c r="AC888" s="52"/>
      <c r="AD888" s="52"/>
      <c r="AE888" s="51" t="str">
        <f t="shared" si="77"/>
        <v/>
      </c>
      <c r="AF888" s="51" t="str">
        <f t="shared" si="78"/>
        <v/>
      </c>
      <c r="AG888" s="74" t="str">
        <f t="shared" si="79"/>
        <v/>
      </c>
      <c r="AH888" s="73" t="str">
        <f t="shared" si="80"/>
        <v/>
      </c>
      <c r="AI888" s="52"/>
      <c r="AJ888" s="56"/>
      <c r="AK888" s="59"/>
      <c r="AL888" s="60"/>
      <c r="AM888" s="54"/>
      <c r="AN888" s="64"/>
      <c r="AO888" s="26"/>
      <c r="AP888" s="93"/>
      <c r="AQ888" s="87"/>
      <c r="AR888" s="26"/>
      <c r="AS888" s="65"/>
      <c r="AT888" s="88"/>
      <c r="AU888" s="67"/>
      <c r="DA888" t="str" cm="1">
        <f t="array" ref="DA888">IF(U888&lt;&gt;"", TRANSPOSE(_xlfn._xlws.FILTER(CZ:CZ, CY:CY=U888, "")), "")</f>
        <v/>
      </c>
    </row>
    <row r="889" spans="2:105">
      <c r="B889" s="35">
        <v>885</v>
      </c>
      <c r="C889" s="36" t="s">
        <v>2754</v>
      </c>
      <c r="D889" s="76"/>
      <c r="E889" s="37" t="str">
        <f>IF(Table5[[#This Row],[Query Date]]&lt;&gt;"", TEXT(Table5[[#This Row],[Query Date]], "dddd"), "")</f>
        <v/>
      </c>
      <c r="F889" s="37" t="str">
        <f>IF(Table5[[#This Row],[Query Date]]&lt;&gt;"", TEXT(Table5[[#This Row],[Query Date]], "mmmm"), "")</f>
        <v/>
      </c>
      <c r="G889" s="28"/>
      <c r="H889" s="28"/>
      <c r="I889" s="28"/>
      <c r="J889" s="28"/>
      <c r="K889" s="28"/>
      <c r="L889" s="25"/>
      <c r="M889" s="25"/>
      <c r="N889" s="25"/>
      <c r="O889" s="130"/>
      <c r="P889" s="47"/>
      <c r="Q889" s="77"/>
      <c r="R889" s="77" t="str">
        <f>IF(Table5[[#This Row],[Tour Starting Date]]&lt;&gt;"", TEXT(Table5[[#This Row],[Tour Starting Date]], "dddd"), "")</f>
        <v/>
      </c>
      <c r="S889" s="77"/>
      <c r="T889" s="25" t="str">
        <f>IF(Table5[[#This Row],[Tour Ending Date]]&lt;&gt;"", TEXT(Table5[[#This Row],[Tour Ending Date]], "dddd"), "")</f>
        <v/>
      </c>
      <c r="U88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89" s="37" t="str">
        <f>IF(Table5[[#This Row],[Tour Starting Date]]&lt;&gt;"", TEXT(Table5[[#This Row],[Tour Starting Date]], "mmmm"), "")</f>
        <v/>
      </c>
      <c r="W889" s="80" t="str" cm="1">
        <f t="array" ref="W889">IF(Q889&lt;&gt;"", INDEX(CI:CI, MATCH(1, (Q889&gt;=CG:CG)*(Q889&lt;=CH:CH), 0)), "")</f>
        <v/>
      </c>
      <c r="X889" s="39"/>
      <c r="Y889" s="74"/>
      <c r="Z889" s="74" t="str">
        <f>IF(OR(Table5[[#This Row],[Per Person Package Cost]]="", Table5[[#This Row],[No. of Pax]]=""), "", Table5[[#This Row],[Per Person Package Cost]] * Table5[[#This Row],[No. of Pax]])</f>
        <v/>
      </c>
      <c r="AA889" s="52"/>
      <c r="AB889" s="52"/>
      <c r="AC889" s="52"/>
      <c r="AD889" s="52"/>
      <c r="AE889" s="51" t="str">
        <f t="shared" si="77"/>
        <v/>
      </c>
      <c r="AF889" s="51" t="str">
        <f t="shared" si="78"/>
        <v/>
      </c>
      <c r="AG889" s="74" t="str">
        <f t="shared" si="79"/>
        <v/>
      </c>
      <c r="AH889" s="73" t="str">
        <f t="shared" si="80"/>
        <v/>
      </c>
      <c r="AI889" s="52"/>
      <c r="AJ889" s="56"/>
      <c r="AK889" s="59"/>
      <c r="AL889" s="60"/>
      <c r="AM889" s="54"/>
      <c r="AN889" s="64"/>
      <c r="AO889" s="26"/>
      <c r="AP889" s="93"/>
      <c r="AQ889" s="87"/>
      <c r="AR889" s="26"/>
      <c r="AS889" s="65"/>
      <c r="AT889" s="88"/>
      <c r="AU889" s="67"/>
      <c r="DA889" t="str" cm="1">
        <f t="array" ref="DA889">IF(U889&lt;&gt;"", TRANSPOSE(_xlfn._xlws.FILTER(CZ:CZ, CY:CY=U889, "")), "")</f>
        <v/>
      </c>
    </row>
    <row r="890" spans="2:105">
      <c r="B890" s="35">
        <v>886</v>
      </c>
      <c r="C890" s="36" t="s">
        <v>2755</v>
      </c>
      <c r="D890" s="76"/>
      <c r="E890" s="37" t="str">
        <f>IF(Table5[[#This Row],[Query Date]]&lt;&gt;"", TEXT(Table5[[#This Row],[Query Date]], "dddd"), "")</f>
        <v/>
      </c>
      <c r="F890" s="37" t="str">
        <f>IF(Table5[[#This Row],[Query Date]]&lt;&gt;"", TEXT(Table5[[#This Row],[Query Date]], "mmmm"), "")</f>
        <v/>
      </c>
      <c r="G890" s="28"/>
      <c r="H890" s="28"/>
      <c r="I890" s="28"/>
      <c r="J890" s="28"/>
      <c r="K890" s="28"/>
      <c r="L890" s="25"/>
      <c r="M890" s="25"/>
      <c r="N890" s="25"/>
      <c r="O890" s="130"/>
      <c r="P890" s="47"/>
      <c r="Q890" s="77"/>
      <c r="R890" s="77" t="str">
        <f>IF(Table5[[#This Row],[Tour Starting Date]]&lt;&gt;"", TEXT(Table5[[#This Row],[Tour Starting Date]], "dddd"), "")</f>
        <v/>
      </c>
      <c r="S890" s="77"/>
      <c r="T890" s="25" t="str">
        <f>IF(Table5[[#This Row],[Tour Ending Date]]&lt;&gt;"", TEXT(Table5[[#This Row],[Tour Ending Date]], "dddd"), "")</f>
        <v/>
      </c>
      <c r="U89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90" s="37" t="str">
        <f>IF(Table5[[#This Row],[Tour Starting Date]]&lt;&gt;"", TEXT(Table5[[#This Row],[Tour Starting Date]], "mmmm"), "")</f>
        <v/>
      </c>
      <c r="W890" s="80" t="str" cm="1">
        <f t="array" ref="W890">IF(Q890&lt;&gt;"", INDEX(CI:CI, MATCH(1, (Q890&gt;=CG:CG)*(Q890&lt;=CH:CH), 0)), "")</f>
        <v/>
      </c>
      <c r="X890" s="39"/>
      <c r="Y890" s="74"/>
      <c r="Z890" s="74" t="str">
        <f>IF(OR(Table5[[#This Row],[Per Person Package Cost]]="", Table5[[#This Row],[No. of Pax]]=""), "", Table5[[#This Row],[Per Person Package Cost]] * Table5[[#This Row],[No. of Pax]])</f>
        <v/>
      </c>
      <c r="AA890" s="52"/>
      <c r="AB890" s="52"/>
      <c r="AC890" s="52"/>
      <c r="AD890" s="52"/>
      <c r="AE890" s="51" t="str">
        <f t="shared" si="77"/>
        <v/>
      </c>
      <c r="AF890" s="51" t="str">
        <f t="shared" si="78"/>
        <v/>
      </c>
      <c r="AG890" s="74" t="str">
        <f t="shared" si="79"/>
        <v/>
      </c>
      <c r="AH890" s="73" t="str">
        <f t="shared" si="80"/>
        <v/>
      </c>
      <c r="AI890" s="52"/>
      <c r="AJ890" s="56"/>
      <c r="AK890" s="59"/>
      <c r="AL890" s="60"/>
      <c r="AM890" s="54"/>
      <c r="AN890" s="64"/>
      <c r="AO890" s="26"/>
      <c r="AP890" s="93"/>
      <c r="AQ890" s="87"/>
      <c r="AR890" s="26"/>
      <c r="AS890" s="65"/>
      <c r="AT890" s="88"/>
      <c r="AU890" s="67"/>
      <c r="DA890" t="str" cm="1">
        <f t="array" ref="DA890">IF(U890&lt;&gt;"", TRANSPOSE(_xlfn._xlws.FILTER(CZ:CZ, CY:CY=U890, "")), "")</f>
        <v/>
      </c>
    </row>
    <row r="891" spans="2:105">
      <c r="B891" s="35">
        <v>887</v>
      </c>
      <c r="C891" s="36" t="s">
        <v>2756</v>
      </c>
      <c r="D891" s="76"/>
      <c r="E891" s="37" t="str">
        <f>IF(Table5[[#This Row],[Query Date]]&lt;&gt;"", TEXT(Table5[[#This Row],[Query Date]], "dddd"), "")</f>
        <v/>
      </c>
      <c r="F891" s="37" t="str">
        <f>IF(Table5[[#This Row],[Query Date]]&lt;&gt;"", TEXT(Table5[[#This Row],[Query Date]], "mmmm"), "")</f>
        <v/>
      </c>
      <c r="G891" s="28"/>
      <c r="H891" s="28"/>
      <c r="I891" s="28"/>
      <c r="J891" s="28"/>
      <c r="K891" s="28"/>
      <c r="L891" s="25"/>
      <c r="M891" s="25"/>
      <c r="N891" s="25"/>
      <c r="O891" s="130"/>
      <c r="P891" s="47"/>
      <c r="Q891" s="77"/>
      <c r="R891" s="77" t="str">
        <f>IF(Table5[[#This Row],[Tour Starting Date]]&lt;&gt;"", TEXT(Table5[[#This Row],[Tour Starting Date]], "dddd"), "")</f>
        <v/>
      </c>
      <c r="S891" s="77"/>
      <c r="T891" s="25" t="str">
        <f>IF(Table5[[#This Row],[Tour Ending Date]]&lt;&gt;"", TEXT(Table5[[#This Row],[Tour Ending Date]], "dddd"), "")</f>
        <v/>
      </c>
      <c r="U89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91" s="37" t="str">
        <f>IF(Table5[[#This Row],[Tour Starting Date]]&lt;&gt;"", TEXT(Table5[[#This Row],[Tour Starting Date]], "mmmm"), "")</f>
        <v/>
      </c>
      <c r="W891" s="80" t="str" cm="1">
        <f t="array" ref="W891">IF(Q891&lt;&gt;"", INDEX(CI:CI, MATCH(1, (Q891&gt;=CG:CG)*(Q891&lt;=CH:CH), 0)), "")</f>
        <v/>
      </c>
      <c r="X891" s="39"/>
      <c r="Y891" s="74"/>
      <c r="Z891" s="74" t="str">
        <f>IF(OR(Table5[[#This Row],[Per Person Package Cost]]="", Table5[[#This Row],[No. of Pax]]=""), "", Table5[[#This Row],[Per Person Package Cost]] * Table5[[#This Row],[No. of Pax]])</f>
        <v/>
      </c>
      <c r="AA891" s="52"/>
      <c r="AB891" s="52"/>
      <c r="AC891" s="52"/>
      <c r="AD891" s="52"/>
      <c r="AE891" s="51" t="str">
        <f t="shared" si="77"/>
        <v/>
      </c>
      <c r="AF891" s="51" t="str">
        <f t="shared" si="78"/>
        <v/>
      </c>
      <c r="AG891" s="74" t="str">
        <f t="shared" si="79"/>
        <v/>
      </c>
      <c r="AH891" s="73" t="str">
        <f t="shared" si="80"/>
        <v/>
      </c>
      <c r="AI891" s="52"/>
      <c r="AJ891" s="56"/>
      <c r="AK891" s="59"/>
      <c r="AL891" s="60"/>
      <c r="AM891" s="54"/>
      <c r="AN891" s="64"/>
      <c r="AO891" s="26"/>
      <c r="AP891" s="93"/>
      <c r="AQ891" s="87"/>
      <c r="AR891" s="26"/>
      <c r="AS891" s="65"/>
      <c r="AT891" s="88"/>
      <c r="AU891" s="67"/>
      <c r="DA891" t="str" cm="1">
        <f t="array" ref="DA891">IF(U891&lt;&gt;"", TRANSPOSE(_xlfn._xlws.FILTER(CZ:CZ, CY:CY=U891, "")), "")</f>
        <v/>
      </c>
    </row>
    <row r="892" spans="2:105">
      <c r="B892" s="35">
        <v>888</v>
      </c>
      <c r="C892" s="36" t="s">
        <v>2757</v>
      </c>
      <c r="D892" s="76"/>
      <c r="E892" s="37" t="str">
        <f>IF(Table5[[#This Row],[Query Date]]&lt;&gt;"", TEXT(Table5[[#This Row],[Query Date]], "dddd"), "")</f>
        <v/>
      </c>
      <c r="F892" s="37" t="str">
        <f>IF(Table5[[#This Row],[Query Date]]&lt;&gt;"", TEXT(Table5[[#This Row],[Query Date]], "mmmm"), "")</f>
        <v/>
      </c>
      <c r="G892" s="28"/>
      <c r="H892" s="28"/>
      <c r="I892" s="28"/>
      <c r="J892" s="28"/>
      <c r="K892" s="28"/>
      <c r="L892" s="25"/>
      <c r="M892" s="25"/>
      <c r="N892" s="25"/>
      <c r="O892" s="130"/>
      <c r="P892" s="47"/>
      <c r="Q892" s="77"/>
      <c r="R892" s="77" t="str">
        <f>IF(Table5[[#This Row],[Tour Starting Date]]&lt;&gt;"", TEXT(Table5[[#This Row],[Tour Starting Date]], "dddd"), "")</f>
        <v/>
      </c>
      <c r="S892" s="77"/>
      <c r="T892" s="25" t="str">
        <f>IF(Table5[[#This Row],[Tour Ending Date]]&lt;&gt;"", TEXT(Table5[[#This Row],[Tour Ending Date]], "dddd"), "")</f>
        <v/>
      </c>
      <c r="U89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92" s="37" t="str">
        <f>IF(Table5[[#This Row],[Tour Starting Date]]&lt;&gt;"", TEXT(Table5[[#This Row],[Tour Starting Date]], "mmmm"), "")</f>
        <v/>
      </c>
      <c r="W892" s="80" t="str" cm="1">
        <f t="array" ref="W892">IF(Q892&lt;&gt;"", INDEX(CI:CI, MATCH(1, (Q892&gt;=CG:CG)*(Q892&lt;=CH:CH), 0)), "")</f>
        <v/>
      </c>
      <c r="X892" s="39"/>
      <c r="Y892" s="74"/>
      <c r="Z892" s="74" t="str">
        <f>IF(OR(Table5[[#This Row],[Per Person Package Cost]]="", Table5[[#This Row],[No. of Pax]]=""), "", Table5[[#This Row],[Per Person Package Cost]] * Table5[[#This Row],[No. of Pax]])</f>
        <v/>
      </c>
      <c r="AA892" s="52"/>
      <c r="AB892" s="52"/>
      <c r="AC892" s="52"/>
      <c r="AD892" s="52"/>
      <c r="AE892" s="51" t="str">
        <f t="shared" si="77"/>
        <v/>
      </c>
      <c r="AF892" s="51" t="str">
        <f t="shared" si="78"/>
        <v/>
      </c>
      <c r="AG892" s="74" t="str">
        <f t="shared" si="79"/>
        <v/>
      </c>
      <c r="AH892" s="73" t="str">
        <f t="shared" si="80"/>
        <v/>
      </c>
      <c r="AI892" s="52"/>
      <c r="AJ892" s="56"/>
      <c r="AK892" s="59"/>
      <c r="AL892" s="60"/>
      <c r="AM892" s="54"/>
      <c r="AN892" s="64"/>
      <c r="AO892" s="26"/>
      <c r="AP892" s="93"/>
      <c r="AQ892" s="87"/>
      <c r="AR892" s="26"/>
      <c r="AS892" s="65"/>
      <c r="AT892" s="88"/>
      <c r="AU892" s="67"/>
      <c r="DA892" t="str" cm="1">
        <f t="array" ref="DA892">IF(U892&lt;&gt;"", TRANSPOSE(_xlfn._xlws.FILTER(CZ:CZ, CY:CY=U892, "")), "")</f>
        <v/>
      </c>
    </row>
    <row r="893" spans="2:105">
      <c r="B893" s="35">
        <v>889</v>
      </c>
      <c r="C893" s="36" t="s">
        <v>2758</v>
      </c>
      <c r="D893" s="76"/>
      <c r="E893" s="37" t="str">
        <f>IF(Table5[[#This Row],[Query Date]]&lt;&gt;"", TEXT(Table5[[#This Row],[Query Date]], "dddd"), "")</f>
        <v/>
      </c>
      <c r="F893" s="37" t="str">
        <f>IF(Table5[[#This Row],[Query Date]]&lt;&gt;"", TEXT(Table5[[#This Row],[Query Date]], "mmmm"), "")</f>
        <v/>
      </c>
      <c r="G893" s="28"/>
      <c r="H893" s="28"/>
      <c r="I893" s="28"/>
      <c r="J893" s="28"/>
      <c r="K893" s="28"/>
      <c r="L893" s="25"/>
      <c r="M893" s="25"/>
      <c r="N893" s="25"/>
      <c r="O893" s="130"/>
      <c r="P893" s="47"/>
      <c r="Q893" s="77"/>
      <c r="R893" s="77" t="str">
        <f>IF(Table5[[#This Row],[Tour Starting Date]]&lt;&gt;"", TEXT(Table5[[#This Row],[Tour Starting Date]], "dddd"), "")</f>
        <v/>
      </c>
      <c r="S893" s="77"/>
      <c r="T893" s="25" t="str">
        <f>IF(Table5[[#This Row],[Tour Ending Date]]&lt;&gt;"", TEXT(Table5[[#This Row],[Tour Ending Date]], "dddd"), "")</f>
        <v/>
      </c>
      <c r="U89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93" s="37" t="str">
        <f>IF(Table5[[#This Row],[Tour Starting Date]]&lt;&gt;"", TEXT(Table5[[#This Row],[Tour Starting Date]], "mmmm"), "")</f>
        <v/>
      </c>
      <c r="W893" s="80" t="str" cm="1">
        <f t="array" ref="W893">IF(Q893&lt;&gt;"", INDEX(CI:CI, MATCH(1, (Q893&gt;=CG:CG)*(Q893&lt;=CH:CH), 0)), "")</f>
        <v/>
      </c>
      <c r="X893" s="39"/>
      <c r="Y893" s="74"/>
      <c r="Z893" s="74" t="str">
        <f>IF(OR(Table5[[#This Row],[Per Person Package Cost]]="", Table5[[#This Row],[No. of Pax]]=""), "", Table5[[#This Row],[Per Person Package Cost]] * Table5[[#This Row],[No. of Pax]])</f>
        <v/>
      </c>
      <c r="AA893" s="52"/>
      <c r="AB893" s="52"/>
      <c r="AC893" s="52"/>
      <c r="AD893" s="52"/>
      <c r="AE893" s="51" t="str">
        <f t="shared" si="77"/>
        <v/>
      </c>
      <c r="AF893" s="51" t="str">
        <f t="shared" si="78"/>
        <v/>
      </c>
      <c r="AG893" s="74" t="str">
        <f t="shared" si="79"/>
        <v/>
      </c>
      <c r="AH893" s="73" t="str">
        <f t="shared" si="80"/>
        <v/>
      </c>
      <c r="AI893" s="52"/>
      <c r="AJ893" s="56"/>
      <c r="AK893" s="59"/>
      <c r="AL893" s="60"/>
      <c r="AM893" s="54"/>
      <c r="AN893" s="64"/>
      <c r="AO893" s="26"/>
      <c r="AP893" s="93"/>
      <c r="AQ893" s="87"/>
      <c r="AR893" s="26"/>
      <c r="AS893" s="65"/>
      <c r="AT893" s="88"/>
      <c r="AU893" s="67"/>
      <c r="DA893" t="str" cm="1">
        <f t="array" ref="DA893">IF(U893&lt;&gt;"", TRANSPOSE(_xlfn._xlws.FILTER(CZ:CZ, CY:CY=U893, "")), "")</f>
        <v/>
      </c>
    </row>
    <row r="894" spans="2:105">
      <c r="B894" s="35">
        <v>890</v>
      </c>
      <c r="C894" s="36" t="s">
        <v>2759</v>
      </c>
      <c r="D894" s="76"/>
      <c r="E894" s="37" t="str">
        <f>IF(Table5[[#This Row],[Query Date]]&lt;&gt;"", TEXT(Table5[[#This Row],[Query Date]], "dddd"), "")</f>
        <v/>
      </c>
      <c r="F894" s="37" t="str">
        <f>IF(Table5[[#This Row],[Query Date]]&lt;&gt;"", TEXT(Table5[[#This Row],[Query Date]], "mmmm"), "")</f>
        <v/>
      </c>
      <c r="G894" s="28"/>
      <c r="H894" s="28"/>
      <c r="I894" s="28"/>
      <c r="J894" s="28"/>
      <c r="K894" s="28"/>
      <c r="L894" s="25"/>
      <c r="M894" s="25"/>
      <c r="N894" s="25"/>
      <c r="O894" s="130"/>
      <c r="P894" s="47"/>
      <c r="Q894" s="77"/>
      <c r="R894" s="77" t="str">
        <f>IF(Table5[[#This Row],[Tour Starting Date]]&lt;&gt;"", TEXT(Table5[[#This Row],[Tour Starting Date]], "dddd"), "")</f>
        <v/>
      </c>
      <c r="S894" s="77"/>
      <c r="T894" s="25" t="str">
        <f>IF(Table5[[#This Row],[Tour Ending Date]]&lt;&gt;"", TEXT(Table5[[#This Row],[Tour Ending Date]], "dddd"), "")</f>
        <v/>
      </c>
      <c r="U89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94" s="37" t="str">
        <f>IF(Table5[[#This Row],[Tour Starting Date]]&lt;&gt;"", TEXT(Table5[[#This Row],[Tour Starting Date]], "mmmm"), "")</f>
        <v/>
      </c>
      <c r="W894" s="80" t="str" cm="1">
        <f t="array" ref="W894">IF(Q894&lt;&gt;"", INDEX(CI:CI, MATCH(1, (Q894&gt;=CG:CG)*(Q894&lt;=CH:CH), 0)), "")</f>
        <v/>
      </c>
      <c r="X894" s="39"/>
      <c r="Y894" s="74"/>
      <c r="Z894" s="74" t="str">
        <f>IF(OR(Table5[[#This Row],[Per Person Package Cost]]="", Table5[[#This Row],[No. of Pax]]=""), "", Table5[[#This Row],[Per Person Package Cost]] * Table5[[#This Row],[No. of Pax]])</f>
        <v/>
      </c>
      <c r="AA894" s="52"/>
      <c r="AB894" s="52"/>
      <c r="AC894" s="52"/>
      <c r="AD894" s="52"/>
      <c r="AE894" s="51" t="str">
        <f t="shared" si="77"/>
        <v/>
      </c>
      <c r="AF894" s="51" t="str">
        <f t="shared" si="78"/>
        <v/>
      </c>
      <c r="AG894" s="74" t="str">
        <f t="shared" si="79"/>
        <v/>
      </c>
      <c r="AH894" s="73" t="str">
        <f t="shared" si="80"/>
        <v/>
      </c>
      <c r="AI894" s="52"/>
      <c r="AJ894" s="56"/>
      <c r="AK894" s="59"/>
      <c r="AL894" s="60"/>
      <c r="AM894" s="54"/>
      <c r="AN894" s="64"/>
      <c r="AO894" s="26"/>
      <c r="AP894" s="93"/>
      <c r="AQ894" s="87"/>
      <c r="AR894" s="26"/>
      <c r="AS894" s="65"/>
      <c r="AT894" s="88"/>
      <c r="AU894" s="67"/>
      <c r="DA894" t="str" cm="1">
        <f t="array" ref="DA894">IF(U894&lt;&gt;"", TRANSPOSE(_xlfn._xlws.FILTER(CZ:CZ, CY:CY=U894, "")), "")</f>
        <v/>
      </c>
    </row>
    <row r="895" spans="2:105">
      <c r="B895" s="35">
        <v>891</v>
      </c>
      <c r="C895" s="36" t="s">
        <v>2760</v>
      </c>
      <c r="D895" s="76"/>
      <c r="E895" s="37" t="str">
        <f>IF(Table5[[#This Row],[Query Date]]&lt;&gt;"", TEXT(Table5[[#This Row],[Query Date]], "dddd"), "")</f>
        <v/>
      </c>
      <c r="F895" s="37" t="str">
        <f>IF(Table5[[#This Row],[Query Date]]&lt;&gt;"", TEXT(Table5[[#This Row],[Query Date]], "mmmm"), "")</f>
        <v/>
      </c>
      <c r="G895" s="28"/>
      <c r="H895" s="28"/>
      <c r="I895" s="28"/>
      <c r="J895" s="28"/>
      <c r="K895" s="28"/>
      <c r="L895" s="25"/>
      <c r="M895" s="25"/>
      <c r="N895" s="25"/>
      <c r="O895" s="130"/>
      <c r="P895" s="47"/>
      <c r="Q895" s="77"/>
      <c r="R895" s="77" t="str">
        <f>IF(Table5[[#This Row],[Tour Starting Date]]&lt;&gt;"", TEXT(Table5[[#This Row],[Tour Starting Date]], "dddd"), "")</f>
        <v/>
      </c>
      <c r="S895" s="77"/>
      <c r="T895" s="25" t="str">
        <f>IF(Table5[[#This Row],[Tour Ending Date]]&lt;&gt;"", TEXT(Table5[[#This Row],[Tour Ending Date]], "dddd"), "")</f>
        <v/>
      </c>
      <c r="U89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95" s="37" t="str">
        <f>IF(Table5[[#This Row],[Tour Starting Date]]&lt;&gt;"", TEXT(Table5[[#This Row],[Tour Starting Date]], "mmmm"), "")</f>
        <v/>
      </c>
      <c r="W895" s="80" t="str" cm="1">
        <f t="array" ref="W895">IF(Q895&lt;&gt;"", INDEX(CI:CI, MATCH(1, (Q895&gt;=CG:CG)*(Q895&lt;=CH:CH), 0)), "")</f>
        <v/>
      </c>
      <c r="X895" s="39"/>
      <c r="Y895" s="74"/>
      <c r="Z895" s="74" t="str">
        <f>IF(OR(Table5[[#This Row],[Per Person Package Cost]]="", Table5[[#This Row],[No. of Pax]]=""), "", Table5[[#This Row],[Per Person Package Cost]] * Table5[[#This Row],[No. of Pax]])</f>
        <v/>
      </c>
      <c r="AA895" s="52"/>
      <c r="AB895" s="52"/>
      <c r="AC895" s="52"/>
      <c r="AD895" s="52"/>
      <c r="AE895" s="51" t="str">
        <f t="shared" si="77"/>
        <v/>
      </c>
      <c r="AF895" s="51" t="str">
        <f t="shared" si="78"/>
        <v/>
      </c>
      <c r="AG895" s="74" t="str">
        <f t="shared" si="79"/>
        <v/>
      </c>
      <c r="AH895" s="73" t="str">
        <f t="shared" si="80"/>
        <v/>
      </c>
      <c r="AI895" s="52"/>
      <c r="AJ895" s="56"/>
      <c r="AK895" s="59"/>
      <c r="AL895" s="60"/>
      <c r="AM895" s="54"/>
      <c r="AN895" s="64"/>
      <c r="AO895" s="26"/>
      <c r="AP895" s="93"/>
      <c r="AQ895" s="87"/>
      <c r="AR895" s="26"/>
      <c r="AS895" s="65"/>
      <c r="AT895" s="88"/>
      <c r="AU895" s="67"/>
      <c r="DA895" t="str" cm="1">
        <f t="array" ref="DA895">IF(U895&lt;&gt;"", TRANSPOSE(_xlfn._xlws.FILTER(CZ:CZ, CY:CY=U895, "")), "")</f>
        <v/>
      </c>
    </row>
    <row r="896" spans="2:105">
      <c r="B896" s="35">
        <v>892</v>
      </c>
      <c r="C896" s="36" t="s">
        <v>2761</v>
      </c>
      <c r="D896" s="76"/>
      <c r="E896" s="37" t="str">
        <f>IF(Table5[[#This Row],[Query Date]]&lt;&gt;"", TEXT(Table5[[#This Row],[Query Date]], "dddd"), "")</f>
        <v/>
      </c>
      <c r="F896" s="37" t="str">
        <f>IF(Table5[[#This Row],[Query Date]]&lt;&gt;"", TEXT(Table5[[#This Row],[Query Date]], "mmmm"), "")</f>
        <v/>
      </c>
      <c r="G896" s="28"/>
      <c r="H896" s="28"/>
      <c r="I896" s="28"/>
      <c r="J896" s="28"/>
      <c r="K896" s="28"/>
      <c r="L896" s="25"/>
      <c r="M896" s="25"/>
      <c r="N896" s="25"/>
      <c r="O896" s="130"/>
      <c r="P896" s="47"/>
      <c r="Q896" s="77"/>
      <c r="R896" s="77" t="str">
        <f>IF(Table5[[#This Row],[Tour Starting Date]]&lt;&gt;"", TEXT(Table5[[#This Row],[Tour Starting Date]], "dddd"), "")</f>
        <v/>
      </c>
      <c r="S896" s="77"/>
      <c r="T896" s="25" t="str">
        <f>IF(Table5[[#This Row],[Tour Ending Date]]&lt;&gt;"", TEXT(Table5[[#This Row],[Tour Ending Date]], "dddd"), "")</f>
        <v/>
      </c>
      <c r="U89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96" s="37" t="str">
        <f>IF(Table5[[#This Row],[Tour Starting Date]]&lt;&gt;"", TEXT(Table5[[#This Row],[Tour Starting Date]], "mmmm"), "")</f>
        <v/>
      </c>
      <c r="W896" s="80" t="str" cm="1">
        <f t="array" ref="W896">IF(Q896&lt;&gt;"", INDEX(CI:CI, MATCH(1, (Q896&gt;=CG:CG)*(Q896&lt;=CH:CH), 0)), "")</f>
        <v/>
      </c>
      <c r="X896" s="39"/>
      <c r="Y896" s="74"/>
      <c r="Z896" s="74" t="str">
        <f>IF(OR(Table5[[#This Row],[Per Person Package Cost]]="", Table5[[#This Row],[No. of Pax]]=""), "", Table5[[#This Row],[Per Person Package Cost]] * Table5[[#This Row],[No. of Pax]])</f>
        <v/>
      </c>
      <c r="AA896" s="52"/>
      <c r="AB896" s="52"/>
      <c r="AC896" s="52"/>
      <c r="AD896" s="52"/>
      <c r="AE896" s="51" t="str">
        <f t="shared" si="77"/>
        <v/>
      </c>
      <c r="AF896" s="51" t="str">
        <f t="shared" si="78"/>
        <v/>
      </c>
      <c r="AG896" s="74" t="str">
        <f t="shared" si="79"/>
        <v/>
      </c>
      <c r="AH896" s="73" t="str">
        <f t="shared" si="80"/>
        <v/>
      </c>
      <c r="AI896" s="52"/>
      <c r="AJ896" s="56"/>
      <c r="AK896" s="59"/>
      <c r="AL896" s="60"/>
      <c r="AM896" s="54"/>
      <c r="AN896" s="64"/>
      <c r="AO896" s="26"/>
      <c r="AP896" s="93"/>
      <c r="AQ896" s="87"/>
      <c r="AR896" s="26"/>
      <c r="AS896" s="65"/>
      <c r="AT896" s="88"/>
      <c r="AU896" s="67"/>
      <c r="DA896" t="str" cm="1">
        <f t="array" ref="DA896">IF(U896&lt;&gt;"", TRANSPOSE(_xlfn._xlws.FILTER(CZ:CZ, CY:CY=U896, "")), "")</f>
        <v/>
      </c>
    </row>
    <row r="897" spans="2:105">
      <c r="B897" s="35">
        <v>893</v>
      </c>
      <c r="C897" s="36" t="s">
        <v>2762</v>
      </c>
      <c r="D897" s="76"/>
      <c r="E897" s="37" t="str">
        <f>IF(Table5[[#This Row],[Query Date]]&lt;&gt;"", TEXT(Table5[[#This Row],[Query Date]], "dddd"), "")</f>
        <v/>
      </c>
      <c r="F897" s="37" t="str">
        <f>IF(Table5[[#This Row],[Query Date]]&lt;&gt;"", TEXT(Table5[[#This Row],[Query Date]], "mmmm"), "")</f>
        <v/>
      </c>
      <c r="G897" s="28"/>
      <c r="H897" s="28"/>
      <c r="I897" s="28"/>
      <c r="J897" s="28"/>
      <c r="K897" s="28"/>
      <c r="L897" s="25"/>
      <c r="M897" s="25"/>
      <c r="N897" s="25"/>
      <c r="O897" s="130"/>
      <c r="P897" s="47"/>
      <c r="Q897" s="77"/>
      <c r="R897" s="77" t="str">
        <f>IF(Table5[[#This Row],[Tour Starting Date]]&lt;&gt;"", TEXT(Table5[[#This Row],[Tour Starting Date]], "dddd"), "")</f>
        <v/>
      </c>
      <c r="S897" s="77"/>
      <c r="T897" s="25" t="str">
        <f>IF(Table5[[#This Row],[Tour Ending Date]]&lt;&gt;"", TEXT(Table5[[#This Row],[Tour Ending Date]], "dddd"), "")</f>
        <v/>
      </c>
      <c r="U89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97" s="37" t="str">
        <f>IF(Table5[[#This Row],[Tour Starting Date]]&lt;&gt;"", TEXT(Table5[[#This Row],[Tour Starting Date]], "mmmm"), "")</f>
        <v/>
      </c>
      <c r="W897" s="80" t="str" cm="1">
        <f t="array" ref="W897">IF(Q897&lt;&gt;"", INDEX(CI:CI, MATCH(1, (Q897&gt;=CG:CG)*(Q897&lt;=CH:CH), 0)), "")</f>
        <v/>
      </c>
      <c r="X897" s="39"/>
      <c r="Y897" s="74"/>
      <c r="Z897" s="74" t="str">
        <f>IF(OR(Table5[[#This Row],[Per Person Package Cost]]="", Table5[[#This Row],[No. of Pax]]=""), "", Table5[[#This Row],[Per Person Package Cost]] * Table5[[#This Row],[No. of Pax]])</f>
        <v/>
      </c>
      <c r="AA897" s="52"/>
      <c r="AB897" s="52"/>
      <c r="AC897" s="52"/>
      <c r="AD897" s="52"/>
      <c r="AE897" s="51" t="str">
        <f t="shared" si="77"/>
        <v/>
      </c>
      <c r="AF897" s="51" t="str">
        <f t="shared" si="78"/>
        <v/>
      </c>
      <c r="AG897" s="74" t="str">
        <f t="shared" si="79"/>
        <v/>
      </c>
      <c r="AH897" s="73" t="str">
        <f t="shared" si="80"/>
        <v/>
      </c>
      <c r="AI897" s="52"/>
      <c r="AJ897" s="56"/>
      <c r="AK897" s="59"/>
      <c r="AL897" s="60"/>
      <c r="AM897" s="54"/>
      <c r="AN897" s="64"/>
      <c r="AO897" s="26"/>
      <c r="AP897" s="93"/>
      <c r="AQ897" s="87"/>
      <c r="AR897" s="26"/>
      <c r="AS897" s="65"/>
      <c r="AT897" s="88"/>
      <c r="AU897" s="67"/>
      <c r="DA897" t="str" cm="1">
        <f t="array" ref="DA897">IF(U897&lt;&gt;"", TRANSPOSE(_xlfn._xlws.FILTER(CZ:CZ, CY:CY=U897, "")), "")</f>
        <v/>
      </c>
    </row>
    <row r="898" spans="2:105">
      <c r="B898" s="35">
        <v>894</v>
      </c>
      <c r="C898" s="36" t="s">
        <v>2763</v>
      </c>
      <c r="D898" s="76"/>
      <c r="E898" s="37" t="str">
        <f>IF(Table5[[#This Row],[Query Date]]&lt;&gt;"", TEXT(Table5[[#This Row],[Query Date]], "dddd"), "")</f>
        <v/>
      </c>
      <c r="F898" s="37" t="str">
        <f>IF(Table5[[#This Row],[Query Date]]&lt;&gt;"", TEXT(Table5[[#This Row],[Query Date]], "mmmm"), "")</f>
        <v/>
      </c>
      <c r="G898" s="28"/>
      <c r="H898" s="28"/>
      <c r="I898" s="28"/>
      <c r="J898" s="28"/>
      <c r="K898" s="28"/>
      <c r="L898" s="25"/>
      <c r="M898" s="25"/>
      <c r="N898" s="25"/>
      <c r="O898" s="130"/>
      <c r="P898" s="47"/>
      <c r="Q898" s="77"/>
      <c r="R898" s="77" t="str">
        <f>IF(Table5[[#This Row],[Tour Starting Date]]&lt;&gt;"", TEXT(Table5[[#This Row],[Tour Starting Date]], "dddd"), "")</f>
        <v/>
      </c>
      <c r="S898" s="77"/>
      <c r="T898" s="25" t="str">
        <f>IF(Table5[[#This Row],[Tour Ending Date]]&lt;&gt;"", TEXT(Table5[[#This Row],[Tour Ending Date]], "dddd"), "")</f>
        <v/>
      </c>
      <c r="U89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98" s="37" t="str">
        <f>IF(Table5[[#This Row],[Tour Starting Date]]&lt;&gt;"", TEXT(Table5[[#This Row],[Tour Starting Date]], "mmmm"), "")</f>
        <v/>
      </c>
      <c r="W898" s="80" t="str" cm="1">
        <f t="array" ref="W898">IF(Q898&lt;&gt;"", INDEX(CI:CI, MATCH(1, (Q898&gt;=CG:CG)*(Q898&lt;=CH:CH), 0)), "")</f>
        <v/>
      </c>
      <c r="X898" s="39"/>
      <c r="Y898" s="74"/>
      <c r="Z898" s="74" t="str">
        <f>IF(OR(Table5[[#This Row],[Per Person Package Cost]]="", Table5[[#This Row],[No. of Pax]]=""), "", Table5[[#This Row],[Per Person Package Cost]] * Table5[[#This Row],[No. of Pax]])</f>
        <v/>
      </c>
      <c r="AA898" s="52"/>
      <c r="AB898" s="52"/>
      <c r="AC898" s="52"/>
      <c r="AD898" s="52"/>
      <c r="AE898" s="51" t="str">
        <f t="shared" si="77"/>
        <v/>
      </c>
      <c r="AF898" s="51" t="str">
        <f t="shared" si="78"/>
        <v/>
      </c>
      <c r="AG898" s="74" t="str">
        <f t="shared" si="79"/>
        <v/>
      </c>
      <c r="AH898" s="73" t="str">
        <f t="shared" si="80"/>
        <v/>
      </c>
      <c r="AI898" s="52"/>
      <c r="AJ898" s="56"/>
      <c r="AK898" s="59"/>
      <c r="AL898" s="60"/>
      <c r="AM898" s="54"/>
      <c r="AN898" s="64"/>
      <c r="AO898" s="26"/>
      <c r="AP898" s="93"/>
      <c r="AQ898" s="87"/>
      <c r="AR898" s="26"/>
      <c r="AS898" s="65"/>
      <c r="AT898" s="88"/>
      <c r="AU898" s="67"/>
      <c r="DA898" t="str" cm="1">
        <f t="array" ref="DA898">IF(U898&lt;&gt;"", TRANSPOSE(_xlfn._xlws.FILTER(CZ:CZ, CY:CY=U898, "")), "")</f>
        <v/>
      </c>
    </row>
    <row r="899" spans="2:105">
      <c r="B899" s="35">
        <v>895</v>
      </c>
      <c r="C899" s="36" t="s">
        <v>2764</v>
      </c>
      <c r="D899" s="76"/>
      <c r="E899" s="37" t="str">
        <f>IF(Table5[[#This Row],[Query Date]]&lt;&gt;"", TEXT(Table5[[#This Row],[Query Date]], "dddd"), "")</f>
        <v/>
      </c>
      <c r="F899" s="37" t="str">
        <f>IF(Table5[[#This Row],[Query Date]]&lt;&gt;"", TEXT(Table5[[#This Row],[Query Date]], "mmmm"), "")</f>
        <v/>
      </c>
      <c r="G899" s="28"/>
      <c r="H899" s="28"/>
      <c r="I899" s="28"/>
      <c r="J899" s="28"/>
      <c r="K899" s="28"/>
      <c r="L899" s="25"/>
      <c r="M899" s="25"/>
      <c r="N899" s="25"/>
      <c r="O899" s="130"/>
      <c r="P899" s="47"/>
      <c r="Q899" s="77"/>
      <c r="R899" s="77" t="str">
        <f>IF(Table5[[#This Row],[Tour Starting Date]]&lt;&gt;"", TEXT(Table5[[#This Row],[Tour Starting Date]], "dddd"), "")</f>
        <v/>
      </c>
      <c r="S899" s="77"/>
      <c r="T899" s="25" t="str">
        <f>IF(Table5[[#This Row],[Tour Ending Date]]&lt;&gt;"", TEXT(Table5[[#This Row],[Tour Ending Date]], "dddd"), "")</f>
        <v/>
      </c>
      <c r="U89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899" s="37" t="str">
        <f>IF(Table5[[#This Row],[Tour Starting Date]]&lt;&gt;"", TEXT(Table5[[#This Row],[Tour Starting Date]], "mmmm"), "")</f>
        <v/>
      </c>
      <c r="W899" s="80" t="str" cm="1">
        <f t="array" ref="W899">IF(Q899&lt;&gt;"", INDEX(CI:CI, MATCH(1, (Q899&gt;=CG:CG)*(Q899&lt;=CH:CH), 0)), "")</f>
        <v/>
      </c>
      <c r="X899" s="39"/>
      <c r="Y899" s="74"/>
      <c r="Z899" s="74" t="str">
        <f>IF(OR(Table5[[#This Row],[Per Person Package Cost]]="", Table5[[#This Row],[No. of Pax]]=""), "", Table5[[#This Row],[Per Person Package Cost]] * Table5[[#This Row],[No. of Pax]])</f>
        <v/>
      </c>
      <c r="AA899" s="52"/>
      <c r="AB899" s="52"/>
      <c r="AC899" s="52"/>
      <c r="AD899" s="52"/>
      <c r="AE899" s="51" t="str">
        <f t="shared" si="77"/>
        <v/>
      </c>
      <c r="AF899" s="51" t="str">
        <f t="shared" si="78"/>
        <v/>
      </c>
      <c r="AG899" s="74" t="str">
        <f t="shared" si="79"/>
        <v/>
      </c>
      <c r="AH899" s="73" t="str">
        <f t="shared" si="80"/>
        <v/>
      </c>
      <c r="AI899" s="52"/>
      <c r="AJ899" s="56"/>
      <c r="AK899" s="59"/>
      <c r="AL899" s="60"/>
      <c r="AM899" s="54"/>
      <c r="AN899" s="64"/>
      <c r="AO899" s="26"/>
      <c r="AP899" s="93"/>
      <c r="AQ899" s="87"/>
      <c r="AR899" s="26"/>
      <c r="AS899" s="65"/>
      <c r="AT899" s="88"/>
      <c r="AU899" s="67"/>
      <c r="DA899" t="str" cm="1">
        <f t="array" ref="DA899">IF(U899&lt;&gt;"", TRANSPOSE(_xlfn._xlws.FILTER(CZ:CZ, CY:CY=U899, "")), "")</f>
        <v/>
      </c>
    </row>
    <row r="900" spans="2:105">
      <c r="B900" s="35">
        <v>896</v>
      </c>
      <c r="C900" s="36" t="s">
        <v>2765</v>
      </c>
      <c r="D900" s="76"/>
      <c r="E900" s="37" t="str">
        <f>IF(Table5[[#This Row],[Query Date]]&lt;&gt;"", TEXT(Table5[[#This Row],[Query Date]], "dddd"), "")</f>
        <v/>
      </c>
      <c r="F900" s="37" t="str">
        <f>IF(Table5[[#This Row],[Query Date]]&lt;&gt;"", TEXT(Table5[[#This Row],[Query Date]], "mmmm"), "")</f>
        <v/>
      </c>
      <c r="G900" s="28"/>
      <c r="H900" s="28"/>
      <c r="I900" s="28"/>
      <c r="J900" s="28"/>
      <c r="K900" s="28"/>
      <c r="L900" s="25"/>
      <c r="M900" s="25"/>
      <c r="N900" s="25"/>
      <c r="O900" s="130"/>
      <c r="P900" s="47"/>
      <c r="Q900" s="77"/>
      <c r="R900" s="77" t="str">
        <f>IF(Table5[[#This Row],[Tour Starting Date]]&lt;&gt;"", TEXT(Table5[[#This Row],[Tour Starting Date]], "dddd"), "")</f>
        <v/>
      </c>
      <c r="S900" s="77"/>
      <c r="T900" s="25" t="str">
        <f>IF(Table5[[#This Row],[Tour Ending Date]]&lt;&gt;"", TEXT(Table5[[#This Row],[Tour Ending Date]], "dddd"), "")</f>
        <v/>
      </c>
      <c r="U90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00" s="37" t="str">
        <f>IF(Table5[[#This Row],[Tour Starting Date]]&lt;&gt;"", TEXT(Table5[[#This Row],[Tour Starting Date]], "mmmm"), "")</f>
        <v/>
      </c>
      <c r="W900" s="80" t="str" cm="1">
        <f t="array" ref="W900">IF(Q900&lt;&gt;"", INDEX(CI:CI, MATCH(1, (Q900&gt;=CG:CG)*(Q900&lt;=CH:CH), 0)), "")</f>
        <v/>
      </c>
      <c r="X900" s="39"/>
      <c r="Y900" s="74"/>
      <c r="Z900" s="74" t="str">
        <f>IF(OR(Table5[[#This Row],[Per Person Package Cost]]="", Table5[[#This Row],[No. of Pax]]=""), "", Table5[[#This Row],[Per Person Package Cost]] * Table5[[#This Row],[No. of Pax]])</f>
        <v/>
      </c>
      <c r="AA900" s="52"/>
      <c r="AB900" s="52"/>
      <c r="AC900" s="52"/>
      <c r="AD900" s="52"/>
      <c r="AE900" s="51" t="str">
        <f t="shared" si="77"/>
        <v/>
      </c>
      <c r="AF900" s="51" t="str">
        <f t="shared" si="78"/>
        <v/>
      </c>
      <c r="AG900" s="74" t="str">
        <f t="shared" si="79"/>
        <v/>
      </c>
      <c r="AH900" s="73" t="str">
        <f t="shared" si="80"/>
        <v/>
      </c>
      <c r="AI900" s="52"/>
      <c r="AJ900" s="56"/>
      <c r="AK900" s="59"/>
      <c r="AL900" s="60"/>
      <c r="AM900" s="54"/>
      <c r="AN900" s="64"/>
      <c r="AO900" s="26"/>
      <c r="AP900" s="93"/>
      <c r="AQ900" s="87"/>
      <c r="AR900" s="26"/>
      <c r="AS900" s="65"/>
      <c r="AT900" s="88"/>
      <c r="AU900" s="67"/>
      <c r="DA900" t="str" cm="1">
        <f t="array" ref="DA900">IF(U900&lt;&gt;"", TRANSPOSE(_xlfn._xlws.FILTER(CZ:CZ, CY:CY=U900, "")), "")</f>
        <v/>
      </c>
    </row>
    <row r="901" spans="2:105">
      <c r="B901" s="35">
        <v>897</v>
      </c>
      <c r="C901" s="36" t="s">
        <v>2766</v>
      </c>
      <c r="D901" s="76"/>
      <c r="E901" s="37" t="str">
        <f>IF(Table5[[#This Row],[Query Date]]&lt;&gt;"", TEXT(Table5[[#This Row],[Query Date]], "dddd"), "")</f>
        <v/>
      </c>
      <c r="F901" s="37" t="str">
        <f>IF(Table5[[#This Row],[Query Date]]&lt;&gt;"", TEXT(Table5[[#This Row],[Query Date]], "mmmm"), "")</f>
        <v/>
      </c>
      <c r="G901" s="28"/>
      <c r="H901" s="28"/>
      <c r="I901" s="28"/>
      <c r="J901" s="28"/>
      <c r="K901" s="28"/>
      <c r="L901" s="25"/>
      <c r="M901" s="25"/>
      <c r="N901" s="25"/>
      <c r="O901" s="130"/>
      <c r="P901" s="47"/>
      <c r="Q901" s="77"/>
      <c r="R901" s="77" t="str">
        <f>IF(Table5[[#This Row],[Tour Starting Date]]&lt;&gt;"", TEXT(Table5[[#This Row],[Tour Starting Date]], "dddd"), "")</f>
        <v/>
      </c>
      <c r="S901" s="77"/>
      <c r="T901" s="25" t="str">
        <f>IF(Table5[[#This Row],[Tour Ending Date]]&lt;&gt;"", TEXT(Table5[[#This Row],[Tour Ending Date]], "dddd"), "")</f>
        <v/>
      </c>
      <c r="U90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01" s="37" t="str">
        <f>IF(Table5[[#This Row],[Tour Starting Date]]&lt;&gt;"", TEXT(Table5[[#This Row],[Tour Starting Date]], "mmmm"), "")</f>
        <v/>
      </c>
      <c r="W901" s="80" t="str" cm="1">
        <f t="array" ref="W901">IF(Q901&lt;&gt;"", INDEX(CI:CI, MATCH(1, (Q901&gt;=CG:CG)*(Q901&lt;=CH:CH), 0)), "")</f>
        <v/>
      </c>
      <c r="X901" s="39"/>
      <c r="Y901" s="74"/>
      <c r="Z901" s="74" t="str">
        <f>IF(OR(Table5[[#This Row],[Per Person Package Cost]]="", Table5[[#This Row],[No. of Pax]]=""), "", Table5[[#This Row],[Per Person Package Cost]] * Table5[[#This Row],[No. of Pax]])</f>
        <v/>
      </c>
      <c r="AA901" s="52"/>
      <c r="AB901" s="52"/>
      <c r="AC901" s="52"/>
      <c r="AD901" s="52"/>
      <c r="AE901" s="51" t="str">
        <f t="shared" ref="AE901:AE964" si="81">IF(AD901&lt;&gt;"", INDEX(CW:CW, MATCH(AD901, CZ:CZ, 0)), "")</f>
        <v/>
      </c>
      <c r="AF901" s="51" t="str">
        <f t="shared" ref="AF901:AF964" si="82">IF(AD901&lt;&gt;"", INDEX(CX:CX, MATCH(AD901, CZ:CZ, 0)), "")</f>
        <v/>
      </c>
      <c r="AG901" s="74" t="str">
        <f t="shared" ref="AG901:AG964" si="83">IF(AE901&lt;&gt;"", INDEX(CU:CU, MATCH(AE901, CW:CW, 0)), "")</f>
        <v/>
      </c>
      <c r="AH901" s="73" t="str">
        <f t="shared" si="80"/>
        <v/>
      </c>
      <c r="AI901" s="52"/>
      <c r="AJ901" s="56"/>
      <c r="AK901" s="59"/>
      <c r="AL901" s="60"/>
      <c r="AM901" s="54"/>
      <c r="AN901" s="64"/>
      <c r="AO901" s="26"/>
      <c r="AP901" s="93"/>
      <c r="AQ901" s="87"/>
      <c r="AR901" s="26"/>
      <c r="AS901" s="65"/>
      <c r="AT901" s="88"/>
      <c r="AU901" s="67"/>
      <c r="DA901" t="str" cm="1">
        <f t="array" ref="DA901">IF(U901&lt;&gt;"", TRANSPOSE(_xlfn._xlws.FILTER(CZ:CZ, CY:CY=U901, "")), "")</f>
        <v/>
      </c>
    </row>
    <row r="902" spans="2:105">
      <c r="B902" s="35">
        <v>898</v>
      </c>
      <c r="C902" s="36" t="s">
        <v>2767</v>
      </c>
      <c r="D902" s="76"/>
      <c r="E902" s="37" t="str">
        <f>IF(Table5[[#This Row],[Query Date]]&lt;&gt;"", TEXT(Table5[[#This Row],[Query Date]], "dddd"), "")</f>
        <v/>
      </c>
      <c r="F902" s="37" t="str">
        <f>IF(Table5[[#This Row],[Query Date]]&lt;&gt;"", TEXT(Table5[[#This Row],[Query Date]], "mmmm"), "")</f>
        <v/>
      </c>
      <c r="G902" s="28"/>
      <c r="H902" s="28"/>
      <c r="I902" s="28"/>
      <c r="J902" s="28"/>
      <c r="K902" s="28"/>
      <c r="L902" s="25"/>
      <c r="M902" s="25"/>
      <c r="N902" s="25"/>
      <c r="O902" s="130"/>
      <c r="P902" s="47"/>
      <c r="Q902" s="77"/>
      <c r="R902" s="77" t="str">
        <f>IF(Table5[[#This Row],[Tour Starting Date]]&lt;&gt;"", TEXT(Table5[[#This Row],[Tour Starting Date]], "dddd"), "")</f>
        <v/>
      </c>
      <c r="S902" s="77"/>
      <c r="T902" s="25" t="str">
        <f>IF(Table5[[#This Row],[Tour Ending Date]]&lt;&gt;"", TEXT(Table5[[#This Row],[Tour Ending Date]], "dddd"), "")</f>
        <v/>
      </c>
      <c r="U90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02" s="37" t="str">
        <f>IF(Table5[[#This Row],[Tour Starting Date]]&lt;&gt;"", TEXT(Table5[[#This Row],[Tour Starting Date]], "mmmm"), "")</f>
        <v/>
      </c>
      <c r="W902" s="80" t="str" cm="1">
        <f t="array" ref="W902">IF(Q902&lt;&gt;"", INDEX(CI:CI, MATCH(1, (Q902&gt;=CG:CG)*(Q902&lt;=CH:CH), 0)), "")</f>
        <v/>
      </c>
      <c r="X902" s="39"/>
      <c r="Y902" s="74"/>
      <c r="Z902" s="74" t="str">
        <f>IF(OR(Table5[[#This Row],[Per Person Package Cost]]="", Table5[[#This Row],[No. of Pax]]=""), "", Table5[[#This Row],[Per Person Package Cost]] * Table5[[#This Row],[No. of Pax]])</f>
        <v/>
      </c>
      <c r="AA902" s="52"/>
      <c r="AB902" s="52"/>
      <c r="AC902" s="52"/>
      <c r="AD902" s="52"/>
      <c r="AE902" s="51" t="str">
        <f t="shared" si="81"/>
        <v/>
      </c>
      <c r="AF902" s="51" t="str">
        <f t="shared" si="82"/>
        <v/>
      </c>
      <c r="AG902" s="74" t="str">
        <f t="shared" si="83"/>
        <v/>
      </c>
      <c r="AH902" s="73" t="str">
        <f t="shared" si="80"/>
        <v/>
      </c>
      <c r="AI902" s="52"/>
      <c r="AJ902" s="56"/>
      <c r="AK902" s="59"/>
      <c r="AL902" s="60"/>
      <c r="AM902" s="54"/>
      <c r="AN902" s="64"/>
      <c r="AO902" s="26"/>
      <c r="AP902" s="93"/>
      <c r="AQ902" s="87"/>
      <c r="AR902" s="26"/>
      <c r="AS902" s="65"/>
      <c r="AT902" s="88"/>
      <c r="AU902" s="67"/>
      <c r="DA902" t="str" cm="1">
        <f t="array" ref="DA902">IF(U902&lt;&gt;"", TRANSPOSE(_xlfn._xlws.FILTER(CZ:CZ, CY:CY=U902, "")), "")</f>
        <v/>
      </c>
    </row>
    <row r="903" spans="2:105">
      <c r="B903" s="35">
        <v>899</v>
      </c>
      <c r="C903" s="36" t="s">
        <v>2768</v>
      </c>
      <c r="D903" s="76"/>
      <c r="E903" s="37" t="str">
        <f>IF(Table5[[#This Row],[Query Date]]&lt;&gt;"", TEXT(Table5[[#This Row],[Query Date]], "dddd"), "")</f>
        <v/>
      </c>
      <c r="F903" s="37" t="str">
        <f>IF(Table5[[#This Row],[Query Date]]&lt;&gt;"", TEXT(Table5[[#This Row],[Query Date]], "mmmm"), "")</f>
        <v/>
      </c>
      <c r="G903" s="28"/>
      <c r="H903" s="28"/>
      <c r="I903" s="28"/>
      <c r="J903" s="28"/>
      <c r="K903" s="28"/>
      <c r="L903" s="25"/>
      <c r="M903" s="25"/>
      <c r="N903" s="25"/>
      <c r="O903" s="130"/>
      <c r="P903" s="47"/>
      <c r="Q903" s="77"/>
      <c r="R903" s="77" t="str">
        <f>IF(Table5[[#This Row],[Tour Starting Date]]&lt;&gt;"", TEXT(Table5[[#This Row],[Tour Starting Date]], "dddd"), "")</f>
        <v/>
      </c>
      <c r="S903" s="77"/>
      <c r="T903" s="25" t="str">
        <f>IF(Table5[[#This Row],[Tour Ending Date]]&lt;&gt;"", TEXT(Table5[[#This Row],[Tour Ending Date]], "dddd"), "")</f>
        <v/>
      </c>
      <c r="U90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03" s="37" t="str">
        <f>IF(Table5[[#This Row],[Tour Starting Date]]&lt;&gt;"", TEXT(Table5[[#This Row],[Tour Starting Date]], "mmmm"), "")</f>
        <v/>
      </c>
      <c r="W903" s="80" t="str" cm="1">
        <f t="array" ref="W903">IF(Q903&lt;&gt;"", INDEX(CI:CI, MATCH(1, (Q903&gt;=CG:CG)*(Q903&lt;=CH:CH), 0)), "")</f>
        <v/>
      </c>
      <c r="X903" s="39"/>
      <c r="Y903" s="74"/>
      <c r="Z903" s="74" t="str">
        <f>IF(OR(Table5[[#This Row],[Per Person Package Cost]]="", Table5[[#This Row],[No. of Pax]]=""), "", Table5[[#This Row],[Per Person Package Cost]] * Table5[[#This Row],[No. of Pax]])</f>
        <v/>
      </c>
      <c r="AA903" s="52"/>
      <c r="AB903" s="52"/>
      <c r="AC903" s="52"/>
      <c r="AD903" s="52"/>
      <c r="AE903" s="51" t="str">
        <f t="shared" si="81"/>
        <v/>
      </c>
      <c r="AF903" s="51" t="str">
        <f t="shared" si="82"/>
        <v/>
      </c>
      <c r="AG903" s="74" t="str">
        <f t="shared" si="83"/>
        <v/>
      </c>
      <c r="AH903" s="73" t="str">
        <f t="shared" si="80"/>
        <v/>
      </c>
      <c r="AI903" s="52"/>
      <c r="AJ903" s="56"/>
      <c r="AK903" s="59"/>
      <c r="AL903" s="60"/>
      <c r="AM903" s="54"/>
      <c r="AN903" s="64"/>
      <c r="AO903" s="26"/>
      <c r="AP903" s="93"/>
      <c r="AQ903" s="87"/>
      <c r="AR903" s="26"/>
      <c r="AS903" s="65"/>
      <c r="AT903" s="88"/>
      <c r="AU903" s="67"/>
      <c r="DA903" t="str" cm="1">
        <f t="array" ref="DA903">IF(U903&lt;&gt;"", TRANSPOSE(_xlfn._xlws.FILTER(CZ:CZ, CY:CY=U903, "")), "")</f>
        <v/>
      </c>
    </row>
    <row r="904" spans="2:105">
      <c r="B904" s="35">
        <v>900</v>
      </c>
      <c r="C904" s="36" t="s">
        <v>2769</v>
      </c>
      <c r="D904" s="76"/>
      <c r="E904" s="37" t="str">
        <f>IF(Table5[[#This Row],[Query Date]]&lt;&gt;"", TEXT(Table5[[#This Row],[Query Date]], "dddd"), "")</f>
        <v/>
      </c>
      <c r="F904" s="37" t="str">
        <f>IF(Table5[[#This Row],[Query Date]]&lt;&gt;"", TEXT(Table5[[#This Row],[Query Date]], "mmmm"), "")</f>
        <v/>
      </c>
      <c r="G904" s="28"/>
      <c r="H904" s="28"/>
      <c r="I904" s="28"/>
      <c r="J904" s="28"/>
      <c r="K904" s="28"/>
      <c r="L904" s="25"/>
      <c r="M904" s="25"/>
      <c r="N904" s="25"/>
      <c r="O904" s="130"/>
      <c r="P904" s="47"/>
      <c r="Q904" s="77"/>
      <c r="R904" s="77" t="str">
        <f>IF(Table5[[#This Row],[Tour Starting Date]]&lt;&gt;"", TEXT(Table5[[#This Row],[Tour Starting Date]], "dddd"), "")</f>
        <v/>
      </c>
      <c r="S904" s="77"/>
      <c r="T904" s="25" t="str">
        <f>IF(Table5[[#This Row],[Tour Ending Date]]&lt;&gt;"", TEXT(Table5[[#This Row],[Tour Ending Date]], "dddd"), "")</f>
        <v/>
      </c>
      <c r="U90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04" s="37" t="str">
        <f>IF(Table5[[#This Row],[Tour Starting Date]]&lt;&gt;"", TEXT(Table5[[#This Row],[Tour Starting Date]], "mmmm"), "")</f>
        <v/>
      </c>
      <c r="W904" s="80" t="str" cm="1">
        <f t="array" ref="W904">IF(Q904&lt;&gt;"", INDEX(CI:CI, MATCH(1, (Q904&gt;=CG:CG)*(Q904&lt;=CH:CH), 0)), "")</f>
        <v/>
      </c>
      <c r="X904" s="39"/>
      <c r="Y904" s="74"/>
      <c r="Z904" s="74" t="str">
        <f>IF(OR(Table5[[#This Row],[Per Person Package Cost]]="", Table5[[#This Row],[No. of Pax]]=""), "", Table5[[#This Row],[Per Person Package Cost]] * Table5[[#This Row],[No. of Pax]])</f>
        <v/>
      </c>
      <c r="AA904" s="52"/>
      <c r="AB904" s="52"/>
      <c r="AC904" s="52"/>
      <c r="AD904" s="52"/>
      <c r="AE904" s="51" t="str">
        <f t="shared" si="81"/>
        <v/>
      </c>
      <c r="AF904" s="51" t="str">
        <f t="shared" si="82"/>
        <v/>
      </c>
      <c r="AG904" s="74" t="str">
        <f t="shared" si="83"/>
        <v/>
      </c>
      <c r="AH904" s="73" t="str">
        <f t="shared" si="80"/>
        <v/>
      </c>
      <c r="AI904" s="52"/>
      <c r="AJ904" s="56"/>
      <c r="AK904" s="59"/>
      <c r="AL904" s="60"/>
      <c r="AM904" s="54"/>
      <c r="AN904" s="64"/>
      <c r="AO904" s="26"/>
      <c r="AP904" s="93"/>
      <c r="AQ904" s="87"/>
      <c r="AR904" s="26"/>
      <c r="AS904" s="65"/>
      <c r="AT904" s="88"/>
      <c r="AU904" s="67"/>
      <c r="DA904" t="str" cm="1">
        <f t="array" ref="DA904">IF(U904&lt;&gt;"", TRANSPOSE(_xlfn._xlws.FILTER(CZ:CZ, CY:CY=U904, "")), "")</f>
        <v/>
      </c>
    </row>
    <row r="905" spans="2:105">
      <c r="B905" s="35">
        <v>901</v>
      </c>
      <c r="C905" s="36" t="s">
        <v>2770</v>
      </c>
      <c r="D905" s="76"/>
      <c r="E905" s="37" t="str">
        <f>IF(Table5[[#This Row],[Query Date]]&lt;&gt;"", TEXT(Table5[[#This Row],[Query Date]], "dddd"), "")</f>
        <v/>
      </c>
      <c r="F905" s="37" t="str">
        <f>IF(Table5[[#This Row],[Query Date]]&lt;&gt;"", TEXT(Table5[[#This Row],[Query Date]], "mmmm"), "")</f>
        <v/>
      </c>
      <c r="G905" s="28"/>
      <c r="H905" s="28"/>
      <c r="I905" s="28"/>
      <c r="J905" s="28"/>
      <c r="K905" s="28"/>
      <c r="L905" s="25"/>
      <c r="M905" s="25"/>
      <c r="N905" s="25"/>
      <c r="O905" s="130"/>
      <c r="P905" s="47"/>
      <c r="Q905" s="77"/>
      <c r="R905" s="77" t="str">
        <f>IF(Table5[[#This Row],[Tour Starting Date]]&lt;&gt;"", TEXT(Table5[[#This Row],[Tour Starting Date]], "dddd"), "")</f>
        <v/>
      </c>
      <c r="S905" s="77"/>
      <c r="T905" s="25" t="str">
        <f>IF(Table5[[#This Row],[Tour Ending Date]]&lt;&gt;"", TEXT(Table5[[#This Row],[Tour Ending Date]], "dddd"), "")</f>
        <v/>
      </c>
      <c r="U90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05" s="37" t="str">
        <f>IF(Table5[[#This Row],[Tour Starting Date]]&lt;&gt;"", TEXT(Table5[[#This Row],[Tour Starting Date]], "mmmm"), "")</f>
        <v/>
      </c>
      <c r="W905" s="80" t="str" cm="1">
        <f t="array" ref="W905">IF(Q905&lt;&gt;"", INDEX(CI:CI, MATCH(1, (Q905&gt;=CG:CG)*(Q905&lt;=CH:CH), 0)), "")</f>
        <v/>
      </c>
      <c r="X905" s="39"/>
      <c r="Y905" s="74"/>
      <c r="Z905" s="74" t="str">
        <f>IF(OR(Table5[[#This Row],[Per Person Package Cost]]="", Table5[[#This Row],[No. of Pax]]=""), "", Table5[[#This Row],[Per Person Package Cost]] * Table5[[#This Row],[No. of Pax]])</f>
        <v/>
      </c>
      <c r="AA905" s="52"/>
      <c r="AB905" s="52"/>
      <c r="AC905" s="52"/>
      <c r="AD905" s="52"/>
      <c r="AE905" s="51" t="str">
        <f t="shared" si="81"/>
        <v/>
      </c>
      <c r="AF905" s="51" t="str">
        <f t="shared" si="82"/>
        <v/>
      </c>
      <c r="AG905" s="74" t="str">
        <f t="shared" si="83"/>
        <v/>
      </c>
      <c r="AH905" s="73" t="str">
        <f t="shared" si="80"/>
        <v/>
      </c>
      <c r="AI905" s="52"/>
      <c r="AJ905" s="56"/>
      <c r="AK905" s="59"/>
      <c r="AL905" s="60"/>
      <c r="AM905" s="54"/>
      <c r="AN905" s="64"/>
      <c r="AO905" s="26"/>
      <c r="AP905" s="93"/>
      <c r="AQ905" s="87"/>
      <c r="AR905" s="26"/>
      <c r="AS905" s="65"/>
      <c r="AT905" s="88"/>
      <c r="AU905" s="67"/>
      <c r="DA905" t="str" cm="1">
        <f t="array" ref="DA905">IF(U905&lt;&gt;"", TRANSPOSE(_xlfn._xlws.FILTER(CZ:CZ, CY:CY=U905, "")), "")</f>
        <v/>
      </c>
    </row>
    <row r="906" spans="2:105">
      <c r="B906" s="35">
        <v>902</v>
      </c>
      <c r="C906" s="36" t="s">
        <v>2771</v>
      </c>
      <c r="D906" s="76"/>
      <c r="E906" s="37" t="str">
        <f>IF(Table5[[#This Row],[Query Date]]&lt;&gt;"", TEXT(Table5[[#This Row],[Query Date]], "dddd"), "")</f>
        <v/>
      </c>
      <c r="F906" s="37" t="str">
        <f>IF(Table5[[#This Row],[Query Date]]&lt;&gt;"", TEXT(Table5[[#This Row],[Query Date]], "mmmm"), "")</f>
        <v/>
      </c>
      <c r="G906" s="28"/>
      <c r="H906" s="28"/>
      <c r="I906" s="28"/>
      <c r="J906" s="28"/>
      <c r="K906" s="28"/>
      <c r="L906" s="25"/>
      <c r="M906" s="25"/>
      <c r="N906" s="25"/>
      <c r="O906" s="130"/>
      <c r="P906" s="47"/>
      <c r="Q906" s="77"/>
      <c r="R906" s="77" t="str">
        <f>IF(Table5[[#This Row],[Tour Starting Date]]&lt;&gt;"", TEXT(Table5[[#This Row],[Tour Starting Date]], "dddd"), "")</f>
        <v/>
      </c>
      <c r="S906" s="77"/>
      <c r="T906" s="25" t="str">
        <f>IF(Table5[[#This Row],[Tour Ending Date]]&lt;&gt;"", TEXT(Table5[[#This Row],[Tour Ending Date]], "dddd"), "")</f>
        <v/>
      </c>
      <c r="U90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06" s="37" t="str">
        <f>IF(Table5[[#This Row],[Tour Starting Date]]&lt;&gt;"", TEXT(Table5[[#This Row],[Tour Starting Date]], "mmmm"), "")</f>
        <v/>
      </c>
      <c r="W906" s="80" t="str" cm="1">
        <f t="array" ref="W906">IF(Q906&lt;&gt;"", INDEX(CI:CI, MATCH(1, (Q906&gt;=CG:CG)*(Q906&lt;=CH:CH), 0)), "")</f>
        <v/>
      </c>
      <c r="X906" s="39"/>
      <c r="Y906" s="74"/>
      <c r="Z906" s="74" t="str">
        <f>IF(OR(Table5[[#This Row],[Per Person Package Cost]]="", Table5[[#This Row],[No. of Pax]]=""), "", Table5[[#This Row],[Per Person Package Cost]] * Table5[[#This Row],[No. of Pax]])</f>
        <v/>
      </c>
      <c r="AA906" s="52"/>
      <c r="AB906" s="52"/>
      <c r="AC906" s="52"/>
      <c r="AD906" s="52"/>
      <c r="AE906" s="51" t="str">
        <f t="shared" si="81"/>
        <v/>
      </c>
      <c r="AF906" s="51" t="str">
        <f t="shared" si="82"/>
        <v/>
      </c>
      <c r="AG906" s="74" t="str">
        <f t="shared" si="83"/>
        <v/>
      </c>
      <c r="AH906" s="73" t="str">
        <f t="shared" si="80"/>
        <v/>
      </c>
      <c r="AI906" s="52"/>
      <c r="AJ906" s="56"/>
      <c r="AK906" s="59"/>
      <c r="AL906" s="60"/>
      <c r="AM906" s="54"/>
      <c r="AN906" s="64"/>
      <c r="AO906" s="26"/>
      <c r="AP906" s="93"/>
      <c r="AQ906" s="87"/>
      <c r="AR906" s="26"/>
      <c r="AS906" s="65"/>
      <c r="AT906" s="88"/>
      <c r="AU906" s="67"/>
      <c r="DA906" t="str" cm="1">
        <f t="array" ref="DA906">IF(U906&lt;&gt;"", TRANSPOSE(_xlfn._xlws.FILTER(CZ:CZ, CY:CY=U906, "")), "")</f>
        <v/>
      </c>
    </row>
    <row r="907" spans="2:105">
      <c r="B907" s="35">
        <v>903</v>
      </c>
      <c r="C907" s="36" t="s">
        <v>2772</v>
      </c>
      <c r="D907" s="76"/>
      <c r="E907" s="37" t="str">
        <f>IF(Table5[[#This Row],[Query Date]]&lt;&gt;"", TEXT(Table5[[#This Row],[Query Date]], "dddd"), "")</f>
        <v/>
      </c>
      <c r="F907" s="37" t="str">
        <f>IF(Table5[[#This Row],[Query Date]]&lt;&gt;"", TEXT(Table5[[#This Row],[Query Date]], "mmmm"), "")</f>
        <v/>
      </c>
      <c r="G907" s="28"/>
      <c r="H907" s="28"/>
      <c r="I907" s="28"/>
      <c r="J907" s="28"/>
      <c r="K907" s="28"/>
      <c r="L907" s="25"/>
      <c r="M907" s="25"/>
      <c r="N907" s="25"/>
      <c r="O907" s="130"/>
      <c r="P907" s="47"/>
      <c r="Q907" s="77"/>
      <c r="R907" s="77" t="str">
        <f>IF(Table5[[#This Row],[Tour Starting Date]]&lt;&gt;"", TEXT(Table5[[#This Row],[Tour Starting Date]], "dddd"), "")</f>
        <v/>
      </c>
      <c r="S907" s="77"/>
      <c r="T907" s="25" t="str">
        <f>IF(Table5[[#This Row],[Tour Ending Date]]&lt;&gt;"", TEXT(Table5[[#This Row],[Tour Ending Date]], "dddd"), "")</f>
        <v/>
      </c>
      <c r="U90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07" s="37" t="str">
        <f>IF(Table5[[#This Row],[Tour Starting Date]]&lt;&gt;"", TEXT(Table5[[#This Row],[Tour Starting Date]], "mmmm"), "")</f>
        <v/>
      </c>
      <c r="W907" s="80" t="str" cm="1">
        <f t="array" ref="W907">IF(Q907&lt;&gt;"", INDEX(CI:CI, MATCH(1, (Q907&gt;=CG:CG)*(Q907&lt;=CH:CH), 0)), "")</f>
        <v/>
      </c>
      <c r="X907" s="39"/>
      <c r="Y907" s="74"/>
      <c r="Z907" s="74" t="str">
        <f>IF(OR(Table5[[#This Row],[Per Person Package Cost]]="", Table5[[#This Row],[No. of Pax]]=""), "", Table5[[#This Row],[Per Person Package Cost]] * Table5[[#This Row],[No. of Pax]])</f>
        <v/>
      </c>
      <c r="AA907" s="52"/>
      <c r="AB907" s="52"/>
      <c r="AC907" s="52"/>
      <c r="AD907" s="52"/>
      <c r="AE907" s="51" t="str">
        <f t="shared" si="81"/>
        <v/>
      </c>
      <c r="AF907" s="51" t="str">
        <f t="shared" si="82"/>
        <v/>
      </c>
      <c r="AG907" s="74" t="str">
        <f t="shared" si="83"/>
        <v/>
      </c>
      <c r="AH907" s="73" t="str">
        <f t="shared" si="80"/>
        <v/>
      </c>
      <c r="AI907" s="52"/>
      <c r="AJ907" s="56"/>
      <c r="AK907" s="59"/>
      <c r="AL907" s="60"/>
      <c r="AM907" s="54"/>
      <c r="AN907" s="64"/>
      <c r="AO907" s="26"/>
      <c r="AP907" s="93"/>
      <c r="AQ907" s="87"/>
      <c r="AR907" s="26"/>
      <c r="AS907" s="65"/>
      <c r="AT907" s="88"/>
      <c r="AU907" s="67"/>
      <c r="DA907" t="str" cm="1">
        <f t="array" ref="DA907">IF(U907&lt;&gt;"", TRANSPOSE(_xlfn._xlws.FILTER(CZ:CZ, CY:CY=U907, "")), "")</f>
        <v/>
      </c>
    </row>
    <row r="908" spans="2:105">
      <c r="B908" s="35">
        <v>904</v>
      </c>
      <c r="C908" s="36" t="s">
        <v>2773</v>
      </c>
      <c r="D908" s="76"/>
      <c r="E908" s="37" t="str">
        <f>IF(Table5[[#This Row],[Query Date]]&lt;&gt;"", TEXT(Table5[[#This Row],[Query Date]], "dddd"), "")</f>
        <v/>
      </c>
      <c r="F908" s="37" t="str">
        <f>IF(Table5[[#This Row],[Query Date]]&lt;&gt;"", TEXT(Table5[[#This Row],[Query Date]], "mmmm"), "")</f>
        <v/>
      </c>
      <c r="G908" s="28"/>
      <c r="H908" s="28"/>
      <c r="I908" s="28"/>
      <c r="J908" s="28"/>
      <c r="K908" s="28"/>
      <c r="L908" s="25"/>
      <c r="M908" s="25"/>
      <c r="N908" s="25"/>
      <c r="O908" s="130"/>
      <c r="P908" s="47"/>
      <c r="Q908" s="77"/>
      <c r="R908" s="77" t="str">
        <f>IF(Table5[[#This Row],[Tour Starting Date]]&lt;&gt;"", TEXT(Table5[[#This Row],[Tour Starting Date]], "dddd"), "")</f>
        <v/>
      </c>
      <c r="S908" s="77"/>
      <c r="T908" s="25" t="str">
        <f>IF(Table5[[#This Row],[Tour Ending Date]]&lt;&gt;"", TEXT(Table5[[#This Row],[Tour Ending Date]], "dddd"), "")</f>
        <v/>
      </c>
      <c r="U90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08" s="37" t="str">
        <f>IF(Table5[[#This Row],[Tour Starting Date]]&lt;&gt;"", TEXT(Table5[[#This Row],[Tour Starting Date]], "mmmm"), "")</f>
        <v/>
      </c>
      <c r="W908" s="80" t="str" cm="1">
        <f t="array" ref="W908">IF(Q908&lt;&gt;"", INDEX(CI:CI, MATCH(1, (Q908&gt;=CG:CG)*(Q908&lt;=CH:CH), 0)), "")</f>
        <v/>
      </c>
      <c r="X908" s="39"/>
      <c r="Y908" s="74"/>
      <c r="Z908" s="74" t="str">
        <f>IF(OR(Table5[[#This Row],[Per Person Package Cost]]="", Table5[[#This Row],[No. of Pax]]=""), "", Table5[[#This Row],[Per Person Package Cost]] * Table5[[#This Row],[No. of Pax]])</f>
        <v/>
      </c>
      <c r="AA908" s="52"/>
      <c r="AB908" s="52"/>
      <c r="AC908" s="52"/>
      <c r="AD908" s="52"/>
      <c r="AE908" s="51" t="str">
        <f t="shared" si="81"/>
        <v/>
      </c>
      <c r="AF908" s="51" t="str">
        <f t="shared" si="82"/>
        <v/>
      </c>
      <c r="AG908" s="74" t="str">
        <f t="shared" si="83"/>
        <v/>
      </c>
      <c r="AH908" s="73" t="str">
        <f t="shared" si="80"/>
        <v/>
      </c>
      <c r="AI908" s="52"/>
      <c r="AJ908" s="56"/>
      <c r="AK908" s="59"/>
      <c r="AL908" s="60"/>
      <c r="AM908" s="54"/>
      <c r="AN908" s="64"/>
      <c r="AO908" s="26"/>
      <c r="AP908" s="93"/>
      <c r="AQ908" s="87"/>
      <c r="AR908" s="26"/>
      <c r="AS908" s="65"/>
      <c r="AT908" s="88"/>
      <c r="AU908" s="67"/>
      <c r="DA908" t="str" cm="1">
        <f t="array" ref="DA908">IF(U908&lt;&gt;"", TRANSPOSE(_xlfn._xlws.FILTER(CZ:CZ, CY:CY=U908, "")), "")</f>
        <v/>
      </c>
    </row>
    <row r="909" spans="2:105">
      <c r="B909" s="35">
        <v>905</v>
      </c>
      <c r="C909" s="36" t="s">
        <v>2774</v>
      </c>
      <c r="D909" s="76"/>
      <c r="E909" s="37" t="str">
        <f>IF(Table5[[#This Row],[Query Date]]&lt;&gt;"", TEXT(Table5[[#This Row],[Query Date]], "dddd"), "")</f>
        <v/>
      </c>
      <c r="F909" s="37" t="str">
        <f>IF(Table5[[#This Row],[Query Date]]&lt;&gt;"", TEXT(Table5[[#This Row],[Query Date]], "mmmm"), "")</f>
        <v/>
      </c>
      <c r="G909" s="28"/>
      <c r="H909" s="28"/>
      <c r="I909" s="28"/>
      <c r="J909" s="28"/>
      <c r="K909" s="28"/>
      <c r="L909" s="25"/>
      <c r="M909" s="25"/>
      <c r="N909" s="25"/>
      <c r="O909" s="130"/>
      <c r="P909" s="47"/>
      <c r="Q909" s="77"/>
      <c r="R909" s="77" t="str">
        <f>IF(Table5[[#This Row],[Tour Starting Date]]&lt;&gt;"", TEXT(Table5[[#This Row],[Tour Starting Date]], "dddd"), "")</f>
        <v/>
      </c>
      <c r="S909" s="77"/>
      <c r="T909" s="25" t="str">
        <f>IF(Table5[[#This Row],[Tour Ending Date]]&lt;&gt;"", TEXT(Table5[[#This Row],[Tour Ending Date]], "dddd"), "")</f>
        <v/>
      </c>
      <c r="U90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09" s="37" t="str">
        <f>IF(Table5[[#This Row],[Tour Starting Date]]&lt;&gt;"", TEXT(Table5[[#This Row],[Tour Starting Date]], "mmmm"), "")</f>
        <v/>
      </c>
      <c r="W909" s="80" t="str" cm="1">
        <f t="array" ref="W909">IF(Q909&lt;&gt;"", INDEX(CI:CI, MATCH(1, (Q909&gt;=CG:CG)*(Q909&lt;=CH:CH), 0)), "")</f>
        <v/>
      </c>
      <c r="X909" s="39"/>
      <c r="Y909" s="74"/>
      <c r="Z909" s="74" t="str">
        <f>IF(OR(Table5[[#This Row],[Per Person Package Cost]]="", Table5[[#This Row],[No. of Pax]]=""), "", Table5[[#This Row],[Per Person Package Cost]] * Table5[[#This Row],[No. of Pax]])</f>
        <v/>
      </c>
      <c r="AA909" s="52"/>
      <c r="AB909" s="52"/>
      <c r="AC909" s="52"/>
      <c r="AD909" s="52"/>
      <c r="AE909" s="51" t="str">
        <f t="shared" si="81"/>
        <v/>
      </c>
      <c r="AF909" s="51" t="str">
        <f t="shared" si="82"/>
        <v/>
      </c>
      <c r="AG909" s="74" t="str">
        <f t="shared" si="83"/>
        <v/>
      </c>
      <c r="AH909" s="73" t="str">
        <f t="shared" si="80"/>
        <v/>
      </c>
      <c r="AI909" s="52"/>
      <c r="AJ909" s="56"/>
      <c r="AK909" s="59"/>
      <c r="AL909" s="60"/>
      <c r="AM909" s="54"/>
      <c r="AN909" s="64"/>
      <c r="AO909" s="26"/>
      <c r="AP909" s="93"/>
      <c r="AQ909" s="87"/>
      <c r="AR909" s="26"/>
      <c r="AS909" s="65"/>
      <c r="AT909" s="88"/>
      <c r="AU909" s="67"/>
      <c r="DA909" t="str" cm="1">
        <f t="array" ref="DA909">IF(U909&lt;&gt;"", TRANSPOSE(_xlfn._xlws.FILTER(CZ:CZ, CY:CY=U909, "")), "")</f>
        <v/>
      </c>
    </row>
    <row r="910" spans="2:105">
      <c r="B910" s="35">
        <v>906</v>
      </c>
      <c r="C910" s="36" t="s">
        <v>2775</v>
      </c>
      <c r="D910" s="76"/>
      <c r="E910" s="37" t="str">
        <f>IF(Table5[[#This Row],[Query Date]]&lt;&gt;"", TEXT(Table5[[#This Row],[Query Date]], "dddd"), "")</f>
        <v/>
      </c>
      <c r="F910" s="37" t="str">
        <f>IF(Table5[[#This Row],[Query Date]]&lt;&gt;"", TEXT(Table5[[#This Row],[Query Date]], "mmmm"), "")</f>
        <v/>
      </c>
      <c r="G910" s="28"/>
      <c r="H910" s="28"/>
      <c r="I910" s="28"/>
      <c r="J910" s="28"/>
      <c r="K910" s="28"/>
      <c r="L910" s="25"/>
      <c r="M910" s="25"/>
      <c r="N910" s="25"/>
      <c r="O910" s="130"/>
      <c r="P910" s="47"/>
      <c r="Q910" s="77"/>
      <c r="R910" s="77" t="str">
        <f>IF(Table5[[#This Row],[Tour Starting Date]]&lt;&gt;"", TEXT(Table5[[#This Row],[Tour Starting Date]], "dddd"), "")</f>
        <v/>
      </c>
      <c r="S910" s="77"/>
      <c r="T910" s="25" t="str">
        <f>IF(Table5[[#This Row],[Tour Ending Date]]&lt;&gt;"", TEXT(Table5[[#This Row],[Tour Ending Date]], "dddd"), "")</f>
        <v/>
      </c>
      <c r="U91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10" s="37" t="str">
        <f>IF(Table5[[#This Row],[Tour Starting Date]]&lt;&gt;"", TEXT(Table5[[#This Row],[Tour Starting Date]], "mmmm"), "")</f>
        <v/>
      </c>
      <c r="W910" s="80" t="str" cm="1">
        <f t="array" ref="W910">IF(Q910&lt;&gt;"", INDEX(CI:CI, MATCH(1, (Q910&gt;=CG:CG)*(Q910&lt;=CH:CH), 0)), "")</f>
        <v/>
      </c>
      <c r="X910" s="39"/>
      <c r="Y910" s="74"/>
      <c r="Z910" s="74" t="str">
        <f>IF(OR(Table5[[#This Row],[Per Person Package Cost]]="", Table5[[#This Row],[No. of Pax]]=""), "", Table5[[#This Row],[Per Person Package Cost]] * Table5[[#This Row],[No. of Pax]])</f>
        <v/>
      </c>
      <c r="AA910" s="52"/>
      <c r="AB910" s="52"/>
      <c r="AC910" s="52"/>
      <c r="AD910" s="52"/>
      <c r="AE910" s="51" t="str">
        <f t="shared" si="81"/>
        <v/>
      </c>
      <c r="AF910" s="51" t="str">
        <f t="shared" si="82"/>
        <v/>
      </c>
      <c r="AG910" s="74" t="str">
        <f t="shared" si="83"/>
        <v/>
      </c>
      <c r="AH910" s="73" t="str">
        <f t="shared" si="80"/>
        <v/>
      </c>
      <c r="AI910" s="52"/>
      <c r="AJ910" s="56"/>
      <c r="AK910" s="59"/>
      <c r="AL910" s="60"/>
      <c r="AM910" s="54"/>
      <c r="AN910" s="64"/>
      <c r="AO910" s="26"/>
      <c r="AP910" s="93"/>
      <c r="AQ910" s="87"/>
      <c r="AR910" s="26"/>
      <c r="AS910" s="65"/>
      <c r="AT910" s="88"/>
      <c r="AU910" s="67"/>
      <c r="DA910" t="str" cm="1">
        <f t="array" ref="DA910">IF(U910&lt;&gt;"", TRANSPOSE(_xlfn._xlws.FILTER(CZ:CZ, CY:CY=U910, "")), "")</f>
        <v/>
      </c>
    </row>
    <row r="911" spans="2:105">
      <c r="B911" s="35">
        <v>907</v>
      </c>
      <c r="C911" s="36" t="s">
        <v>2776</v>
      </c>
      <c r="D911" s="76"/>
      <c r="E911" s="37" t="str">
        <f>IF(Table5[[#This Row],[Query Date]]&lt;&gt;"", TEXT(Table5[[#This Row],[Query Date]], "dddd"), "")</f>
        <v/>
      </c>
      <c r="F911" s="37" t="str">
        <f>IF(Table5[[#This Row],[Query Date]]&lt;&gt;"", TEXT(Table5[[#This Row],[Query Date]], "mmmm"), "")</f>
        <v/>
      </c>
      <c r="G911" s="28"/>
      <c r="H911" s="28"/>
      <c r="I911" s="28"/>
      <c r="J911" s="28"/>
      <c r="K911" s="28"/>
      <c r="L911" s="25"/>
      <c r="M911" s="25"/>
      <c r="N911" s="25"/>
      <c r="O911" s="130"/>
      <c r="P911" s="47"/>
      <c r="Q911" s="77"/>
      <c r="R911" s="77" t="str">
        <f>IF(Table5[[#This Row],[Tour Starting Date]]&lt;&gt;"", TEXT(Table5[[#This Row],[Tour Starting Date]], "dddd"), "")</f>
        <v/>
      </c>
      <c r="S911" s="77"/>
      <c r="T911" s="25" t="str">
        <f>IF(Table5[[#This Row],[Tour Ending Date]]&lt;&gt;"", TEXT(Table5[[#This Row],[Tour Ending Date]], "dddd"), "")</f>
        <v/>
      </c>
      <c r="U91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11" s="37" t="str">
        <f>IF(Table5[[#This Row],[Tour Starting Date]]&lt;&gt;"", TEXT(Table5[[#This Row],[Tour Starting Date]], "mmmm"), "")</f>
        <v/>
      </c>
      <c r="W911" s="80" t="str" cm="1">
        <f t="array" ref="W911">IF(Q911&lt;&gt;"", INDEX(CI:CI, MATCH(1, (Q911&gt;=CG:CG)*(Q911&lt;=CH:CH), 0)), "")</f>
        <v/>
      </c>
      <c r="X911" s="39"/>
      <c r="Y911" s="74"/>
      <c r="Z911" s="74" t="str">
        <f>IF(OR(Table5[[#This Row],[Per Person Package Cost]]="", Table5[[#This Row],[No. of Pax]]=""), "", Table5[[#This Row],[Per Person Package Cost]] * Table5[[#This Row],[No. of Pax]])</f>
        <v/>
      </c>
      <c r="AA911" s="52"/>
      <c r="AB911" s="52"/>
      <c r="AC911" s="52"/>
      <c r="AD911" s="52"/>
      <c r="AE911" s="51" t="str">
        <f t="shared" si="81"/>
        <v/>
      </c>
      <c r="AF911" s="51" t="str">
        <f t="shared" si="82"/>
        <v/>
      </c>
      <c r="AG911" s="74" t="str">
        <f t="shared" si="83"/>
        <v/>
      </c>
      <c r="AH911" s="73" t="str">
        <f t="shared" si="80"/>
        <v/>
      </c>
      <c r="AI911" s="52"/>
      <c r="AJ911" s="56"/>
      <c r="AK911" s="59"/>
      <c r="AL911" s="60"/>
      <c r="AM911" s="54"/>
      <c r="AN911" s="64"/>
      <c r="AO911" s="26"/>
      <c r="AP911" s="93"/>
      <c r="AQ911" s="87"/>
      <c r="AR911" s="26"/>
      <c r="AS911" s="65"/>
      <c r="AT911" s="88"/>
      <c r="AU911" s="67"/>
      <c r="DA911" t="str" cm="1">
        <f t="array" ref="DA911">IF(U911&lt;&gt;"", TRANSPOSE(_xlfn._xlws.FILTER(CZ:CZ, CY:CY=U911, "")), "")</f>
        <v/>
      </c>
    </row>
    <row r="912" spans="2:105">
      <c r="B912" s="35">
        <v>908</v>
      </c>
      <c r="C912" s="36" t="s">
        <v>2777</v>
      </c>
      <c r="D912" s="76"/>
      <c r="E912" s="37" t="str">
        <f>IF(Table5[[#This Row],[Query Date]]&lt;&gt;"", TEXT(Table5[[#This Row],[Query Date]], "dddd"), "")</f>
        <v/>
      </c>
      <c r="F912" s="37" t="str">
        <f>IF(Table5[[#This Row],[Query Date]]&lt;&gt;"", TEXT(Table5[[#This Row],[Query Date]], "mmmm"), "")</f>
        <v/>
      </c>
      <c r="G912" s="28"/>
      <c r="H912" s="28"/>
      <c r="I912" s="28"/>
      <c r="J912" s="28"/>
      <c r="K912" s="28"/>
      <c r="L912" s="25"/>
      <c r="M912" s="25"/>
      <c r="N912" s="25"/>
      <c r="O912" s="130"/>
      <c r="P912" s="47"/>
      <c r="Q912" s="77"/>
      <c r="R912" s="77" t="str">
        <f>IF(Table5[[#This Row],[Tour Starting Date]]&lt;&gt;"", TEXT(Table5[[#This Row],[Tour Starting Date]], "dddd"), "")</f>
        <v/>
      </c>
      <c r="S912" s="77"/>
      <c r="T912" s="25" t="str">
        <f>IF(Table5[[#This Row],[Tour Ending Date]]&lt;&gt;"", TEXT(Table5[[#This Row],[Tour Ending Date]], "dddd"), "")</f>
        <v/>
      </c>
      <c r="U91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12" s="37" t="str">
        <f>IF(Table5[[#This Row],[Tour Starting Date]]&lt;&gt;"", TEXT(Table5[[#This Row],[Tour Starting Date]], "mmmm"), "")</f>
        <v/>
      </c>
      <c r="W912" s="80" t="str" cm="1">
        <f t="array" ref="W912">IF(Q912&lt;&gt;"", INDEX(CI:CI, MATCH(1, (Q912&gt;=CG:CG)*(Q912&lt;=CH:CH), 0)), "")</f>
        <v/>
      </c>
      <c r="X912" s="39"/>
      <c r="Y912" s="74"/>
      <c r="Z912" s="74" t="str">
        <f>IF(OR(Table5[[#This Row],[Per Person Package Cost]]="", Table5[[#This Row],[No. of Pax]]=""), "", Table5[[#This Row],[Per Person Package Cost]] * Table5[[#This Row],[No. of Pax]])</f>
        <v/>
      </c>
      <c r="AA912" s="52"/>
      <c r="AB912" s="52"/>
      <c r="AC912" s="52"/>
      <c r="AD912" s="52"/>
      <c r="AE912" s="51" t="str">
        <f t="shared" si="81"/>
        <v/>
      </c>
      <c r="AF912" s="51" t="str">
        <f t="shared" si="82"/>
        <v/>
      </c>
      <c r="AG912" s="74" t="str">
        <f t="shared" si="83"/>
        <v/>
      </c>
      <c r="AH912" s="73" t="str">
        <f t="shared" si="80"/>
        <v/>
      </c>
      <c r="AI912" s="52"/>
      <c r="AJ912" s="56"/>
      <c r="AK912" s="59"/>
      <c r="AL912" s="60"/>
      <c r="AM912" s="54"/>
      <c r="AN912" s="64"/>
      <c r="AO912" s="26"/>
      <c r="AP912" s="93"/>
      <c r="AQ912" s="87"/>
      <c r="AR912" s="26"/>
      <c r="AS912" s="65"/>
      <c r="AT912" s="88"/>
      <c r="AU912" s="67"/>
      <c r="DA912" t="str" cm="1">
        <f t="array" ref="DA912">IF(U912&lt;&gt;"", TRANSPOSE(_xlfn._xlws.FILTER(CZ:CZ, CY:CY=U912, "")), "")</f>
        <v/>
      </c>
    </row>
    <row r="913" spans="2:105">
      <c r="B913" s="35">
        <v>909</v>
      </c>
      <c r="C913" s="36" t="s">
        <v>2778</v>
      </c>
      <c r="D913" s="76"/>
      <c r="E913" s="37" t="str">
        <f>IF(Table5[[#This Row],[Query Date]]&lt;&gt;"", TEXT(Table5[[#This Row],[Query Date]], "dddd"), "")</f>
        <v/>
      </c>
      <c r="F913" s="37" t="str">
        <f>IF(Table5[[#This Row],[Query Date]]&lt;&gt;"", TEXT(Table5[[#This Row],[Query Date]], "mmmm"), "")</f>
        <v/>
      </c>
      <c r="G913" s="28"/>
      <c r="H913" s="28"/>
      <c r="I913" s="28"/>
      <c r="J913" s="28"/>
      <c r="K913" s="28"/>
      <c r="L913" s="25"/>
      <c r="M913" s="25"/>
      <c r="N913" s="25"/>
      <c r="O913" s="130"/>
      <c r="P913" s="47"/>
      <c r="Q913" s="77"/>
      <c r="R913" s="77" t="str">
        <f>IF(Table5[[#This Row],[Tour Starting Date]]&lt;&gt;"", TEXT(Table5[[#This Row],[Tour Starting Date]], "dddd"), "")</f>
        <v/>
      </c>
      <c r="S913" s="77"/>
      <c r="T913" s="25" t="str">
        <f>IF(Table5[[#This Row],[Tour Ending Date]]&lt;&gt;"", TEXT(Table5[[#This Row],[Tour Ending Date]], "dddd"), "")</f>
        <v/>
      </c>
      <c r="U91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13" s="37" t="str">
        <f>IF(Table5[[#This Row],[Tour Starting Date]]&lt;&gt;"", TEXT(Table5[[#This Row],[Tour Starting Date]], "mmmm"), "")</f>
        <v/>
      </c>
      <c r="W913" s="80" t="str" cm="1">
        <f t="array" ref="W913">IF(Q913&lt;&gt;"", INDEX(CI:CI, MATCH(1, (Q913&gt;=CG:CG)*(Q913&lt;=CH:CH), 0)), "")</f>
        <v/>
      </c>
      <c r="X913" s="39"/>
      <c r="Y913" s="74"/>
      <c r="Z913" s="74" t="str">
        <f>IF(OR(Table5[[#This Row],[Per Person Package Cost]]="", Table5[[#This Row],[No. of Pax]]=""), "", Table5[[#This Row],[Per Person Package Cost]] * Table5[[#This Row],[No. of Pax]])</f>
        <v/>
      </c>
      <c r="AA913" s="52"/>
      <c r="AB913" s="52"/>
      <c r="AC913" s="52"/>
      <c r="AD913" s="52"/>
      <c r="AE913" s="51" t="str">
        <f t="shared" si="81"/>
        <v/>
      </c>
      <c r="AF913" s="51" t="str">
        <f t="shared" si="82"/>
        <v/>
      </c>
      <c r="AG913" s="74" t="str">
        <f t="shared" si="83"/>
        <v/>
      </c>
      <c r="AH913" s="73" t="str">
        <f t="shared" si="80"/>
        <v/>
      </c>
      <c r="AI913" s="52"/>
      <c r="AJ913" s="56"/>
      <c r="AK913" s="59"/>
      <c r="AL913" s="60"/>
      <c r="AM913" s="54"/>
      <c r="AN913" s="64"/>
      <c r="AO913" s="26"/>
      <c r="AP913" s="93"/>
      <c r="AQ913" s="87"/>
      <c r="AR913" s="26"/>
      <c r="AS913" s="65"/>
      <c r="AT913" s="88"/>
      <c r="AU913" s="67"/>
      <c r="DA913" t="str" cm="1">
        <f t="array" ref="DA913">IF(U913&lt;&gt;"", TRANSPOSE(_xlfn._xlws.FILTER(CZ:CZ, CY:CY=U913, "")), "")</f>
        <v/>
      </c>
    </row>
    <row r="914" spans="2:105">
      <c r="B914" s="35">
        <v>910</v>
      </c>
      <c r="C914" s="36" t="s">
        <v>2779</v>
      </c>
      <c r="D914" s="76"/>
      <c r="E914" s="37" t="str">
        <f>IF(Table5[[#This Row],[Query Date]]&lt;&gt;"", TEXT(Table5[[#This Row],[Query Date]], "dddd"), "")</f>
        <v/>
      </c>
      <c r="F914" s="37" t="str">
        <f>IF(Table5[[#This Row],[Query Date]]&lt;&gt;"", TEXT(Table5[[#This Row],[Query Date]], "mmmm"), "")</f>
        <v/>
      </c>
      <c r="G914" s="28"/>
      <c r="H914" s="28"/>
      <c r="I914" s="28"/>
      <c r="J914" s="28"/>
      <c r="K914" s="28"/>
      <c r="L914" s="25"/>
      <c r="M914" s="25"/>
      <c r="N914" s="25"/>
      <c r="O914" s="130"/>
      <c r="P914" s="47"/>
      <c r="Q914" s="77"/>
      <c r="R914" s="77" t="str">
        <f>IF(Table5[[#This Row],[Tour Starting Date]]&lt;&gt;"", TEXT(Table5[[#This Row],[Tour Starting Date]], "dddd"), "")</f>
        <v/>
      </c>
      <c r="S914" s="77"/>
      <c r="T914" s="25" t="str">
        <f>IF(Table5[[#This Row],[Tour Ending Date]]&lt;&gt;"", TEXT(Table5[[#This Row],[Tour Ending Date]], "dddd"), "")</f>
        <v/>
      </c>
      <c r="U91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14" s="37" t="str">
        <f>IF(Table5[[#This Row],[Tour Starting Date]]&lt;&gt;"", TEXT(Table5[[#This Row],[Tour Starting Date]], "mmmm"), "")</f>
        <v/>
      </c>
      <c r="W914" s="80" t="str" cm="1">
        <f t="array" ref="W914">IF(Q914&lt;&gt;"", INDEX(CI:CI, MATCH(1, (Q914&gt;=CG:CG)*(Q914&lt;=CH:CH), 0)), "")</f>
        <v/>
      </c>
      <c r="X914" s="39"/>
      <c r="Y914" s="74"/>
      <c r="Z914" s="74" t="str">
        <f>IF(OR(Table5[[#This Row],[Per Person Package Cost]]="", Table5[[#This Row],[No. of Pax]]=""), "", Table5[[#This Row],[Per Person Package Cost]] * Table5[[#This Row],[No. of Pax]])</f>
        <v/>
      </c>
      <c r="AA914" s="52"/>
      <c r="AB914" s="52"/>
      <c r="AC914" s="52"/>
      <c r="AD914" s="52"/>
      <c r="AE914" s="51" t="str">
        <f t="shared" si="81"/>
        <v/>
      </c>
      <c r="AF914" s="51" t="str">
        <f t="shared" si="82"/>
        <v/>
      </c>
      <c r="AG914" s="74" t="str">
        <f t="shared" si="83"/>
        <v/>
      </c>
      <c r="AH914" s="73" t="str">
        <f t="shared" si="80"/>
        <v/>
      </c>
      <c r="AI914" s="52"/>
      <c r="AJ914" s="56"/>
      <c r="AK914" s="59"/>
      <c r="AL914" s="60"/>
      <c r="AM914" s="54"/>
      <c r="AN914" s="64"/>
      <c r="AO914" s="26"/>
      <c r="AP914" s="93"/>
      <c r="AQ914" s="87"/>
      <c r="AR914" s="26"/>
      <c r="AS914" s="65"/>
      <c r="AT914" s="88"/>
      <c r="AU914" s="67"/>
      <c r="DA914" t="str" cm="1">
        <f t="array" ref="DA914">IF(U914&lt;&gt;"", TRANSPOSE(_xlfn._xlws.FILTER(CZ:CZ, CY:CY=U914, "")), "")</f>
        <v/>
      </c>
    </row>
    <row r="915" spans="2:105">
      <c r="B915" s="35">
        <v>911</v>
      </c>
      <c r="C915" s="36" t="s">
        <v>2780</v>
      </c>
      <c r="D915" s="76"/>
      <c r="E915" s="37" t="str">
        <f>IF(Table5[[#This Row],[Query Date]]&lt;&gt;"", TEXT(Table5[[#This Row],[Query Date]], "dddd"), "")</f>
        <v/>
      </c>
      <c r="F915" s="37" t="str">
        <f>IF(Table5[[#This Row],[Query Date]]&lt;&gt;"", TEXT(Table5[[#This Row],[Query Date]], "mmmm"), "")</f>
        <v/>
      </c>
      <c r="G915" s="28"/>
      <c r="H915" s="28"/>
      <c r="I915" s="28"/>
      <c r="J915" s="28"/>
      <c r="K915" s="28"/>
      <c r="L915" s="25"/>
      <c r="M915" s="25"/>
      <c r="N915" s="25"/>
      <c r="O915" s="130"/>
      <c r="P915" s="47"/>
      <c r="Q915" s="77"/>
      <c r="R915" s="77" t="str">
        <f>IF(Table5[[#This Row],[Tour Starting Date]]&lt;&gt;"", TEXT(Table5[[#This Row],[Tour Starting Date]], "dddd"), "")</f>
        <v/>
      </c>
      <c r="S915" s="77"/>
      <c r="T915" s="25" t="str">
        <f>IF(Table5[[#This Row],[Tour Ending Date]]&lt;&gt;"", TEXT(Table5[[#This Row],[Tour Ending Date]], "dddd"), "")</f>
        <v/>
      </c>
      <c r="U91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15" s="37" t="str">
        <f>IF(Table5[[#This Row],[Tour Starting Date]]&lt;&gt;"", TEXT(Table5[[#This Row],[Tour Starting Date]], "mmmm"), "")</f>
        <v/>
      </c>
      <c r="W915" s="80" t="str" cm="1">
        <f t="array" ref="W915">IF(Q915&lt;&gt;"", INDEX(CI:CI, MATCH(1, (Q915&gt;=CG:CG)*(Q915&lt;=CH:CH), 0)), "")</f>
        <v/>
      </c>
      <c r="X915" s="39"/>
      <c r="Y915" s="74"/>
      <c r="Z915" s="74" t="str">
        <f>IF(OR(Table5[[#This Row],[Per Person Package Cost]]="", Table5[[#This Row],[No. of Pax]]=""), "", Table5[[#This Row],[Per Person Package Cost]] * Table5[[#This Row],[No. of Pax]])</f>
        <v/>
      </c>
      <c r="AA915" s="52"/>
      <c r="AB915" s="52"/>
      <c r="AC915" s="52"/>
      <c r="AD915" s="52"/>
      <c r="AE915" s="51" t="str">
        <f t="shared" si="81"/>
        <v/>
      </c>
      <c r="AF915" s="51" t="str">
        <f t="shared" si="82"/>
        <v/>
      </c>
      <c r="AG915" s="74" t="str">
        <f t="shared" si="83"/>
        <v/>
      </c>
      <c r="AH915" s="73" t="str">
        <f t="shared" si="80"/>
        <v/>
      </c>
      <c r="AI915" s="52"/>
      <c r="AJ915" s="56"/>
      <c r="AK915" s="59"/>
      <c r="AL915" s="60"/>
      <c r="AM915" s="54"/>
      <c r="AN915" s="64"/>
      <c r="AO915" s="26"/>
      <c r="AP915" s="93"/>
      <c r="AQ915" s="87"/>
      <c r="AR915" s="26"/>
      <c r="AS915" s="65"/>
      <c r="AT915" s="88"/>
      <c r="AU915" s="67"/>
      <c r="DA915" t="str" cm="1">
        <f t="array" ref="DA915">IF(U915&lt;&gt;"", TRANSPOSE(_xlfn._xlws.FILTER(CZ:CZ, CY:CY=U915, "")), "")</f>
        <v/>
      </c>
    </row>
    <row r="916" spans="2:105">
      <c r="B916" s="35">
        <v>912</v>
      </c>
      <c r="C916" s="36" t="s">
        <v>2781</v>
      </c>
      <c r="D916" s="76"/>
      <c r="E916" s="37" t="str">
        <f>IF(Table5[[#This Row],[Query Date]]&lt;&gt;"", TEXT(Table5[[#This Row],[Query Date]], "dddd"), "")</f>
        <v/>
      </c>
      <c r="F916" s="37" t="str">
        <f>IF(Table5[[#This Row],[Query Date]]&lt;&gt;"", TEXT(Table5[[#This Row],[Query Date]], "mmmm"), "")</f>
        <v/>
      </c>
      <c r="G916" s="28"/>
      <c r="H916" s="28"/>
      <c r="I916" s="28"/>
      <c r="J916" s="28"/>
      <c r="K916" s="28"/>
      <c r="L916" s="25"/>
      <c r="M916" s="25"/>
      <c r="N916" s="25"/>
      <c r="O916" s="130"/>
      <c r="P916" s="47"/>
      <c r="Q916" s="77"/>
      <c r="R916" s="77" t="str">
        <f>IF(Table5[[#This Row],[Tour Starting Date]]&lt;&gt;"", TEXT(Table5[[#This Row],[Tour Starting Date]], "dddd"), "")</f>
        <v/>
      </c>
      <c r="S916" s="77"/>
      <c r="T916" s="25" t="str">
        <f>IF(Table5[[#This Row],[Tour Ending Date]]&lt;&gt;"", TEXT(Table5[[#This Row],[Tour Ending Date]], "dddd"), "")</f>
        <v/>
      </c>
      <c r="U91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16" s="37" t="str">
        <f>IF(Table5[[#This Row],[Tour Starting Date]]&lt;&gt;"", TEXT(Table5[[#This Row],[Tour Starting Date]], "mmmm"), "")</f>
        <v/>
      </c>
      <c r="W916" s="80" t="str" cm="1">
        <f t="array" ref="W916">IF(Q916&lt;&gt;"", INDEX(CI:CI, MATCH(1, (Q916&gt;=CG:CG)*(Q916&lt;=CH:CH), 0)), "")</f>
        <v/>
      </c>
      <c r="X916" s="39"/>
      <c r="Y916" s="74"/>
      <c r="Z916" s="74" t="str">
        <f>IF(OR(Table5[[#This Row],[Per Person Package Cost]]="", Table5[[#This Row],[No. of Pax]]=""), "", Table5[[#This Row],[Per Person Package Cost]] * Table5[[#This Row],[No. of Pax]])</f>
        <v/>
      </c>
      <c r="AA916" s="52"/>
      <c r="AB916" s="52"/>
      <c r="AC916" s="52"/>
      <c r="AD916" s="52"/>
      <c r="AE916" s="51" t="str">
        <f t="shared" si="81"/>
        <v/>
      </c>
      <c r="AF916" s="51" t="str">
        <f t="shared" si="82"/>
        <v/>
      </c>
      <c r="AG916" s="74" t="str">
        <f t="shared" si="83"/>
        <v/>
      </c>
      <c r="AH916" s="73" t="str">
        <f t="shared" ref="AH916:AH979" si="84">IF(AD916&lt;&gt;"", INDEX(CV:CV, MATCH(AD916, CZ:CZ, 0)), "")</f>
        <v/>
      </c>
      <c r="AI916" s="52"/>
      <c r="AJ916" s="56"/>
      <c r="AK916" s="59"/>
      <c r="AL916" s="60"/>
      <c r="AM916" s="54"/>
      <c r="AN916" s="64"/>
      <c r="AO916" s="26"/>
      <c r="AP916" s="93"/>
      <c r="AQ916" s="87"/>
      <c r="AR916" s="26"/>
      <c r="AS916" s="65"/>
      <c r="AT916" s="88"/>
      <c r="AU916" s="67"/>
      <c r="DA916" t="str" cm="1">
        <f t="array" ref="DA916">IF(U916&lt;&gt;"", TRANSPOSE(_xlfn._xlws.FILTER(CZ:CZ, CY:CY=U916, "")), "")</f>
        <v/>
      </c>
    </row>
    <row r="917" spans="2:105">
      <c r="B917" s="35">
        <v>913</v>
      </c>
      <c r="C917" s="36" t="s">
        <v>2782</v>
      </c>
      <c r="D917" s="76"/>
      <c r="E917" s="37" t="str">
        <f>IF(Table5[[#This Row],[Query Date]]&lt;&gt;"", TEXT(Table5[[#This Row],[Query Date]], "dddd"), "")</f>
        <v/>
      </c>
      <c r="F917" s="37" t="str">
        <f>IF(Table5[[#This Row],[Query Date]]&lt;&gt;"", TEXT(Table5[[#This Row],[Query Date]], "mmmm"), "")</f>
        <v/>
      </c>
      <c r="G917" s="28"/>
      <c r="H917" s="28"/>
      <c r="I917" s="28"/>
      <c r="J917" s="28"/>
      <c r="K917" s="28"/>
      <c r="L917" s="25"/>
      <c r="M917" s="25"/>
      <c r="N917" s="25"/>
      <c r="O917" s="130"/>
      <c r="P917" s="47"/>
      <c r="Q917" s="77"/>
      <c r="R917" s="77" t="str">
        <f>IF(Table5[[#This Row],[Tour Starting Date]]&lt;&gt;"", TEXT(Table5[[#This Row],[Tour Starting Date]], "dddd"), "")</f>
        <v/>
      </c>
      <c r="S917" s="77"/>
      <c r="T917" s="25" t="str">
        <f>IF(Table5[[#This Row],[Tour Ending Date]]&lt;&gt;"", TEXT(Table5[[#This Row],[Tour Ending Date]], "dddd"), "")</f>
        <v/>
      </c>
      <c r="U91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17" s="37" t="str">
        <f>IF(Table5[[#This Row],[Tour Starting Date]]&lt;&gt;"", TEXT(Table5[[#This Row],[Tour Starting Date]], "mmmm"), "")</f>
        <v/>
      </c>
      <c r="W917" s="80" t="str" cm="1">
        <f t="array" ref="W917">IF(Q917&lt;&gt;"", INDEX(CI:CI, MATCH(1, (Q917&gt;=CG:CG)*(Q917&lt;=CH:CH), 0)), "")</f>
        <v/>
      </c>
      <c r="X917" s="39"/>
      <c r="Y917" s="74"/>
      <c r="Z917" s="74" t="str">
        <f>IF(OR(Table5[[#This Row],[Per Person Package Cost]]="", Table5[[#This Row],[No. of Pax]]=""), "", Table5[[#This Row],[Per Person Package Cost]] * Table5[[#This Row],[No. of Pax]])</f>
        <v/>
      </c>
      <c r="AA917" s="52"/>
      <c r="AB917" s="52"/>
      <c r="AC917" s="52"/>
      <c r="AD917" s="52"/>
      <c r="AE917" s="51" t="str">
        <f t="shared" si="81"/>
        <v/>
      </c>
      <c r="AF917" s="51" t="str">
        <f t="shared" si="82"/>
        <v/>
      </c>
      <c r="AG917" s="74" t="str">
        <f t="shared" si="83"/>
        <v/>
      </c>
      <c r="AH917" s="73" t="str">
        <f t="shared" si="84"/>
        <v/>
      </c>
      <c r="AI917" s="52"/>
      <c r="AJ917" s="56"/>
      <c r="AK917" s="59"/>
      <c r="AL917" s="60"/>
      <c r="AM917" s="54"/>
      <c r="AN917" s="64"/>
      <c r="AO917" s="26"/>
      <c r="AP917" s="93"/>
      <c r="AQ917" s="87"/>
      <c r="AR917" s="26"/>
      <c r="AS917" s="65"/>
      <c r="AT917" s="88"/>
      <c r="AU917" s="67"/>
      <c r="DA917" t="str" cm="1">
        <f t="array" ref="DA917">IF(U917&lt;&gt;"", TRANSPOSE(_xlfn._xlws.FILTER(CZ:CZ, CY:CY=U917, "")), "")</f>
        <v/>
      </c>
    </row>
    <row r="918" spans="2:105">
      <c r="B918" s="35">
        <v>914</v>
      </c>
      <c r="C918" s="36" t="s">
        <v>2783</v>
      </c>
      <c r="D918" s="76"/>
      <c r="E918" s="37" t="str">
        <f>IF(Table5[[#This Row],[Query Date]]&lt;&gt;"", TEXT(Table5[[#This Row],[Query Date]], "dddd"), "")</f>
        <v/>
      </c>
      <c r="F918" s="37" t="str">
        <f>IF(Table5[[#This Row],[Query Date]]&lt;&gt;"", TEXT(Table5[[#This Row],[Query Date]], "mmmm"), "")</f>
        <v/>
      </c>
      <c r="G918" s="28"/>
      <c r="H918" s="28"/>
      <c r="I918" s="28"/>
      <c r="J918" s="28"/>
      <c r="K918" s="28"/>
      <c r="L918" s="25"/>
      <c r="M918" s="25"/>
      <c r="N918" s="25"/>
      <c r="O918" s="130"/>
      <c r="P918" s="47"/>
      <c r="Q918" s="77"/>
      <c r="R918" s="77" t="str">
        <f>IF(Table5[[#This Row],[Tour Starting Date]]&lt;&gt;"", TEXT(Table5[[#This Row],[Tour Starting Date]], "dddd"), "")</f>
        <v/>
      </c>
      <c r="S918" s="77"/>
      <c r="T918" s="25" t="str">
        <f>IF(Table5[[#This Row],[Tour Ending Date]]&lt;&gt;"", TEXT(Table5[[#This Row],[Tour Ending Date]], "dddd"), "")</f>
        <v/>
      </c>
      <c r="U91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18" s="37" t="str">
        <f>IF(Table5[[#This Row],[Tour Starting Date]]&lt;&gt;"", TEXT(Table5[[#This Row],[Tour Starting Date]], "mmmm"), "")</f>
        <v/>
      </c>
      <c r="W918" s="80" t="str" cm="1">
        <f t="array" ref="W918">IF(Q918&lt;&gt;"", INDEX(CI:CI, MATCH(1, (Q918&gt;=CG:CG)*(Q918&lt;=CH:CH), 0)), "")</f>
        <v/>
      </c>
      <c r="X918" s="39"/>
      <c r="Y918" s="74"/>
      <c r="Z918" s="74" t="str">
        <f>IF(OR(Table5[[#This Row],[Per Person Package Cost]]="", Table5[[#This Row],[No. of Pax]]=""), "", Table5[[#This Row],[Per Person Package Cost]] * Table5[[#This Row],[No. of Pax]])</f>
        <v/>
      </c>
      <c r="AA918" s="52"/>
      <c r="AB918" s="52"/>
      <c r="AC918" s="52"/>
      <c r="AD918" s="52"/>
      <c r="AE918" s="51" t="str">
        <f t="shared" si="81"/>
        <v/>
      </c>
      <c r="AF918" s="51" t="str">
        <f t="shared" si="82"/>
        <v/>
      </c>
      <c r="AG918" s="74" t="str">
        <f t="shared" si="83"/>
        <v/>
      </c>
      <c r="AH918" s="73" t="str">
        <f t="shared" si="84"/>
        <v/>
      </c>
      <c r="AI918" s="52"/>
      <c r="AJ918" s="56"/>
      <c r="AK918" s="59"/>
      <c r="AL918" s="60"/>
      <c r="AM918" s="54"/>
      <c r="AN918" s="64"/>
      <c r="AO918" s="26"/>
      <c r="AP918" s="93"/>
      <c r="AQ918" s="87"/>
      <c r="AR918" s="26"/>
      <c r="AS918" s="65"/>
      <c r="AT918" s="88"/>
      <c r="AU918" s="67"/>
      <c r="DA918" t="str" cm="1">
        <f t="array" ref="DA918">IF(U918&lt;&gt;"", TRANSPOSE(_xlfn._xlws.FILTER(CZ:CZ, CY:CY=U918, "")), "")</f>
        <v/>
      </c>
    </row>
    <row r="919" spans="2:105">
      <c r="B919" s="35">
        <v>915</v>
      </c>
      <c r="C919" s="36" t="s">
        <v>2784</v>
      </c>
      <c r="D919" s="76"/>
      <c r="E919" s="37" t="str">
        <f>IF(Table5[[#This Row],[Query Date]]&lt;&gt;"", TEXT(Table5[[#This Row],[Query Date]], "dddd"), "")</f>
        <v/>
      </c>
      <c r="F919" s="37" t="str">
        <f>IF(Table5[[#This Row],[Query Date]]&lt;&gt;"", TEXT(Table5[[#This Row],[Query Date]], "mmmm"), "")</f>
        <v/>
      </c>
      <c r="G919" s="28"/>
      <c r="H919" s="28"/>
      <c r="I919" s="28"/>
      <c r="J919" s="28"/>
      <c r="K919" s="28"/>
      <c r="L919" s="25"/>
      <c r="M919" s="25"/>
      <c r="N919" s="25"/>
      <c r="O919" s="130"/>
      <c r="P919" s="47"/>
      <c r="Q919" s="77"/>
      <c r="R919" s="77" t="str">
        <f>IF(Table5[[#This Row],[Tour Starting Date]]&lt;&gt;"", TEXT(Table5[[#This Row],[Tour Starting Date]], "dddd"), "")</f>
        <v/>
      </c>
      <c r="S919" s="77"/>
      <c r="T919" s="25" t="str">
        <f>IF(Table5[[#This Row],[Tour Ending Date]]&lt;&gt;"", TEXT(Table5[[#This Row],[Tour Ending Date]], "dddd"), "")</f>
        <v/>
      </c>
      <c r="U91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19" s="37" t="str">
        <f>IF(Table5[[#This Row],[Tour Starting Date]]&lt;&gt;"", TEXT(Table5[[#This Row],[Tour Starting Date]], "mmmm"), "")</f>
        <v/>
      </c>
      <c r="W919" s="80" t="str" cm="1">
        <f t="array" ref="W919">IF(Q919&lt;&gt;"", INDEX(CI:CI, MATCH(1, (Q919&gt;=CG:CG)*(Q919&lt;=CH:CH), 0)), "")</f>
        <v/>
      </c>
      <c r="X919" s="39"/>
      <c r="Y919" s="74"/>
      <c r="Z919" s="74" t="str">
        <f>IF(OR(Table5[[#This Row],[Per Person Package Cost]]="", Table5[[#This Row],[No. of Pax]]=""), "", Table5[[#This Row],[Per Person Package Cost]] * Table5[[#This Row],[No. of Pax]])</f>
        <v/>
      </c>
      <c r="AA919" s="52"/>
      <c r="AB919" s="52"/>
      <c r="AC919" s="52"/>
      <c r="AD919" s="52"/>
      <c r="AE919" s="51" t="str">
        <f t="shared" si="81"/>
        <v/>
      </c>
      <c r="AF919" s="51" t="str">
        <f t="shared" si="82"/>
        <v/>
      </c>
      <c r="AG919" s="74" t="str">
        <f t="shared" si="83"/>
        <v/>
      </c>
      <c r="AH919" s="73" t="str">
        <f t="shared" si="84"/>
        <v/>
      </c>
      <c r="AI919" s="52"/>
      <c r="AJ919" s="56"/>
      <c r="AK919" s="59"/>
      <c r="AL919" s="60"/>
      <c r="AM919" s="54"/>
      <c r="AN919" s="64"/>
      <c r="AO919" s="26"/>
      <c r="AP919" s="93"/>
      <c r="AQ919" s="87"/>
      <c r="AR919" s="26"/>
      <c r="AS919" s="65"/>
      <c r="AT919" s="88"/>
      <c r="AU919" s="67"/>
      <c r="DA919" t="str" cm="1">
        <f t="array" ref="DA919">IF(U919&lt;&gt;"", TRANSPOSE(_xlfn._xlws.FILTER(CZ:CZ, CY:CY=U919, "")), "")</f>
        <v/>
      </c>
    </row>
    <row r="920" spans="2:105">
      <c r="B920" s="35">
        <v>916</v>
      </c>
      <c r="C920" s="36" t="s">
        <v>2785</v>
      </c>
      <c r="D920" s="76"/>
      <c r="E920" s="37" t="str">
        <f>IF(Table5[[#This Row],[Query Date]]&lt;&gt;"", TEXT(Table5[[#This Row],[Query Date]], "dddd"), "")</f>
        <v/>
      </c>
      <c r="F920" s="37" t="str">
        <f>IF(Table5[[#This Row],[Query Date]]&lt;&gt;"", TEXT(Table5[[#This Row],[Query Date]], "mmmm"), "")</f>
        <v/>
      </c>
      <c r="G920" s="28"/>
      <c r="H920" s="28"/>
      <c r="I920" s="28"/>
      <c r="J920" s="28"/>
      <c r="K920" s="28"/>
      <c r="L920" s="25"/>
      <c r="M920" s="25"/>
      <c r="N920" s="25"/>
      <c r="O920" s="130"/>
      <c r="P920" s="47"/>
      <c r="Q920" s="77"/>
      <c r="R920" s="77" t="str">
        <f>IF(Table5[[#This Row],[Tour Starting Date]]&lt;&gt;"", TEXT(Table5[[#This Row],[Tour Starting Date]], "dddd"), "")</f>
        <v/>
      </c>
      <c r="S920" s="77"/>
      <c r="T920" s="25" t="str">
        <f>IF(Table5[[#This Row],[Tour Ending Date]]&lt;&gt;"", TEXT(Table5[[#This Row],[Tour Ending Date]], "dddd"), "")</f>
        <v/>
      </c>
      <c r="U92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20" s="37" t="str">
        <f>IF(Table5[[#This Row],[Tour Starting Date]]&lt;&gt;"", TEXT(Table5[[#This Row],[Tour Starting Date]], "mmmm"), "")</f>
        <v/>
      </c>
      <c r="W920" s="80" t="str" cm="1">
        <f t="array" ref="W920">IF(Q920&lt;&gt;"", INDEX(CI:CI, MATCH(1, (Q920&gt;=CG:CG)*(Q920&lt;=CH:CH), 0)), "")</f>
        <v/>
      </c>
      <c r="X920" s="39"/>
      <c r="Y920" s="74"/>
      <c r="Z920" s="74" t="str">
        <f>IF(OR(Table5[[#This Row],[Per Person Package Cost]]="", Table5[[#This Row],[No. of Pax]]=""), "", Table5[[#This Row],[Per Person Package Cost]] * Table5[[#This Row],[No. of Pax]])</f>
        <v/>
      </c>
      <c r="AA920" s="52"/>
      <c r="AB920" s="52"/>
      <c r="AC920" s="52"/>
      <c r="AD920" s="52"/>
      <c r="AE920" s="51" t="str">
        <f t="shared" si="81"/>
        <v/>
      </c>
      <c r="AF920" s="51" t="str">
        <f t="shared" si="82"/>
        <v/>
      </c>
      <c r="AG920" s="74" t="str">
        <f t="shared" si="83"/>
        <v/>
      </c>
      <c r="AH920" s="73" t="str">
        <f t="shared" si="84"/>
        <v/>
      </c>
      <c r="AI920" s="52"/>
      <c r="AJ920" s="56"/>
      <c r="AK920" s="59"/>
      <c r="AL920" s="60"/>
      <c r="AM920" s="54"/>
      <c r="AN920" s="64"/>
      <c r="AO920" s="26"/>
      <c r="AP920" s="93"/>
      <c r="AQ920" s="87"/>
      <c r="AR920" s="26"/>
      <c r="AS920" s="65"/>
      <c r="AT920" s="88"/>
      <c r="AU920" s="67"/>
      <c r="DA920" t="str" cm="1">
        <f t="array" ref="DA920">IF(U920&lt;&gt;"", TRANSPOSE(_xlfn._xlws.FILTER(CZ:CZ, CY:CY=U920, "")), "")</f>
        <v/>
      </c>
    </row>
    <row r="921" spans="2:105">
      <c r="B921" s="35">
        <v>917</v>
      </c>
      <c r="C921" s="36" t="s">
        <v>2786</v>
      </c>
      <c r="D921" s="76"/>
      <c r="E921" s="37" t="str">
        <f>IF(Table5[[#This Row],[Query Date]]&lt;&gt;"", TEXT(Table5[[#This Row],[Query Date]], "dddd"), "")</f>
        <v/>
      </c>
      <c r="F921" s="37" t="str">
        <f>IF(Table5[[#This Row],[Query Date]]&lt;&gt;"", TEXT(Table5[[#This Row],[Query Date]], "mmmm"), "")</f>
        <v/>
      </c>
      <c r="G921" s="28"/>
      <c r="H921" s="28"/>
      <c r="I921" s="28"/>
      <c r="J921" s="28"/>
      <c r="K921" s="28"/>
      <c r="L921" s="25"/>
      <c r="M921" s="25"/>
      <c r="N921" s="25"/>
      <c r="O921" s="130"/>
      <c r="P921" s="47"/>
      <c r="Q921" s="77"/>
      <c r="R921" s="77" t="str">
        <f>IF(Table5[[#This Row],[Tour Starting Date]]&lt;&gt;"", TEXT(Table5[[#This Row],[Tour Starting Date]], "dddd"), "")</f>
        <v/>
      </c>
      <c r="S921" s="77"/>
      <c r="T921" s="25" t="str">
        <f>IF(Table5[[#This Row],[Tour Ending Date]]&lt;&gt;"", TEXT(Table5[[#This Row],[Tour Ending Date]], "dddd"), "")</f>
        <v/>
      </c>
      <c r="U92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21" s="37" t="str">
        <f>IF(Table5[[#This Row],[Tour Starting Date]]&lt;&gt;"", TEXT(Table5[[#This Row],[Tour Starting Date]], "mmmm"), "")</f>
        <v/>
      </c>
      <c r="W921" s="80" t="str" cm="1">
        <f t="array" ref="W921">IF(Q921&lt;&gt;"", INDEX(CI:CI, MATCH(1, (Q921&gt;=CG:CG)*(Q921&lt;=CH:CH), 0)), "")</f>
        <v/>
      </c>
      <c r="X921" s="39"/>
      <c r="Y921" s="74"/>
      <c r="Z921" s="74" t="str">
        <f>IF(OR(Table5[[#This Row],[Per Person Package Cost]]="", Table5[[#This Row],[No. of Pax]]=""), "", Table5[[#This Row],[Per Person Package Cost]] * Table5[[#This Row],[No. of Pax]])</f>
        <v/>
      </c>
      <c r="AA921" s="52"/>
      <c r="AB921" s="52"/>
      <c r="AC921" s="52"/>
      <c r="AD921" s="52"/>
      <c r="AE921" s="51" t="str">
        <f t="shared" si="81"/>
        <v/>
      </c>
      <c r="AF921" s="51" t="str">
        <f t="shared" si="82"/>
        <v/>
      </c>
      <c r="AG921" s="74" t="str">
        <f t="shared" si="83"/>
        <v/>
      </c>
      <c r="AH921" s="73" t="str">
        <f t="shared" si="84"/>
        <v/>
      </c>
      <c r="AI921" s="52"/>
      <c r="AJ921" s="56"/>
      <c r="AK921" s="59"/>
      <c r="AL921" s="60"/>
      <c r="AM921" s="54"/>
      <c r="AN921" s="64"/>
      <c r="AO921" s="26"/>
      <c r="AP921" s="93"/>
      <c r="AQ921" s="87"/>
      <c r="AR921" s="26"/>
      <c r="AS921" s="65"/>
      <c r="AT921" s="88"/>
      <c r="AU921" s="67"/>
      <c r="DA921" t="str" cm="1">
        <f t="array" ref="DA921">IF(U921&lt;&gt;"", TRANSPOSE(_xlfn._xlws.FILTER(CZ:CZ, CY:CY=U921, "")), "")</f>
        <v/>
      </c>
    </row>
    <row r="922" spans="2:105">
      <c r="B922" s="35">
        <v>918</v>
      </c>
      <c r="C922" s="36" t="s">
        <v>2787</v>
      </c>
      <c r="D922" s="76"/>
      <c r="E922" s="37" t="str">
        <f>IF(Table5[[#This Row],[Query Date]]&lt;&gt;"", TEXT(Table5[[#This Row],[Query Date]], "dddd"), "")</f>
        <v/>
      </c>
      <c r="F922" s="37" t="str">
        <f>IF(Table5[[#This Row],[Query Date]]&lt;&gt;"", TEXT(Table5[[#This Row],[Query Date]], "mmmm"), "")</f>
        <v/>
      </c>
      <c r="G922" s="28"/>
      <c r="H922" s="28"/>
      <c r="I922" s="28"/>
      <c r="J922" s="28"/>
      <c r="K922" s="28"/>
      <c r="L922" s="25"/>
      <c r="M922" s="25"/>
      <c r="N922" s="25"/>
      <c r="O922" s="130"/>
      <c r="P922" s="47"/>
      <c r="Q922" s="77"/>
      <c r="R922" s="77" t="str">
        <f>IF(Table5[[#This Row],[Tour Starting Date]]&lt;&gt;"", TEXT(Table5[[#This Row],[Tour Starting Date]], "dddd"), "")</f>
        <v/>
      </c>
      <c r="S922" s="77"/>
      <c r="T922" s="25" t="str">
        <f>IF(Table5[[#This Row],[Tour Ending Date]]&lt;&gt;"", TEXT(Table5[[#This Row],[Tour Ending Date]], "dddd"), "")</f>
        <v/>
      </c>
      <c r="U92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22" s="37" t="str">
        <f>IF(Table5[[#This Row],[Tour Starting Date]]&lt;&gt;"", TEXT(Table5[[#This Row],[Tour Starting Date]], "mmmm"), "")</f>
        <v/>
      </c>
      <c r="W922" s="80" t="str" cm="1">
        <f t="array" ref="W922">IF(Q922&lt;&gt;"", INDEX(CI:CI, MATCH(1, (Q922&gt;=CG:CG)*(Q922&lt;=CH:CH), 0)), "")</f>
        <v/>
      </c>
      <c r="X922" s="39"/>
      <c r="Y922" s="74"/>
      <c r="Z922" s="74" t="str">
        <f>IF(OR(Table5[[#This Row],[Per Person Package Cost]]="", Table5[[#This Row],[No. of Pax]]=""), "", Table5[[#This Row],[Per Person Package Cost]] * Table5[[#This Row],[No. of Pax]])</f>
        <v/>
      </c>
      <c r="AA922" s="52"/>
      <c r="AB922" s="52"/>
      <c r="AC922" s="52"/>
      <c r="AD922" s="52"/>
      <c r="AE922" s="51" t="str">
        <f t="shared" si="81"/>
        <v/>
      </c>
      <c r="AF922" s="51" t="str">
        <f t="shared" si="82"/>
        <v/>
      </c>
      <c r="AG922" s="74" t="str">
        <f t="shared" si="83"/>
        <v/>
      </c>
      <c r="AH922" s="73" t="str">
        <f t="shared" si="84"/>
        <v/>
      </c>
      <c r="AI922" s="52"/>
      <c r="AJ922" s="56"/>
      <c r="AK922" s="59"/>
      <c r="AL922" s="60"/>
      <c r="AM922" s="54"/>
      <c r="AN922" s="64"/>
      <c r="AO922" s="26"/>
      <c r="AP922" s="93"/>
      <c r="AQ922" s="87"/>
      <c r="AR922" s="26"/>
      <c r="AS922" s="65"/>
      <c r="AT922" s="88"/>
      <c r="AU922" s="67"/>
      <c r="DA922" t="str" cm="1">
        <f t="array" ref="DA922">IF(U922&lt;&gt;"", TRANSPOSE(_xlfn._xlws.FILTER(CZ:CZ, CY:CY=U922, "")), "")</f>
        <v/>
      </c>
    </row>
    <row r="923" spans="2:105">
      <c r="B923" s="35">
        <v>919</v>
      </c>
      <c r="C923" s="36" t="s">
        <v>2788</v>
      </c>
      <c r="D923" s="76"/>
      <c r="E923" s="37" t="str">
        <f>IF(Table5[[#This Row],[Query Date]]&lt;&gt;"", TEXT(Table5[[#This Row],[Query Date]], "dddd"), "")</f>
        <v/>
      </c>
      <c r="F923" s="37" t="str">
        <f>IF(Table5[[#This Row],[Query Date]]&lt;&gt;"", TEXT(Table5[[#This Row],[Query Date]], "mmmm"), "")</f>
        <v/>
      </c>
      <c r="G923" s="28"/>
      <c r="H923" s="28"/>
      <c r="I923" s="28"/>
      <c r="J923" s="28"/>
      <c r="K923" s="28"/>
      <c r="L923" s="25"/>
      <c r="M923" s="25"/>
      <c r="N923" s="25"/>
      <c r="O923" s="130"/>
      <c r="P923" s="47"/>
      <c r="Q923" s="77"/>
      <c r="R923" s="77" t="str">
        <f>IF(Table5[[#This Row],[Tour Starting Date]]&lt;&gt;"", TEXT(Table5[[#This Row],[Tour Starting Date]], "dddd"), "")</f>
        <v/>
      </c>
      <c r="S923" s="77"/>
      <c r="T923" s="25" t="str">
        <f>IF(Table5[[#This Row],[Tour Ending Date]]&lt;&gt;"", TEXT(Table5[[#This Row],[Tour Ending Date]], "dddd"), "")</f>
        <v/>
      </c>
      <c r="U92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23" s="37" t="str">
        <f>IF(Table5[[#This Row],[Tour Starting Date]]&lt;&gt;"", TEXT(Table5[[#This Row],[Tour Starting Date]], "mmmm"), "")</f>
        <v/>
      </c>
      <c r="W923" s="80" t="str" cm="1">
        <f t="array" ref="W923">IF(Q923&lt;&gt;"", INDEX(CI:CI, MATCH(1, (Q923&gt;=CG:CG)*(Q923&lt;=CH:CH), 0)), "")</f>
        <v/>
      </c>
      <c r="X923" s="39"/>
      <c r="Y923" s="74"/>
      <c r="Z923" s="74" t="str">
        <f>IF(OR(Table5[[#This Row],[Per Person Package Cost]]="", Table5[[#This Row],[No. of Pax]]=""), "", Table5[[#This Row],[Per Person Package Cost]] * Table5[[#This Row],[No. of Pax]])</f>
        <v/>
      </c>
      <c r="AA923" s="52"/>
      <c r="AB923" s="52"/>
      <c r="AC923" s="52"/>
      <c r="AD923" s="52"/>
      <c r="AE923" s="51" t="str">
        <f t="shared" si="81"/>
        <v/>
      </c>
      <c r="AF923" s="51" t="str">
        <f t="shared" si="82"/>
        <v/>
      </c>
      <c r="AG923" s="74" t="str">
        <f t="shared" si="83"/>
        <v/>
      </c>
      <c r="AH923" s="73" t="str">
        <f t="shared" si="84"/>
        <v/>
      </c>
      <c r="AI923" s="52"/>
      <c r="AJ923" s="56"/>
      <c r="AK923" s="59"/>
      <c r="AL923" s="60"/>
      <c r="AM923" s="54"/>
      <c r="AN923" s="64"/>
      <c r="AO923" s="26"/>
      <c r="AP923" s="93"/>
      <c r="AQ923" s="87"/>
      <c r="AR923" s="26"/>
      <c r="AS923" s="65"/>
      <c r="AT923" s="88"/>
      <c r="AU923" s="67"/>
      <c r="DA923" t="str" cm="1">
        <f t="array" ref="DA923">IF(U923&lt;&gt;"", TRANSPOSE(_xlfn._xlws.FILTER(CZ:CZ, CY:CY=U923, "")), "")</f>
        <v/>
      </c>
    </row>
    <row r="924" spans="2:105">
      <c r="B924" s="35">
        <v>920</v>
      </c>
      <c r="C924" s="36" t="s">
        <v>2789</v>
      </c>
      <c r="D924" s="76"/>
      <c r="E924" s="37" t="str">
        <f>IF(Table5[[#This Row],[Query Date]]&lt;&gt;"", TEXT(Table5[[#This Row],[Query Date]], "dddd"), "")</f>
        <v/>
      </c>
      <c r="F924" s="37" t="str">
        <f>IF(Table5[[#This Row],[Query Date]]&lt;&gt;"", TEXT(Table5[[#This Row],[Query Date]], "mmmm"), "")</f>
        <v/>
      </c>
      <c r="G924" s="28"/>
      <c r="H924" s="28"/>
      <c r="I924" s="28"/>
      <c r="J924" s="28"/>
      <c r="K924" s="28"/>
      <c r="L924" s="25"/>
      <c r="M924" s="25"/>
      <c r="N924" s="25"/>
      <c r="O924" s="130"/>
      <c r="P924" s="47"/>
      <c r="Q924" s="77"/>
      <c r="R924" s="77" t="str">
        <f>IF(Table5[[#This Row],[Tour Starting Date]]&lt;&gt;"", TEXT(Table5[[#This Row],[Tour Starting Date]], "dddd"), "")</f>
        <v/>
      </c>
      <c r="S924" s="77"/>
      <c r="T924" s="25" t="str">
        <f>IF(Table5[[#This Row],[Tour Ending Date]]&lt;&gt;"", TEXT(Table5[[#This Row],[Tour Ending Date]], "dddd"), "")</f>
        <v/>
      </c>
      <c r="U92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24" s="37" t="str">
        <f>IF(Table5[[#This Row],[Tour Starting Date]]&lt;&gt;"", TEXT(Table5[[#This Row],[Tour Starting Date]], "mmmm"), "")</f>
        <v/>
      </c>
      <c r="W924" s="80" t="str" cm="1">
        <f t="array" ref="W924">IF(Q924&lt;&gt;"", INDEX(CI:CI, MATCH(1, (Q924&gt;=CG:CG)*(Q924&lt;=CH:CH), 0)), "")</f>
        <v/>
      </c>
      <c r="X924" s="39"/>
      <c r="Y924" s="74"/>
      <c r="Z924" s="74" t="str">
        <f>IF(OR(Table5[[#This Row],[Per Person Package Cost]]="", Table5[[#This Row],[No. of Pax]]=""), "", Table5[[#This Row],[Per Person Package Cost]] * Table5[[#This Row],[No. of Pax]])</f>
        <v/>
      </c>
      <c r="AA924" s="52"/>
      <c r="AB924" s="52"/>
      <c r="AC924" s="52"/>
      <c r="AD924" s="52"/>
      <c r="AE924" s="51" t="str">
        <f t="shared" si="81"/>
        <v/>
      </c>
      <c r="AF924" s="51" t="str">
        <f t="shared" si="82"/>
        <v/>
      </c>
      <c r="AG924" s="74" t="str">
        <f t="shared" si="83"/>
        <v/>
      </c>
      <c r="AH924" s="73" t="str">
        <f t="shared" si="84"/>
        <v/>
      </c>
      <c r="AI924" s="52"/>
      <c r="AJ924" s="56"/>
      <c r="AK924" s="59"/>
      <c r="AL924" s="60"/>
      <c r="AM924" s="54"/>
      <c r="AN924" s="64"/>
      <c r="AO924" s="26"/>
      <c r="AP924" s="93"/>
      <c r="AQ924" s="87"/>
      <c r="AR924" s="26"/>
      <c r="AS924" s="65"/>
      <c r="AT924" s="88"/>
      <c r="AU924" s="67"/>
      <c r="DA924" t="str" cm="1">
        <f t="array" ref="DA924">IF(U924&lt;&gt;"", TRANSPOSE(_xlfn._xlws.FILTER(CZ:CZ, CY:CY=U924, "")), "")</f>
        <v/>
      </c>
    </row>
    <row r="925" spans="2:105">
      <c r="B925" s="35">
        <v>921</v>
      </c>
      <c r="C925" s="36" t="s">
        <v>2790</v>
      </c>
      <c r="D925" s="76"/>
      <c r="E925" s="37" t="str">
        <f>IF(Table5[[#This Row],[Query Date]]&lt;&gt;"", TEXT(Table5[[#This Row],[Query Date]], "dddd"), "")</f>
        <v/>
      </c>
      <c r="F925" s="37" t="str">
        <f>IF(Table5[[#This Row],[Query Date]]&lt;&gt;"", TEXT(Table5[[#This Row],[Query Date]], "mmmm"), "")</f>
        <v/>
      </c>
      <c r="G925" s="28"/>
      <c r="H925" s="28"/>
      <c r="I925" s="28"/>
      <c r="J925" s="28"/>
      <c r="K925" s="28"/>
      <c r="L925" s="25"/>
      <c r="M925" s="25"/>
      <c r="N925" s="25"/>
      <c r="O925" s="130"/>
      <c r="P925" s="47"/>
      <c r="Q925" s="77"/>
      <c r="R925" s="77" t="str">
        <f>IF(Table5[[#This Row],[Tour Starting Date]]&lt;&gt;"", TEXT(Table5[[#This Row],[Tour Starting Date]], "dddd"), "")</f>
        <v/>
      </c>
      <c r="S925" s="77"/>
      <c r="T925" s="25" t="str">
        <f>IF(Table5[[#This Row],[Tour Ending Date]]&lt;&gt;"", TEXT(Table5[[#This Row],[Tour Ending Date]], "dddd"), "")</f>
        <v/>
      </c>
      <c r="U92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25" s="37" t="str">
        <f>IF(Table5[[#This Row],[Tour Starting Date]]&lt;&gt;"", TEXT(Table5[[#This Row],[Tour Starting Date]], "mmmm"), "")</f>
        <v/>
      </c>
      <c r="W925" s="80" t="str" cm="1">
        <f t="array" ref="W925">IF(Q925&lt;&gt;"", INDEX(CI:CI, MATCH(1, (Q925&gt;=CG:CG)*(Q925&lt;=CH:CH), 0)), "")</f>
        <v/>
      </c>
      <c r="X925" s="39"/>
      <c r="Y925" s="74"/>
      <c r="Z925" s="74" t="str">
        <f>IF(OR(Table5[[#This Row],[Per Person Package Cost]]="", Table5[[#This Row],[No. of Pax]]=""), "", Table5[[#This Row],[Per Person Package Cost]] * Table5[[#This Row],[No. of Pax]])</f>
        <v/>
      </c>
      <c r="AA925" s="52"/>
      <c r="AB925" s="52"/>
      <c r="AC925" s="52"/>
      <c r="AD925" s="52"/>
      <c r="AE925" s="51" t="str">
        <f t="shared" si="81"/>
        <v/>
      </c>
      <c r="AF925" s="51" t="str">
        <f t="shared" si="82"/>
        <v/>
      </c>
      <c r="AG925" s="74" t="str">
        <f t="shared" si="83"/>
        <v/>
      </c>
      <c r="AH925" s="73" t="str">
        <f t="shared" si="84"/>
        <v/>
      </c>
      <c r="AI925" s="52"/>
      <c r="AJ925" s="56"/>
      <c r="AK925" s="59"/>
      <c r="AL925" s="60"/>
      <c r="AM925" s="54"/>
      <c r="AN925" s="64"/>
      <c r="AO925" s="26"/>
      <c r="AP925" s="93"/>
      <c r="AQ925" s="87"/>
      <c r="AR925" s="26"/>
      <c r="AS925" s="65"/>
      <c r="AT925" s="88"/>
      <c r="AU925" s="67"/>
      <c r="DA925" t="str" cm="1">
        <f t="array" ref="DA925">IF(U925&lt;&gt;"", TRANSPOSE(_xlfn._xlws.FILTER(CZ:CZ, CY:CY=U925, "")), "")</f>
        <v/>
      </c>
    </row>
    <row r="926" spans="2:105">
      <c r="B926" s="35">
        <v>922</v>
      </c>
      <c r="C926" s="36" t="s">
        <v>2791</v>
      </c>
      <c r="D926" s="76"/>
      <c r="E926" s="37" t="str">
        <f>IF(Table5[[#This Row],[Query Date]]&lt;&gt;"", TEXT(Table5[[#This Row],[Query Date]], "dddd"), "")</f>
        <v/>
      </c>
      <c r="F926" s="37" t="str">
        <f>IF(Table5[[#This Row],[Query Date]]&lt;&gt;"", TEXT(Table5[[#This Row],[Query Date]], "mmmm"), "")</f>
        <v/>
      </c>
      <c r="G926" s="28"/>
      <c r="H926" s="28"/>
      <c r="I926" s="28"/>
      <c r="J926" s="28"/>
      <c r="K926" s="28"/>
      <c r="L926" s="25"/>
      <c r="M926" s="25"/>
      <c r="N926" s="25"/>
      <c r="O926" s="130"/>
      <c r="P926" s="47"/>
      <c r="Q926" s="77"/>
      <c r="R926" s="77" t="str">
        <f>IF(Table5[[#This Row],[Tour Starting Date]]&lt;&gt;"", TEXT(Table5[[#This Row],[Tour Starting Date]], "dddd"), "")</f>
        <v/>
      </c>
      <c r="S926" s="77"/>
      <c r="T926" s="25" t="str">
        <f>IF(Table5[[#This Row],[Tour Ending Date]]&lt;&gt;"", TEXT(Table5[[#This Row],[Tour Ending Date]], "dddd"), "")</f>
        <v/>
      </c>
      <c r="U92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26" s="37" t="str">
        <f>IF(Table5[[#This Row],[Tour Starting Date]]&lt;&gt;"", TEXT(Table5[[#This Row],[Tour Starting Date]], "mmmm"), "")</f>
        <v/>
      </c>
      <c r="W926" s="80" t="str" cm="1">
        <f t="array" ref="W926">IF(Q926&lt;&gt;"", INDEX(CI:CI, MATCH(1, (Q926&gt;=CG:CG)*(Q926&lt;=CH:CH), 0)), "")</f>
        <v/>
      </c>
      <c r="X926" s="39"/>
      <c r="Y926" s="74"/>
      <c r="Z926" s="74" t="str">
        <f>IF(OR(Table5[[#This Row],[Per Person Package Cost]]="", Table5[[#This Row],[No. of Pax]]=""), "", Table5[[#This Row],[Per Person Package Cost]] * Table5[[#This Row],[No. of Pax]])</f>
        <v/>
      </c>
      <c r="AA926" s="52"/>
      <c r="AB926" s="52"/>
      <c r="AC926" s="52"/>
      <c r="AD926" s="52"/>
      <c r="AE926" s="51" t="str">
        <f t="shared" si="81"/>
        <v/>
      </c>
      <c r="AF926" s="51" t="str">
        <f t="shared" si="82"/>
        <v/>
      </c>
      <c r="AG926" s="74" t="str">
        <f t="shared" si="83"/>
        <v/>
      </c>
      <c r="AH926" s="73" t="str">
        <f t="shared" si="84"/>
        <v/>
      </c>
      <c r="AI926" s="52"/>
      <c r="AJ926" s="56"/>
      <c r="AK926" s="59"/>
      <c r="AL926" s="60"/>
      <c r="AM926" s="54"/>
      <c r="AN926" s="64"/>
      <c r="AO926" s="26"/>
      <c r="AP926" s="93"/>
      <c r="AQ926" s="87"/>
      <c r="AR926" s="26"/>
      <c r="AS926" s="65"/>
      <c r="AT926" s="88"/>
      <c r="AU926" s="67"/>
      <c r="DA926" t="str" cm="1">
        <f t="array" ref="DA926">IF(U926&lt;&gt;"", TRANSPOSE(_xlfn._xlws.FILTER(CZ:CZ, CY:CY=U926, "")), "")</f>
        <v/>
      </c>
    </row>
    <row r="927" spans="2:105">
      <c r="B927" s="35">
        <v>923</v>
      </c>
      <c r="C927" s="36" t="s">
        <v>2792</v>
      </c>
      <c r="D927" s="76"/>
      <c r="E927" s="37" t="str">
        <f>IF(Table5[[#This Row],[Query Date]]&lt;&gt;"", TEXT(Table5[[#This Row],[Query Date]], "dddd"), "")</f>
        <v/>
      </c>
      <c r="F927" s="37" t="str">
        <f>IF(Table5[[#This Row],[Query Date]]&lt;&gt;"", TEXT(Table5[[#This Row],[Query Date]], "mmmm"), "")</f>
        <v/>
      </c>
      <c r="G927" s="28"/>
      <c r="H927" s="28"/>
      <c r="I927" s="28"/>
      <c r="J927" s="28"/>
      <c r="K927" s="28"/>
      <c r="L927" s="25"/>
      <c r="M927" s="25"/>
      <c r="N927" s="25"/>
      <c r="O927" s="130"/>
      <c r="P927" s="47"/>
      <c r="Q927" s="77"/>
      <c r="R927" s="77" t="str">
        <f>IF(Table5[[#This Row],[Tour Starting Date]]&lt;&gt;"", TEXT(Table5[[#This Row],[Tour Starting Date]], "dddd"), "")</f>
        <v/>
      </c>
      <c r="S927" s="77"/>
      <c r="T927" s="25" t="str">
        <f>IF(Table5[[#This Row],[Tour Ending Date]]&lt;&gt;"", TEXT(Table5[[#This Row],[Tour Ending Date]], "dddd"), "")</f>
        <v/>
      </c>
      <c r="U92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27" s="37" t="str">
        <f>IF(Table5[[#This Row],[Tour Starting Date]]&lt;&gt;"", TEXT(Table5[[#This Row],[Tour Starting Date]], "mmmm"), "")</f>
        <v/>
      </c>
      <c r="W927" s="80" t="str" cm="1">
        <f t="array" ref="W927">IF(Q927&lt;&gt;"", INDEX(CI:CI, MATCH(1, (Q927&gt;=CG:CG)*(Q927&lt;=CH:CH), 0)), "")</f>
        <v/>
      </c>
      <c r="X927" s="39"/>
      <c r="Y927" s="74"/>
      <c r="Z927" s="74" t="str">
        <f>IF(OR(Table5[[#This Row],[Per Person Package Cost]]="", Table5[[#This Row],[No. of Pax]]=""), "", Table5[[#This Row],[Per Person Package Cost]] * Table5[[#This Row],[No. of Pax]])</f>
        <v/>
      </c>
      <c r="AA927" s="52"/>
      <c r="AB927" s="52"/>
      <c r="AC927" s="52"/>
      <c r="AD927" s="52"/>
      <c r="AE927" s="51" t="str">
        <f t="shared" si="81"/>
        <v/>
      </c>
      <c r="AF927" s="51" t="str">
        <f t="shared" si="82"/>
        <v/>
      </c>
      <c r="AG927" s="74" t="str">
        <f t="shared" si="83"/>
        <v/>
      </c>
      <c r="AH927" s="73" t="str">
        <f t="shared" si="84"/>
        <v/>
      </c>
      <c r="AI927" s="52"/>
      <c r="AJ927" s="56"/>
      <c r="AK927" s="59"/>
      <c r="AL927" s="60"/>
      <c r="AM927" s="54"/>
      <c r="AN927" s="64"/>
      <c r="AO927" s="26"/>
      <c r="AP927" s="93"/>
      <c r="AQ927" s="87"/>
      <c r="AR927" s="26"/>
      <c r="AS927" s="65"/>
      <c r="AT927" s="88"/>
      <c r="AU927" s="67"/>
      <c r="DA927" t="str" cm="1">
        <f t="array" ref="DA927">IF(U927&lt;&gt;"", TRANSPOSE(_xlfn._xlws.FILTER(CZ:CZ, CY:CY=U927, "")), "")</f>
        <v/>
      </c>
    </row>
    <row r="928" spans="2:105">
      <c r="B928" s="35">
        <v>924</v>
      </c>
      <c r="C928" s="36" t="s">
        <v>2793</v>
      </c>
      <c r="D928" s="76"/>
      <c r="E928" s="37" t="str">
        <f>IF(Table5[[#This Row],[Query Date]]&lt;&gt;"", TEXT(Table5[[#This Row],[Query Date]], "dddd"), "")</f>
        <v/>
      </c>
      <c r="F928" s="37" t="str">
        <f>IF(Table5[[#This Row],[Query Date]]&lt;&gt;"", TEXT(Table5[[#This Row],[Query Date]], "mmmm"), "")</f>
        <v/>
      </c>
      <c r="G928" s="28"/>
      <c r="H928" s="28"/>
      <c r="I928" s="28"/>
      <c r="J928" s="28"/>
      <c r="K928" s="28"/>
      <c r="L928" s="25"/>
      <c r="M928" s="25"/>
      <c r="N928" s="25"/>
      <c r="O928" s="130"/>
      <c r="P928" s="47"/>
      <c r="Q928" s="77"/>
      <c r="R928" s="77" t="str">
        <f>IF(Table5[[#This Row],[Tour Starting Date]]&lt;&gt;"", TEXT(Table5[[#This Row],[Tour Starting Date]], "dddd"), "")</f>
        <v/>
      </c>
      <c r="S928" s="77"/>
      <c r="T928" s="25" t="str">
        <f>IF(Table5[[#This Row],[Tour Ending Date]]&lt;&gt;"", TEXT(Table5[[#This Row],[Tour Ending Date]], "dddd"), "")</f>
        <v/>
      </c>
      <c r="U92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28" s="37" t="str">
        <f>IF(Table5[[#This Row],[Tour Starting Date]]&lt;&gt;"", TEXT(Table5[[#This Row],[Tour Starting Date]], "mmmm"), "")</f>
        <v/>
      </c>
      <c r="W928" s="80" t="str" cm="1">
        <f t="array" ref="W928">IF(Q928&lt;&gt;"", INDEX(CI:CI, MATCH(1, (Q928&gt;=CG:CG)*(Q928&lt;=CH:CH), 0)), "")</f>
        <v/>
      </c>
      <c r="X928" s="39"/>
      <c r="Y928" s="74"/>
      <c r="Z928" s="74" t="str">
        <f>IF(OR(Table5[[#This Row],[Per Person Package Cost]]="", Table5[[#This Row],[No. of Pax]]=""), "", Table5[[#This Row],[Per Person Package Cost]] * Table5[[#This Row],[No. of Pax]])</f>
        <v/>
      </c>
      <c r="AA928" s="52"/>
      <c r="AB928" s="52"/>
      <c r="AC928" s="52"/>
      <c r="AD928" s="52"/>
      <c r="AE928" s="51" t="str">
        <f t="shared" si="81"/>
        <v/>
      </c>
      <c r="AF928" s="51" t="str">
        <f t="shared" si="82"/>
        <v/>
      </c>
      <c r="AG928" s="74" t="str">
        <f t="shared" si="83"/>
        <v/>
      </c>
      <c r="AH928" s="73" t="str">
        <f t="shared" si="84"/>
        <v/>
      </c>
      <c r="AI928" s="52"/>
      <c r="AJ928" s="56"/>
      <c r="AK928" s="59"/>
      <c r="AL928" s="60"/>
      <c r="AM928" s="54"/>
      <c r="AN928" s="64"/>
      <c r="AO928" s="26"/>
      <c r="AP928" s="93"/>
      <c r="AQ928" s="87"/>
      <c r="AR928" s="26"/>
      <c r="AS928" s="65"/>
      <c r="AT928" s="88"/>
      <c r="AU928" s="67"/>
      <c r="DA928" t="str" cm="1">
        <f t="array" ref="DA928">IF(U928&lt;&gt;"", TRANSPOSE(_xlfn._xlws.FILTER(CZ:CZ, CY:CY=U928, "")), "")</f>
        <v/>
      </c>
    </row>
    <row r="929" spans="2:105">
      <c r="B929" s="35">
        <v>925</v>
      </c>
      <c r="C929" s="36" t="s">
        <v>2794</v>
      </c>
      <c r="D929" s="76"/>
      <c r="E929" s="37" t="str">
        <f>IF(Table5[[#This Row],[Query Date]]&lt;&gt;"", TEXT(Table5[[#This Row],[Query Date]], "dddd"), "")</f>
        <v/>
      </c>
      <c r="F929" s="37" t="str">
        <f>IF(Table5[[#This Row],[Query Date]]&lt;&gt;"", TEXT(Table5[[#This Row],[Query Date]], "mmmm"), "")</f>
        <v/>
      </c>
      <c r="G929" s="28"/>
      <c r="H929" s="28"/>
      <c r="I929" s="28"/>
      <c r="J929" s="28"/>
      <c r="K929" s="28"/>
      <c r="L929" s="25"/>
      <c r="M929" s="25"/>
      <c r="N929" s="25"/>
      <c r="O929" s="130"/>
      <c r="P929" s="47"/>
      <c r="Q929" s="77"/>
      <c r="R929" s="77" t="str">
        <f>IF(Table5[[#This Row],[Tour Starting Date]]&lt;&gt;"", TEXT(Table5[[#This Row],[Tour Starting Date]], "dddd"), "")</f>
        <v/>
      </c>
      <c r="S929" s="77"/>
      <c r="T929" s="25" t="str">
        <f>IF(Table5[[#This Row],[Tour Ending Date]]&lt;&gt;"", TEXT(Table5[[#This Row],[Tour Ending Date]], "dddd"), "")</f>
        <v/>
      </c>
      <c r="U92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29" s="37" t="str">
        <f>IF(Table5[[#This Row],[Tour Starting Date]]&lt;&gt;"", TEXT(Table5[[#This Row],[Tour Starting Date]], "mmmm"), "")</f>
        <v/>
      </c>
      <c r="W929" s="80" t="str" cm="1">
        <f t="array" ref="W929">IF(Q929&lt;&gt;"", INDEX(CI:CI, MATCH(1, (Q929&gt;=CG:CG)*(Q929&lt;=CH:CH), 0)), "")</f>
        <v/>
      </c>
      <c r="X929" s="39"/>
      <c r="Y929" s="74"/>
      <c r="Z929" s="74" t="str">
        <f>IF(OR(Table5[[#This Row],[Per Person Package Cost]]="", Table5[[#This Row],[No. of Pax]]=""), "", Table5[[#This Row],[Per Person Package Cost]] * Table5[[#This Row],[No. of Pax]])</f>
        <v/>
      </c>
      <c r="AA929" s="52"/>
      <c r="AB929" s="52"/>
      <c r="AC929" s="52"/>
      <c r="AD929" s="52"/>
      <c r="AE929" s="51" t="str">
        <f t="shared" si="81"/>
        <v/>
      </c>
      <c r="AF929" s="51" t="str">
        <f t="shared" si="82"/>
        <v/>
      </c>
      <c r="AG929" s="74" t="str">
        <f t="shared" si="83"/>
        <v/>
      </c>
      <c r="AH929" s="73" t="str">
        <f t="shared" si="84"/>
        <v/>
      </c>
      <c r="AI929" s="52"/>
      <c r="AJ929" s="56"/>
      <c r="AK929" s="59"/>
      <c r="AL929" s="60"/>
      <c r="AM929" s="54"/>
      <c r="AN929" s="64"/>
      <c r="AO929" s="26"/>
      <c r="AP929" s="93"/>
      <c r="AQ929" s="87"/>
      <c r="AR929" s="26"/>
      <c r="AS929" s="65"/>
      <c r="AT929" s="88"/>
      <c r="AU929" s="67"/>
      <c r="DA929" t="str" cm="1">
        <f t="array" ref="DA929">IF(U929&lt;&gt;"", TRANSPOSE(_xlfn._xlws.FILTER(CZ:CZ, CY:CY=U929, "")), "")</f>
        <v/>
      </c>
    </row>
    <row r="930" spans="2:105">
      <c r="B930" s="35">
        <v>926</v>
      </c>
      <c r="C930" s="36" t="s">
        <v>2795</v>
      </c>
      <c r="D930" s="76"/>
      <c r="E930" s="37" t="str">
        <f>IF(Table5[[#This Row],[Query Date]]&lt;&gt;"", TEXT(Table5[[#This Row],[Query Date]], "dddd"), "")</f>
        <v/>
      </c>
      <c r="F930" s="37" t="str">
        <f>IF(Table5[[#This Row],[Query Date]]&lt;&gt;"", TEXT(Table5[[#This Row],[Query Date]], "mmmm"), "")</f>
        <v/>
      </c>
      <c r="G930" s="28"/>
      <c r="H930" s="28"/>
      <c r="I930" s="28"/>
      <c r="J930" s="28"/>
      <c r="K930" s="28"/>
      <c r="L930" s="25"/>
      <c r="M930" s="25"/>
      <c r="N930" s="25"/>
      <c r="O930" s="130"/>
      <c r="P930" s="47"/>
      <c r="Q930" s="77"/>
      <c r="R930" s="77" t="str">
        <f>IF(Table5[[#This Row],[Tour Starting Date]]&lt;&gt;"", TEXT(Table5[[#This Row],[Tour Starting Date]], "dddd"), "")</f>
        <v/>
      </c>
      <c r="S930" s="77"/>
      <c r="T930" s="25" t="str">
        <f>IF(Table5[[#This Row],[Tour Ending Date]]&lt;&gt;"", TEXT(Table5[[#This Row],[Tour Ending Date]], "dddd"), "")</f>
        <v/>
      </c>
      <c r="U93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30" s="37" t="str">
        <f>IF(Table5[[#This Row],[Tour Starting Date]]&lt;&gt;"", TEXT(Table5[[#This Row],[Tour Starting Date]], "mmmm"), "")</f>
        <v/>
      </c>
      <c r="W930" s="80" t="str" cm="1">
        <f t="array" ref="W930">IF(Q930&lt;&gt;"", INDEX(CI:CI, MATCH(1, (Q930&gt;=CG:CG)*(Q930&lt;=CH:CH), 0)), "")</f>
        <v/>
      </c>
      <c r="X930" s="39"/>
      <c r="Y930" s="74"/>
      <c r="Z930" s="74" t="str">
        <f>IF(OR(Table5[[#This Row],[Per Person Package Cost]]="", Table5[[#This Row],[No. of Pax]]=""), "", Table5[[#This Row],[Per Person Package Cost]] * Table5[[#This Row],[No. of Pax]])</f>
        <v/>
      </c>
      <c r="AA930" s="52"/>
      <c r="AB930" s="52"/>
      <c r="AC930" s="52"/>
      <c r="AD930" s="52"/>
      <c r="AE930" s="51" t="str">
        <f t="shared" si="81"/>
        <v/>
      </c>
      <c r="AF930" s="51" t="str">
        <f t="shared" si="82"/>
        <v/>
      </c>
      <c r="AG930" s="74" t="str">
        <f t="shared" si="83"/>
        <v/>
      </c>
      <c r="AH930" s="73" t="str">
        <f t="shared" si="84"/>
        <v/>
      </c>
      <c r="AI930" s="52"/>
      <c r="AJ930" s="56"/>
      <c r="AK930" s="59"/>
      <c r="AL930" s="60"/>
      <c r="AM930" s="54"/>
      <c r="AN930" s="64"/>
      <c r="AO930" s="26"/>
      <c r="AP930" s="93"/>
      <c r="AQ930" s="87"/>
      <c r="AR930" s="26"/>
      <c r="AS930" s="65"/>
      <c r="AT930" s="88"/>
      <c r="AU930" s="67"/>
      <c r="DA930" t="str" cm="1">
        <f t="array" ref="DA930">IF(U930&lt;&gt;"", TRANSPOSE(_xlfn._xlws.FILTER(CZ:CZ, CY:CY=U930, "")), "")</f>
        <v/>
      </c>
    </row>
    <row r="931" spans="2:105">
      <c r="B931" s="35">
        <v>927</v>
      </c>
      <c r="C931" s="36" t="s">
        <v>2796</v>
      </c>
      <c r="D931" s="76"/>
      <c r="E931" s="37" t="str">
        <f>IF(Table5[[#This Row],[Query Date]]&lt;&gt;"", TEXT(Table5[[#This Row],[Query Date]], "dddd"), "")</f>
        <v/>
      </c>
      <c r="F931" s="37" t="str">
        <f>IF(Table5[[#This Row],[Query Date]]&lt;&gt;"", TEXT(Table5[[#This Row],[Query Date]], "mmmm"), "")</f>
        <v/>
      </c>
      <c r="G931" s="28"/>
      <c r="H931" s="28"/>
      <c r="I931" s="28"/>
      <c r="J931" s="28"/>
      <c r="K931" s="28"/>
      <c r="L931" s="25"/>
      <c r="M931" s="25"/>
      <c r="N931" s="25"/>
      <c r="O931" s="130"/>
      <c r="P931" s="47"/>
      <c r="Q931" s="77"/>
      <c r="R931" s="77" t="str">
        <f>IF(Table5[[#This Row],[Tour Starting Date]]&lt;&gt;"", TEXT(Table5[[#This Row],[Tour Starting Date]], "dddd"), "")</f>
        <v/>
      </c>
      <c r="S931" s="77"/>
      <c r="T931" s="25" t="str">
        <f>IF(Table5[[#This Row],[Tour Ending Date]]&lt;&gt;"", TEXT(Table5[[#This Row],[Tour Ending Date]], "dddd"), "")</f>
        <v/>
      </c>
      <c r="U93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31" s="37" t="str">
        <f>IF(Table5[[#This Row],[Tour Starting Date]]&lt;&gt;"", TEXT(Table5[[#This Row],[Tour Starting Date]], "mmmm"), "")</f>
        <v/>
      </c>
      <c r="W931" s="80" t="str" cm="1">
        <f t="array" ref="W931">IF(Q931&lt;&gt;"", INDEX(CI:CI, MATCH(1, (Q931&gt;=CG:CG)*(Q931&lt;=CH:CH), 0)), "")</f>
        <v/>
      </c>
      <c r="X931" s="39"/>
      <c r="Y931" s="74"/>
      <c r="Z931" s="74" t="str">
        <f>IF(OR(Table5[[#This Row],[Per Person Package Cost]]="", Table5[[#This Row],[No. of Pax]]=""), "", Table5[[#This Row],[Per Person Package Cost]] * Table5[[#This Row],[No. of Pax]])</f>
        <v/>
      </c>
      <c r="AA931" s="52"/>
      <c r="AB931" s="52"/>
      <c r="AC931" s="52"/>
      <c r="AD931" s="52"/>
      <c r="AE931" s="51" t="str">
        <f t="shared" si="81"/>
        <v/>
      </c>
      <c r="AF931" s="51" t="str">
        <f t="shared" si="82"/>
        <v/>
      </c>
      <c r="AG931" s="74" t="str">
        <f t="shared" si="83"/>
        <v/>
      </c>
      <c r="AH931" s="73" t="str">
        <f t="shared" si="84"/>
        <v/>
      </c>
      <c r="AI931" s="52"/>
      <c r="AJ931" s="56"/>
      <c r="AK931" s="59"/>
      <c r="AL931" s="60"/>
      <c r="AM931" s="54"/>
      <c r="AN931" s="64"/>
      <c r="AO931" s="26"/>
      <c r="AP931" s="93"/>
      <c r="AQ931" s="87"/>
      <c r="AR931" s="26"/>
      <c r="AS931" s="65"/>
      <c r="AT931" s="88"/>
      <c r="AU931" s="67"/>
      <c r="DA931" t="str" cm="1">
        <f t="array" ref="DA931">IF(U931&lt;&gt;"", TRANSPOSE(_xlfn._xlws.FILTER(CZ:CZ, CY:CY=U931, "")), "")</f>
        <v/>
      </c>
    </row>
    <row r="932" spans="2:105">
      <c r="B932" s="35">
        <v>928</v>
      </c>
      <c r="C932" s="36" t="s">
        <v>2797</v>
      </c>
      <c r="D932" s="76"/>
      <c r="E932" s="37" t="str">
        <f>IF(Table5[[#This Row],[Query Date]]&lt;&gt;"", TEXT(Table5[[#This Row],[Query Date]], "dddd"), "")</f>
        <v/>
      </c>
      <c r="F932" s="37" t="str">
        <f>IF(Table5[[#This Row],[Query Date]]&lt;&gt;"", TEXT(Table5[[#This Row],[Query Date]], "mmmm"), "")</f>
        <v/>
      </c>
      <c r="G932" s="28"/>
      <c r="H932" s="28"/>
      <c r="I932" s="28"/>
      <c r="J932" s="28"/>
      <c r="K932" s="28"/>
      <c r="L932" s="25"/>
      <c r="M932" s="25"/>
      <c r="N932" s="25"/>
      <c r="O932" s="130"/>
      <c r="P932" s="47"/>
      <c r="Q932" s="77"/>
      <c r="R932" s="77" t="str">
        <f>IF(Table5[[#This Row],[Tour Starting Date]]&lt;&gt;"", TEXT(Table5[[#This Row],[Tour Starting Date]], "dddd"), "")</f>
        <v/>
      </c>
      <c r="S932" s="77"/>
      <c r="T932" s="25" t="str">
        <f>IF(Table5[[#This Row],[Tour Ending Date]]&lt;&gt;"", TEXT(Table5[[#This Row],[Tour Ending Date]], "dddd"), "")</f>
        <v/>
      </c>
      <c r="U93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32" s="37" t="str">
        <f>IF(Table5[[#This Row],[Tour Starting Date]]&lt;&gt;"", TEXT(Table5[[#This Row],[Tour Starting Date]], "mmmm"), "")</f>
        <v/>
      </c>
      <c r="W932" s="80" t="str" cm="1">
        <f t="array" ref="W932">IF(Q932&lt;&gt;"", INDEX(CI:CI, MATCH(1, (Q932&gt;=CG:CG)*(Q932&lt;=CH:CH), 0)), "")</f>
        <v/>
      </c>
      <c r="X932" s="39"/>
      <c r="Y932" s="74"/>
      <c r="Z932" s="74" t="str">
        <f>IF(OR(Table5[[#This Row],[Per Person Package Cost]]="", Table5[[#This Row],[No. of Pax]]=""), "", Table5[[#This Row],[Per Person Package Cost]] * Table5[[#This Row],[No. of Pax]])</f>
        <v/>
      </c>
      <c r="AA932" s="52"/>
      <c r="AB932" s="52"/>
      <c r="AC932" s="52"/>
      <c r="AD932" s="52"/>
      <c r="AE932" s="51" t="str">
        <f t="shared" si="81"/>
        <v/>
      </c>
      <c r="AF932" s="51" t="str">
        <f t="shared" si="82"/>
        <v/>
      </c>
      <c r="AG932" s="74" t="str">
        <f t="shared" si="83"/>
        <v/>
      </c>
      <c r="AH932" s="73" t="str">
        <f t="shared" si="84"/>
        <v/>
      </c>
      <c r="AI932" s="52"/>
      <c r="AJ932" s="56"/>
      <c r="AK932" s="59"/>
      <c r="AL932" s="60"/>
      <c r="AM932" s="54"/>
      <c r="AN932" s="64"/>
      <c r="AO932" s="26"/>
      <c r="AP932" s="93"/>
      <c r="AQ932" s="87"/>
      <c r="AR932" s="26"/>
      <c r="AS932" s="65"/>
      <c r="AT932" s="88"/>
      <c r="AU932" s="67"/>
      <c r="DA932" t="str" cm="1">
        <f t="array" ref="DA932">IF(U932&lt;&gt;"", TRANSPOSE(_xlfn._xlws.FILTER(CZ:CZ, CY:CY=U932, "")), "")</f>
        <v/>
      </c>
    </row>
    <row r="933" spans="2:105">
      <c r="B933" s="35">
        <v>929</v>
      </c>
      <c r="C933" s="36" t="s">
        <v>2798</v>
      </c>
      <c r="D933" s="76"/>
      <c r="E933" s="37" t="str">
        <f>IF(Table5[[#This Row],[Query Date]]&lt;&gt;"", TEXT(Table5[[#This Row],[Query Date]], "dddd"), "")</f>
        <v/>
      </c>
      <c r="F933" s="37" t="str">
        <f>IF(Table5[[#This Row],[Query Date]]&lt;&gt;"", TEXT(Table5[[#This Row],[Query Date]], "mmmm"), "")</f>
        <v/>
      </c>
      <c r="G933" s="28"/>
      <c r="H933" s="28"/>
      <c r="I933" s="28"/>
      <c r="J933" s="28"/>
      <c r="K933" s="28"/>
      <c r="L933" s="25"/>
      <c r="M933" s="25"/>
      <c r="N933" s="25"/>
      <c r="O933" s="130"/>
      <c r="P933" s="47"/>
      <c r="Q933" s="77"/>
      <c r="R933" s="77" t="str">
        <f>IF(Table5[[#This Row],[Tour Starting Date]]&lt;&gt;"", TEXT(Table5[[#This Row],[Tour Starting Date]], "dddd"), "")</f>
        <v/>
      </c>
      <c r="S933" s="77"/>
      <c r="T933" s="25" t="str">
        <f>IF(Table5[[#This Row],[Tour Ending Date]]&lt;&gt;"", TEXT(Table5[[#This Row],[Tour Ending Date]], "dddd"), "")</f>
        <v/>
      </c>
      <c r="U93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33" s="37" t="str">
        <f>IF(Table5[[#This Row],[Tour Starting Date]]&lt;&gt;"", TEXT(Table5[[#This Row],[Tour Starting Date]], "mmmm"), "")</f>
        <v/>
      </c>
      <c r="W933" s="80" t="str" cm="1">
        <f t="array" ref="W933">IF(Q933&lt;&gt;"", INDEX(CI:CI, MATCH(1, (Q933&gt;=CG:CG)*(Q933&lt;=CH:CH), 0)), "")</f>
        <v/>
      </c>
      <c r="X933" s="39"/>
      <c r="Y933" s="74"/>
      <c r="Z933" s="74" t="str">
        <f>IF(OR(Table5[[#This Row],[Per Person Package Cost]]="", Table5[[#This Row],[No. of Pax]]=""), "", Table5[[#This Row],[Per Person Package Cost]] * Table5[[#This Row],[No. of Pax]])</f>
        <v/>
      </c>
      <c r="AA933" s="52"/>
      <c r="AB933" s="52"/>
      <c r="AC933" s="52"/>
      <c r="AD933" s="52"/>
      <c r="AE933" s="51" t="str">
        <f t="shared" si="81"/>
        <v/>
      </c>
      <c r="AF933" s="51" t="str">
        <f t="shared" si="82"/>
        <v/>
      </c>
      <c r="AG933" s="74" t="str">
        <f t="shared" si="83"/>
        <v/>
      </c>
      <c r="AH933" s="73" t="str">
        <f t="shared" si="84"/>
        <v/>
      </c>
      <c r="AI933" s="52"/>
      <c r="AJ933" s="56"/>
      <c r="AK933" s="59"/>
      <c r="AL933" s="60"/>
      <c r="AM933" s="54"/>
      <c r="AN933" s="64"/>
      <c r="AO933" s="26"/>
      <c r="AP933" s="93"/>
      <c r="AQ933" s="87"/>
      <c r="AR933" s="26"/>
      <c r="AS933" s="65"/>
      <c r="AT933" s="88"/>
      <c r="AU933" s="67"/>
      <c r="DA933" t="str" cm="1">
        <f t="array" ref="DA933">IF(U933&lt;&gt;"", TRANSPOSE(_xlfn._xlws.FILTER(CZ:CZ, CY:CY=U933, "")), "")</f>
        <v/>
      </c>
    </row>
    <row r="934" spans="2:105">
      <c r="B934" s="35">
        <v>930</v>
      </c>
      <c r="C934" s="36" t="s">
        <v>2799</v>
      </c>
      <c r="D934" s="76"/>
      <c r="E934" s="37" t="str">
        <f>IF(Table5[[#This Row],[Query Date]]&lt;&gt;"", TEXT(Table5[[#This Row],[Query Date]], "dddd"), "")</f>
        <v/>
      </c>
      <c r="F934" s="37" t="str">
        <f>IF(Table5[[#This Row],[Query Date]]&lt;&gt;"", TEXT(Table5[[#This Row],[Query Date]], "mmmm"), "")</f>
        <v/>
      </c>
      <c r="G934" s="28"/>
      <c r="H934" s="28"/>
      <c r="I934" s="28"/>
      <c r="J934" s="28"/>
      <c r="K934" s="28"/>
      <c r="L934" s="25"/>
      <c r="M934" s="25"/>
      <c r="N934" s="25"/>
      <c r="O934" s="130"/>
      <c r="P934" s="47"/>
      <c r="Q934" s="77"/>
      <c r="R934" s="77" t="str">
        <f>IF(Table5[[#This Row],[Tour Starting Date]]&lt;&gt;"", TEXT(Table5[[#This Row],[Tour Starting Date]], "dddd"), "")</f>
        <v/>
      </c>
      <c r="S934" s="77"/>
      <c r="T934" s="25" t="str">
        <f>IF(Table5[[#This Row],[Tour Ending Date]]&lt;&gt;"", TEXT(Table5[[#This Row],[Tour Ending Date]], "dddd"), "")</f>
        <v/>
      </c>
      <c r="U93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34" s="37" t="str">
        <f>IF(Table5[[#This Row],[Tour Starting Date]]&lt;&gt;"", TEXT(Table5[[#This Row],[Tour Starting Date]], "mmmm"), "")</f>
        <v/>
      </c>
      <c r="W934" s="80" t="str" cm="1">
        <f t="array" ref="W934">IF(Q934&lt;&gt;"", INDEX(CI:CI, MATCH(1, (Q934&gt;=CG:CG)*(Q934&lt;=CH:CH), 0)), "")</f>
        <v/>
      </c>
      <c r="X934" s="39"/>
      <c r="Y934" s="74"/>
      <c r="Z934" s="74" t="str">
        <f>IF(OR(Table5[[#This Row],[Per Person Package Cost]]="", Table5[[#This Row],[No. of Pax]]=""), "", Table5[[#This Row],[Per Person Package Cost]] * Table5[[#This Row],[No. of Pax]])</f>
        <v/>
      </c>
      <c r="AA934" s="52"/>
      <c r="AB934" s="52"/>
      <c r="AC934" s="52"/>
      <c r="AD934" s="52"/>
      <c r="AE934" s="51" t="str">
        <f t="shared" si="81"/>
        <v/>
      </c>
      <c r="AF934" s="51" t="str">
        <f t="shared" si="82"/>
        <v/>
      </c>
      <c r="AG934" s="74" t="str">
        <f t="shared" si="83"/>
        <v/>
      </c>
      <c r="AH934" s="73" t="str">
        <f t="shared" si="84"/>
        <v/>
      </c>
      <c r="AI934" s="52"/>
      <c r="AJ934" s="56"/>
      <c r="AK934" s="59"/>
      <c r="AL934" s="60"/>
      <c r="AM934" s="54"/>
      <c r="AN934" s="64"/>
      <c r="AO934" s="26"/>
      <c r="AP934" s="93"/>
      <c r="AQ934" s="87"/>
      <c r="AR934" s="26"/>
      <c r="AS934" s="65"/>
      <c r="AT934" s="88"/>
      <c r="AU934" s="67"/>
      <c r="DA934" t="str" cm="1">
        <f t="array" ref="DA934">IF(U934&lt;&gt;"", TRANSPOSE(_xlfn._xlws.FILTER(CZ:CZ, CY:CY=U934, "")), "")</f>
        <v/>
      </c>
    </row>
    <row r="935" spans="2:105">
      <c r="B935" s="35">
        <v>931</v>
      </c>
      <c r="C935" s="36" t="s">
        <v>2800</v>
      </c>
      <c r="D935" s="76"/>
      <c r="E935" s="37" t="str">
        <f>IF(Table5[[#This Row],[Query Date]]&lt;&gt;"", TEXT(Table5[[#This Row],[Query Date]], "dddd"), "")</f>
        <v/>
      </c>
      <c r="F935" s="37" t="str">
        <f>IF(Table5[[#This Row],[Query Date]]&lt;&gt;"", TEXT(Table5[[#This Row],[Query Date]], "mmmm"), "")</f>
        <v/>
      </c>
      <c r="G935" s="28"/>
      <c r="H935" s="28"/>
      <c r="I935" s="28"/>
      <c r="J935" s="28"/>
      <c r="K935" s="28"/>
      <c r="L935" s="25"/>
      <c r="M935" s="25"/>
      <c r="N935" s="25"/>
      <c r="O935" s="130"/>
      <c r="P935" s="47"/>
      <c r="Q935" s="77"/>
      <c r="R935" s="77" t="str">
        <f>IF(Table5[[#This Row],[Tour Starting Date]]&lt;&gt;"", TEXT(Table5[[#This Row],[Tour Starting Date]], "dddd"), "")</f>
        <v/>
      </c>
      <c r="S935" s="77"/>
      <c r="T935" s="25" t="str">
        <f>IF(Table5[[#This Row],[Tour Ending Date]]&lt;&gt;"", TEXT(Table5[[#This Row],[Tour Ending Date]], "dddd"), "")</f>
        <v/>
      </c>
      <c r="U93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35" s="37" t="str">
        <f>IF(Table5[[#This Row],[Tour Starting Date]]&lt;&gt;"", TEXT(Table5[[#This Row],[Tour Starting Date]], "mmmm"), "")</f>
        <v/>
      </c>
      <c r="W935" s="80" t="str" cm="1">
        <f t="array" ref="W935">IF(Q935&lt;&gt;"", INDEX(CI:CI, MATCH(1, (Q935&gt;=CG:CG)*(Q935&lt;=CH:CH), 0)), "")</f>
        <v/>
      </c>
      <c r="X935" s="39"/>
      <c r="Y935" s="74"/>
      <c r="Z935" s="74" t="str">
        <f>IF(OR(Table5[[#This Row],[Per Person Package Cost]]="", Table5[[#This Row],[No. of Pax]]=""), "", Table5[[#This Row],[Per Person Package Cost]] * Table5[[#This Row],[No. of Pax]])</f>
        <v/>
      </c>
      <c r="AA935" s="52"/>
      <c r="AB935" s="52"/>
      <c r="AC935" s="52"/>
      <c r="AD935" s="52"/>
      <c r="AE935" s="51" t="str">
        <f t="shared" si="81"/>
        <v/>
      </c>
      <c r="AF935" s="51" t="str">
        <f t="shared" si="82"/>
        <v/>
      </c>
      <c r="AG935" s="74" t="str">
        <f t="shared" si="83"/>
        <v/>
      </c>
      <c r="AH935" s="73" t="str">
        <f t="shared" si="84"/>
        <v/>
      </c>
      <c r="AI935" s="52"/>
      <c r="AJ935" s="56"/>
      <c r="AK935" s="59"/>
      <c r="AL935" s="60"/>
      <c r="AM935" s="54"/>
      <c r="AN935" s="64"/>
      <c r="AO935" s="26"/>
      <c r="AP935" s="93"/>
      <c r="AQ935" s="87"/>
      <c r="AR935" s="26"/>
      <c r="AS935" s="65"/>
      <c r="AT935" s="88"/>
      <c r="AU935" s="67"/>
      <c r="DA935" t="str" cm="1">
        <f t="array" ref="DA935">IF(U935&lt;&gt;"", TRANSPOSE(_xlfn._xlws.FILTER(CZ:CZ, CY:CY=U935, "")), "")</f>
        <v/>
      </c>
    </row>
    <row r="936" spans="2:105">
      <c r="B936" s="35">
        <v>932</v>
      </c>
      <c r="C936" s="36" t="s">
        <v>2801</v>
      </c>
      <c r="D936" s="76"/>
      <c r="E936" s="37" t="str">
        <f>IF(Table5[[#This Row],[Query Date]]&lt;&gt;"", TEXT(Table5[[#This Row],[Query Date]], "dddd"), "")</f>
        <v/>
      </c>
      <c r="F936" s="37" t="str">
        <f>IF(Table5[[#This Row],[Query Date]]&lt;&gt;"", TEXT(Table5[[#This Row],[Query Date]], "mmmm"), "")</f>
        <v/>
      </c>
      <c r="G936" s="28"/>
      <c r="H936" s="28"/>
      <c r="I936" s="28"/>
      <c r="J936" s="28"/>
      <c r="K936" s="28"/>
      <c r="L936" s="25"/>
      <c r="M936" s="25"/>
      <c r="N936" s="25"/>
      <c r="O936" s="130"/>
      <c r="P936" s="47"/>
      <c r="Q936" s="77"/>
      <c r="R936" s="77" t="str">
        <f>IF(Table5[[#This Row],[Tour Starting Date]]&lt;&gt;"", TEXT(Table5[[#This Row],[Tour Starting Date]], "dddd"), "")</f>
        <v/>
      </c>
      <c r="S936" s="77"/>
      <c r="T936" s="25" t="str">
        <f>IF(Table5[[#This Row],[Tour Ending Date]]&lt;&gt;"", TEXT(Table5[[#This Row],[Tour Ending Date]], "dddd"), "")</f>
        <v/>
      </c>
      <c r="U93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36" s="37" t="str">
        <f>IF(Table5[[#This Row],[Tour Starting Date]]&lt;&gt;"", TEXT(Table5[[#This Row],[Tour Starting Date]], "mmmm"), "")</f>
        <v/>
      </c>
      <c r="W936" s="80" t="str" cm="1">
        <f t="array" ref="W936">IF(Q936&lt;&gt;"", INDEX(CI:CI, MATCH(1, (Q936&gt;=CG:CG)*(Q936&lt;=CH:CH), 0)), "")</f>
        <v/>
      </c>
      <c r="X936" s="39"/>
      <c r="Y936" s="74"/>
      <c r="Z936" s="74" t="str">
        <f>IF(OR(Table5[[#This Row],[Per Person Package Cost]]="", Table5[[#This Row],[No. of Pax]]=""), "", Table5[[#This Row],[Per Person Package Cost]] * Table5[[#This Row],[No. of Pax]])</f>
        <v/>
      </c>
      <c r="AA936" s="52"/>
      <c r="AB936" s="52"/>
      <c r="AC936" s="52"/>
      <c r="AD936" s="52"/>
      <c r="AE936" s="51" t="str">
        <f t="shared" si="81"/>
        <v/>
      </c>
      <c r="AF936" s="51" t="str">
        <f t="shared" si="82"/>
        <v/>
      </c>
      <c r="AG936" s="74" t="str">
        <f t="shared" si="83"/>
        <v/>
      </c>
      <c r="AH936" s="73" t="str">
        <f t="shared" si="84"/>
        <v/>
      </c>
      <c r="AI936" s="52"/>
      <c r="AJ936" s="56"/>
      <c r="AK936" s="59"/>
      <c r="AL936" s="60"/>
      <c r="AM936" s="54"/>
      <c r="AN936" s="64"/>
      <c r="AO936" s="26"/>
      <c r="AP936" s="93"/>
      <c r="AQ936" s="87"/>
      <c r="AR936" s="26"/>
      <c r="AS936" s="65"/>
      <c r="AT936" s="88"/>
      <c r="AU936" s="67"/>
      <c r="DA936" t="str" cm="1">
        <f t="array" ref="DA936">IF(U936&lt;&gt;"", TRANSPOSE(_xlfn._xlws.FILTER(CZ:CZ, CY:CY=U936, "")), "")</f>
        <v/>
      </c>
    </row>
    <row r="937" spans="2:105">
      <c r="B937" s="35">
        <v>933</v>
      </c>
      <c r="C937" s="36" t="s">
        <v>2802</v>
      </c>
      <c r="D937" s="76"/>
      <c r="E937" s="37" t="str">
        <f>IF(Table5[[#This Row],[Query Date]]&lt;&gt;"", TEXT(Table5[[#This Row],[Query Date]], "dddd"), "")</f>
        <v/>
      </c>
      <c r="F937" s="37" t="str">
        <f>IF(Table5[[#This Row],[Query Date]]&lt;&gt;"", TEXT(Table5[[#This Row],[Query Date]], "mmmm"), "")</f>
        <v/>
      </c>
      <c r="G937" s="28"/>
      <c r="H937" s="28"/>
      <c r="I937" s="28"/>
      <c r="J937" s="28"/>
      <c r="K937" s="28"/>
      <c r="L937" s="25"/>
      <c r="M937" s="25"/>
      <c r="N937" s="25"/>
      <c r="O937" s="130"/>
      <c r="P937" s="47"/>
      <c r="Q937" s="77"/>
      <c r="R937" s="77" t="str">
        <f>IF(Table5[[#This Row],[Tour Starting Date]]&lt;&gt;"", TEXT(Table5[[#This Row],[Tour Starting Date]], "dddd"), "")</f>
        <v/>
      </c>
      <c r="S937" s="77"/>
      <c r="T937" s="25" t="str">
        <f>IF(Table5[[#This Row],[Tour Ending Date]]&lt;&gt;"", TEXT(Table5[[#This Row],[Tour Ending Date]], "dddd"), "")</f>
        <v/>
      </c>
      <c r="U93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37" s="37" t="str">
        <f>IF(Table5[[#This Row],[Tour Starting Date]]&lt;&gt;"", TEXT(Table5[[#This Row],[Tour Starting Date]], "mmmm"), "")</f>
        <v/>
      </c>
      <c r="W937" s="80" t="str" cm="1">
        <f t="array" ref="W937">IF(Q937&lt;&gt;"", INDEX(CI:CI, MATCH(1, (Q937&gt;=CG:CG)*(Q937&lt;=CH:CH), 0)), "")</f>
        <v/>
      </c>
      <c r="X937" s="39"/>
      <c r="Y937" s="74"/>
      <c r="Z937" s="74" t="str">
        <f>IF(OR(Table5[[#This Row],[Per Person Package Cost]]="", Table5[[#This Row],[No. of Pax]]=""), "", Table5[[#This Row],[Per Person Package Cost]] * Table5[[#This Row],[No. of Pax]])</f>
        <v/>
      </c>
      <c r="AA937" s="52"/>
      <c r="AB937" s="52"/>
      <c r="AC937" s="52"/>
      <c r="AD937" s="52"/>
      <c r="AE937" s="51" t="str">
        <f t="shared" si="81"/>
        <v/>
      </c>
      <c r="AF937" s="51" t="str">
        <f t="shared" si="82"/>
        <v/>
      </c>
      <c r="AG937" s="74" t="str">
        <f t="shared" si="83"/>
        <v/>
      </c>
      <c r="AH937" s="73" t="str">
        <f t="shared" si="84"/>
        <v/>
      </c>
      <c r="AI937" s="52"/>
      <c r="AJ937" s="56"/>
      <c r="AK937" s="59"/>
      <c r="AL937" s="60"/>
      <c r="AM937" s="54"/>
      <c r="AN937" s="64"/>
      <c r="AO937" s="26"/>
      <c r="AP937" s="93"/>
      <c r="AQ937" s="87"/>
      <c r="AR937" s="26"/>
      <c r="AS937" s="65"/>
      <c r="AT937" s="88"/>
      <c r="AU937" s="67"/>
      <c r="DA937" t="str" cm="1">
        <f t="array" ref="DA937">IF(U937&lt;&gt;"", TRANSPOSE(_xlfn._xlws.FILTER(CZ:CZ, CY:CY=U937, "")), "")</f>
        <v/>
      </c>
    </row>
    <row r="938" spans="2:105">
      <c r="B938" s="35">
        <v>934</v>
      </c>
      <c r="C938" s="36" t="s">
        <v>2803</v>
      </c>
      <c r="D938" s="76"/>
      <c r="E938" s="37" t="str">
        <f>IF(Table5[[#This Row],[Query Date]]&lt;&gt;"", TEXT(Table5[[#This Row],[Query Date]], "dddd"), "")</f>
        <v/>
      </c>
      <c r="F938" s="37" t="str">
        <f>IF(Table5[[#This Row],[Query Date]]&lt;&gt;"", TEXT(Table5[[#This Row],[Query Date]], "mmmm"), "")</f>
        <v/>
      </c>
      <c r="G938" s="28"/>
      <c r="H938" s="28"/>
      <c r="I938" s="28"/>
      <c r="J938" s="28"/>
      <c r="K938" s="28"/>
      <c r="L938" s="25"/>
      <c r="M938" s="25"/>
      <c r="N938" s="25"/>
      <c r="O938" s="130"/>
      <c r="P938" s="47"/>
      <c r="Q938" s="77"/>
      <c r="R938" s="77" t="str">
        <f>IF(Table5[[#This Row],[Tour Starting Date]]&lt;&gt;"", TEXT(Table5[[#This Row],[Tour Starting Date]], "dddd"), "")</f>
        <v/>
      </c>
      <c r="S938" s="77"/>
      <c r="T938" s="25" t="str">
        <f>IF(Table5[[#This Row],[Tour Ending Date]]&lt;&gt;"", TEXT(Table5[[#This Row],[Tour Ending Date]], "dddd"), "")</f>
        <v/>
      </c>
      <c r="U93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38" s="37" t="str">
        <f>IF(Table5[[#This Row],[Tour Starting Date]]&lt;&gt;"", TEXT(Table5[[#This Row],[Tour Starting Date]], "mmmm"), "")</f>
        <v/>
      </c>
      <c r="W938" s="80" t="str" cm="1">
        <f t="array" ref="W938">IF(Q938&lt;&gt;"", INDEX(CI:CI, MATCH(1, (Q938&gt;=CG:CG)*(Q938&lt;=CH:CH), 0)), "")</f>
        <v/>
      </c>
      <c r="X938" s="39"/>
      <c r="Y938" s="74"/>
      <c r="Z938" s="74" t="str">
        <f>IF(OR(Table5[[#This Row],[Per Person Package Cost]]="", Table5[[#This Row],[No. of Pax]]=""), "", Table5[[#This Row],[Per Person Package Cost]] * Table5[[#This Row],[No. of Pax]])</f>
        <v/>
      </c>
      <c r="AA938" s="52"/>
      <c r="AB938" s="52"/>
      <c r="AC938" s="52"/>
      <c r="AD938" s="52"/>
      <c r="AE938" s="51" t="str">
        <f t="shared" si="81"/>
        <v/>
      </c>
      <c r="AF938" s="51" t="str">
        <f t="shared" si="82"/>
        <v/>
      </c>
      <c r="AG938" s="74" t="str">
        <f t="shared" si="83"/>
        <v/>
      </c>
      <c r="AH938" s="73" t="str">
        <f t="shared" si="84"/>
        <v/>
      </c>
      <c r="AI938" s="52"/>
      <c r="AJ938" s="56"/>
      <c r="AK938" s="59"/>
      <c r="AL938" s="60"/>
      <c r="AM938" s="54"/>
      <c r="AN938" s="64"/>
      <c r="AO938" s="26"/>
      <c r="AP938" s="93"/>
      <c r="AQ938" s="87"/>
      <c r="AR938" s="26"/>
      <c r="AS938" s="65"/>
      <c r="AT938" s="88"/>
      <c r="AU938" s="67"/>
      <c r="DA938" t="str" cm="1">
        <f t="array" ref="DA938">IF(U938&lt;&gt;"", TRANSPOSE(_xlfn._xlws.FILTER(CZ:CZ, CY:CY=U938, "")), "")</f>
        <v/>
      </c>
    </row>
    <row r="939" spans="2:105">
      <c r="B939" s="35">
        <v>935</v>
      </c>
      <c r="C939" s="36" t="s">
        <v>2804</v>
      </c>
      <c r="D939" s="76"/>
      <c r="E939" s="37" t="str">
        <f>IF(Table5[[#This Row],[Query Date]]&lt;&gt;"", TEXT(Table5[[#This Row],[Query Date]], "dddd"), "")</f>
        <v/>
      </c>
      <c r="F939" s="37" t="str">
        <f>IF(Table5[[#This Row],[Query Date]]&lt;&gt;"", TEXT(Table5[[#This Row],[Query Date]], "mmmm"), "")</f>
        <v/>
      </c>
      <c r="G939" s="28"/>
      <c r="H939" s="28"/>
      <c r="I939" s="28"/>
      <c r="J939" s="28"/>
      <c r="K939" s="28"/>
      <c r="L939" s="25"/>
      <c r="M939" s="25"/>
      <c r="N939" s="25"/>
      <c r="O939" s="130"/>
      <c r="P939" s="47"/>
      <c r="Q939" s="77"/>
      <c r="R939" s="77" t="str">
        <f>IF(Table5[[#This Row],[Tour Starting Date]]&lt;&gt;"", TEXT(Table5[[#This Row],[Tour Starting Date]], "dddd"), "")</f>
        <v/>
      </c>
      <c r="S939" s="77"/>
      <c r="T939" s="25" t="str">
        <f>IF(Table5[[#This Row],[Tour Ending Date]]&lt;&gt;"", TEXT(Table5[[#This Row],[Tour Ending Date]], "dddd"), "")</f>
        <v/>
      </c>
      <c r="U93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39" s="37" t="str">
        <f>IF(Table5[[#This Row],[Tour Starting Date]]&lt;&gt;"", TEXT(Table5[[#This Row],[Tour Starting Date]], "mmmm"), "")</f>
        <v/>
      </c>
      <c r="W939" s="80" t="str" cm="1">
        <f t="array" ref="W939">IF(Q939&lt;&gt;"", INDEX(CI:CI, MATCH(1, (Q939&gt;=CG:CG)*(Q939&lt;=CH:CH), 0)), "")</f>
        <v/>
      </c>
      <c r="X939" s="39"/>
      <c r="Y939" s="74"/>
      <c r="Z939" s="74" t="str">
        <f>IF(OR(Table5[[#This Row],[Per Person Package Cost]]="", Table5[[#This Row],[No. of Pax]]=""), "", Table5[[#This Row],[Per Person Package Cost]] * Table5[[#This Row],[No. of Pax]])</f>
        <v/>
      </c>
      <c r="AA939" s="52"/>
      <c r="AB939" s="52"/>
      <c r="AC939" s="52"/>
      <c r="AD939" s="52"/>
      <c r="AE939" s="51" t="str">
        <f t="shared" si="81"/>
        <v/>
      </c>
      <c r="AF939" s="51" t="str">
        <f t="shared" si="82"/>
        <v/>
      </c>
      <c r="AG939" s="74" t="str">
        <f t="shared" si="83"/>
        <v/>
      </c>
      <c r="AH939" s="73" t="str">
        <f t="shared" si="84"/>
        <v/>
      </c>
      <c r="AI939" s="52"/>
      <c r="AJ939" s="56"/>
      <c r="AK939" s="59"/>
      <c r="AL939" s="60"/>
      <c r="AM939" s="54"/>
      <c r="AN939" s="64"/>
      <c r="AO939" s="26"/>
      <c r="AP939" s="93"/>
      <c r="AQ939" s="87"/>
      <c r="AR939" s="26"/>
      <c r="AS939" s="65"/>
      <c r="AT939" s="88"/>
      <c r="AU939" s="67"/>
      <c r="DA939" t="str" cm="1">
        <f t="array" ref="DA939">IF(U939&lt;&gt;"", TRANSPOSE(_xlfn._xlws.FILTER(CZ:CZ, CY:CY=U939, "")), "")</f>
        <v/>
      </c>
    </row>
    <row r="940" spans="2:105">
      <c r="B940" s="35">
        <v>936</v>
      </c>
      <c r="C940" s="36" t="s">
        <v>2805</v>
      </c>
      <c r="D940" s="76"/>
      <c r="E940" s="37" t="str">
        <f>IF(Table5[[#This Row],[Query Date]]&lt;&gt;"", TEXT(Table5[[#This Row],[Query Date]], "dddd"), "")</f>
        <v/>
      </c>
      <c r="F940" s="37" t="str">
        <f>IF(Table5[[#This Row],[Query Date]]&lt;&gt;"", TEXT(Table5[[#This Row],[Query Date]], "mmmm"), "")</f>
        <v/>
      </c>
      <c r="G940" s="28"/>
      <c r="H940" s="28"/>
      <c r="I940" s="28"/>
      <c r="J940" s="28"/>
      <c r="K940" s="28"/>
      <c r="L940" s="25"/>
      <c r="M940" s="25"/>
      <c r="N940" s="25"/>
      <c r="O940" s="130"/>
      <c r="P940" s="47"/>
      <c r="Q940" s="77"/>
      <c r="R940" s="77" t="str">
        <f>IF(Table5[[#This Row],[Tour Starting Date]]&lt;&gt;"", TEXT(Table5[[#This Row],[Tour Starting Date]], "dddd"), "")</f>
        <v/>
      </c>
      <c r="S940" s="77"/>
      <c r="T940" s="25" t="str">
        <f>IF(Table5[[#This Row],[Tour Ending Date]]&lt;&gt;"", TEXT(Table5[[#This Row],[Tour Ending Date]], "dddd"), "")</f>
        <v/>
      </c>
      <c r="U94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40" s="37" t="str">
        <f>IF(Table5[[#This Row],[Tour Starting Date]]&lt;&gt;"", TEXT(Table5[[#This Row],[Tour Starting Date]], "mmmm"), "")</f>
        <v/>
      </c>
      <c r="W940" s="80" t="str" cm="1">
        <f t="array" ref="W940">IF(Q940&lt;&gt;"", INDEX(CI:CI, MATCH(1, (Q940&gt;=CG:CG)*(Q940&lt;=CH:CH), 0)), "")</f>
        <v/>
      </c>
      <c r="X940" s="39"/>
      <c r="Y940" s="74"/>
      <c r="Z940" s="74" t="str">
        <f>IF(OR(Table5[[#This Row],[Per Person Package Cost]]="", Table5[[#This Row],[No. of Pax]]=""), "", Table5[[#This Row],[Per Person Package Cost]] * Table5[[#This Row],[No. of Pax]])</f>
        <v/>
      </c>
      <c r="AA940" s="52"/>
      <c r="AB940" s="52"/>
      <c r="AC940" s="52"/>
      <c r="AD940" s="52"/>
      <c r="AE940" s="51" t="str">
        <f t="shared" si="81"/>
        <v/>
      </c>
      <c r="AF940" s="51" t="str">
        <f t="shared" si="82"/>
        <v/>
      </c>
      <c r="AG940" s="74" t="str">
        <f t="shared" si="83"/>
        <v/>
      </c>
      <c r="AH940" s="73" t="str">
        <f t="shared" si="84"/>
        <v/>
      </c>
      <c r="AI940" s="52"/>
      <c r="AJ940" s="56"/>
      <c r="AK940" s="59"/>
      <c r="AL940" s="60"/>
      <c r="AM940" s="54"/>
      <c r="AN940" s="64"/>
      <c r="AO940" s="26"/>
      <c r="AP940" s="93"/>
      <c r="AQ940" s="87"/>
      <c r="AR940" s="26"/>
      <c r="AS940" s="65"/>
      <c r="AT940" s="88"/>
      <c r="AU940" s="67"/>
      <c r="DA940" t="str" cm="1">
        <f t="array" ref="DA940">IF(U940&lt;&gt;"", TRANSPOSE(_xlfn._xlws.FILTER(CZ:CZ, CY:CY=U940, "")), "")</f>
        <v/>
      </c>
    </row>
    <row r="941" spans="2:105">
      <c r="B941" s="35">
        <v>937</v>
      </c>
      <c r="C941" s="36" t="s">
        <v>2806</v>
      </c>
      <c r="D941" s="76"/>
      <c r="E941" s="37" t="str">
        <f>IF(Table5[[#This Row],[Query Date]]&lt;&gt;"", TEXT(Table5[[#This Row],[Query Date]], "dddd"), "")</f>
        <v/>
      </c>
      <c r="F941" s="37" t="str">
        <f>IF(Table5[[#This Row],[Query Date]]&lt;&gt;"", TEXT(Table5[[#This Row],[Query Date]], "mmmm"), "")</f>
        <v/>
      </c>
      <c r="G941" s="28"/>
      <c r="H941" s="28"/>
      <c r="I941" s="28"/>
      <c r="J941" s="28"/>
      <c r="K941" s="28"/>
      <c r="L941" s="25"/>
      <c r="M941" s="25"/>
      <c r="N941" s="25"/>
      <c r="O941" s="130"/>
      <c r="P941" s="47"/>
      <c r="Q941" s="77"/>
      <c r="R941" s="77" t="str">
        <f>IF(Table5[[#This Row],[Tour Starting Date]]&lt;&gt;"", TEXT(Table5[[#This Row],[Tour Starting Date]], "dddd"), "")</f>
        <v/>
      </c>
      <c r="S941" s="77"/>
      <c r="T941" s="25" t="str">
        <f>IF(Table5[[#This Row],[Tour Ending Date]]&lt;&gt;"", TEXT(Table5[[#This Row],[Tour Ending Date]], "dddd"), "")</f>
        <v/>
      </c>
      <c r="U94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41" s="37" t="str">
        <f>IF(Table5[[#This Row],[Tour Starting Date]]&lt;&gt;"", TEXT(Table5[[#This Row],[Tour Starting Date]], "mmmm"), "")</f>
        <v/>
      </c>
      <c r="W941" s="80" t="str" cm="1">
        <f t="array" ref="W941">IF(Q941&lt;&gt;"", INDEX(CI:CI, MATCH(1, (Q941&gt;=CG:CG)*(Q941&lt;=CH:CH), 0)), "")</f>
        <v/>
      </c>
      <c r="X941" s="39"/>
      <c r="Y941" s="74"/>
      <c r="Z941" s="74" t="str">
        <f>IF(OR(Table5[[#This Row],[Per Person Package Cost]]="", Table5[[#This Row],[No. of Pax]]=""), "", Table5[[#This Row],[Per Person Package Cost]] * Table5[[#This Row],[No. of Pax]])</f>
        <v/>
      </c>
      <c r="AA941" s="52"/>
      <c r="AB941" s="52"/>
      <c r="AC941" s="52"/>
      <c r="AD941" s="52"/>
      <c r="AE941" s="51" t="str">
        <f t="shared" si="81"/>
        <v/>
      </c>
      <c r="AF941" s="51" t="str">
        <f t="shared" si="82"/>
        <v/>
      </c>
      <c r="AG941" s="74" t="str">
        <f t="shared" si="83"/>
        <v/>
      </c>
      <c r="AH941" s="73" t="str">
        <f t="shared" si="84"/>
        <v/>
      </c>
      <c r="AI941" s="52"/>
      <c r="AJ941" s="56"/>
      <c r="AK941" s="59"/>
      <c r="AL941" s="60"/>
      <c r="AM941" s="54"/>
      <c r="AN941" s="64"/>
      <c r="AO941" s="26"/>
      <c r="AP941" s="93"/>
      <c r="AQ941" s="87"/>
      <c r="AR941" s="26"/>
      <c r="AS941" s="65"/>
      <c r="AT941" s="88"/>
      <c r="AU941" s="67"/>
      <c r="DA941" t="str" cm="1">
        <f t="array" ref="DA941">IF(U941&lt;&gt;"", TRANSPOSE(_xlfn._xlws.FILTER(CZ:CZ, CY:CY=U941, "")), "")</f>
        <v/>
      </c>
    </row>
    <row r="942" spans="2:105">
      <c r="B942" s="35">
        <v>938</v>
      </c>
      <c r="C942" s="36" t="s">
        <v>2807</v>
      </c>
      <c r="D942" s="76"/>
      <c r="E942" s="37" t="str">
        <f>IF(Table5[[#This Row],[Query Date]]&lt;&gt;"", TEXT(Table5[[#This Row],[Query Date]], "dddd"), "")</f>
        <v/>
      </c>
      <c r="F942" s="37" t="str">
        <f>IF(Table5[[#This Row],[Query Date]]&lt;&gt;"", TEXT(Table5[[#This Row],[Query Date]], "mmmm"), "")</f>
        <v/>
      </c>
      <c r="G942" s="28"/>
      <c r="H942" s="28"/>
      <c r="I942" s="28"/>
      <c r="J942" s="28"/>
      <c r="K942" s="28"/>
      <c r="L942" s="25"/>
      <c r="M942" s="25"/>
      <c r="N942" s="25"/>
      <c r="O942" s="130"/>
      <c r="P942" s="47"/>
      <c r="Q942" s="77"/>
      <c r="R942" s="77" t="str">
        <f>IF(Table5[[#This Row],[Tour Starting Date]]&lt;&gt;"", TEXT(Table5[[#This Row],[Tour Starting Date]], "dddd"), "")</f>
        <v/>
      </c>
      <c r="S942" s="77"/>
      <c r="T942" s="25" t="str">
        <f>IF(Table5[[#This Row],[Tour Ending Date]]&lt;&gt;"", TEXT(Table5[[#This Row],[Tour Ending Date]], "dddd"), "")</f>
        <v/>
      </c>
      <c r="U94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42" s="37" t="str">
        <f>IF(Table5[[#This Row],[Tour Starting Date]]&lt;&gt;"", TEXT(Table5[[#This Row],[Tour Starting Date]], "mmmm"), "")</f>
        <v/>
      </c>
      <c r="W942" s="80" t="str" cm="1">
        <f t="array" ref="W942">IF(Q942&lt;&gt;"", INDEX(CI:CI, MATCH(1, (Q942&gt;=CG:CG)*(Q942&lt;=CH:CH), 0)), "")</f>
        <v/>
      </c>
      <c r="X942" s="39"/>
      <c r="Y942" s="74"/>
      <c r="Z942" s="74" t="str">
        <f>IF(OR(Table5[[#This Row],[Per Person Package Cost]]="", Table5[[#This Row],[No. of Pax]]=""), "", Table5[[#This Row],[Per Person Package Cost]] * Table5[[#This Row],[No. of Pax]])</f>
        <v/>
      </c>
      <c r="AA942" s="52"/>
      <c r="AB942" s="52"/>
      <c r="AC942" s="52"/>
      <c r="AD942" s="52"/>
      <c r="AE942" s="51" t="str">
        <f t="shared" si="81"/>
        <v/>
      </c>
      <c r="AF942" s="51" t="str">
        <f t="shared" si="82"/>
        <v/>
      </c>
      <c r="AG942" s="74" t="str">
        <f t="shared" si="83"/>
        <v/>
      </c>
      <c r="AH942" s="73" t="str">
        <f t="shared" si="84"/>
        <v/>
      </c>
      <c r="AI942" s="52"/>
      <c r="AJ942" s="56"/>
      <c r="AK942" s="59"/>
      <c r="AL942" s="60"/>
      <c r="AM942" s="54"/>
      <c r="AN942" s="64"/>
      <c r="AO942" s="26"/>
      <c r="AP942" s="93"/>
      <c r="AQ942" s="87"/>
      <c r="AR942" s="26"/>
      <c r="AS942" s="65"/>
      <c r="AT942" s="88"/>
      <c r="AU942" s="67"/>
      <c r="DA942" t="str" cm="1">
        <f t="array" ref="DA942">IF(U942&lt;&gt;"", TRANSPOSE(_xlfn._xlws.FILTER(CZ:CZ, CY:CY=U942, "")), "")</f>
        <v/>
      </c>
    </row>
    <row r="943" spans="2:105">
      <c r="B943" s="35">
        <v>939</v>
      </c>
      <c r="C943" s="36" t="s">
        <v>2808</v>
      </c>
      <c r="D943" s="76"/>
      <c r="E943" s="37" t="str">
        <f>IF(Table5[[#This Row],[Query Date]]&lt;&gt;"", TEXT(Table5[[#This Row],[Query Date]], "dddd"), "")</f>
        <v/>
      </c>
      <c r="F943" s="37" t="str">
        <f>IF(Table5[[#This Row],[Query Date]]&lt;&gt;"", TEXT(Table5[[#This Row],[Query Date]], "mmmm"), "")</f>
        <v/>
      </c>
      <c r="G943" s="28"/>
      <c r="H943" s="28"/>
      <c r="I943" s="28"/>
      <c r="J943" s="28"/>
      <c r="K943" s="28"/>
      <c r="L943" s="25"/>
      <c r="M943" s="25"/>
      <c r="N943" s="25"/>
      <c r="O943" s="130"/>
      <c r="P943" s="47"/>
      <c r="Q943" s="77"/>
      <c r="R943" s="77" t="str">
        <f>IF(Table5[[#This Row],[Tour Starting Date]]&lt;&gt;"", TEXT(Table5[[#This Row],[Tour Starting Date]], "dddd"), "")</f>
        <v/>
      </c>
      <c r="S943" s="77"/>
      <c r="T943" s="25" t="str">
        <f>IF(Table5[[#This Row],[Tour Ending Date]]&lt;&gt;"", TEXT(Table5[[#This Row],[Tour Ending Date]], "dddd"), "")</f>
        <v/>
      </c>
      <c r="U94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43" s="37" t="str">
        <f>IF(Table5[[#This Row],[Tour Starting Date]]&lt;&gt;"", TEXT(Table5[[#This Row],[Tour Starting Date]], "mmmm"), "")</f>
        <v/>
      </c>
      <c r="W943" s="80" t="str" cm="1">
        <f t="array" ref="W943">IF(Q943&lt;&gt;"", INDEX(CI:CI, MATCH(1, (Q943&gt;=CG:CG)*(Q943&lt;=CH:CH), 0)), "")</f>
        <v/>
      </c>
      <c r="X943" s="39"/>
      <c r="Y943" s="74"/>
      <c r="Z943" s="74" t="str">
        <f>IF(OR(Table5[[#This Row],[Per Person Package Cost]]="", Table5[[#This Row],[No. of Pax]]=""), "", Table5[[#This Row],[Per Person Package Cost]] * Table5[[#This Row],[No. of Pax]])</f>
        <v/>
      </c>
      <c r="AA943" s="52"/>
      <c r="AB943" s="52"/>
      <c r="AC943" s="52"/>
      <c r="AD943" s="52"/>
      <c r="AE943" s="51" t="str">
        <f t="shared" si="81"/>
        <v/>
      </c>
      <c r="AF943" s="51" t="str">
        <f t="shared" si="82"/>
        <v/>
      </c>
      <c r="AG943" s="74" t="str">
        <f t="shared" si="83"/>
        <v/>
      </c>
      <c r="AH943" s="73" t="str">
        <f t="shared" si="84"/>
        <v/>
      </c>
      <c r="AI943" s="52"/>
      <c r="AJ943" s="56"/>
      <c r="AK943" s="59"/>
      <c r="AL943" s="60"/>
      <c r="AM943" s="54"/>
      <c r="AN943" s="64"/>
      <c r="AO943" s="26"/>
      <c r="AP943" s="93"/>
      <c r="AQ943" s="87"/>
      <c r="AR943" s="26"/>
      <c r="AS943" s="65"/>
      <c r="AT943" s="88"/>
      <c r="AU943" s="67"/>
      <c r="DA943" t="str" cm="1">
        <f t="array" ref="DA943">IF(U943&lt;&gt;"", TRANSPOSE(_xlfn._xlws.FILTER(CZ:CZ, CY:CY=U943, "")), "")</f>
        <v/>
      </c>
    </row>
    <row r="944" spans="2:105">
      <c r="B944" s="35">
        <v>940</v>
      </c>
      <c r="C944" s="36" t="s">
        <v>2809</v>
      </c>
      <c r="D944" s="76"/>
      <c r="E944" s="37" t="str">
        <f>IF(Table5[[#This Row],[Query Date]]&lt;&gt;"", TEXT(Table5[[#This Row],[Query Date]], "dddd"), "")</f>
        <v/>
      </c>
      <c r="F944" s="37" t="str">
        <f>IF(Table5[[#This Row],[Query Date]]&lt;&gt;"", TEXT(Table5[[#This Row],[Query Date]], "mmmm"), "")</f>
        <v/>
      </c>
      <c r="G944" s="28"/>
      <c r="H944" s="28"/>
      <c r="I944" s="28"/>
      <c r="J944" s="28"/>
      <c r="K944" s="28"/>
      <c r="L944" s="25"/>
      <c r="M944" s="25"/>
      <c r="N944" s="25"/>
      <c r="O944" s="130"/>
      <c r="P944" s="47"/>
      <c r="Q944" s="77"/>
      <c r="R944" s="77" t="str">
        <f>IF(Table5[[#This Row],[Tour Starting Date]]&lt;&gt;"", TEXT(Table5[[#This Row],[Tour Starting Date]], "dddd"), "")</f>
        <v/>
      </c>
      <c r="S944" s="77"/>
      <c r="T944" s="25" t="str">
        <f>IF(Table5[[#This Row],[Tour Ending Date]]&lt;&gt;"", TEXT(Table5[[#This Row],[Tour Ending Date]], "dddd"), "")</f>
        <v/>
      </c>
      <c r="U94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44" s="37" t="str">
        <f>IF(Table5[[#This Row],[Tour Starting Date]]&lt;&gt;"", TEXT(Table5[[#This Row],[Tour Starting Date]], "mmmm"), "")</f>
        <v/>
      </c>
      <c r="W944" s="80" t="str" cm="1">
        <f t="array" ref="W944">IF(Q944&lt;&gt;"", INDEX(CI:CI, MATCH(1, (Q944&gt;=CG:CG)*(Q944&lt;=CH:CH), 0)), "")</f>
        <v/>
      </c>
      <c r="X944" s="39"/>
      <c r="Y944" s="74"/>
      <c r="Z944" s="74" t="str">
        <f>IF(OR(Table5[[#This Row],[Per Person Package Cost]]="", Table5[[#This Row],[No. of Pax]]=""), "", Table5[[#This Row],[Per Person Package Cost]] * Table5[[#This Row],[No. of Pax]])</f>
        <v/>
      </c>
      <c r="AA944" s="52"/>
      <c r="AB944" s="52"/>
      <c r="AC944" s="52"/>
      <c r="AD944" s="52"/>
      <c r="AE944" s="51" t="str">
        <f t="shared" si="81"/>
        <v/>
      </c>
      <c r="AF944" s="51" t="str">
        <f t="shared" si="82"/>
        <v/>
      </c>
      <c r="AG944" s="74" t="str">
        <f t="shared" si="83"/>
        <v/>
      </c>
      <c r="AH944" s="73" t="str">
        <f t="shared" si="84"/>
        <v/>
      </c>
      <c r="AI944" s="52"/>
      <c r="AJ944" s="56"/>
      <c r="AK944" s="59"/>
      <c r="AL944" s="60"/>
      <c r="AM944" s="54"/>
      <c r="AN944" s="64"/>
      <c r="AO944" s="26"/>
      <c r="AP944" s="93"/>
      <c r="AQ944" s="87"/>
      <c r="AR944" s="26"/>
      <c r="AS944" s="65"/>
      <c r="AT944" s="88"/>
      <c r="AU944" s="67"/>
      <c r="DA944" t="str" cm="1">
        <f t="array" ref="DA944">IF(U944&lt;&gt;"", TRANSPOSE(_xlfn._xlws.FILTER(CZ:CZ, CY:CY=U944, "")), "")</f>
        <v/>
      </c>
    </row>
    <row r="945" spans="2:105">
      <c r="B945" s="35">
        <v>941</v>
      </c>
      <c r="C945" s="36" t="s">
        <v>2810</v>
      </c>
      <c r="D945" s="76"/>
      <c r="E945" s="37" t="str">
        <f>IF(Table5[[#This Row],[Query Date]]&lt;&gt;"", TEXT(Table5[[#This Row],[Query Date]], "dddd"), "")</f>
        <v/>
      </c>
      <c r="F945" s="37" t="str">
        <f>IF(Table5[[#This Row],[Query Date]]&lt;&gt;"", TEXT(Table5[[#This Row],[Query Date]], "mmmm"), "")</f>
        <v/>
      </c>
      <c r="G945" s="28"/>
      <c r="H945" s="28"/>
      <c r="I945" s="28"/>
      <c r="J945" s="28"/>
      <c r="K945" s="28"/>
      <c r="L945" s="25"/>
      <c r="M945" s="25"/>
      <c r="N945" s="25"/>
      <c r="O945" s="130"/>
      <c r="P945" s="47"/>
      <c r="Q945" s="77"/>
      <c r="R945" s="77" t="str">
        <f>IF(Table5[[#This Row],[Tour Starting Date]]&lt;&gt;"", TEXT(Table5[[#This Row],[Tour Starting Date]], "dddd"), "")</f>
        <v/>
      </c>
      <c r="S945" s="77"/>
      <c r="T945" s="25" t="str">
        <f>IF(Table5[[#This Row],[Tour Ending Date]]&lt;&gt;"", TEXT(Table5[[#This Row],[Tour Ending Date]], "dddd"), "")</f>
        <v/>
      </c>
      <c r="U94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45" s="37" t="str">
        <f>IF(Table5[[#This Row],[Tour Starting Date]]&lt;&gt;"", TEXT(Table5[[#This Row],[Tour Starting Date]], "mmmm"), "")</f>
        <v/>
      </c>
      <c r="W945" s="80" t="str" cm="1">
        <f t="array" ref="W945">IF(Q945&lt;&gt;"", INDEX(CI:CI, MATCH(1, (Q945&gt;=CG:CG)*(Q945&lt;=CH:CH), 0)), "")</f>
        <v/>
      </c>
      <c r="X945" s="39"/>
      <c r="Y945" s="74"/>
      <c r="Z945" s="74" t="str">
        <f>IF(OR(Table5[[#This Row],[Per Person Package Cost]]="", Table5[[#This Row],[No. of Pax]]=""), "", Table5[[#This Row],[Per Person Package Cost]] * Table5[[#This Row],[No. of Pax]])</f>
        <v/>
      </c>
      <c r="AA945" s="52"/>
      <c r="AB945" s="52"/>
      <c r="AC945" s="52"/>
      <c r="AD945" s="52"/>
      <c r="AE945" s="51" t="str">
        <f t="shared" si="81"/>
        <v/>
      </c>
      <c r="AF945" s="51" t="str">
        <f t="shared" si="82"/>
        <v/>
      </c>
      <c r="AG945" s="74" t="str">
        <f t="shared" si="83"/>
        <v/>
      </c>
      <c r="AH945" s="73" t="str">
        <f t="shared" si="84"/>
        <v/>
      </c>
      <c r="AI945" s="52"/>
      <c r="AJ945" s="56"/>
      <c r="AK945" s="59"/>
      <c r="AL945" s="60"/>
      <c r="AM945" s="54"/>
      <c r="AN945" s="64"/>
      <c r="AO945" s="26"/>
      <c r="AP945" s="93"/>
      <c r="AQ945" s="87"/>
      <c r="AR945" s="26"/>
      <c r="AS945" s="65"/>
      <c r="AT945" s="88"/>
      <c r="AU945" s="67"/>
      <c r="DA945" t="str" cm="1">
        <f t="array" ref="DA945">IF(U945&lt;&gt;"", TRANSPOSE(_xlfn._xlws.FILTER(CZ:CZ, CY:CY=U945, "")), "")</f>
        <v/>
      </c>
    </row>
    <row r="946" spans="2:105">
      <c r="B946" s="35">
        <v>942</v>
      </c>
      <c r="C946" s="36" t="s">
        <v>2811</v>
      </c>
      <c r="D946" s="76"/>
      <c r="E946" s="37" t="str">
        <f>IF(Table5[[#This Row],[Query Date]]&lt;&gt;"", TEXT(Table5[[#This Row],[Query Date]], "dddd"), "")</f>
        <v/>
      </c>
      <c r="F946" s="37" t="str">
        <f>IF(Table5[[#This Row],[Query Date]]&lt;&gt;"", TEXT(Table5[[#This Row],[Query Date]], "mmmm"), "")</f>
        <v/>
      </c>
      <c r="G946" s="28"/>
      <c r="H946" s="28"/>
      <c r="I946" s="28"/>
      <c r="J946" s="28"/>
      <c r="K946" s="28"/>
      <c r="L946" s="25"/>
      <c r="M946" s="25"/>
      <c r="N946" s="25"/>
      <c r="O946" s="130"/>
      <c r="P946" s="47"/>
      <c r="Q946" s="77"/>
      <c r="R946" s="77" t="str">
        <f>IF(Table5[[#This Row],[Tour Starting Date]]&lt;&gt;"", TEXT(Table5[[#This Row],[Tour Starting Date]], "dddd"), "")</f>
        <v/>
      </c>
      <c r="S946" s="77"/>
      <c r="T946" s="25" t="str">
        <f>IF(Table5[[#This Row],[Tour Ending Date]]&lt;&gt;"", TEXT(Table5[[#This Row],[Tour Ending Date]], "dddd"), "")</f>
        <v/>
      </c>
      <c r="U94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46" s="37" t="str">
        <f>IF(Table5[[#This Row],[Tour Starting Date]]&lt;&gt;"", TEXT(Table5[[#This Row],[Tour Starting Date]], "mmmm"), "")</f>
        <v/>
      </c>
      <c r="W946" s="80" t="str" cm="1">
        <f t="array" ref="W946">IF(Q946&lt;&gt;"", INDEX(CI:CI, MATCH(1, (Q946&gt;=CG:CG)*(Q946&lt;=CH:CH), 0)), "")</f>
        <v/>
      </c>
      <c r="X946" s="39"/>
      <c r="Y946" s="74"/>
      <c r="Z946" s="74" t="str">
        <f>IF(OR(Table5[[#This Row],[Per Person Package Cost]]="", Table5[[#This Row],[No. of Pax]]=""), "", Table5[[#This Row],[Per Person Package Cost]] * Table5[[#This Row],[No. of Pax]])</f>
        <v/>
      </c>
      <c r="AA946" s="52"/>
      <c r="AB946" s="52"/>
      <c r="AC946" s="52"/>
      <c r="AD946" s="52"/>
      <c r="AE946" s="51" t="str">
        <f t="shared" si="81"/>
        <v/>
      </c>
      <c r="AF946" s="51" t="str">
        <f t="shared" si="82"/>
        <v/>
      </c>
      <c r="AG946" s="74" t="str">
        <f t="shared" si="83"/>
        <v/>
      </c>
      <c r="AH946" s="73" t="str">
        <f t="shared" si="84"/>
        <v/>
      </c>
      <c r="AI946" s="52"/>
      <c r="AJ946" s="56"/>
      <c r="AK946" s="59"/>
      <c r="AL946" s="60"/>
      <c r="AM946" s="54"/>
      <c r="AN946" s="64"/>
      <c r="AO946" s="26"/>
      <c r="AP946" s="93"/>
      <c r="AQ946" s="87"/>
      <c r="AR946" s="26"/>
      <c r="AS946" s="65"/>
      <c r="AT946" s="88"/>
      <c r="AU946" s="67"/>
      <c r="DA946" t="str" cm="1">
        <f t="array" ref="DA946">IF(U946&lt;&gt;"", TRANSPOSE(_xlfn._xlws.FILTER(CZ:CZ, CY:CY=U946, "")), "")</f>
        <v/>
      </c>
    </row>
    <row r="947" spans="2:105">
      <c r="B947" s="35">
        <v>943</v>
      </c>
      <c r="C947" s="36" t="s">
        <v>2812</v>
      </c>
      <c r="D947" s="76"/>
      <c r="E947" s="37" t="str">
        <f>IF(Table5[[#This Row],[Query Date]]&lt;&gt;"", TEXT(Table5[[#This Row],[Query Date]], "dddd"), "")</f>
        <v/>
      </c>
      <c r="F947" s="37" t="str">
        <f>IF(Table5[[#This Row],[Query Date]]&lt;&gt;"", TEXT(Table5[[#This Row],[Query Date]], "mmmm"), "")</f>
        <v/>
      </c>
      <c r="G947" s="28"/>
      <c r="H947" s="28"/>
      <c r="I947" s="28"/>
      <c r="J947" s="28"/>
      <c r="K947" s="28"/>
      <c r="L947" s="25"/>
      <c r="M947" s="25"/>
      <c r="N947" s="25"/>
      <c r="O947" s="130"/>
      <c r="P947" s="47"/>
      <c r="Q947" s="77"/>
      <c r="R947" s="77" t="str">
        <f>IF(Table5[[#This Row],[Tour Starting Date]]&lt;&gt;"", TEXT(Table5[[#This Row],[Tour Starting Date]], "dddd"), "")</f>
        <v/>
      </c>
      <c r="S947" s="77"/>
      <c r="T947" s="25" t="str">
        <f>IF(Table5[[#This Row],[Tour Ending Date]]&lt;&gt;"", TEXT(Table5[[#This Row],[Tour Ending Date]], "dddd"), "")</f>
        <v/>
      </c>
      <c r="U94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47" s="37" t="str">
        <f>IF(Table5[[#This Row],[Tour Starting Date]]&lt;&gt;"", TEXT(Table5[[#This Row],[Tour Starting Date]], "mmmm"), "")</f>
        <v/>
      </c>
      <c r="W947" s="80" t="str" cm="1">
        <f t="array" ref="W947">IF(Q947&lt;&gt;"", INDEX(CI:CI, MATCH(1, (Q947&gt;=CG:CG)*(Q947&lt;=CH:CH), 0)), "")</f>
        <v/>
      </c>
      <c r="X947" s="39"/>
      <c r="Y947" s="74"/>
      <c r="Z947" s="74" t="str">
        <f>IF(OR(Table5[[#This Row],[Per Person Package Cost]]="", Table5[[#This Row],[No. of Pax]]=""), "", Table5[[#This Row],[Per Person Package Cost]] * Table5[[#This Row],[No. of Pax]])</f>
        <v/>
      </c>
      <c r="AA947" s="52"/>
      <c r="AB947" s="52"/>
      <c r="AC947" s="52"/>
      <c r="AD947" s="52"/>
      <c r="AE947" s="51" t="str">
        <f t="shared" si="81"/>
        <v/>
      </c>
      <c r="AF947" s="51" t="str">
        <f t="shared" si="82"/>
        <v/>
      </c>
      <c r="AG947" s="74" t="str">
        <f t="shared" si="83"/>
        <v/>
      </c>
      <c r="AH947" s="73" t="str">
        <f t="shared" si="84"/>
        <v/>
      </c>
      <c r="AI947" s="52"/>
      <c r="AJ947" s="56"/>
      <c r="AK947" s="59"/>
      <c r="AL947" s="60"/>
      <c r="AM947" s="54"/>
      <c r="AN947" s="64"/>
      <c r="AO947" s="26"/>
      <c r="AP947" s="93"/>
      <c r="AQ947" s="87"/>
      <c r="AR947" s="26"/>
      <c r="AS947" s="65"/>
      <c r="AT947" s="88"/>
      <c r="AU947" s="67"/>
      <c r="DA947" t="str" cm="1">
        <f t="array" ref="DA947">IF(U947&lt;&gt;"", TRANSPOSE(_xlfn._xlws.FILTER(CZ:CZ, CY:CY=U947, "")), "")</f>
        <v/>
      </c>
    </row>
    <row r="948" spans="2:105">
      <c r="B948" s="35">
        <v>944</v>
      </c>
      <c r="C948" s="36" t="s">
        <v>2813</v>
      </c>
      <c r="D948" s="76"/>
      <c r="E948" s="37" t="str">
        <f>IF(Table5[[#This Row],[Query Date]]&lt;&gt;"", TEXT(Table5[[#This Row],[Query Date]], "dddd"), "")</f>
        <v/>
      </c>
      <c r="F948" s="37" t="str">
        <f>IF(Table5[[#This Row],[Query Date]]&lt;&gt;"", TEXT(Table5[[#This Row],[Query Date]], "mmmm"), "")</f>
        <v/>
      </c>
      <c r="G948" s="28"/>
      <c r="H948" s="28"/>
      <c r="I948" s="28"/>
      <c r="J948" s="28"/>
      <c r="K948" s="28"/>
      <c r="L948" s="25"/>
      <c r="M948" s="25"/>
      <c r="N948" s="25"/>
      <c r="O948" s="130"/>
      <c r="P948" s="47"/>
      <c r="Q948" s="77"/>
      <c r="R948" s="77" t="str">
        <f>IF(Table5[[#This Row],[Tour Starting Date]]&lt;&gt;"", TEXT(Table5[[#This Row],[Tour Starting Date]], "dddd"), "")</f>
        <v/>
      </c>
      <c r="S948" s="77"/>
      <c r="T948" s="25" t="str">
        <f>IF(Table5[[#This Row],[Tour Ending Date]]&lt;&gt;"", TEXT(Table5[[#This Row],[Tour Ending Date]], "dddd"), "")</f>
        <v/>
      </c>
      <c r="U94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48" s="37" t="str">
        <f>IF(Table5[[#This Row],[Tour Starting Date]]&lt;&gt;"", TEXT(Table5[[#This Row],[Tour Starting Date]], "mmmm"), "")</f>
        <v/>
      </c>
      <c r="W948" s="80" t="str" cm="1">
        <f t="array" ref="W948">IF(Q948&lt;&gt;"", INDEX(CI:CI, MATCH(1, (Q948&gt;=CG:CG)*(Q948&lt;=CH:CH), 0)), "")</f>
        <v/>
      </c>
      <c r="X948" s="39"/>
      <c r="Y948" s="74"/>
      <c r="Z948" s="74" t="str">
        <f>IF(OR(Table5[[#This Row],[Per Person Package Cost]]="", Table5[[#This Row],[No. of Pax]]=""), "", Table5[[#This Row],[Per Person Package Cost]] * Table5[[#This Row],[No. of Pax]])</f>
        <v/>
      </c>
      <c r="AA948" s="52"/>
      <c r="AB948" s="52"/>
      <c r="AC948" s="52"/>
      <c r="AD948" s="52"/>
      <c r="AE948" s="51" t="str">
        <f t="shared" si="81"/>
        <v/>
      </c>
      <c r="AF948" s="51" t="str">
        <f t="shared" si="82"/>
        <v/>
      </c>
      <c r="AG948" s="74" t="str">
        <f t="shared" si="83"/>
        <v/>
      </c>
      <c r="AH948" s="73" t="str">
        <f t="shared" si="84"/>
        <v/>
      </c>
      <c r="AI948" s="52"/>
      <c r="AJ948" s="56"/>
      <c r="AK948" s="59"/>
      <c r="AL948" s="60"/>
      <c r="AM948" s="54"/>
      <c r="AN948" s="64"/>
      <c r="AO948" s="26"/>
      <c r="AP948" s="93"/>
      <c r="AQ948" s="87"/>
      <c r="AR948" s="26"/>
      <c r="AS948" s="65"/>
      <c r="AT948" s="88"/>
      <c r="AU948" s="67"/>
      <c r="DA948" t="str" cm="1">
        <f t="array" ref="DA948">IF(U948&lt;&gt;"", TRANSPOSE(_xlfn._xlws.FILTER(CZ:CZ, CY:CY=U948, "")), "")</f>
        <v/>
      </c>
    </row>
    <row r="949" spans="2:105">
      <c r="B949" s="35">
        <v>945</v>
      </c>
      <c r="C949" s="36" t="s">
        <v>2814</v>
      </c>
      <c r="D949" s="76"/>
      <c r="E949" s="37" t="str">
        <f>IF(Table5[[#This Row],[Query Date]]&lt;&gt;"", TEXT(Table5[[#This Row],[Query Date]], "dddd"), "")</f>
        <v/>
      </c>
      <c r="F949" s="37" t="str">
        <f>IF(Table5[[#This Row],[Query Date]]&lt;&gt;"", TEXT(Table5[[#This Row],[Query Date]], "mmmm"), "")</f>
        <v/>
      </c>
      <c r="G949" s="28"/>
      <c r="H949" s="28"/>
      <c r="I949" s="28"/>
      <c r="J949" s="28"/>
      <c r="K949" s="28"/>
      <c r="L949" s="25"/>
      <c r="M949" s="25"/>
      <c r="N949" s="25"/>
      <c r="O949" s="130"/>
      <c r="P949" s="47"/>
      <c r="Q949" s="77"/>
      <c r="R949" s="77" t="str">
        <f>IF(Table5[[#This Row],[Tour Starting Date]]&lt;&gt;"", TEXT(Table5[[#This Row],[Tour Starting Date]], "dddd"), "")</f>
        <v/>
      </c>
      <c r="S949" s="77"/>
      <c r="T949" s="25" t="str">
        <f>IF(Table5[[#This Row],[Tour Ending Date]]&lt;&gt;"", TEXT(Table5[[#This Row],[Tour Ending Date]], "dddd"), "")</f>
        <v/>
      </c>
      <c r="U94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49" s="37" t="str">
        <f>IF(Table5[[#This Row],[Tour Starting Date]]&lt;&gt;"", TEXT(Table5[[#This Row],[Tour Starting Date]], "mmmm"), "")</f>
        <v/>
      </c>
      <c r="W949" s="80" t="str" cm="1">
        <f t="array" ref="W949">IF(Q949&lt;&gt;"", INDEX(CI:CI, MATCH(1, (Q949&gt;=CG:CG)*(Q949&lt;=CH:CH), 0)), "")</f>
        <v/>
      </c>
      <c r="X949" s="39"/>
      <c r="Y949" s="74"/>
      <c r="Z949" s="74" t="str">
        <f>IF(OR(Table5[[#This Row],[Per Person Package Cost]]="", Table5[[#This Row],[No. of Pax]]=""), "", Table5[[#This Row],[Per Person Package Cost]] * Table5[[#This Row],[No. of Pax]])</f>
        <v/>
      </c>
      <c r="AA949" s="52"/>
      <c r="AB949" s="52"/>
      <c r="AC949" s="52"/>
      <c r="AD949" s="52"/>
      <c r="AE949" s="51" t="str">
        <f t="shared" si="81"/>
        <v/>
      </c>
      <c r="AF949" s="51" t="str">
        <f t="shared" si="82"/>
        <v/>
      </c>
      <c r="AG949" s="74" t="str">
        <f t="shared" si="83"/>
        <v/>
      </c>
      <c r="AH949" s="73" t="str">
        <f t="shared" si="84"/>
        <v/>
      </c>
      <c r="AI949" s="52"/>
      <c r="AJ949" s="56"/>
      <c r="AK949" s="59"/>
      <c r="AL949" s="60"/>
      <c r="AM949" s="54"/>
      <c r="AN949" s="64"/>
      <c r="AO949" s="26"/>
      <c r="AP949" s="93"/>
      <c r="AQ949" s="87"/>
      <c r="AR949" s="26"/>
      <c r="AS949" s="65"/>
      <c r="AT949" s="88"/>
      <c r="AU949" s="67"/>
      <c r="DA949" t="str" cm="1">
        <f t="array" ref="DA949">IF(U949&lt;&gt;"", TRANSPOSE(_xlfn._xlws.FILTER(CZ:CZ, CY:CY=U949, "")), "")</f>
        <v/>
      </c>
    </row>
    <row r="950" spans="2:105">
      <c r="B950" s="35">
        <v>946</v>
      </c>
      <c r="C950" s="36" t="s">
        <v>2815</v>
      </c>
      <c r="D950" s="76"/>
      <c r="E950" s="37" t="str">
        <f>IF(Table5[[#This Row],[Query Date]]&lt;&gt;"", TEXT(Table5[[#This Row],[Query Date]], "dddd"), "")</f>
        <v/>
      </c>
      <c r="F950" s="37" t="str">
        <f>IF(Table5[[#This Row],[Query Date]]&lt;&gt;"", TEXT(Table5[[#This Row],[Query Date]], "mmmm"), "")</f>
        <v/>
      </c>
      <c r="G950" s="28"/>
      <c r="H950" s="28"/>
      <c r="I950" s="28"/>
      <c r="J950" s="28"/>
      <c r="K950" s="28"/>
      <c r="L950" s="25"/>
      <c r="M950" s="25"/>
      <c r="N950" s="25"/>
      <c r="O950" s="130"/>
      <c r="P950" s="47"/>
      <c r="Q950" s="77"/>
      <c r="R950" s="77" t="str">
        <f>IF(Table5[[#This Row],[Tour Starting Date]]&lt;&gt;"", TEXT(Table5[[#This Row],[Tour Starting Date]], "dddd"), "")</f>
        <v/>
      </c>
      <c r="S950" s="77"/>
      <c r="T950" s="25" t="str">
        <f>IF(Table5[[#This Row],[Tour Ending Date]]&lt;&gt;"", TEXT(Table5[[#This Row],[Tour Ending Date]], "dddd"), "")</f>
        <v/>
      </c>
      <c r="U95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50" s="37" t="str">
        <f>IF(Table5[[#This Row],[Tour Starting Date]]&lt;&gt;"", TEXT(Table5[[#This Row],[Tour Starting Date]], "mmmm"), "")</f>
        <v/>
      </c>
      <c r="W950" s="80" t="str" cm="1">
        <f t="array" ref="W950">IF(Q950&lt;&gt;"", INDEX(CI:CI, MATCH(1, (Q950&gt;=CG:CG)*(Q950&lt;=CH:CH), 0)), "")</f>
        <v/>
      </c>
      <c r="X950" s="39"/>
      <c r="Y950" s="74"/>
      <c r="Z950" s="74" t="str">
        <f>IF(OR(Table5[[#This Row],[Per Person Package Cost]]="", Table5[[#This Row],[No. of Pax]]=""), "", Table5[[#This Row],[Per Person Package Cost]] * Table5[[#This Row],[No. of Pax]])</f>
        <v/>
      </c>
      <c r="AA950" s="52"/>
      <c r="AB950" s="52"/>
      <c r="AC950" s="52"/>
      <c r="AD950" s="52"/>
      <c r="AE950" s="51" t="str">
        <f t="shared" si="81"/>
        <v/>
      </c>
      <c r="AF950" s="51" t="str">
        <f t="shared" si="82"/>
        <v/>
      </c>
      <c r="AG950" s="74" t="str">
        <f t="shared" si="83"/>
        <v/>
      </c>
      <c r="AH950" s="73" t="str">
        <f t="shared" si="84"/>
        <v/>
      </c>
      <c r="AI950" s="52"/>
      <c r="AJ950" s="56"/>
      <c r="AK950" s="59"/>
      <c r="AL950" s="60"/>
      <c r="AM950" s="54"/>
      <c r="AN950" s="64"/>
      <c r="AO950" s="26"/>
      <c r="AP950" s="93"/>
      <c r="AQ950" s="87"/>
      <c r="AR950" s="26"/>
      <c r="AS950" s="65"/>
      <c r="AT950" s="88"/>
      <c r="AU950" s="67"/>
      <c r="DA950" t="str" cm="1">
        <f t="array" ref="DA950">IF(U950&lt;&gt;"", TRANSPOSE(_xlfn._xlws.FILTER(CZ:CZ, CY:CY=U950, "")), "")</f>
        <v/>
      </c>
    </row>
    <row r="951" spans="2:105">
      <c r="B951" s="35">
        <v>947</v>
      </c>
      <c r="C951" s="36" t="s">
        <v>2816</v>
      </c>
      <c r="D951" s="76"/>
      <c r="E951" s="37" t="str">
        <f>IF(Table5[[#This Row],[Query Date]]&lt;&gt;"", TEXT(Table5[[#This Row],[Query Date]], "dddd"), "")</f>
        <v/>
      </c>
      <c r="F951" s="37" t="str">
        <f>IF(Table5[[#This Row],[Query Date]]&lt;&gt;"", TEXT(Table5[[#This Row],[Query Date]], "mmmm"), "")</f>
        <v/>
      </c>
      <c r="G951" s="28"/>
      <c r="H951" s="28"/>
      <c r="I951" s="28"/>
      <c r="J951" s="28"/>
      <c r="K951" s="28"/>
      <c r="L951" s="25"/>
      <c r="M951" s="25"/>
      <c r="N951" s="25"/>
      <c r="O951" s="130"/>
      <c r="P951" s="47"/>
      <c r="Q951" s="77"/>
      <c r="R951" s="77" t="str">
        <f>IF(Table5[[#This Row],[Tour Starting Date]]&lt;&gt;"", TEXT(Table5[[#This Row],[Tour Starting Date]], "dddd"), "")</f>
        <v/>
      </c>
      <c r="S951" s="77"/>
      <c r="T951" s="25" t="str">
        <f>IF(Table5[[#This Row],[Tour Ending Date]]&lt;&gt;"", TEXT(Table5[[#This Row],[Tour Ending Date]], "dddd"), "")</f>
        <v/>
      </c>
      <c r="U95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51" s="37" t="str">
        <f>IF(Table5[[#This Row],[Tour Starting Date]]&lt;&gt;"", TEXT(Table5[[#This Row],[Tour Starting Date]], "mmmm"), "")</f>
        <v/>
      </c>
      <c r="W951" s="80" t="str" cm="1">
        <f t="array" ref="W951">IF(Q951&lt;&gt;"", INDEX(CI:CI, MATCH(1, (Q951&gt;=CG:CG)*(Q951&lt;=CH:CH), 0)), "")</f>
        <v/>
      </c>
      <c r="X951" s="39"/>
      <c r="Y951" s="74"/>
      <c r="Z951" s="74" t="str">
        <f>IF(OR(Table5[[#This Row],[Per Person Package Cost]]="", Table5[[#This Row],[No. of Pax]]=""), "", Table5[[#This Row],[Per Person Package Cost]] * Table5[[#This Row],[No. of Pax]])</f>
        <v/>
      </c>
      <c r="AA951" s="52"/>
      <c r="AB951" s="52"/>
      <c r="AC951" s="52"/>
      <c r="AD951" s="52"/>
      <c r="AE951" s="51" t="str">
        <f t="shared" si="81"/>
        <v/>
      </c>
      <c r="AF951" s="51" t="str">
        <f t="shared" si="82"/>
        <v/>
      </c>
      <c r="AG951" s="74" t="str">
        <f t="shared" si="83"/>
        <v/>
      </c>
      <c r="AH951" s="73" t="str">
        <f t="shared" si="84"/>
        <v/>
      </c>
      <c r="AI951" s="52"/>
      <c r="AJ951" s="56"/>
      <c r="AK951" s="59"/>
      <c r="AL951" s="60"/>
      <c r="AM951" s="54"/>
      <c r="AN951" s="64"/>
      <c r="AO951" s="26"/>
      <c r="AP951" s="93"/>
      <c r="AQ951" s="87"/>
      <c r="AR951" s="26"/>
      <c r="AS951" s="65"/>
      <c r="AT951" s="88"/>
      <c r="AU951" s="67"/>
      <c r="DA951" t="str" cm="1">
        <f t="array" ref="DA951">IF(U951&lt;&gt;"", TRANSPOSE(_xlfn._xlws.FILTER(CZ:CZ, CY:CY=U951, "")), "")</f>
        <v/>
      </c>
    </row>
    <row r="952" spans="2:105">
      <c r="B952" s="35">
        <v>948</v>
      </c>
      <c r="C952" s="36" t="s">
        <v>2817</v>
      </c>
      <c r="D952" s="76"/>
      <c r="E952" s="37" t="str">
        <f>IF(Table5[[#This Row],[Query Date]]&lt;&gt;"", TEXT(Table5[[#This Row],[Query Date]], "dddd"), "")</f>
        <v/>
      </c>
      <c r="F952" s="37" t="str">
        <f>IF(Table5[[#This Row],[Query Date]]&lt;&gt;"", TEXT(Table5[[#This Row],[Query Date]], "mmmm"), "")</f>
        <v/>
      </c>
      <c r="G952" s="28"/>
      <c r="H952" s="28"/>
      <c r="I952" s="28"/>
      <c r="J952" s="28"/>
      <c r="K952" s="28"/>
      <c r="L952" s="25"/>
      <c r="M952" s="25"/>
      <c r="N952" s="25"/>
      <c r="O952" s="130"/>
      <c r="P952" s="47"/>
      <c r="Q952" s="77"/>
      <c r="R952" s="77" t="str">
        <f>IF(Table5[[#This Row],[Tour Starting Date]]&lt;&gt;"", TEXT(Table5[[#This Row],[Tour Starting Date]], "dddd"), "")</f>
        <v/>
      </c>
      <c r="S952" s="77"/>
      <c r="T952" s="25" t="str">
        <f>IF(Table5[[#This Row],[Tour Ending Date]]&lt;&gt;"", TEXT(Table5[[#This Row],[Tour Ending Date]], "dddd"), "")</f>
        <v/>
      </c>
      <c r="U95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52" s="37" t="str">
        <f>IF(Table5[[#This Row],[Tour Starting Date]]&lt;&gt;"", TEXT(Table5[[#This Row],[Tour Starting Date]], "mmmm"), "")</f>
        <v/>
      </c>
      <c r="W952" s="80" t="str" cm="1">
        <f t="array" ref="W952">IF(Q952&lt;&gt;"", INDEX(CI:CI, MATCH(1, (Q952&gt;=CG:CG)*(Q952&lt;=CH:CH), 0)), "")</f>
        <v/>
      </c>
      <c r="X952" s="39"/>
      <c r="Y952" s="74"/>
      <c r="Z952" s="74" t="str">
        <f>IF(OR(Table5[[#This Row],[Per Person Package Cost]]="", Table5[[#This Row],[No. of Pax]]=""), "", Table5[[#This Row],[Per Person Package Cost]] * Table5[[#This Row],[No. of Pax]])</f>
        <v/>
      </c>
      <c r="AA952" s="52"/>
      <c r="AB952" s="52"/>
      <c r="AC952" s="52"/>
      <c r="AD952" s="52"/>
      <c r="AE952" s="51" t="str">
        <f t="shared" si="81"/>
        <v/>
      </c>
      <c r="AF952" s="51" t="str">
        <f t="shared" si="82"/>
        <v/>
      </c>
      <c r="AG952" s="74" t="str">
        <f t="shared" si="83"/>
        <v/>
      </c>
      <c r="AH952" s="73" t="str">
        <f t="shared" si="84"/>
        <v/>
      </c>
      <c r="AI952" s="52"/>
      <c r="AJ952" s="56"/>
      <c r="AK952" s="59"/>
      <c r="AL952" s="60"/>
      <c r="AM952" s="54"/>
      <c r="AN952" s="64"/>
      <c r="AO952" s="26"/>
      <c r="AP952" s="93"/>
      <c r="AQ952" s="87"/>
      <c r="AR952" s="26"/>
      <c r="AS952" s="65"/>
      <c r="AT952" s="88"/>
      <c r="AU952" s="67"/>
      <c r="DA952" t="str" cm="1">
        <f t="array" ref="DA952">IF(U952&lt;&gt;"", TRANSPOSE(_xlfn._xlws.FILTER(CZ:CZ, CY:CY=U952, "")), "")</f>
        <v/>
      </c>
    </row>
    <row r="953" spans="2:105">
      <c r="B953" s="35">
        <v>949</v>
      </c>
      <c r="C953" s="36" t="s">
        <v>2818</v>
      </c>
      <c r="D953" s="76"/>
      <c r="E953" s="37" t="str">
        <f>IF(Table5[[#This Row],[Query Date]]&lt;&gt;"", TEXT(Table5[[#This Row],[Query Date]], "dddd"), "")</f>
        <v/>
      </c>
      <c r="F953" s="37" t="str">
        <f>IF(Table5[[#This Row],[Query Date]]&lt;&gt;"", TEXT(Table5[[#This Row],[Query Date]], "mmmm"), "")</f>
        <v/>
      </c>
      <c r="G953" s="28"/>
      <c r="H953" s="28"/>
      <c r="I953" s="28"/>
      <c r="J953" s="28"/>
      <c r="K953" s="28"/>
      <c r="L953" s="25"/>
      <c r="M953" s="25"/>
      <c r="N953" s="25"/>
      <c r="O953" s="130"/>
      <c r="P953" s="47"/>
      <c r="Q953" s="77"/>
      <c r="R953" s="77" t="str">
        <f>IF(Table5[[#This Row],[Tour Starting Date]]&lt;&gt;"", TEXT(Table5[[#This Row],[Tour Starting Date]], "dddd"), "")</f>
        <v/>
      </c>
      <c r="S953" s="77"/>
      <c r="T953" s="25" t="str">
        <f>IF(Table5[[#This Row],[Tour Ending Date]]&lt;&gt;"", TEXT(Table5[[#This Row],[Tour Ending Date]], "dddd"), "")</f>
        <v/>
      </c>
      <c r="U95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53" s="37" t="str">
        <f>IF(Table5[[#This Row],[Tour Starting Date]]&lt;&gt;"", TEXT(Table5[[#This Row],[Tour Starting Date]], "mmmm"), "")</f>
        <v/>
      </c>
      <c r="W953" s="80" t="str" cm="1">
        <f t="array" ref="W953">IF(Q953&lt;&gt;"", INDEX(CI:CI, MATCH(1, (Q953&gt;=CG:CG)*(Q953&lt;=CH:CH), 0)), "")</f>
        <v/>
      </c>
      <c r="X953" s="39"/>
      <c r="Y953" s="74"/>
      <c r="Z953" s="74" t="str">
        <f>IF(OR(Table5[[#This Row],[Per Person Package Cost]]="", Table5[[#This Row],[No. of Pax]]=""), "", Table5[[#This Row],[Per Person Package Cost]] * Table5[[#This Row],[No. of Pax]])</f>
        <v/>
      </c>
      <c r="AA953" s="52"/>
      <c r="AB953" s="52"/>
      <c r="AC953" s="52"/>
      <c r="AD953" s="52"/>
      <c r="AE953" s="51" t="str">
        <f t="shared" si="81"/>
        <v/>
      </c>
      <c r="AF953" s="51" t="str">
        <f t="shared" si="82"/>
        <v/>
      </c>
      <c r="AG953" s="74" t="str">
        <f t="shared" si="83"/>
        <v/>
      </c>
      <c r="AH953" s="73" t="str">
        <f t="shared" si="84"/>
        <v/>
      </c>
      <c r="AI953" s="52"/>
      <c r="AJ953" s="56"/>
      <c r="AK953" s="59"/>
      <c r="AL953" s="60"/>
      <c r="AM953" s="54"/>
      <c r="AN953" s="64"/>
      <c r="AO953" s="26"/>
      <c r="AP953" s="93"/>
      <c r="AQ953" s="87"/>
      <c r="AR953" s="26"/>
      <c r="AS953" s="65"/>
      <c r="AT953" s="88"/>
      <c r="AU953" s="67"/>
      <c r="DA953" t="str" cm="1">
        <f t="array" ref="DA953">IF(U953&lt;&gt;"", TRANSPOSE(_xlfn._xlws.FILTER(CZ:CZ, CY:CY=U953, "")), "")</f>
        <v/>
      </c>
    </row>
    <row r="954" spans="2:105">
      <c r="B954" s="35">
        <v>950</v>
      </c>
      <c r="C954" s="36" t="s">
        <v>2819</v>
      </c>
      <c r="D954" s="76"/>
      <c r="E954" s="37" t="str">
        <f>IF(Table5[[#This Row],[Query Date]]&lt;&gt;"", TEXT(Table5[[#This Row],[Query Date]], "dddd"), "")</f>
        <v/>
      </c>
      <c r="F954" s="37" t="str">
        <f>IF(Table5[[#This Row],[Query Date]]&lt;&gt;"", TEXT(Table5[[#This Row],[Query Date]], "mmmm"), "")</f>
        <v/>
      </c>
      <c r="G954" s="28"/>
      <c r="H954" s="28"/>
      <c r="I954" s="28"/>
      <c r="J954" s="28"/>
      <c r="K954" s="28"/>
      <c r="L954" s="25"/>
      <c r="M954" s="25"/>
      <c r="N954" s="25"/>
      <c r="O954" s="130"/>
      <c r="P954" s="47"/>
      <c r="Q954" s="77"/>
      <c r="R954" s="77" t="str">
        <f>IF(Table5[[#This Row],[Tour Starting Date]]&lt;&gt;"", TEXT(Table5[[#This Row],[Tour Starting Date]], "dddd"), "")</f>
        <v/>
      </c>
      <c r="S954" s="77"/>
      <c r="T954" s="25" t="str">
        <f>IF(Table5[[#This Row],[Tour Ending Date]]&lt;&gt;"", TEXT(Table5[[#This Row],[Tour Ending Date]], "dddd"), "")</f>
        <v/>
      </c>
      <c r="U95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54" s="37" t="str">
        <f>IF(Table5[[#This Row],[Tour Starting Date]]&lt;&gt;"", TEXT(Table5[[#This Row],[Tour Starting Date]], "mmmm"), "")</f>
        <v/>
      </c>
      <c r="W954" s="80" t="str" cm="1">
        <f t="array" ref="W954">IF(Q954&lt;&gt;"", INDEX(CI:CI, MATCH(1, (Q954&gt;=CG:CG)*(Q954&lt;=CH:CH), 0)), "")</f>
        <v/>
      </c>
      <c r="X954" s="39"/>
      <c r="Y954" s="74"/>
      <c r="Z954" s="74" t="str">
        <f>IF(OR(Table5[[#This Row],[Per Person Package Cost]]="", Table5[[#This Row],[No. of Pax]]=""), "", Table5[[#This Row],[Per Person Package Cost]] * Table5[[#This Row],[No. of Pax]])</f>
        <v/>
      </c>
      <c r="AA954" s="52"/>
      <c r="AB954" s="52"/>
      <c r="AC954" s="52"/>
      <c r="AD954" s="52"/>
      <c r="AE954" s="51" t="str">
        <f t="shared" si="81"/>
        <v/>
      </c>
      <c r="AF954" s="51" t="str">
        <f t="shared" si="82"/>
        <v/>
      </c>
      <c r="AG954" s="74" t="str">
        <f t="shared" si="83"/>
        <v/>
      </c>
      <c r="AH954" s="73" t="str">
        <f t="shared" si="84"/>
        <v/>
      </c>
      <c r="AI954" s="52"/>
      <c r="AJ954" s="56"/>
      <c r="AK954" s="59"/>
      <c r="AL954" s="60"/>
      <c r="AM954" s="54"/>
      <c r="AN954" s="64"/>
      <c r="AO954" s="26"/>
      <c r="AP954" s="93"/>
      <c r="AQ954" s="87"/>
      <c r="AR954" s="26"/>
      <c r="AS954" s="65"/>
      <c r="AT954" s="88"/>
      <c r="AU954" s="67"/>
      <c r="DA954" t="str" cm="1">
        <f t="array" ref="DA954">IF(U954&lt;&gt;"", TRANSPOSE(_xlfn._xlws.FILTER(CZ:CZ, CY:CY=U954, "")), "")</f>
        <v/>
      </c>
    </row>
    <row r="955" spans="2:105">
      <c r="B955" s="35">
        <v>951</v>
      </c>
      <c r="C955" s="36" t="s">
        <v>2820</v>
      </c>
      <c r="D955" s="76"/>
      <c r="E955" s="37" t="str">
        <f>IF(Table5[[#This Row],[Query Date]]&lt;&gt;"", TEXT(Table5[[#This Row],[Query Date]], "dddd"), "")</f>
        <v/>
      </c>
      <c r="F955" s="37" t="str">
        <f>IF(Table5[[#This Row],[Query Date]]&lt;&gt;"", TEXT(Table5[[#This Row],[Query Date]], "mmmm"), "")</f>
        <v/>
      </c>
      <c r="G955" s="28"/>
      <c r="H955" s="28"/>
      <c r="I955" s="28"/>
      <c r="J955" s="28"/>
      <c r="K955" s="28"/>
      <c r="L955" s="25"/>
      <c r="M955" s="25"/>
      <c r="N955" s="25"/>
      <c r="O955" s="130"/>
      <c r="P955" s="47"/>
      <c r="Q955" s="77"/>
      <c r="R955" s="77" t="str">
        <f>IF(Table5[[#This Row],[Tour Starting Date]]&lt;&gt;"", TEXT(Table5[[#This Row],[Tour Starting Date]], "dddd"), "")</f>
        <v/>
      </c>
      <c r="S955" s="77"/>
      <c r="T955" s="25" t="str">
        <f>IF(Table5[[#This Row],[Tour Ending Date]]&lt;&gt;"", TEXT(Table5[[#This Row],[Tour Ending Date]], "dddd"), "")</f>
        <v/>
      </c>
      <c r="U95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55" s="37" t="str">
        <f>IF(Table5[[#This Row],[Tour Starting Date]]&lt;&gt;"", TEXT(Table5[[#This Row],[Tour Starting Date]], "mmmm"), "")</f>
        <v/>
      </c>
      <c r="W955" s="80" t="str" cm="1">
        <f t="array" ref="W955">IF(Q955&lt;&gt;"", INDEX(CI:CI, MATCH(1, (Q955&gt;=CG:CG)*(Q955&lt;=CH:CH), 0)), "")</f>
        <v/>
      </c>
      <c r="X955" s="39"/>
      <c r="Y955" s="74"/>
      <c r="Z955" s="74" t="str">
        <f>IF(OR(Table5[[#This Row],[Per Person Package Cost]]="", Table5[[#This Row],[No. of Pax]]=""), "", Table5[[#This Row],[Per Person Package Cost]] * Table5[[#This Row],[No. of Pax]])</f>
        <v/>
      </c>
      <c r="AA955" s="52"/>
      <c r="AB955" s="52"/>
      <c r="AC955" s="52"/>
      <c r="AD955" s="52"/>
      <c r="AE955" s="51" t="str">
        <f t="shared" si="81"/>
        <v/>
      </c>
      <c r="AF955" s="51" t="str">
        <f t="shared" si="82"/>
        <v/>
      </c>
      <c r="AG955" s="74" t="str">
        <f t="shared" si="83"/>
        <v/>
      </c>
      <c r="AH955" s="73" t="str">
        <f t="shared" si="84"/>
        <v/>
      </c>
      <c r="AI955" s="52"/>
      <c r="AJ955" s="56"/>
      <c r="AK955" s="59"/>
      <c r="AL955" s="60"/>
      <c r="AM955" s="54"/>
      <c r="AN955" s="64"/>
      <c r="AO955" s="26"/>
      <c r="AP955" s="93"/>
      <c r="AQ955" s="87"/>
      <c r="AR955" s="26"/>
      <c r="AS955" s="65"/>
      <c r="AT955" s="88"/>
      <c r="AU955" s="67"/>
      <c r="DA955" t="str" cm="1">
        <f t="array" ref="DA955">IF(U955&lt;&gt;"", TRANSPOSE(_xlfn._xlws.FILTER(CZ:CZ, CY:CY=U955, "")), "")</f>
        <v/>
      </c>
    </row>
    <row r="956" spans="2:105">
      <c r="B956" s="35">
        <v>952</v>
      </c>
      <c r="C956" s="36" t="s">
        <v>2821</v>
      </c>
      <c r="D956" s="76"/>
      <c r="E956" s="37" t="str">
        <f>IF(Table5[[#This Row],[Query Date]]&lt;&gt;"", TEXT(Table5[[#This Row],[Query Date]], "dddd"), "")</f>
        <v/>
      </c>
      <c r="F956" s="37" t="str">
        <f>IF(Table5[[#This Row],[Query Date]]&lt;&gt;"", TEXT(Table5[[#This Row],[Query Date]], "mmmm"), "")</f>
        <v/>
      </c>
      <c r="G956" s="28"/>
      <c r="H956" s="28"/>
      <c r="I956" s="28"/>
      <c r="J956" s="28"/>
      <c r="K956" s="28"/>
      <c r="L956" s="25"/>
      <c r="M956" s="25"/>
      <c r="N956" s="25"/>
      <c r="O956" s="130"/>
      <c r="P956" s="47"/>
      <c r="Q956" s="77"/>
      <c r="R956" s="77" t="str">
        <f>IF(Table5[[#This Row],[Tour Starting Date]]&lt;&gt;"", TEXT(Table5[[#This Row],[Tour Starting Date]], "dddd"), "")</f>
        <v/>
      </c>
      <c r="S956" s="77"/>
      <c r="T956" s="25" t="str">
        <f>IF(Table5[[#This Row],[Tour Ending Date]]&lt;&gt;"", TEXT(Table5[[#This Row],[Tour Ending Date]], "dddd"), "")</f>
        <v/>
      </c>
      <c r="U95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56" s="37" t="str">
        <f>IF(Table5[[#This Row],[Tour Starting Date]]&lt;&gt;"", TEXT(Table5[[#This Row],[Tour Starting Date]], "mmmm"), "")</f>
        <v/>
      </c>
      <c r="W956" s="80" t="str" cm="1">
        <f t="array" ref="W956">IF(Q956&lt;&gt;"", INDEX(CI:CI, MATCH(1, (Q956&gt;=CG:CG)*(Q956&lt;=CH:CH), 0)), "")</f>
        <v/>
      </c>
      <c r="X956" s="39"/>
      <c r="Y956" s="74"/>
      <c r="Z956" s="74" t="str">
        <f>IF(OR(Table5[[#This Row],[Per Person Package Cost]]="", Table5[[#This Row],[No. of Pax]]=""), "", Table5[[#This Row],[Per Person Package Cost]] * Table5[[#This Row],[No. of Pax]])</f>
        <v/>
      </c>
      <c r="AA956" s="52"/>
      <c r="AB956" s="52"/>
      <c r="AC956" s="52"/>
      <c r="AD956" s="52"/>
      <c r="AE956" s="51" t="str">
        <f t="shared" si="81"/>
        <v/>
      </c>
      <c r="AF956" s="51" t="str">
        <f t="shared" si="82"/>
        <v/>
      </c>
      <c r="AG956" s="74" t="str">
        <f t="shared" si="83"/>
        <v/>
      </c>
      <c r="AH956" s="73" t="str">
        <f t="shared" si="84"/>
        <v/>
      </c>
      <c r="AI956" s="52"/>
      <c r="AJ956" s="56"/>
      <c r="AK956" s="59"/>
      <c r="AL956" s="60"/>
      <c r="AM956" s="54"/>
      <c r="AN956" s="64"/>
      <c r="AO956" s="26"/>
      <c r="AP956" s="93"/>
      <c r="AQ956" s="87"/>
      <c r="AR956" s="26"/>
      <c r="AS956" s="65"/>
      <c r="AT956" s="88"/>
      <c r="AU956" s="67"/>
      <c r="DA956" t="str" cm="1">
        <f t="array" ref="DA956">IF(U956&lt;&gt;"", TRANSPOSE(_xlfn._xlws.FILTER(CZ:CZ, CY:CY=U956, "")), "")</f>
        <v/>
      </c>
    </row>
    <row r="957" spans="2:105">
      <c r="B957" s="35">
        <v>953</v>
      </c>
      <c r="C957" s="36" t="s">
        <v>2822</v>
      </c>
      <c r="D957" s="76"/>
      <c r="E957" s="37" t="str">
        <f>IF(Table5[[#This Row],[Query Date]]&lt;&gt;"", TEXT(Table5[[#This Row],[Query Date]], "dddd"), "")</f>
        <v/>
      </c>
      <c r="F957" s="37" t="str">
        <f>IF(Table5[[#This Row],[Query Date]]&lt;&gt;"", TEXT(Table5[[#This Row],[Query Date]], "mmmm"), "")</f>
        <v/>
      </c>
      <c r="G957" s="28"/>
      <c r="H957" s="28"/>
      <c r="I957" s="28"/>
      <c r="J957" s="28"/>
      <c r="K957" s="28"/>
      <c r="L957" s="25"/>
      <c r="M957" s="25"/>
      <c r="N957" s="25"/>
      <c r="O957" s="130"/>
      <c r="P957" s="47"/>
      <c r="Q957" s="77"/>
      <c r="R957" s="77" t="str">
        <f>IF(Table5[[#This Row],[Tour Starting Date]]&lt;&gt;"", TEXT(Table5[[#This Row],[Tour Starting Date]], "dddd"), "")</f>
        <v/>
      </c>
      <c r="S957" s="77"/>
      <c r="T957" s="25" t="str">
        <f>IF(Table5[[#This Row],[Tour Ending Date]]&lt;&gt;"", TEXT(Table5[[#This Row],[Tour Ending Date]], "dddd"), "")</f>
        <v/>
      </c>
      <c r="U95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57" s="37" t="str">
        <f>IF(Table5[[#This Row],[Tour Starting Date]]&lt;&gt;"", TEXT(Table5[[#This Row],[Tour Starting Date]], "mmmm"), "")</f>
        <v/>
      </c>
      <c r="W957" s="80" t="str" cm="1">
        <f t="array" ref="W957">IF(Q957&lt;&gt;"", INDEX(CI:CI, MATCH(1, (Q957&gt;=CG:CG)*(Q957&lt;=CH:CH), 0)), "")</f>
        <v/>
      </c>
      <c r="X957" s="39"/>
      <c r="Y957" s="74"/>
      <c r="Z957" s="74" t="str">
        <f>IF(OR(Table5[[#This Row],[Per Person Package Cost]]="", Table5[[#This Row],[No. of Pax]]=""), "", Table5[[#This Row],[Per Person Package Cost]] * Table5[[#This Row],[No. of Pax]])</f>
        <v/>
      </c>
      <c r="AA957" s="52"/>
      <c r="AB957" s="52"/>
      <c r="AC957" s="52"/>
      <c r="AD957" s="52"/>
      <c r="AE957" s="51" t="str">
        <f t="shared" si="81"/>
        <v/>
      </c>
      <c r="AF957" s="51" t="str">
        <f t="shared" si="82"/>
        <v/>
      </c>
      <c r="AG957" s="74" t="str">
        <f t="shared" si="83"/>
        <v/>
      </c>
      <c r="AH957" s="73" t="str">
        <f t="shared" si="84"/>
        <v/>
      </c>
      <c r="AI957" s="52"/>
      <c r="AJ957" s="56"/>
      <c r="AK957" s="59"/>
      <c r="AL957" s="60"/>
      <c r="AM957" s="54"/>
      <c r="AN957" s="64"/>
      <c r="AO957" s="26"/>
      <c r="AP957" s="93"/>
      <c r="AQ957" s="87"/>
      <c r="AR957" s="26"/>
      <c r="AS957" s="65"/>
      <c r="AT957" s="88"/>
      <c r="AU957" s="67"/>
      <c r="DA957" t="str" cm="1">
        <f t="array" ref="DA957">IF(U957&lt;&gt;"", TRANSPOSE(_xlfn._xlws.FILTER(CZ:CZ, CY:CY=U957, "")), "")</f>
        <v/>
      </c>
    </row>
    <row r="958" spans="2:105">
      <c r="B958" s="35">
        <v>954</v>
      </c>
      <c r="C958" s="36" t="s">
        <v>2823</v>
      </c>
      <c r="D958" s="76"/>
      <c r="E958" s="37" t="str">
        <f>IF(Table5[[#This Row],[Query Date]]&lt;&gt;"", TEXT(Table5[[#This Row],[Query Date]], "dddd"), "")</f>
        <v/>
      </c>
      <c r="F958" s="37" t="str">
        <f>IF(Table5[[#This Row],[Query Date]]&lt;&gt;"", TEXT(Table5[[#This Row],[Query Date]], "mmmm"), "")</f>
        <v/>
      </c>
      <c r="G958" s="28"/>
      <c r="H958" s="28"/>
      <c r="I958" s="28"/>
      <c r="J958" s="28"/>
      <c r="K958" s="28"/>
      <c r="L958" s="25"/>
      <c r="M958" s="25"/>
      <c r="N958" s="25"/>
      <c r="O958" s="130"/>
      <c r="P958" s="47"/>
      <c r="Q958" s="77"/>
      <c r="R958" s="77" t="str">
        <f>IF(Table5[[#This Row],[Tour Starting Date]]&lt;&gt;"", TEXT(Table5[[#This Row],[Tour Starting Date]], "dddd"), "")</f>
        <v/>
      </c>
      <c r="S958" s="77"/>
      <c r="T958" s="25" t="str">
        <f>IF(Table5[[#This Row],[Tour Ending Date]]&lt;&gt;"", TEXT(Table5[[#This Row],[Tour Ending Date]], "dddd"), "")</f>
        <v/>
      </c>
      <c r="U95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58" s="37" t="str">
        <f>IF(Table5[[#This Row],[Tour Starting Date]]&lt;&gt;"", TEXT(Table5[[#This Row],[Tour Starting Date]], "mmmm"), "")</f>
        <v/>
      </c>
      <c r="W958" s="80" t="str" cm="1">
        <f t="array" ref="W958">IF(Q958&lt;&gt;"", INDEX(CI:CI, MATCH(1, (Q958&gt;=CG:CG)*(Q958&lt;=CH:CH), 0)), "")</f>
        <v/>
      </c>
      <c r="X958" s="39"/>
      <c r="Y958" s="74"/>
      <c r="Z958" s="74" t="str">
        <f>IF(OR(Table5[[#This Row],[Per Person Package Cost]]="", Table5[[#This Row],[No. of Pax]]=""), "", Table5[[#This Row],[Per Person Package Cost]] * Table5[[#This Row],[No. of Pax]])</f>
        <v/>
      </c>
      <c r="AA958" s="52"/>
      <c r="AB958" s="52"/>
      <c r="AC958" s="52"/>
      <c r="AD958" s="52"/>
      <c r="AE958" s="51" t="str">
        <f t="shared" si="81"/>
        <v/>
      </c>
      <c r="AF958" s="51" t="str">
        <f t="shared" si="82"/>
        <v/>
      </c>
      <c r="AG958" s="74" t="str">
        <f t="shared" si="83"/>
        <v/>
      </c>
      <c r="AH958" s="73" t="str">
        <f t="shared" si="84"/>
        <v/>
      </c>
      <c r="AI958" s="52"/>
      <c r="AJ958" s="56"/>
      <c r="AK958" s="59"/>
      <c r="AL958" s="60"/>
      <c r="AM958" s="54"/>
      <c r="AN958" s="64"/>
      <c r="AO958" s="26"/>
      <c r="AP958" s="93"/>
      <c r="AQ958" s="87"/>
      <c r="AR958" s="26"/>
      <c r="AS958" s="65"/>
      <c r="AT958" s="88"/>
      <c r="AU958" s="67"/>
      <c r="DA958" t="str" cm="1">
        <f t="array" ref="DA958">IF(U958&lt;&gt;"", TRANSPOSE(_xlfn._xlws.FILTER(CZ:CZ, CY:CY=U958, "")), "")</f>
        <v/>
      </c>
    </row>
    <row r="959" spans="2:105">
      <c r="B959" s="35">
        <v>955</v>
      </c>
      <c r="C959" s="36" t="s">
        <v>2824</v>
      </c>
      <c r="D959" s="76"/>
      <c r="E959" s="37" t="str">
        <f>IF(Table5[[#This Row],[Query Date]]&lt;&gt;"", TEXT(Table5[[#This Row],[Query Date]], "dddd"), "")</f>
        <v/>
      </c>
      <c r="F959" s="37" t="str">
        <f>IF(Table5[[#This Row],[Query Date]]&lt;&gt;"", TEXT(Table5[[#This Row],[Query Date]], "mmmm"), "")</f>
        <v/>
      </c>
      <c r="G959" s="28"/>
      <c r="H959" s="28"/>
      <c r="I959" s="28"/>
      <c r="J959" s="28"/>
      <c r="K959" s="28"/>
      <c r="L959" s="25"/>
      <c r="M959" s="25"/>
      <c r="N959" s="25"/>
      <c r="O959" s="130"/>
      <c r="P959" s="47"/>
      <c r="Q959" s="77"/>
      <c r="R959" s="77" t="str">
        <f>IF(Table5[[#This Row],[Tour Starting Date]]&lt;&gt;"", TEXT(Table5[[#This Row],[Tour Starting Date]], "dddd"), "")</f>
        <v/>
      </c>
      <c r="S959" s="77"/>
      <c r="T959" s="25" t="str">
        <f>IF(Table5[[#This Row],[Tour Ending Date]]&lt;&gt;"", TEXT(Table5[[#This Row],[Tour Ending Date]], "dddd"), "")</f>
        <v/>
      </c>
      <c r="U95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59" s="37" t="str">
        <f>IF(Table5[[#This Row],[Tour Starting Date]]&lt;&gt;"", TEXT(Table5[[#This Row],[Tour Starting Date]], "mmmm"), "")</f>
        <v/>
      </c>
      <c r="W959" s="80" t="str" cm="1">
        <f t="array" ref="W959">IF(Q959&lt;&gt;"", INDEX(CI:CI, MATCH(1, (Q959&gt;=CG:CG)*(Q959&lt;=CH:CH), 0)), "")</f>
        <v/>
      </c>
      <c r="X959" s="39"/>
      <c r="Y959" s="74"/>
      <c r="Z959" s="74" t="str">
        <f>IF(OR(Table5[[#This Row],[Per Person Package Cost]]="", Table5[[#This Row],[No. of Pax]]=""), "", Table5[[#This Row],[Per Person Package Cost]] * Table5[[#This Row],[No. of Pax]])</f>
        <v/>
      </c>
      <c r="AA959" s="52"/>
      <c r="AB959" s="52"/>
      <c r="AC959" s="52"/>
      <c r="AD959" s="52"/>
      <c r="AE959" s="51" t="str">
        <f t="shared" si="81"/>
        <v/>
      </c>
      <c r="AF959" s="51" t="str">
        <f t="shared" si="82"/>
        <v/>
      </c>
      <c r="AG959" s="74" t="str">
        <f t="shared" si="83"/>
        <v/>
      </c>
      <c r="AH959" s="73" t="str">
        <f t="shared" si="84"/>
        <v/>
      </c>
      <c r="AI959" s="52"/>
      <c r="AJ959" s="56"/>
      <c r="AK959" s="59"/>
      <c r="AL959" s="60"/>
      <c r="AM959" s="54"/>
      <c r="AN959" s="64"/>
      <c r="AO959" s="26"/>
      <c r="AP959" s="93"/>
      <c r="AQ959" s="87"/>
      <c r="AR959" s="26"/>
      <c r="AS959" s="65"/>
      <c r="AT959" s="88"/>
      <c r="AU959" s="67"/>
      <c r="DA959" t="str" cm="1">
        <f t="array" ref="DA959">IF(U959&lt;&gt;"", TRANSPOSE(_xlfn._xlws.FILTER(CZ:CZ, CY:CY=U959, "")), "")</f>
        <v/>
      </c>
    </row>
    <row r="960" spans="2:105">
      <c r="B960" s="35">
        <v>956</v>
      </c>
      <c r="C960" s="36" t="s">
        <v>2825</v>
      </c>
      <c r="D960" s="76"/>
      <c r="E960" s="37" t="str">
        <f>IF(Table5[[#This Row],[Query Date]]&lt;&gt;"", TEXT(Table5[[#This Row],[Query Date]], "dddd"), "")</f>
        <v/>
      </c>
      <c r="F960" s="37" t="str">
        <f>IF(Table5[[#This Row],[Query Date]]&lt;&gt;"", TEXT(Table5[[#This Row],[Query Date]], "mmmm"), "")</f>
        <v/>
      </c>
      <c r="G960" s="28"/>
      <c r="H960" s="28"/>
      <c r="I960" s="28"/>
      <c r="J960" s="28"/>
      <c r="K960" s="28"/>
      <c r="L960" s="25"/>
      <c r="M960" s="25"/>
      <c r="N960" s="25"/>
      <c r="O960" s="130"/>
      <c r="P960" s="47"/>
      <c r="Q960" s="77"/>
      <c r="R960" s="77" t="str">
        <f>IF(Table5[[#This Row],[Tour Starting Date]]&lt;&gt;"", TEXT(Table5[[#This Row],[Tour Starting Date]], "dddd"), "")</f>
        <v/>
      </c>
      <c r="S960" s="77"/>
      <c r="T960" s="25" t="str">
        <f>IF(Table5[[#This Row],[Tour Ending Date]]&lt;&gt;"", TEXT(Table5[[#This Row],[Tour Ending Date]], "dddd"), "")</f>
        <v/>
      </c>
      <c r="U96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60" s="37" t="str">
        <f>IF(Table5[[#This Row],[Tour Starting Date]]&lt;&gt;"", TEXT(Table5[[#This Row],[Tour Starting Date]], "mmmm"), "")</f>
        <v/>
      </c>
      <c r="W960" s="80" t="str" cm="1">
        <f t="array" ref="W960">IF(Q960&lt;&gt;"", INDEX(CI:CI, MATCH(1, (Q960&gt;=CG:CG)*(Q960&lt;=CH:CH), 0)), "")</f>
        <v/>
      </c>
      <c r="X960" s="39"/>
      <c r="Y960" s="74"/>
      <c r="Z960" s="74" t="str">
        <f>IF(OR(Table5[[#This Row],[Per Person Package Cost]]="", Table5[[#This Row],[No. of Pax]]=""), "", Table5[[#This Row],[Per Person Package Cost]] * Table5[[#This Row],[No. of Pax]])</f>
        <v/>
      </c>
      <c r="AA960" s="52"/>
      <c r="AB960" s="52"/>
      <c r="AC960" s="52"/>
      <c r="AD960" s="52"/>
      <c r="AE960" s="51" t="str">
        <f t="shared" si="81"/>
        <v/>
      </c>
      <c r="AF960" s="51" t="str">
        <f t="shared" si="82"/>
        <v/>
      </c>
      <c r="AG960" s="74" t="str">
        <f t="shared" si="83"/>
        <v/>
      </c>
      <c r="AH960" s="73" t="str">
        <f t="shared" si="84"/>
        <v/>
      </c>
      <c r="AI960" s="52"/>
      <c r="AJ960" s="56"/>
      <c r="AK960" s="59"/>
      <c r="AL960" s="60"/>
      <c r="AM960" s="54"/>
      <c r="AN960" s="64"/>
      <c r="AO960" s="26"/>
      <c r="AP960" s="93"/>
      <c r="AQ960" s="87"/>
      <c r="AR960" s="26"/>
      <c r="AS960" s="65"/>
      <c r="AT960" s="88"/>
      <c r="AU960" s="67"/>
      <c r="DA960" t="str" cm="1">
        <f t="array" ref="DA960">IF(U960&lt;&gt;"", TRANSPOSE(_xlfn._xlws.FILTER(CZ:CZ, CY:CY=U960, "")), "")</f>
        <v/>
      </c>
    </row>
    <row r="961" spans="2:105">
      <c r="B961" s="35">
        <v>957</v>
      </c>
      <c r="C961" s="36" t="s">
        <v>2826</v>
      </c>
      <c r="D961" s="76"/>
      <c r="E961" s="37" t="str">
        <f>IF(Table5[[#This Row],[Query Date]]&lt;&gt;"", TEXT(Table5[[#This Row],[Query Date]], "dddd"), "")</f>
        <v/>
      </c>
      <c r="F961" s="37" t="str">
        <f>IF(Table5[[#This Row],[Query Date]]&lt;&gt;"", TEXT(Table5[[#This Row],[Query Date]], "mmmm"), "")</f>
        <v/>
      </c>
      <c r="G961" s="28"/>
      <c r="H961" s="28"/>
      <c r="I961" s="28"/>
      <c r="J961" s="28"/>
      <c r="K961" s="28"/>
      <c r="L961" s="25"/>
      <c r="M961" s="25"/>
      <c r="N961" s="25"/>
      <c r="O961" s="130"/>
      <c r="P961" s="47"/>
      <c r="Q961" s="77"/>
      <c r="R961" s="77" t="str">
        <f>IF(Table5[[#This Row],[Tour Starting Date]]&lt;&gt;"", TEXT(Table5[[#This Row],[Tour Starting Date]], "dddd"), "")</f>
        <v/>
      </c>
      <c r="S961" s="77"/>
      <c r="T961" s="25" t="str">
        <f>IF(Table5[[#This Row],[Tour Ending Date]]&lt;&gt;"", TEXT(Table5[[#This Row],[Tour Ending Date]], "dddd"), "")</f>
        <v/>
      </c>
      <c r="U96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61" s="37" t="str">
        <f>IF(Table5[[#This Row],[Tour Starting Date]]&lt;&gt;"", TEXT(Table5[[#This Row],[Tour Starting Date]], "mmmm"), "")</f>
        <v/>
      </c>
      <c r="W961" s="80" t="str" cm="1">
        <f t="array" ref="W961">IF(Q961&lt;&gt;"", INDEX(CI:CI, MATCH(1, (Q961&gt;=CG:CG)*(Q961&lt;=CH:CH), 0)), "")</f>
        <v/>
      </c>
      <c r="X961" s="39"/>
      <c r="Y961" s="74"/>
      <c r="Z961" s="74" t="str">
        <f>IF(OR(Table5[[#This Row],[Per Person Package Cost]]="", Table5[[#This Row],[No. of Pax]]=""), "", Table5[[#This Row],[Per Person Package Cost]] * Table5[[#This Row],[No. of Pax]])</f>
        <v/>
      </c>
      <c r="AA961" s="52"/>
      <c r="AB961" s="52"/>
      <c r="AC961" s="52"/>
      <c r="AD961" s="52"/>
      <c r="AE961" s="51" t="str">
        <f t="shared" si="81"/>
        <v/>
      </c>
      <c r="AF961" s="51" t="str">
        <f t="shared" si="82"/>
        <v/>
      </c>
      <c r="AG961" s="74" t="str">
        <f t="shared" si="83"/>
        <v/>
      </c>
      <c r="AH961" s="73" t="str">
        <f t="shared" si="84"/>
        <v/>
      </c>
      <c r="AI961" s="52"/>
      <c r="AJ961" s="56"/>
      <c r="AK961" s="59"/>
      <c r="AL961" s="60"/>
      <c r="AM961" s="54"/>
      <c r="AN961" s="64"/>
      <c r="AO961" s="26"/>
      <c r="AP961" s="93"/>
      <c r="AQ961" s="87"/>
      <c r="AR961" s="26"/>
      <c r="AS961" s="65"/>
      <c r="AT961" s="88"/>
      <c r="AU961" s="67"/>
      <c r="DA961" t="str" cm="1">
        <f t="array" ref="DA961">IF(U961&lt;&gt;"", TRANSPOSE(_xlfn._xlws.FILTER(CZ:CZ, CY:CY=U961, "")), "")</f>
        <v/>
      </c>
    </row>
    <row r="962" spans="2:105">
      <c r="B962" s="35">
        <v>958</v>
      </c>
      <c r="C962" s="36" t="s">
        <v>2827</v>
      </c>
      <c r="D962" s="76"/>
      <c r="E962" s="37" t="str">
        <f>IF(Table5[[#This Row],[Query Date]]&lt;&gt;"", TEXT(Table5[[#This Row],[Query Date]], "dddd"), "")</f>
        <v/>
      </c>
      <c r="F962" s="37" t="str">
        <f>IF(Table5[[#This Row],[Query Date]]&lt;&gt;"", TEXT(Table5[[#This Row],[Query Date]], "mmmm"), "")</f>
        <v/>
      </c>
      <c r="G962" s="28"/>
      <c r="H962" s="28"/>
      <c r="I962" s="28"/>
      <c r="J962" s="28"/>
      <c r="K962" s="28"/>
      <c r="L962" s="25"/>
      <c r="M962" s="25"/>
      <c r="N962" s="25"/>
      <c r="O962" s="130"/>
      <c r="P962" s="47"/>
      <c r="Q962" s="77"/>
      <c r="R962" s="77" t="str">
        <f>IF(Table5[[#This Row],[Tour Starting Date]]&lt;&gt;"", TEXT(Table5[[#This Row],[Tour Starting Date]], "dddd"), "")</f>
        <v/>
      </c>
      <c r="S962" s="77"/>
      <c r="T962" s="25" t="str">
        <f>IF(Table5[[#This Row],[Tour Ending Date]]&lt;&gt;"", TEXT(Table5[[#This Row],[Tour Ending Date]], "dddd"), "")</f>
        <v/>
      </c>
      <c r="U96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62" s="37" t="str">
        <f>IF(Table5[[#This Row],[Tour Starting Date]]&lt;&gt;"", TEXT(Table5[[#This Row],[Tour Starting Date]], "mmmm"), "")</f>
        <v/>
      </c>
      <c r="W962" s="80" t="str" cm="1">
        <f t="array" ref="W962">IF(Q962&lt;&gt;"", INDEX(CI:CI, MATCH(1, (Q962&gt;=CG:CG)*(Q962&lt;=CH:CH), 0)), "")</f>
        <v/>
      </c>
      <c r="X962" s="39"/>
      <c r="Y962" s="74"/>
      <c r="Z962" s="74" t="str">
        <f>IF(OR(Table5[[#This Row],[Per Person Package Cost]]="", Table5[[#This Row],[No. of Pax]]=""), "", Table5[[#This Row],[Per Person Package Cost]] * Table5[[#This Row],[No. of Pax]])</f>
        <v/>
      </c>
      <c r="AA962" s="52"/>
      <c r="AB962" s="52"/>
      <c r="AC962" s="52"/>
      <c r="AD962" s="52"/>
      <c r="AE962" s="51" t="str">
        <f t="shared" si="81"/>
        <v/>
      </c>
      <c r="AF962" s="51" t="str">
        <f t="shared" si="82"/>
        <v/>
      </c>
      <c r="AG962" s="74" t="str">
        <f t="shared" si="83"/>
        <v/>
      </c>
      <c r="AH962" s="73" t="str">
        <f t="shared" si="84"/>
        <v/>
      </c>
      <c r="AI962" s="52"/>
      <c r="AJ962" s="56"/>
      <c r="AK962" s="59"/>
      <c r="AL962" s="60"/>
      <c r="AM962" s="54"/>
      <c r="AN962" s="64"/>
      <c r="AO962" s="26"/>
      <c r="AP962" s="93"/>
      <c r="AQ962" s="87"/>
      <c r="AR962" s="26"/>
      <c r="AS962" s="65"/>
      <c r="AT962" s="88"/>
      <c r="AU962" s="67"/>
      <c r="DA962" t="str" cm="1">
        <f t="array" ref="DA962">IF(U962&lt;&gt;"", TRANSPOSE(_xlfn._xlws.FILTER(CZ:CZ, CY:CY=U962, "")), "")</f>
        <v/>
      </c>
    </row>
    <row r="963" spans="2:105">
      <c r="B963" s="35">
        <v>959</v>
      </c>
      <c r="C963" s="36" t="s">
        <v>2828</v>
      </c>
      <c r="D963" s="76"/>
      <c r="E963" s="37" t="str">
        <f>IF(Table5[[#This Row],[Query Date]]&lt;&gt;"", TEXT(Table5[[#This Row],[Query Date]], "dddd"), "")</f>
        <v/>
      </c>
      <c r="F963" s="37" t="str">
        <f>IF(Table5[[#This Row],[Query Date]]&lt;&gt;"", TEXT(Table5[[#This Row],[Query Date]], "mmmm"), "")</f>
        <v/>
      </c>
      <c r="G963" s="28"/>
      <c r="H963" s="28"/>
      <c r="I963" s="28"/>
      <c r="J963" s="28"/>
      <c r="K963" s="28"/>
      <c r="L963" s="25"/>
      <c r="M963" s="25"/>
      <c r="N963" s="25"/>
      <c r="O963" s="130"/>
      <c r="P963" s="47"/>
      <c r="Q963" s="77"/>
      <c r="R963" s="77" t="str">
        <f>IF(Table5[[#This Row],[Tour Starting Date]]&lt;&gt;"", TEXT(Table5[[#This Row],[Tour Starting Date]], "dddd"), "")</f>
        <v/>
      </c>
      <c r="S963" s="77"/>
      <c r="T963" s="25" t="str">
        <f>IF(Table5[[#This Row],[Tour Ending Date]]&lt;&gt;"", TEXT(Table5[[#This Row],[Tour Ending Date]], "dddd"), "")</f>
        <v/>
      </c>
      <c r="U96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63" s="37" t="str">
        <f>IF(Table5[[#This Row],[Tour Starting Date]]&lt;&gt;"", TEXT(Table5[[#This Row],[Tour Starting Date]], "mmmm"), "")</f>
        <v/>
      </c>
      <c r="W963" s="80" t="str" cm="1">
        <f t="array" ref="W963">IF(Q963&lt;&gt;"", INDEX(CI:CI, MATCH(1, (Q963&gt;=CG:CG)*(Q963&lt;=CH:CH), 0)), "")</f>
        <v/>
      </c>
      <c r="X963" s="39"/>
      <c r="Y963" s="74"/>
      <c r="Z963" s="74" t="str">
        <f>IF(OR(Table5[[#This Row],[Per Person Package Cost]]="", Table5[[#This Row],[No. of Pax]]=""), "", Table5[[#This Row],[Per Person Package Cost]] * Table5[[#This Row],[No. of Pax]])</f>
        <v/>
      </c>
      <c r="AA963" s="52"/>
      <c r="AB963" s="52"/>
      <c r="AC963" s="52"/>
      <c r="AD963" s="52"/>
      <c r="AE963" s="51" t="str">
        <f t="shared" si="81"/>
        <v/>
      </c>
      <c r="AF963" s="51" t="str">
        <f t="shared" si="82"/>
        <v/>
      </c>
      <c r="AG963" s="74" t="str">
        <f t="shared" si="83"/>
        <v/>
      </c>
      <c r="AH963" s="73" t="str">
        <f t="shared" si="84"/>
        <v/>
      </c>
      <c r="AI963" s="52"/>
      <c r="AJ963" s="56"/>
      <c r="AK963" s="59"/>
      <c r="AL963" s="60"/>
      <c r="AM963" s="54"/>
      <c r="AN963" s="64"/>
      <c r="AO963" s="26"/>
      <c r="AP963" s="93"/>
      <c r="AQ963" s="87"/>
      <c r="AR963" s="26"/>
      <c r="AS963" s="65"/>
      <c r="AT963" s="88"/>
      <c r="AU963" s="67"/>
      <c r="DA963" t="str" cm="1">
        <f t="array" ref="DA963">IF(U963&lt;&gt;"", TRANSPOSE(_xlfn._xlws.FILTER(CZ:CZ, CY:CY=U963, "")), "")</f>
        <v/>
      </c>
    </row>
    <row r="964" spans="2:105">
      <c r="B964" s="35">
        <v>960</v>
      </c>
      <c r="C964" s="36" t="s">
        <v>2829</v>
      </c>
      <c r="D964" s="76"/>
      <c r="E964" s="37" t="str">
        <f>IF(Table5[[#This Row],[Query Date]]&lt;&gt;"", TEXT(Table5[[#This Row],[Query Date]], "dddd"), "")</f>
        <v/>
      </c>
      <c r="F964" s="37" t="str">
        <f>IF(Table5[[#This Row],[Query Date]]&lt;&gt;"", TEXT(Table5[[#This Row],[Query Date]], "mmmm"), "")</f>
        <v/>
      </c>
      <c r="G964" s="28"/>
      <c r="H964" s="28"/>
      <c r="I964" s="28"/>
      <c r="J964" s="28"/>
      <c r="K964" s="28"/>
      <c r="L964" s="25"/>
      <c r="M964" s="25"/>
      <c r="N964" s="25"/>
      <c r="O964" s="130"/>
      <c r="P964" s="47"/>
      <c r="Q964" s="77"/>
      <c r="R964" s="77" t="str">
        <f>IF(Table5[[#This Row],[Tour Starting Date]]&lt;&gt;"", TEXT(Table5[[#This Row],[Tour Starting Date]], "dddd"), "")</f>
        <v/>
      </c>
      <c r="S964" s="77"/>
      <c r="T964" s="25" t="str">
        <f>IF(Table5[[#This Row],[Tour Ending Date]]&lt;&gt;"", TEXT(Table5[[#This Row],[Tour Ending Date]], "dddd"), "")</f>
        <v/>
      </c>
      <c r="U96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64" s="37" t="str">
        <f>IF(Table5[[#This Row],[Tour Starting Date]]&lt;&gt;"", TEXT(Table5[[#This Row],[Tour Starting Date]], "mmmm"), "")</f>
        <v/>
      </c>
      <c r="W964" s="80" t="str" cm="1">
        <f t="array" ref="W964">IF(Q964&lt;&gt;"", INDEX(CI:CI, MATCH(1, (Q964&gt;=CG:CG)*(Q964&lt;=CH:CH), 0)), "")</f>
        <v/>
      </c>
      <c r="X964" s="39"/>
      <c r="Y964" s="74"/>
      <c r="Z964" s="74" t="str">
        <f>IF(OR(Table5[[#This Row],[Per Person Package Cost]]="", Table5[[#This Row],[No. of Pax]]=""), "", Table5[[#This Row],[Per Person Package Cost]] * Table5[[#This Row],[No. of Pax]])</f>
        <v/>
      </c>
      <c r="AA964" s="52"/>
      <c r="AB964" s="52"/>
      <c r="AC964" s="52"/>
      <c r="AD964" s="52"/>
      <c r="AE964" s="51" t="str">
        <f t="shared" si="81"/>
        <v/>
      </c>
      <c r="AF964" s="51" t="str">
        <f t="shared" si="82"/>
        <v/>
      </c>
      <c r="AG964" s="74" t="str">
        <f t="shared" si="83"/>
        <v/>
      </c>
      <c r="AH964" s="73" t="str">
        <f t="shared" si="84"/>
        <v/>
      </c>
      <c r="AI964" s="52"/>
      <c r="AJ964" s="56"/>
      <c r="AK964" s="59"/>
      <c r="AL964" s="60"/>
      <c r="AM964" s="54"/>
      <c r="AN964" s="64"/>
      <c r="AO964" s="26"/>
      <c r="AP964" s="93"/>
      <c r="AQ964" s="87"/>
      <c r="AR964" s="26"/>
      <c r="AS964" s="65"/>
      <c r="AT964" s="88"/>
      <c r="AU964" s="67"/>
      <c r="DA964" t="str" cm="1">
        <f t="array" ref="DA964">IF(U964&lt;&gt;"", TRANSPOSE(_xlfn._xlws.FILTER(CZ:CZ, CY:CY=U964, "")), "")</f>
        <v/>
      </c>
    </row>
    <row r="965" spans="2:105">
      <c r="B965" s="35">
        <v>961</v>
      </c>
      <c r="C965" s="36" t="s">
        <v>2830</v>
      </c>
      <c r="D965" s="76"/>
      <c r="E965" s="37" t="str">
        <f>IF(Table5[[#This Row],[Query Date]]&lt;&gt;"", TEXT(Table5[[#This Row],[Query Date]], "dddd"), "")</f>
        <v/>
      </c>
      <c r="F965" s="37" t="str">
        <f>IF(Table5[[#This Row],[Query Date]]&lt;&gt;"", TEXT(Table5[[#This Row],[Query Date]], "mmmm"), "")</f>
        <v/>
      </c>
      <c r="G965" s="28"/>
      <c r="H965" s="28"/>
      <c r="I965" s="28"/>
      <c r="J965" s="28"/>
      <c r="K965" s="28"/>
      <c r="L965" s="25"/>
      <c r="M965" s="25"/>
      <c r="N965" s="25"/>
      <c r="O965" s="130"/>
      <c r="P965" s="47"/>
      <c r="Q965" s="77"/>
      <c r="R965" s="77" t="str">
        <f>IF(Table5[[#This Row],[Tour Starting Date]]&lt;&gt;"", TEXT(Table5[[#This Row],[Tour Starting Date]], "dddd"), "")</f>
        <v/>
      </c>
      <c r="S965" s="77"/>
      <c r="T965" s="25" t="str">
        <f>IF(Table5[[#This Row],[Tour Ending Date]]&lt;&gt;"", TEXT(Table5[[#This Row],[Tour Ending Date]], "dddd"), "")</f>
        <v/>
      </c>
      <c r="U96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65" s="37" t="str">
        <f>IF(Table5[[#This Row],[Tour Starting Date]]&lt;&gt;"", TEXT(Table5[[#This Row],[Tour Starting Date]], "mmmm"), "")</f>
        <v/>
      </c>
      <c r="W965" s="80" t="str" cm="1">
        <f t="array" ref="W965">IF(Q965&lt;&gt;"", INDEX(CI:CI, MATCH(1, (Q965&gt;=CG:CG)*(Q965&lt;=CH:CH), 0)), "")</f>
        <v/>
      </c>
      <c r="X965" s="39"/>
      <c r="Y965" s="74"/>
      <c r="Z965" s="74" t="str">
        <f>IF(OR(Table5[[#This Row],[Per Person Package Cost]]="", Table5[[#This Row],[No. of Pax]]=""), "", Table5[[#This Row],[Per Person Package Cost]] * Table5[[#This Row],[No. of Pax]])</f>
        <v/>
      </c>
      <c r="AA965" s="52"/>
      <c r="AB965" s="52"/>
      <c r="AC965" s="52"/>
      <c r="AD965" s="52"/>
      <c r="AE965" s="51" t="str">
        <f t="shared" ref="AE965:AE1004" si="85">IF(AD965&lt;&gt;"", INDEX(CW:CW, MATCH(AD965, CZ:CZ, 0)), "")</f>
        <v/>
      </c>
      <c r="AF965" s="51" t="str">
        <f t="shared" ref="AF965:AF1004" si="86">IF(AD965&lt;&gt;"", INDEX(CX:CX, MATCH(AD965, CZ:CZ, 0)), "")</f>
        <v/>
      </c>
      <c r="AG965" s="74" t="str">
        <f t="shared" ref="AG965:AG1004" si="87">IF(AE965&lt;&gt;"", INDEX(CU:CU, MATCH(AE965, CW:CW, 0)), "")</f>
        <v/>
      </c>
      <c r="AH965" s="73" t="str">
        <f t="shared" si="84"/>
        <v/>
      </c>
      <c r="AI965" s="52"/>
      <c r="AJ965" s="56"/>
      <c r="AK965" s="59"/>
      <c r="AL965" s="60"/>
      <c r="AM965" s="54"/>
      <c r="AN965" s="64"/>
      <c r="AO965" s="26"/>
      <c r="AP965" s="93"/>
      <c r="AQ965" s="87"/>
      <c r="AR965" s="26"/>
      <c r="AS965" s="65"/>
      <c r="AT965" s="88"/>
      <c r="AU965" s="67"/>
      <c r="DA965" t="str" cm="1">
        <f t="array" ref="DA965">IF(U965&lt;&gt;"", TRANSPOSE(_xlfn._xlws.FILTER(CZ:CZ, CY:CY=U965, "")), "")</f>
        <v/>
      </c>
    </row>
    <row r="966" spans="2:105">
      <c r="B966" s="35">
        <v>962</v>
      </c>
      <c r="C966" s="36" t="s">
        <v>2831</v>
      </c>
      <c r="D966" s="76"/>
      <c r="E966" s="37" t="str">
        <f>IF(Table5[[#This Row],[Query Date]]&lt;&gt;"", TEXT(Table5[[#This Row],[Query Date]], "dddd"), "")</f>
        <v/>
      </c>
      <c r="F966" s="37" t="str">
        <f>IF(Table5[[#This Row],[Query Date]]&lt;&gt;"", TEXT(Table5[[#This Row],[Query Date]], "mmmm"), "")</f>
        <v/>
      </c>
      <c r="G966" s="28"/>
      <c r="H966" s="28"/>
      <c r="I966" s="28"/>
      <c r="J966" s="28"/>
      <c r="K966" s="28"/>
      <c r="L966" s="25"/>
      <c r="M966" s="25"/>
      <c r="N966" s="25"/>
      <c r="O966" s="130"/>
      <c r="P966" s="47"/>
      <c r="Q966" s="77"/>
      <c r="R966" s="77" t="str">
        <f>IF(Table5[[#This Row],[Tour Starting Date]]&lt;&gt;"", TEXT(Table5[[#This Row],[Tour Starting Date]], "dddd"), "")</f>
        <v/>
      </c>
      <c r="S966" s="77"/>
      <c r="T966" s="25" t="str">
        <f>IF(Table5[[#This Row],[Tour Ending Date]]&lt;&gt;"", TEXT(Table5[[#This Row],[Tour Ending Date]], "dddd"), "")</f>
        <v/>
      </c>
      <c r="U96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66" s="37" t="str">
        <f>IF(Table5[[#This Row],[Tour Starting Date]]&lt;&gt;"", TEXT(Table5[[#This Row],[Tour Starting Date]], "mmmm"), "")</f>
        <v/>
      </c>
      <c r="W966" s="80" t="str" cm="1">
        <f t="array" ref="W966">IF(Q966&lt;&gt;"", INDEX(CI:CI, MATCH(1, (Q966&gt;=CG:CG)*(Q966&lt;=CH:CH), 0)), "")</f>
        <v/>
      </c>
      <c r="X966" s="39"/>
      <c r="Y966" s="74"/>
      <c r="Z966" s="74" t="str">
        <f>IF(OR(Table5[[#This Row],[Per Person Package Cost]]="", Table5[[#This Row],[No. of Pax]]=""), "", Table5[[#This Row],[Per Person Package Cost]] * Table5[[#This Row],[No. of Pax]])</f>
        <v/>
      </c>
      <c r="AA966" s="52"/>
      <c r="AB966" s="52"/>
      <c r="AC966" s="52"/>
      <c r="AD966" s="52"/>
      <c r="AE966" s="51" t="str">
        <f t="shared" si="85"/>
        <v/>
      </c>
      <c r="AF966" s="51" t="str">
        <f t="shared" si="86"/>
        <v/>
      </c>
      <c r="AG966" s="74" t="str">
        <f t="shared" si="87"/>
        <v/>
      </c>
      <c r="AH966" s="73" t="str">
        <f t="shared" si="84"/>
        <v/>
      </c>
      <c r="AI966" s="52"/>
      <c r="AJ966" s="56"/>
      <c r="AK966" s="59"/>
      <c r="AL966" s="60"/>
      <c r="AM966" s="54"/>
      <c r="AN966" s="64"/>
      <c r="AO966" s="26"/>
      <c r="AP966" s="93"/>
      <c r="AQ966" s="87"/>
      <c r="AR966" s="26"/>
      <c r="AS966" s="65"/>
      <c r="AT966" s="88"/>
      <c r="AU966" s="67"/>
      <c r="DA966" t="str" cm="1">
        <f t="array" ref="DA966">IF(U966&lt;&gt;"", TRANSPOSE(_xlfn._xlws.FILTER(CZ:CZ, CY:CY=U966, "")), "")</f>
        <v/>
      </c>
    </row>
    <row r="967" spans="2:105">
      <c r="B967" s="35">
        <v>963</v>
      </c>
      <c r="C967" s="36" t="s">
        <v>2832</v>
      </c>
      <c r="D967" s="76"/>
      <c r="E967" s="37" t="str">
        <f>IF(Table5[[#This Row],[Query Date]]&lt;&gt;"", TEXT(Table5[[#This Row],[Query Date]], "dddd"), "")</f>
        <v/>
      </c>
      <c r="F967" s="37" t="str">
        <f>IF(Table5[[#This Row],[Query Date]]&lt;&gt;"", TEXT(Table5[[#This Row],[Query Date]], "mmmm"), "")</f>
        <v/>
      </c>
      <c r="G967" s="28"/>
      <c r="H967" s="28"/>
      <c r="I967" s="28"/>
      <c r="J967" s="28"/>
      <c r="K967" s="28"/>
      <c r="L967" s="25"/>
      <c r="M967" s="25"/>
      <c r="N967" s="25"/>
      <c r="O967" s="130"/>
      <c r="P967" s="47"/>
      <c r="Q967" s="77"/>
      <c r="R967" s="77" t="str">
        <f>IF(Table5[[#This Row],[Tour Starting Date]]&lt;&gt;"", TEXT(Table5[[#This Row],[Tour Starting Date]], "dddd"), "")</f>
        <v/>
      </c>
      <c r="S967" s="77"/>
      <c r="T967" s="25" t="str">
        <f>IF(Table5[[#This Row],[Tour Ending Date]]&lt;&gt;"", TEXT(Table5[[#This Row],[Tour Ending Date]], "dddd"), "")</f>
        <v/>
      </c>
      <c r="U96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67" s="37" t="str">
        <f>IF(Table5[[#This Row],[Tour Starting Date]]&lt;&gt;"", TEXT(Table5[[#This Row],[Tour Starting Date]], "mmmm"), "")</f>
        <v/>
      </c>
      <c r="W967" s="80" t="str" cm="1">
        <f t="array" ref="W967">IF(Q967&lt;&gt;"", INDEX(CI:CI, MATCH(1, (Q967&gt;=CG:CG)*(Q967&lt;=CH:CH), 0)), "")</f>
        <v/>
      </c>
      <c r="X967" s="39"/>
      <c r="Y967" s="74"/>
      <c r="Z967" s="74" t="str">
        <f>IF(OR(Table5[[#This Row],[Per Person Package Cost]]="", Table5[[#This Row],[No. of Pax]]=""), "", Table5[[#This Row],[Per Person Package Cost]] * Table5[[#This Row],[No. of Pax]])</f>
        <v/>
      </c>
      <c r="AA967" s="52"/>
      <c r="AB967" s="52"/>
      <c r="AC967" s="52"/>
      <c r="AD967" s="52"/>
      <c r="AE967" s="51" t="str">
        <f t="shared" si="85"/>
        <v/>
      </c>
      <c r="AF967" s="51" t="str">
        <f t="shared" si="86"/>
        <v/>
      </c>
      <c r="AG967" s="74" t="str">
        <f t="shared" si="87"/>
        <v/>
      </c>
      <c r="AH967" s="73" t="str">
        <f t="shared" si="84"/>
        <v/>
      </c>
      <c r="AI967" s="52"/>
      <c r="AJ967" s="56"/>
      <c r="AK967" s="59"/>
      <c r="AL967" s="60"/>
      <c r="AM967" s="54"/>
      <c r="AN967" s="64"/>
      <c r="AO967" s="26"/>
      <c r="AP967" s="93"/>
      <c r="AQ967" s="87"/>
      <c r="AR967" s="26"/>
      <c r="AS967" s="65"/>
      <c r="AT967" s="88"/>
      <c r="AU967" s="67"/>
      <c r="DA967" t="str" cm="1">
        <f t="array" ref="DA967">IF(U967&lt;&gt;"", TRANSPOSE(_xlfn._xlws.FILTER(CZ:CZ, CY:CY=U967, "")), "")</f>
        <v/>
      </c>
    </row>
    <row r="968" spans="2:105">
      <c r="B968" s="35">
        <v>964</v>
      </c>
      <c r="C968" s="36" t="s">
        <v>2833</v>
      </c>
      <c r="D968" s="76"/>
      <c r="E968" s="37" t="str">
        <f>IF(Table5[[#This Row],[Query Date]]&lt;&gt;"", TEXT(Table5[[#This Row],[Query Date]], "dddd"), "")</f>
        <v/>
      </c>
      <c r="F968" s="37" t="str">
        <f>IF(Table5[[#This Row],[Query Date]]&lt;&gt;"", TEXT(Table5[[#This Row],[Query Date]], "mmmm"), "")</f>
        <v/>
      </c>
      <c r="G968" s="28"/>
      <c r="H968" s="28"/>
      <c r="I968" s="28"/>
      <c r="J968" s="28"/>
      <c r="K968" s="28"/>
      <c r="L968" s="25"/>
      <c r="M968" s="25"/>
      <c r="N968" s="25"/>
      <c r="O968" s="130"/>
      <c r="P968" s="47"/>
      <c r="Q968" s="77"/>
      <c r="R968" s="77" t="str">
        <f>IF(Table5[[#This Row],[Tour Starting Date]]&lt;&gt;"", TEXT(Table5[[#This Row],[Tour Starting Date]], "dddd"), "")</f>
        <v/>
      </c>
      <c r="S968" s="77"/>
      <c r="T968" s="25" t="str">
        <f>IF(Table5[[#This Row],[Tour Ending Date]]&lt;&gt;"", TEXT(Table5[[#This Row],[Tour Ending Date]], "dddd"), "")</f>
        <v/>
      </c>
      <c r="U96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68" s="37" t="str">
        <f>IF(Table5[[#This Row],[Tour Starting Date]]&lt;&gt;"", TEXT(Table5[[#This Row],[Tour Starting Date]], "mmmm"), "")</f>
        <v/>
      </c>
      <c r="W968" s="80" t="str" cm="1">
        <f t="array" ref="W968">IF(Q968&lt;&gt;"", INDEX(CI:CI, MATCH(1, (Q968&gt;=CG:CG)*(Q968&lt;=CH:CH), 0)), "")</f>
        <v/>
      </c>
      <c r="X968" s="39"/>
      <c r="Y968" s="74"/>
      <c r="Z968" s="74" t="str">
        <f>IF(OR(Table5[[#This Row],[Per Person Package Cost]]="", Table5[[#This Row],[No. of Pax]]=""), "", Table5[[#This Row],[Per Person Package Cost]] * Table5[[#This Row],[No. of Pax]])</f>
        <v/>
      </c>
      <c r="AA968" s="52"/>
      <c r="AB968" s="52"/>
      <c r="AC968" s="52"/>
      <c r="AD968" s="52"/>
      <c r="AE968" s="51" t="str">
        <f t="shared" si="85"/>
        <v/>
      </c>
      <c r="AF968" s="51" t="str">
        <f t="shared" si="86"/>
        <v/>
      </c>
      <c r="AG968" s="74" t="str">
        <f t="shared" si="87"/>
        <v/>
      </c>
      <c r="AH968" s="73" t="str">
        <f t="shared" si="84"/>
        <v/>
      </c>
      <c r="AI968" s="52"/>
      <c r="AJ968" s="56"/>
      <c r="AK968" s="59"/>
      <c r="AL968" s="60"/>
      <c r="AM968" s="54"/>
      <c r="AN968" s="64"/>
      <c r="AO968" s="26"/>
      <c r="AP968" s="93"/>
      <c r="AQ968" s="87"/>
      <c r="AR968" s="26"/>
      <c r="AS968" s="65"/>
      <c r="AT968" s="88"/>
      <c r="AU968" s="67"/>
      <c r="DA968" t="str" cm="1">
        <f t="array" ref="DA968">IF(U968&lt;&gt;"", TRANSPOSE(_xlfn._xlws.FILTER(CZ:CZ, CY:CY=U968, "")), "")</f>
        <v/>
      </c>
    </row>
    <row r="969" spans="2:105">
      <c r="B969" s="35">
        <v>965</v>
      </c>
      <c r="C969" s="36" t="s">
        <v>2834</v>
      </c>
      <c r="D969" s="76"/>
      <c r="E969" s="37" t="str">
        <f>IF(Table5[[#This Row],[Query Date]]&lt;&gt;"", TEXT(Table5[[#This Row],[Query Date]], "dddd"), "")</f>
        <v/>
      </c>
      <c r="F969" s="37" t="str">
        <f>IF(Table5[[#This Row],[Query Date]]&lt;&gt;"", TEXT(Table5[[#This Row],[Query Date]], "mmmm"), "")</f>
        <v/>
      </c>
      <c r="G969" s="28"/>
      <c r="H969" s="28"/>
      <c r="I969" s="28"/>
      <c r="J969" s="28"/>
      <c r="K969" s="28"/>
      <c r="L969" s="25"/>
      <c r="M969" s="25"/>
      <c r="N969" s="25"/>
      <c r="O969" s="130"/>
      <c r="P969" s="47"/>
      <c r="Q969" s="77"/>
      <c r="R969" s="77" t="str">
        <f>IF(Table5[[#This Row],[Tour Starting Date]]&lt;&gt;"", TEXT(Table5[[#This Row],[Tour Starting Date]], "dddd"), "")</f>
        <v/>
      </c>
      <c r="S969" s="77"/>
      <c r="T969" s="25" t="str">
        <f>IF(Table5[[#This Row],[Tour Ending Date]]&lt;&gt;"", TEXT(Table5[[#This Row],[Tour Ending Date]], "dddd"), "")</f>
        <v/>
      </c>
      <c r="U96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69" s="37" t="str">
        <f>IF(Table5[[#This Row],[Tour Starting Date]]&lt;&gt;"", TEXT(Table5[[#This Row],[Tour Starting Date]], "mmmm"), "")</f>
        <v/>
      </c>
      <c r="W969" s="80" t="str" cm="1">
        <f t="array" ref="W969">IF(Q969&lt;&gt;"", INDEX(CI:CI, MATCH(1, (Q969&gt;=CG:CG)*(Q969&lt;=CH:CH), 0)), "")</f>
        <v/>
      </c>
      <c r="X969" s="39"/>
      <c r="Y969" s="74"/>
      <c r="Z969" s="74" t="str">
        <f>IF(OR(Table5[[#This Row],[Per Person Package Cost]]="", Table5[[#This Row],[No. of Pax]]=""), "", Table5[[#This Row],[Per Person Package Cost]] * Table5[[#This Row],[No. of Pax]])</f>
        <v/>
      </c>
      <c r="AA969" s="52"/>
      <c r="AB969" s="52"/>
      <c r="AC969" s="52"/>
      <c r="AD969" s="52"/>
      <c r="AE969" s="51" t="str">
        <f t="shared" si="85"/>
        <v/>
      </c>
      <c r="AF969" s="51" t="str">
        <f t="shared" si="86"/>
        <v/>
      </c>
      <c r="AG969" s="74" t="str">
        <f t="shared" si="87"/>
        <v/>
      </c>
      <c r="AH969" s="73" t="str">
        <f t="shared" si="84"/>
        <v/>
      </c>
      <c r="AI969" s="52"/>
      <c r="AJ969" s="56"/>
      <c r="AK969" s="59"/>
      <c r="AL969" s="60"/>
      <c r="AM969" s="54"/>
      <c r="AN969" s="64"/>
      <c r="AO969" s="26"/>
      <c r="AP969" s="93"/>
      <c r="AQ969" s="87"/>
      <c r="AR969" s="26"/>
      <c r="AS969" s="65"/>
      <c r="AT969" s="88"/>
      <c r="AU969" s="67"/>
      <c r="DA969" t="str" cm="1">
        <f t="array" ref="DA969">IF(U969&lt;&gt;"", TRANSPOSE(_xlfn._xlws.FILTER(CZ:CZ, CY:CY=U969, "")), "")</f>
        <v/>
      </c>
    </row>
    <row r="970" spans="2:105">
      <c r="B970" s="35">
        <v>966</v>
      </c>
      <c r="C970" s="36" t="s">
        <v>2835</v>
      </c>
      <c r="D970" s="76"/>
      <c r="E970" s="37" t="str">
        <f>IF(Table5[[#This Row],[Query Date]]&lt;&gt;"", TEXT(Table5[[#This Row],[Query Date]], "dddd"), "")</f>
        <v/>
      </c>
      <c r="F970" s="37" t="str">
        <f>IF(Table5[[#This Row],[Query Date]]&lt;&gt;"", TEXT(Table5[[#This Row],[Query Date]], "mmmm"), "")</f>
        <v/>
      </c>
      <c r="G970" s="28"/>
      <c r="H970" s="28"/>
      <c r="I970" s="28"/>
      <c r="J970" s="28"/>
      <c r="K970" s="28"/>
      <c r="L970" s="25"/>
      <c r="M970" s="25"/>
      <c r="N970" s="25"/>
      <c r="O970" s="130"/>
      <c r="P970" s="47"/>
      <c r="Q970" s="77"/>
      <c r="R970" s="77" t="str">
        <f>IF(Table5[[#This Row],[Tour Starting Date]]&lt;&gt;"", TEXT(Table5[[#This Row],[Tour Starting Date]], "dddd"), "")</f>
        <v/>
      </c>
      <c r="S970" s="77"/>
      <c r="T970" s="25" t="str">
        <f>IF(Table5[[#This Row],[Tour Ending Date]]&lt;&gt;"", TEXT(Table5[[#This Row],[Tour Ending Date]], "dddd"), "")</f>
        <v/>
      </c>
      <c r="U97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70" s="37" t="str">
        <f>IF(Table5[[#This Row],[Tour Starting Date]]&lt;&gt;"", TEXT(Table5[[#This Row],[Tour Starting Date]], "mmmm"), "")</f>
        <v/>
      </c>
      <c r="W970" s="80" t="str" cm="1">
        <f t="array" ref="W970">IF(Q970&lt;&gt;"", INDEX(CI:CI, MATCH(1, (Q970&gt;=CG:CG)*(Q970&lt;=CH:CH), 0)), "")</f>
        <v/>
      </c>
      <c r="X970" s="39"/>
      <c r="Y970" s="74"/>
      <c r="Z970" s="74" t="str">
        <f>IF(OR(Table5[[#This Row],[Per Person Package Cost]]="", Table5[[#This Row],[No. of Pax]]=""), "", Table5[[#This Row],[Per Person Package Cost]] * Table5[[#This Row],[No. of Pax]])</f>
        <v/>
      </c>
      <c r="AA970" s="52"/>
      <c r="AB970" s="52"/>
      <c r="AC970" s="52"/>
      <c r="AD970" s="52"/>
      <c r="AE970" s="51" t="str">
        <f t="shared" si="85"/>
        <v/>
      </c>
      <c r="AF970" s="51" t="str">
        <f t="shared" si="86"/>
        <v/>
      </c>
      <c r="AG970" s="74" t="str">
        <f t="shared" si="87"/>
        <v/>
      </c>
      <c r="AH970" s="73" t="str">
        <f t="shared" si="84"/>
        <v/>
      </c>
      <c r="AI970" s="52"/>
      <c r="AJ970" s="56"/>
      <c r="AK970" s="59"/>
      <c r="AL970" s="60"/>
      <c r="AM970" s="54"/>
      <c r="AN970" s="64"/>
      <c r="AO970" s="26"/>
      <c r="AP970" s="93"/>
      <c r="AQ970" s="87"/>
      <c r="AR970" s="26"/>
      <c r="AS970" s="65"/>
      <c r="AT970" s="88"/>
      <c r="AU970" s="67"/>
      <c r="DA970" t="str" cm="1">
        <f t="array" ref="DA970">IF(U970&lt;&gt;"", TRANSPOSE(_xlfn._xlws.FILTER(CZ:CZ, CY:CY=U970, "")), "")</f>
        <v/>
      </c>
    </row>
    <row r="971" spans="2:105">
      <c r="B971" s="35">
        <v>967</v>
      </c>
      <c r="C971" s="36" t="s">
        <v>2836</v>
      </c>
      <c r="D971" s="76"/>
      <c r="E971" s="37" t="str">
        <f>IF(Table5[[#This Row],[Query Date]]&lt;&gt;"", TEXT(Table5[[#This Row],[Query Date]], "dddd"), "")</f>
        <v/>
      </c>
      <c r="F971" s="37" t="str">
        <f>IF(Table5[[#This Row],[Query Date]]&lt;&gt;"", TEXT(Table5[[#This Row],[Query Date]], "mmmm"), "")</f>
        <v/>
      </c>
      <c r="G971" s="28"/>
      <c r="H971" s="28"/>
      <c r="I971" s="28"/>
      <c r="J971" s="28"/>
      <c r="K971" s="28"/>
      <c r="L971" s="25"/>
      <c r="M971" s="25"/>
      <c r="N971" s="25"/>
      <c r="O971" s="130"/>
      <c r="P971" s="47"/>
      <c r="Q971" s="77"/>
      <c r="R971" s="77" t="str">
        <f>IF(Table5[[#This Row],[Tour Starting Date]]&lt;&gt;"", TEXT(Table5[[#This Row],[Tour Starting Date]], "dddd"), "")</f>
        <v/>
      </c>
      <c r="S971" s="77"/>
      <c r="T971" s="25" t="str">
        <f>IF(Table5[[#This Row],[Tour Ending Date]]&lt;&gt;"", TEXT(Table5[[#This Row],[Tour Ending Date]], "dddd"), "")</f>
        <v/>
      </c>
      <c r="U97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71" s="37" t="str">
        <f>IF(Table5[[#This Row],[Tour Starting Date]]&lt;&gt;"", TEXT(Table5[[#This Row],[Tour Starting Date]], "mmmm"), "")</f>
        <v/>
      </c>
      <c r="W971" s="80" t="str" cm="1">
        <f t="array" ref="W971">IF(Q971&lt;&gt;"", INDEX(CI:CI, MATCH(1, (Q971&gt;=CG:CG)*(Q971&lt;=CH:CH), 0)), "")</f>
        <v/>
      </c>
      <c r="X971" s="39"/>
      <c r="Y971" s="74"/>
      <c r="Z971" s="74" t="str">
        <f>IF(OR(Table5[[#This Row],[Per Person Package Cost]]="", Table5[[#This Row],[No. of Pax]]=""), "", Table5[[#This Row],[Per Person Package Cost]] * Table5[[#This Row],[No. of Pax]])</f>
        <v/>
      </c>
      <c r="AA971" s="52"/>
      <c r="AB971" s="52"/>
      <c r="AC971" s="52"/>
      <c r="AD971" s="52"/>
      <c r="AE971" s="51" t="str">
        <f t="shared" si="85"/>
        <v/>
      </c>
      <c r="AF971" s="51" t="str">
        <f t="shared" si="86"/>
        <v/>
      </c>
      <c r="AG971" s="74" t="str">
        <f t="shared" si="87"/>
        <v/>
      </c>
      <c r="AH971" s="73" t="str">
        <f t="shared" si="84"/>
        <v/>
      </c>
      <c r="AI971" s="52"/>
      <c r="AJ971" s="56"/>
      <c r="AK971" s="59"/>
      <c r="AL971" s="60"/>
      <c r="AM971" s="54"/>
      <c r="AN971" s="64"/>
      <c r="AO971" s="26"/>
      <c r="AP971" s="93"/>
      <c r="AQ971" s="87"/>
      <c r="AR971" s="26"/>
      <c r="AS971" s="65"/>
      <c r="AT971" s="88"/>
      <c r="AU971" s="67"/>
      <c r="DA971" t="str" cm="1">
        <f t="array" ref="DA971">IF(U971&lt;&gt;"", TRANSPOSE(_xlfn._xlws.FILTER(CZ:CZ, CY:CY=U971, "")), "")</f>
        <v/>
      </c>
    </row>
    <row r="972" spans="2:105">
      <c r="B972" s="35">
        <v>968</v>
      </c>
      <c r="C972" s="36" t="s">
        <v>2837</v>
      </c>
      <c r="D972" s="76"/>
      <c r="E972" s="37" t="str">
        <f>IF(Table5[[#This Row],[Query Date]]&lt;&gt;"", TEXT(Table5[[#This Row],[Query Date]], "dddd"), "")</f>
        <v/>
      </c>
      <c r="F972" s="37" t="str">
        <f>IF(Table5[[#This Row],[Query Date]]&lt;&gt;"", TEXT(Table5[[#This Row],[Query Date]], "mmmm"), "")</f>
        <v/>
      </c>
      <c r="G972" s="28"/>
      <c r="H972" s="28"/>
      <c r="I972" s="28"/>
      <c r="J972" s="28"/>
      <c r="K972" s="28"/>
      <c r="L972" s="25"/>
      <c r="M972" s="25"/>
      <c r="N972" s="25"/>
      <c r="O972" s="130"/>
      <c r="P972" s="47"/>
      <c r="Q972" s="77"/>
      <c r="R972" s="77" t="str">
        <f>IF(Table5[[#This Row],[Tour Starting Date]]&lt;&gt;"", TEXT(Table5[[#This Row],[Tour Starting Date]], "dddd"), "")</f>
        <v/>
      </c>
      <c r="S972" s="77"/>
      <c r="T972" s="25" t="str">
        <f>IF(Table5[[#This Row],[Tour Ending Date]]&lt;&gt;"", TEXT(Table5[[#This Row],[Tour Ending Date]], "dddd"), "")</f>
        <v/>
      </c>
      <c r="U97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72" s="37" t="str">
        <f>IF(Table5[[#This Row],[Tour Starting Date]]&lt;&gt;"", TEXT(Table5[[#This Row],[Tour Starting Date]], "mmmm"), "")</f>
        <v/>
      </c>
      <c r="W972" s="80" t="str" cm="1">
        <f t="array" ref="W972">IF(Q972&lt;&gt;"", INDEX(CI:CI, MATCH(1, (Q972&gt;=CG:CG)*(Q972&lt;=CH:CH), 0)), "")</f>
        <v/>
      </c>
      <c r="X972" s="39"/>
      <c r="Y972" s="74"/>
      <c r="Z972" s="74" t="str">
        <f>IF(OR(Table5[[#This Row],[Per Person Package Cost]]="", Table5[[#This Row],[No. of Pax]]=""), "", Table5[[#This Row],[Per Person Package Cost]] * Table5[[#This Row],[No. of Pax]])</f>
        <v/>
      </c>
      <c r="AA972" s="52"/>
      <c r="AB972" s="52"/>
      <c r="AC972" s="52"/>
      <c r="AD972" s="52"/>
      <c r="AE972" s="51" t="str">
        <f t="shared" si="85"/>
        <v/>
      </c>
      <c r="AF972" s="51" t="str">
        <f t="shared" si="86"/>
        <v/>
      </c>
      <c r="AG972" s="74" t="str">
        <f t="shared" si="87"/>
        <v/>
      </c>
      <c r="AH972" s="73" t="str">
        <f t="shared" si="84"/>
        <v/>
      </c>
      <c r="AI972" s="52"/>
      <c r="AJ972" s="56"/>
      <c r="AK972" s="59"/>
      <c r="AL972" s="60"/>
      <c r="AM972" s="54"/>
      <c r="AN972" s="64"/>
      <c r="AO972" s="26"/>
      <c r="AP972" s="93"/>
      <c r="AQ972" s="87"/>
      <c r="AR972" s="26"/>
      <c r="AS972" s="65"/>
      <c r="AT972" s="88"/>
      <c r="AU972" s="67"/>
      <c r="DA972" t="str" cm="1">
        <f t="array" ref="DA972">IF(U972&lt;&gt;"", TRANSPOSE(_xlfn._xlws.FILTER(CZ:CZ, CY:CY=U972, "")), "")</f>
        <v/>
      </c>
    </row>
    <row r="973" spans="2:105">
      <c r="B973" s="35">
        <v>969</v>
      </c>
      <c r="C973" s="36" t="s">
        <v>2838</v>
      </c>
      <c r="D973" s="76"/>
      <c r="E973" s="37" t="str">
        <f>IF(Table5[[#This Row],[Query Date]]&lt;&gt;"", TEXT(Table5[[#This Row],[Query Date]], "dddd"), "")</f>
        <v/>
      </c>
      <c r="F973" s="37" t="str">
        <f>IF(Table5[[#This Row],[Query Date]]&lt;&gt;"", TEXT(Table5[[#This Row],[Query Date]], "mmmm"), "")</f>
        <v/>
      </c>
      <c r="G973" s="28"/>
      <c r="H973" s="28"/>
      <c r="I973" s="28"/>
      <c r="J973" s="28"/>
      <c r="K973" s="28"/>
      <c r="L973" s="25"/>
      <c r="M973" s="25"/>
      <c r="N973" s="25"/>
      <c r="O973" s="130"/>
      <c r="P973" s="47"/>
      <c r="Q973" s="77"/>
      <c r="R973" s="77" t="str">
        <f>IF(Table5[[#This Row],[Tour Starting Date]]&lt;&gt;"", TEXT(Table5[[#This Row],[Tour Starting Date]], "dddd"), "")</f>
        <v/>
      </c>
      <c r="S973" s="77"/>
      <c r="T973" s="25" t="str">
        <f>IF(Table5[[#This Row],[Tour Ending Date]]&lt;&gt;"", TEXT(Table5[[#This Row],[Tour Ending Date]], "dddd"), "")</f>
        <v/>
      </c>
      <c r="U97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73" s="37" t="str">
        <f>IF(Table5[[#This Row],[Tour Starting Date]]&lt;&gt;"", TEXT(Table5[[#This Row],[Tour Starting Date]], "mmmm"), "")</f>
        <v/>
      </c>
      <c r="W973" s="80" t="str" cm="1">
        <f t="array" ref="W973">IF(Q973&lt;&gt;"", INDEX(CI:CI, MATCH(1, (Q973&gt;=CG:CG)*(Q973&lt;=CH:CH), 0)), "")</f>
        <v/>
      </c>
      <c r="X973" s="39"/>
      <c r="Y973" s="74"/>
      <c r="Z973" s="74" t="str">
        <f>IF(OR(Table5[[#This Row],[Per Person Package Cost]]="", Table5[[#This Row],[No. of Pax]]=""), "", Table5[[#This Row],[Per Person Package Cost]] * Table5[[#This Row],[No. of Pax]])</f>
        <v/>
      </c>
      <c r="AA973" s="52"/>
      <c r="AB973" s="52"/>
      <c r="AC973" s="52"/>
      <c r="AD973" s="52"/>
      <c r="AE973" s="51" t="str">
        <f t="shared" si="85"/>
        <v/>
      </c>
      <c r="AF973" s="51" t="str">
        <f t="shared" si="86"/>
        <v/>
      </c>
      <c r="AG973" s="74" t="str">
        <f t="shared" si="87"/>
        <v/>
      </c>
      <c r="AH973" s="73" t="str">
        <f t="shared" si="84"/>
        <v/>
      </c>
      <c r="AI973" s="52"/>
      <c r="AJ973" s="56"/>
      <c r="AK973" s="59"/>
      <c r="AL973" s="60"/>
      <c r="AM973" s="54"/>
      <c r="AN973" s="64"/>
      <c r="AO973" s="26"/>
      <c r="AP973" s="93"/>
      <c r="AQ973" s="87"/>
      <c r="AR973" s="26"/>
      <c r="AS973" s="65"/>
      <c r="AT973" s="88"/>
      <c r="AU973" s="67"/>
      <c r="DA973" t="str" cm="1">
        <f t="array" ref="DA973">IF(U973&lt;&gt;"", TRANSPOSE(_xlfn._xlws.FILTER(CZ:CZ, CY:CY=U973, "")), "")</f>
        <v/>
      </c>
    </row>
    <row r="974" spans="2:105">
      <c r="B974" s="35">
        <v>970</v>
      </c>
      <c r="C974" s="36" t="s">
        <v>2839</v>
      </c>
      <c r="D974" s="76"/>
      <c r="E974" s="37" t="str">
        <f>IF(Table5[[#This Row],[Query Date]]&lt;&gt;"", TEXT(Table5[[#This Row],[Query Date]], "dddd"), "")</f>
        <v/>
      </c>
      <c r="F974" s="37" t="str">
        <f>IF(Table5[[#This Row],[Query Date]]&lt;&gt;"", TEXT(Table5[[#This Row],[Query Date]], "mmmm"), "")</f>
        <v/>
      </c>
      <c r="G974" s="28"/>
      <c r="H974" s="28"/>
      <c r="I974" s="28"/>
      <c r="J974" s="28"/>
      <c r="K974" s="28"/>
      <c r="L974" s="25"/>
      <c r="M974" s="25"/>
      <c r="N974" s="25"/>
      <c r="O974" s="130"/>
      <c r="P974" s="47"/>
      <c r="Q974" s="77"/>
      <c r="R974" s="77" t="str">
        <f>IF(Table5[[#This Row],[Tour Starting Date]]&lt;&gt;"", TEXT(Table5[[#This Row],[Tour Starting Date]], "dddd"), "")</f>
        <v/>
      </c>
      <c r="S974" s="77"/>
      <c r="T974" s="25" t="str">
        <f>IF(Table5[[#This Row],[Tour Ending Date]]&lt;&gt;"", TEXT(Table5[[#This Row],[Tour Ending Date]], "dddd"), "")</f>
        <v/>
      </c>
      <c r="U97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74" s="37" t="str">
        <f>IF(Table5[[#This Row],[Tour Starting Date]]&lt;&gt;"", TEXT(Table5[[#This Row],[Tour Starting Date]], "mmmm"), "")</f>
        <v/>
      </c>
      <c r="W974" s="80" t="str" cm="1">
        <f t="array" ref="W974">IF(Q974&lt;&gt;"", INDEX(CI:CI, MATCH(1, (Q974&gt;=CG:CG)*(Q974&lt;=CH:CH), 0)), "")</f>
        <v/>
      </c>
      <c r="X974" s="39"/>
      <c r="Y974" s="74"/>
      <c r="Z974" s="74" t="str">
        <f>IF(OR(Table5[[#This Row],[Per Person Package Cost]]="", Table5[[#This Row],[No. of Pax]]=""), "", Table5[[#This Row],[Per Person Package Cost]] * Table5[[#This Row],[No. of Pax]])</f>
        <v/>
      </c>
      <c r="AA974" s="52"/>
      <c r="AB974" s="52"/>
      <c r="AC974" s="52"/>
      <c r="AD974" s="52"/>
      <c r="AE974" s="51" t="str">
        <f t="shared" si="85"/>
        <v/>
      </c>
      <c r="AF974" s="51" t="str">
        <f t="shared" si="86"/>
        <v/>
      </c>
      <c r="AG974" s="74" t="str">
        <f t="shared" si="87"/>
        <v/>
      </c>
      <c r="AH974" s="73" t="str">
        <f t="shared" si="84"/>
        <v/>
      </c>
      <c r="AI974" s="52"/>
      <c r="AJ974" s="56"/>
      <c r="AK974" s="59"/>
      <c r="AL974" s="60"/>
      <c r="AM974" s="54"/>
      <c r="AN974" s="64"/>
      <c r="AO974" s="26"/>
      <c r="AP974" s="93"/>
      <c r="AQ974" s="87"/>
      <c r="AR974" s="26"/>
      <c r="AS974" s="65"/>
      <c r="AT974" s="88"/>
      <c r="AU974" s="67"/>
      <c r="DA974" t="str" cm="1">
        <f t="array" ref="DA974">IF(U974&lt;&gt;"", TRANSPOSE(_xlfn._xlws.FILTER(CZ:CZ, CY:CY=U974, "")), "")</f>
        <v/>
      </c>
    </row>
    <row r="975" spans="2:105">
      <c r="B975" s="35">
        <v>971</v>
      </c>
      <c r="C975" s="36" t="s">
        <v>2840</v>
      </c>
      <c r="D975" s="76"/>
      <c r="E975" s="37" t="str">
        <f>IF(Table5[[#This Row],[Query Date]]&lt;&gt;"", TEXT(Table5[[#This Row],[Query Date]], "dddd"), "")</f>
        <v/>
      </c>
      <c r="F975" s="37" t="str">
        <f>IF(Table5[[#This Row],[Query Date]]&lt;&gt;"", TEXT(Table5[[#This Row],[Query Date]], "mmmm"), "")</f>
        <v/>
      </c>
      <c r="G975" s="28"/>
      <c r="H975" s="28"/>
      <c r="I975" s="28"/>
      <c r="J975" s="28"/>
      <c r="K975" s="28"/>
      <c r="L975" s="25"/>
      <c r="M975" s="25"/>
      <c r="N975" s="25"/>
      <c r="O975" s="130"/>
      <c r="P975" s="47"/>
      <c r="Q975" s="77"/>
      <c r="R975" s="77" t="str">
        <f>IF(Table5[[#This Row],[Tour Starting Date]]&lt;&gt;"", TEXT(Table5[[#This Row],[Tour Starting Date]], "dddd"), "")</f>
        <v/>
      </c>
      <c r="S975" s="77"/>
      <c r="T975" s="25" t="str">
        <f>IF(Table5[[#This Row],[Tour Ending Date]]&lt;&gt;"", TEXT(Table5[[#This Row],[Tour Ending Date]], "dddd"), "")</f>
        <v/>
      </c>
      <c r="U97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75" s="37" t="str">
        <f>IF(Table5[[#This Row],[Tour Starting Date]]&lt;&gt;"", TEXT(Table5[[#This Row],[Tour Starting Date]], "mmmm"), "")</f>
        <v/>
      </c>
      <c r="W975" s="80" t="str" cm="1">
        <f t="array" ref="W975">IF(Q975&lt;&gt;"", INDEX(CI:CI, MATCH(1, (Q975&gt;=CG:CG)*(Q975&lt;=CH:CH), 0)), "")</f>
        <v/>
      </c>
      <c r="X975" s="39"/>
      <c r="Y975" s="74"/>
      <c r="Z975" s="74" t="str">
        <f>IF(OR(Table5[[#This Row],[Per Person Package Cost]]="", Table5[[#This Row],[No. of Pax]]=""), "", Table5[[#This Row],[Per Person Package Cost]] * Table5[[#This Row],[No. of Pax]])</f>
        <v/>
      </c>
      <c r="AA975" s="52"/>
      <c r="AB975" s="52"/>
      <c r="AC975" s="52"/>
      <c r="AD975" s="52"/>
      <c r="AE975" s="51" t="str">
        <f t="shared" si="85"/>
        <v/>
      </c>
      <c r="AF975" s="51" t="str">
        <f t="shared" si="86"/>
        <v/>
      </c>
      <c r="AG975" s="74" t="str">
        <f t="shared" si="87"/>
        <v/>
      </c>
      <c r="AH975" s="73" t="str">
        <f t="shared" si="84"/>
        <v/>
      </c>
      <c r="AI975" s="52"/>
      <c r="AJ975" s="56"/>
      <c r="AK975" s="59"/>
      <c r="AL975" s="60"/>
      <c r="AM975" s="54"/>
      <c r="AN975" s="64"/>
      <c r="AO975" s="26"/>
      <c r="AP975" s="93"/>
      <c r="AQ975" s="87"/>
      <c r="AR975" s="26"/>
      <c r="AS975" s="65"/>
      <c r="AT975" s="88"/>
      <c r="AU975" s="67"/>
      <c r="DA975" t="str" cm="1">
        <f t="array" ref="DA975">IF(U975&lt;&gt;"", TRANSPOSE(_xlfn._xlws.FILTER(CZ:CZ, CY:CY=U975, "")), "")</f>
        <v/>
      </c>
    </row>
    <row r="976" spans="2:105">
      <c r="B976" s="35">
        <v>972</v>
      </c>
      <c r="C976" s="36" t="s">
        <v>2841</v>
      </c>
      <c r="D976" s="76"/>
      <c r="E976" s="37" t="str">
        <f>IF(Table5[[#This Row],[Query Date]]&lt;&gt;"", TEXT(Table5[[#This Row],[Query Date]], "dddd"), "")</f>
        <v/>
      </c>
      <c r="F976" s="37" t="str">
        <f>IF(Table5[[#This Row],[Query Date]]&lt;&gt;"", TEXT(Table5[[#This Row],[Query Date]], "mmmm"), "")</f>
        <v/>
      </c>
      <c r="G976" s="28"/>
      <c r="H976" s="28"/>
      <c r="I976" s="28"/>
      <c r="J976" s="28"/>
      <c r="K976" s="28"/>
      <c r="L976" s="25"/>
      <c r="M976" s="25"/>
      <c r="N976" s="25"/>
      <c r="O976" s="130"/>
      <c r="P976" s="47"/>
      <c r="Q976" s="77"/>
      <c r="R976" s="77" t="str">
        <f>IF(Table5[[#This Row],[Tour Starting Date]]&lt;&gt;"", TEXT(Table5[[#This Row],[Tour Starting Date]], "dddd"), "")</f>
        <v/>
      </c>
      <c r="S976" s="77"/>
      <c r="T976" s="25" t="str">
        <f>IF(Table5[[#This Row],[Tour Ending Date]]&lt;&gt;"", TEXT(Table5[[#This Row],[Tour Ending Date]], "dddd"), "")</f>
        <v/>
      </c>
      <c r="U97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76" s="37" t="str">
        <f>IF(Table5[[#This Row],[Tour Starting Date]]&lt;&gt;"", TEXT(Table5[[#This Row],[Tour Starting Date]], "mmmm"), "")</f>
        <v/>
      </c>
      <c r="W976" s="80" t="str" cm="1">
        <f t="array" ref="W976">IF(Q976&lt;&gt;"", INDEX(CI:CI, MATCH(1, (Q976&gt;=CG:CG)*(Q976&lt;=CH:CH), 0)), "")</f>
        <v/>
      </c>
      <c r="X976" s="39"/>
      <c r="Y976" s="74"/>
      <c r="Z976" s="74" t="str">
        <f>IF(OR(Table5[[#This Row],[Per Person Package Cost]]="", Table5[[#This Row],[No. of Pax]]=""), "", Table5[[#This Row],[Per Person Package Cost]] * Table5[[#This Row],[No. of Pax]])</f>
        <v/>
      </c>
      <c r="AA976" s="52"/>
      <c r="AB976" s="52"/>
      <c r="AC976" s="52"/>
      <c r="AD976" s="52"/>
      <c r="AE976" s="51" t="str">
        <f t="shared" si="85"/>
        <v/>
      </c>
      <c r="AF976" s="51" t="str">
        <f t="shared" si="86"/>
        <v/>
      </c>
      <c r="AG976" s="74" t="str">
        <f t="shared" si="87"/>
        <v/>
      </c>
      <c r="AH976" s="73" t="str">
        <f t="shared" si="84"/>
        <v/>
      </c>
      <c r="AI976" s="52"/>
      <c r="AJ976" s="56"/>
      <c r="AK976" s="59"/>
      <c r="AL976" s="60"/>
      <c r="AM976" s="54"/>
      <c r="AN976" s="64"/>
      <c r="AO976" s="26"/>
      <c r="AP976" s="93"/>
      <c r="AQ976" s="87"/>
      <c r="AR976" s="26"/>
      <c r="AS976" s="65"/>
      <c r="AT976" s="88"/>
      <c r="AU976" s="67"/>
      <c r="DA976" t="str" cm="1">
        <f t="array" ref="DA976">IF(U976&lt;&gt;"", TRANSPOSE(_xlfn._xlws.FILTER(CZ:CZ, CY:CY=U976, "")), "")</f>
        <v/>
      </c>
    </row>
    <row r="977" spans="2:105">
      <c r="B977" s="35">
        <v>973</v>
      </c>
      <c r="C977" s="36" t="s">
        <v>2842</v>
      </c>
      <c r="D977" s="76"/>
      <c r="E977" s="37" t="str">
        <f>IF(Table5[[#This Row],[Query Date]]&lt;&gt;"", TEXT(Table5[[#This Row],[Query Date]], "dddd"), "")</f>
        <v/>
      </c>
      <c r="F977" s="37" t="str">
        <f>IF(Table5[[#This Row],[Query Date]]&lt;&gt;"", TEXT(Table5[[#This Row],[Query Date]], "mmmm"), "")</f>
        <v/>
      </c>
      <c r="G977" s="28"/>
      <c r="H977" s="28"/>
      <c r="I977" s="28"/>
      <c r="J977" s="28"/>
      <c r="K977" s="28"/>
      <c r="L977" s="25"/>
      <c r="M977" s="25"/>
      <c r="N977" s="25"/>
      <c r="O977" s="130"/>
      <c r="P977" s="47"/>
      <c r="Q977" s="77"/>
      <c r="R977" s="77" t="str">
        <f>IF(Table5[[#This Row],[Tour Starting Date]]&lt;&gt;"", TEXT(Table5[[#This Row],[Tour Starting Date]], "dddd"), "")</f>
        <v/>
      </c>
      <c r="S977" s="77"/>
      <c r="T977" s="25" t="str">
        <f>IF(Table5[[#This Row],[Tour Ending Date]]&lt;&gt;"", TEXT(Table5[[#This Row],[Tour Ending Date]], "dddd"), "")</f>
        <v/>
      </c>
      <c r="U97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77" s="37" t="str">
        <f>IF(Table5[[#This Row],[Tour Starting Date]]&lt;&gt;"", TEXT(Table5[[#This Row],[Tour Starting Date]], "mmmm"), "")</f>
        <v/>
      </c>
      <c r="W977" s="80" t="str" cm="1">
        <f t="array" ref="W977">IF(Q977&lt;&gt;"", INDEX(CI:CI, MATCH(1, (Q977&gt;=CG:CG)*(Q977&lt;=CH:CH), 0)), "")</f>
        <v/>
      </c>
      <c r="X977" s="39"/>
      <c r="Y977" s="74"/>
      <c r="Z977" s="74" t="str">
        <f>IF(OR(Table5[[#This Row],[Per Person Package Cost]]="", Table5[[#This Row],[No. of Pax]]=""), "", Table5[[#This Row],[Per Person Package Cost]] * Table5[[#This Row],[No. of Pax]])</f>
        <v/>
      </c>
      <c r="AA977" s="52"/>
      <c r="AB977" s="52"/>
      <c r="AC977" s="52"/>
      <c r="AD977" s="52"/>
      <c r="AE977" s="51" t="str">
        <f t="shared" si="85"/>
        <v/>
      </c>
      <c r="AF977" s="51" t="str">
        <f t="shared" si="86"/>
        <v/>
      </c>
      <c r="AG977" s="74" t="str">
        <f t="shared" si="87"/>
        <v/>
      </c>
      <c r="AH977" s="73" t="str">
        <f t="shared" si="84"/>
        <v/>
      </c>
      <c r="AI977" s="52"/>
      <c r="AJ977" s="56"/>
      <c r="AK977" s="59"/>
      <c r="AL977" s="60"/>
      <c r="AM977" s="54"/>
      <c r="AN977" s="64"/>
      <c r="AO977" s="26"/>
      <c r="AP977" s="93"/>
      <c r="AQ977" s="87"/>
      <c r="AR977" s="26"/>
      <c r="AS977" s="65"/>
      <c r="AT977" s="88"/>
      <c r="AU977" s="67"/>
      <c r="DA977" t="str" cm="1">
        <f t="array" ref="DA977">IF(U977&lt;&gt;"", TRANSPOSE(_xlfn._xlws.FILTER(CZ:CZ, CY:CY=U977, "")), "")</f>
        <v/>
      </c>
    </row>
    <row r="978" spans="2:105">
      <c r="B978" s="35">
        <v>974</v>
      </c>
      <c r="C978" s="36" t="s">
        <v>2843</v>
      </c>
      <c r="D978" s="76"/>
      <c r="E978" s="37" t="str">
        <f>IF(Table5[[#This Row],[Query Date]]&lt;&gt;"", TEXT(Table5[[#This Row],[Query Date]], "dddd"), "")</f>
        <v/>
      </c>
      <c r="F978" s="37" t="str">
        <f>IF(Table5[[#This Row],[Query Date]]&lt;&gt;"", TEXT(Table5[[#This Row],[Query Date]], "mmmm"), "")</f>
        <v/>
      </c>
      <c r="G978" s="28"/>
      <c r="H978" s="28"/>
      <c r="I978" s="28"/>
      <c r="J978" s="28"/>
      <c r="K978" s="28"/>
      <c r="L978" s="25"/>
      <c r="M978" s="25"/>
      <c r="N978" s="25"/>
      <c r="O978" s="130"/>
      <c r="P978" s="47"/>
      <c r="Q978" s="77"/>
      <c r="R978" s="77" t="str">
        <f>IF(Table5[[#This Row],[Tour Starting Date]]&lt;&gt;"", TEXT(Table5[[#This Row],[Tour Starting Date]], "dddd"), "")</f>
        <v/>
      </c>
      <c r="S978" s="77"/>
      <c r="T978" s="25" t="str">
        <f>IF(Table5[[#This Row],[Tour Ending Date]]&lt;&gt;"", TEXT(Table5[[#This Row],[Tour Ending Date]], "dddd"), "")</f>
        <v/>
      </c>
      <c r="U97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78" s="37" t="str">
        <f>IF(Table5[[#This Row],[Tour Starting Date]]&lt;&gt;"", TEXT(Table5[[#This Row],[Tour Starting Date]], "mmmm"), "")</f>
        <v/>
      </c>
      <c r="W978" s="80" t="str" cm="1">
        <f t="array" ref="W978">IF(Q978&lt;&gt;"", INDEX(CI:CI, MATCH(1, (Q978&gt;=CG:CG)*(Q978&lt;=CH:CH), 0)), "")</f>
        <v/>
      </c>
      <c r="X978" s="39"/>
      <c r="Y978" s="74"/>
      <c r="Z978" s="74" t="str">
        <f>IF(OR(Table5[[#This Row],[Per Person Package Cost]]="", Table5[[#This Row],[No. of Pax]]=""), "", Table5[[#This Row],[Per Person Package Cost]] * Table5[[#This Row],[No. of Pax]])</f>
        <v/>
      </c>
      <c r="AA978" s="52"/>
      <c r="AB978" s="52"/>
      <c r="AC978" s="52"/>
      <c r="AD978" s="52"/>
      <c r="AE978" s="51" t="str">
        <f t="shared" si="85"/>
        <v/>
      </c>
      <c r="AF978" s="51" t="str">
        <f t="shared" si="86"/>
        <v/>
      </c>
      <c r="AG978" s="74" t="str">
        <f t="shared" si="87"/>
        <v/>
      </c>
      <c r="AH978" s="73" t="str">
        <f t="shared" si="84"/>
        <v/>
      </c>
      <c r="AI978" s="52"/>
      <c r="AJ978" s="56"/>
      <c r="AK978" s="59"/>
      <c r="AL978" s="60"/>
      <c r="AM978" s="54"/>
      <c r="AN978" s="64"/>
      <c r="AO978" s="26"/>
      <c r="AP978" s="93"/>
      <c r="AQ978" s="87"/>
      <c r="AR978" s="26"/>
      <c r="AS978" s="65"/>
      <c r="AT978" s="88"/>
      <c r="AU978" s="67"/>
      <c r="DA978" t="str" cm="1">
        <f t="array" ref="DA978">IF(U978&lt;&gt;"", TRANSPOSE(_xlfn._xlws.FILTER(CZ:CZ, CY:CY=U978, "")), "")</f>
        <v/>
      </c>
    </row>
    <row r="979" spans="2:105">
      <c r="B979" s="35">
        <v>975</v>
      </c>
      <c r="C979" s="36" t="s">
        <v>2844</v>
      </c>
      <c r="D979" s="76"/>
      <c r="E979" s="37" t="str">
        <f>IF(Table5[[#This Row],[Query Date]]&lt;&gt;"", TEXT(Table5[[#This Row],[Query Date]], "dddd"), "")</f>
        <v/>
      </c>
      <c r="F979" s="37" t="str">
        <f>IF(Table5[[#This Row],[Query Date]]&lt;&gt;"", TEXT(Table5[[#This Row],[Query Date]], "mmmm"), "")</f>
        <v/>
      </c>
      <c r="G979" s="28"/>
      <c r="H979" s="28"/>
      <c r="I979" s="28"/>
      <c r="J979" s="28"/>
      <c r="K979" s="28"/>
      <c r="L979" s="25"/>
      <c r="M979" s="25"/>
      <c r="N979" s="25"/>
      <c r="O979" s="130"/>
      <c r="P979" s="47"/>
      <c r="Q979" s="77"/>
      <c r="R979" s="77" t="str">
        <f>IF(Table5[[#This Row],[Tour Starting Date]]&lt;&gt;"", TEXT(Table5[[#This Row],[Tour Starting Date]], "dddd"), "")</f>
        <v/>
      </c>
      <c r="S979" s="77"/>
      <c r="T979" s="25" t="str">
        <f>IF(Table5[[#This Row],[Tour Ending Date]]&lt;&gt;"", TEXT(Table5[[#This Row],[Tour Ending Date]], "dddd"), "")</f>
        <v/>
      </c>
      <c r="U97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79" s="37" t="str">
        <f>IF(Table5[[#This Row],[Tour Starting Date]]&lt;&gt;"", TEXT(Table5[[#This Row],[Tour Starting Date]], "mmmm"), "")</f>
        <v/>
      </c>
      <c r="W979" s="80" t="str" cm="1">
        <f t="array" ref="W979">IF(Q979&lt;&gt;"", INDEX(CI:CI, MATCH(1, (Q979&gt;=CG:CG)*(Q979&lt;=CH:CH), 0)), "")</f>
        <v/>
      </c>
      <c r="X979" s="39"/>
      <c r="Y979" s="74"/>
      <c r="Z979" s="74" t="str">
        <f>IF(OR(Table5[[#This Row],[Per Person Package Cost]]="", Table5[[#This Row],[No. of Pax]]=""), "", Table5[[#This Row],[Per Person Package Cost]] * Table5[[#This Row],[No. of Pax]])</f>
        <v/>
      </c>
      <c r="AA979" s="52"/>
      <c r="AB979" s="52"/>
      <c r="AC979" s="52"/>
      <c r="AD979" s="52"/>
      <c r="AE979" s="51" t="str">
        <f t="shared" si="85"/>
        <v/>
      </c>
      <c r="AF979" s="51" t="str">
        <f t="shared" si="86"/>
        <v/>
      </c>
      <c r="AG979" s="74" t="str">
        <f t="shared" si="87"/>
        <v/>
      </c>
      <c r="AH979" s="73" t="str">
        <f t="shared" si="84"/>
        <v/>
      </c>
      <c r="AI979" s="52"/>
      <c r="AJ979" s="56"/>
      <c r="AK979" s="59"/>
      <c r="AL979" s="60"/>
      <c r="AM979" s="54"/>
      <c r="AN979" s="64"/>
      <c r="AO979" s="26"/>
      <c r="AP979" s="93"/>
      <c r="AQ979" s="87"/>
      <c r="AR979" s="26"/>
      <c r="AS979" s="65"/>
      <c r="AT979" s="88"/>
      <c r="AU979" s="67"/>
      <c r="DA979" t="str" cm="1">
        <f t="array" ref="DA979">IF(U979&lt;&gt;"", TRANSPOSE(_xlfn._xlws.FILTER(CZ:CZ, CY:CY=U979, "")), "")</f>
        <v/>
      </c>
    </row>
    <row r="980" spans="2:105">
      <c r="B980" s="35">
        <v>976</v>
      </c>
      <c r="C980" s="36" t="s">
        <v>2845</v>
      </c>
      <c r="D980" s="76"/>
      <c r="E980" s="37" t="str">
        <f>IF(Table5[[#This Row],[Query Date]]&lt;&gt;"", TEXT(Table5[[#This Row],[Query Date]], "dddd"), "")</f>
        <v/>
      </c>
      <c r="F980" s="37" t="str">
        <f>IF(Table5[[#This Row],[Query Date]]&lt;&gt;"", TEXT(Table5[[#This Row],[Query Date]], "mmmm"), "")</f>
        <v/>
      </c>
      <c r="G980" s="28"/>
      <c r="H980" s="28"/>
      <c r="I980" s="28"/>
      <c r="J980" s="28"/>
      <c r="K980" s="28"/>
      <c r="L980" s="25"/>
      <c r="M980" s="25"/>
      <c r="N980" s="25"/>
      <c r="O980" s="130"/>
      <c r="P980" s="47"/>
      <c r="Q980" s="77"/>
      <c r="R980" s="77" t="str">
        <f>IF(Table5[[#This Row],[Tour Starting Date]]&lt;&gt;"", TEXT(Table5[[#This Row],[Tour Starting Date]], "dddd"), "")</f>
        <v/>
      </c>
      <c r="S980" s="77"/>
      <c r="T980" s="25" t="str">
        <f>IF(Table5[[#This Row],[Tour Ending Date]]&lt;&gt;"", TEXT(Table5[[#This Row],[Tour Ending Date]], "dddd"), "")</f>
        <v/>
      </c>
      <c r="U98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80" s="37" t="str">
        <f>IF(Table5[[#This Row],[Tour Starting Date]]&lt;&gt;"", TEXT(Table5[[#This Row],[Tour Starting Date]], "mmmm"), "")</f>
        <v/>
      </c>
      <c r="W980" s="80" t="str" cm="1">
        <f t="array" ref="W980">IF(Q980&lt;&gt;"", INDEX(CI:CI, MATCH(1, (Q980&gt;=CG:CG)*(Q980&lt;=CH:CH), 0)), "")</f>
        <v/>
      </c>
      <c r="X980" s="39"/>
      <c r="Y980" s="74"/>
      <c r="Z980" s="74" t="str">
        <f>IF(OR(Table5[[#This Row],[Per Person Package Cost]]="", Table5[[#This Row],[No. of Pax]]=""), "", Table5[[#This Row],[Per Person Package Cost]] * Table5[[#This Row],[No. of Pax]])</f>
        <v/>
      </c>
      <c r="AA980" s="52"/>
      <c r="AB980" s="52"/>
      <c r="AC980" s="52"/>
      <c r="AD980" s="52"/>
      <c r="AE980" s="51" t="str">
        <f t="shared" si="85"/>
        <v/>
      </c>
      <c r="AF980" s="51" t="str">
        <f t="shared" si="86"/>
        <v/>
      </c>
      <c r="AG980" s="74" t="str">
        <f t="shared" si="87"/>
        <v/>
      </c>
      <c r="AH980" s="73" t="str">
        <f t="shared" ref="AH980:AH1004" si="88">IF(AD980&lt;&gt;"", INDEX(CV:CV, MATCH(AD980, CZ:CZ, 0)), "")</f>
        <v/>
      </c>
      <c r="AI980" s="52"/>
      <c r="AJ980" s="56"/>
      <c r="AK980" s="59"/>
      <c r="AL980" s="60"/>
      <c r="AM980" s="54"/>
      <c r="AN980" s="64"/>
      <c r="AO980" s="26"/>
      <c r="AP980" s="93"/>
      <c r="AQ980" s="87"/>
      <c r="AR980" s="26"/>
      <c r="AS980" s="65"/>
      <c r="AT980" s="88"/>
      <c r="AU980" s="67"/>
      <c r="DA980" t="str" cm="1">
        <f t="array" ref="DA980">IF(U980&lt;&gt;"", TRANSPOSE(_xlfn._xlws.FILTER(CZ:CZ, CY:CY=U980, "")), "")</f>
        <v/>
      </c>
    </row>
    <row r="981" spans="2:105">
      <c r="B981" s="35">
        <v>977</v>
      </c>
      <c r="C981" s="36" t="s">
        <v>2846</v>
      </c>
      <c r="D981" s="76"/>
      <c r="E981" s="37" t="str">
        <f>IF(Table5[[#This Row],[Query Date]]&lt;&gt;"", TEXT(Table5[[#This Row],[Query Date]], "dddd"), "")</f>
        <v/>
      </c>
      <c r="F981" s="37" t="str">
        <f>IF(Table5[[#This Row],[Query Date]]&lt;&gt;"", TEXT(Table5[[#This Row],[Query Date]], "mmmm"), "")</f>
        <v/>
      </c>
      <c r="G981" s="28"/>
      <c r="H981" s="28"/>
      <c r="I981" s="28"/>
      <c r="J981" s="28"/>
      <c r="K981" s="28"/>
      <c r="L981" s="25"/>
      <c r="M981" s="25"/>
      <c r="N981" s="25"/>
      <c r="O981" s="130"/>
      <c r="P981" s="47"/>
      <c r="Q981" s="77"/>
      <c r="R981" s="77" t="str">
        <f>IF(Table5[[#This Row],[Tour Starting Date]]&lt;&gt;"", TEXT(Table5[[#This Row],[Tour Starting Date]], "dddd"), "")</f>
        <v/>
      </c>
      <c r="S981" s="77"/>
      <c r="T981" s="25" t="str">
        <f>IF(Table5[[#This Row],[Tour Ending Date]]&lt;&gt;"", TEXT(Table5[[#This Row],[Tour Ending Date]], "dddd"), "")</f>
        <v/>
      </c>
      <c r="U98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81" s="37" t="str">
        <f>IF(Table5[[#This Row],[Tour Starting Date]]&lt;&gt;"", TEXT(Table5[[#This Row],[Tour Starting Date]], "mmmm"), "")</f>
        <v/>
      </c>
      <c r="W981" s="80" t="str" cm="1">
        <f t="array" ref="W981">IF(Q981&lt;&gt;"", INDEX(CI:CI, MATCH(1, (Q981&gt;=CG:CG)*(Q981&lt;=CH:CH), 0)), "")</f>
        <v/>
      </c>
      <c r="X981" s="39"/>
      <c r="Y981" s="74"/>
      <c r="Z981" s="74" t="str">
        <f>IF(OR(Table5[[#This Row],[Per Person Package Cost]]="", Table5[[#This Row],[No. of Pax]]=""), "", Table5[[#This Row],[Per Person Package Cost]] * Table5[[#This Row],[No. of Pax]])</f>
        <v/>
      </c>
      <c r="AA981" s="52"/>
      <c r="AB981" s="52"/>
      <c r="AC981" s="52"/>
      <c r="AD981" s="52"/>
      <c r="AE981" s="51" t="str">
        <f t="shared" si="85"/>
        <v/>
      </c>
      <c r="AF981" s="51" t="str">
        <f t="shared" si="86"/>
        <v/>
      </c>
      <c r="AG981" s="74" t="str">
        <f t="shared" si="87"/>
        <v/>
      </c>
      <c r="AH981" s="73" t="str">
        <f t="shared" si="88"/>
        <v/>
      </c>
      <c r="AI981" s="52"/>
      <c r="AJ981" s="56"/>
      <c r="AK981" s="59"/>
      <c r="AL981" s="60"/>
      <c r="AM981" s="54"/>
      <c r="AN981" s="64"/>
      <c r="AO981" s="26"/>
      <c r="AP981" s="93"/>
      <c r="AQ981" s="87"/>
      <c r="AR981" s="26"/>
      <c r="AS981" s="65"/>
      <c r="AT981" s="88"/>
      <c r="AU981" s="67"/>
      <c r="DA981" t="str" cm="1">
        <f t="array" ref="DA981">IF(U981&lt;&gt;"", TRANSPOSE(_xlfn._xlws.FILTER(CZ:CZ, CY:CY=U981, "")), "")</f>
        <v/>
      </c>
    </row>
    <row r="982" spans="2:105">
      <c r="B982" s="35">
        <v>978</v>
      </c>
      <c r="C982" s="36" t="s">
        <v>2847</v>
      </c>
      <c r="D982" s="76"/>
      <c r="E982" s="37" t="str">
        <f>IF(Table5[[#This Row],[Query Date]]&lt;&gt;"", TEXT(Table5[[#This Row],[Query Date]], "dddd"), "")</f>
        <v/>
      </c>
      <c r="F982" s="37" t="str">
        <f>IF(Table5[[#This Row],[Query Date]]&lt;&gt;"", TEXT(Table5[[#This Row],[Query Date]], "mmmm"), "")</f>
        <v/>
      </c>
      <c r="G982" s="28"/>
      <c r="H982" s="28"/>
      <c r="I982" s="28"/>
      <c r="J982" s="28"/>
      <c r="K982" s="28"/>
      <c r="L982" s="25"/>
      <c r="M982" s="25"/>
      <c r="N982" s="25"/>
      <c r="O982" s="130"/>
      <c r="P982" s="47"/>
      <c r="Q982" s="77"/>
      <c r="R982" s="77" t="str">
        <f>IF(Table5[[#This Row],[Tour Starting Date]]&lt;&gt;"", TEXT(Table5[[#This Row],[Tour Starting Date]], "dddd"), "")</f>
        <v/>
      </c>
      <c r="S982" s="77"/>
      <c r="T982" s="25" t="str">
        <f>IF(Table5[[#This Row],[Tour Ending Date]]&lt;&gt;"", TEXT(Table5[[#This Row],[Tour Ending Date]], "dddd"), "")</f>
        <v/>
      </c>
      <c r="U98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82" s="37" t="str">
        <f>IF(Table5[[#This Row],[Tour Starting Date]]&lt;&gt;"", TEXT(Table5[[#This Row],[Tour Starting Date]], "mmmm"), "")</f>
        <v/>
      </c>
      <c r="W982" s="80" t="str" cm="1">
        <f t="array" ref="W982">IF(Q982&lt;&gt;"", INDEX(CI:CI, MATCH(1, (Q982&gt;=CG:CG)*(Q982&lt;=CH:CH), 0)), "")</f>
        <v/>
      </c>
      <c r="X982" s="39"/>
      <c r="Y982" s="74"/>
      <c r="Z982" s="74" t="str">
        <f>IF(OR(Table5[[#This Row],[Per Person Package Cost]]="", Table5[[#This Row],[No. of Pax]]=""), "", Table5[[#This Row],[Per Person Package Cost]] * Table5[[#This Row],[No. of Pax]])</f>
        <v/>
      </c>
      <c r="AA982" s="52"/>
      <c r="AB982" s="52"/>
      <c r="AC982" s="52"/>
      <c r="AD982" s="52"/>
      <c r="AE982" s="51" t="str">
        <f t="shared" si="85"/>
        <v/>
      </c>
      <c r="AF982" s="51" t="str">
        <f t="shared" si="86"/>
        <v/>
      </c>
      <c r="AG982" s="74" t="str">
        <f t="shared" si="87"/>
        <v/>
      </c>
      <c r="AH982" s="73" t="str">
        <f t="shared" si="88"/>
        <v/>
      </c>
      <c r="AI982" s="52"/>
      <c r="AJ982" s="56"/>
      <c r="AK982" s="59"/>
      <c r="AL982" s="60"/>
      <c r="AM982" s="54"/>
      <c r="AN982" s="64"/>
      <c r="AO982" s="26"/>
      <c r="AP982" s="93"/>
      <c r="AQ982" s="87"/>
      <c r="AR982" s="26"/>
      <c r="AS982" s="65"/>
      <c r="AT982" s="88"/>
      <c r="AU982" s="67"/>
      <c r="DA982" t="str" cm="1">
        <f t="array" ref="DA982">IF(U982&lt;&gt;"", TRANSPOSE(_xlfn._xlws.FILTER(CZ:CZ, CY:CY=U982, "")), "")</f>
        <v/>
      </c>
    </row>
    <row r="983" spans="2:105">
      <c r="B983" s="35">
        <v>979</v>
      </c>
      <c r="C983" s="36" t="s">
        <v>2848</v>
      </c>
      <c r="D983" s="76"/>
      <c r="E983" s="37" t="str">
        <f>IF(Table5[[#This Row],[Query Date]]&lt;&gt;"", TEXT(Table5[[#This Row],[Query Date]], "dddd"), "")</f>
        <v/>
      </c>
      <c r="F983" s="37" t="str">
        <f>IF(Table5[[#This Row],[Query Date]]&lt;&gt;"", TEXT(Table5[[#This Row],[Query Date]], "mmmm"), "")</f>
        <v/>
      </c>
      <c r="G983" s="28"/>
      <c r="H983" s="28"/>
      <c r="I983" s="28"/>
      <c r="J983" s="28"/>
      <c r="K983" s="28"/>
      <c r="L983" s="25"/>
      <c r="M983" s="25"/>
      <c r="N983" s="25"/>
      <c r="O983" s="130"/>
      <c r="P983" s="47"/>
      <c r="Q983" s="77"/>
      <c r="R983" s="77" t="str">
        <f>IF(Table5[[#This Row],[Tour Starting Date]]&lt;&gt;"", TEXT(Table5[[#This Row],[Tour Starting Date]], "dddd"), "")</f>
        <v/>
      </c>
      <c r="S983" s="77"/>
      <c r="T983" s="25" t="str">
        <f>IF(Table5[[#This Row],[Tour Ending Date]]&lt;&gt;"", TEXT(Table5[[#This Row],[Tour Ending Date]], "dddd"), "")</f>
        <v/>
      </c>
      <c r="U98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83" s="37" t="str">
        <f>IF(Table5[[#This Row],[Tour Starting Date]]&lt;&gt;"", TEXT(Table5[[#This Row],[Tour Starting Date]], "mmmm"), "")</f>
        <v/>
      </c>
      <c r="W983" s="80" t="str" cm="1">
        <f t="array" ref="W983">IF(Q983&lt;&gt;"", INDEX(CI:CI, MATCH(1, (Q983&gt;=CG:CG)*(Q983&lt;=CH:CH), 0)), "")</f>
        <v/>
      </c>
      <c r="X983" s="39"/>
      <c r="Y983" s="74"/>
      <c r="Z983" s="74" t="str">
        <f>IF(OR(Table5[[#This Row],[Per Person Package Cost]]="", Table5[[#This Row],[No. of Pax]]=""), "", Table5[[#This Row],[Per Person Package Cost]] * Table5[[#This Row],[No. of Pax]])</f>
        <v/>
      </c>
      <c r="AA983" s="52"/>
      <c r="AB983" s="52"/>
      <c r="AC983" s="52"/>
      <c r="AD983" s="52"/>
      <c r="AE983" s="51" t="str">
        <f t="shared" si="85"/>
        <v/>
      </c>
      <c r="AF983" s="51" t="str">
        <f t="shared" si="86"/>
        <v/>
      </c>
      <c r="AG983" s="74" t="str">
        <f t="shared" si="87"/>
        <v/>
      </c>
      <c r="AH983" s="73" t="str">
        <f t="shared" si="88"/>
        <v/>
      </c>
      <c r="AI983" s="52"/>
      <c r="AJ983" s="56"/>
      <c r="AK983" s="59"/>
      <c r="AL983" s="60"/>
      <c r="AM983" s="54"/>
      <c r="AN983" s="64"/>
      <c r="AO983" s="26"/>
      <c r="AP983" s="93"/>
      <c r="AQ983" s="87"/>
      <c r="AR983" s="26"/>
      <c r="AS983" s="65"/>
      <c r="AT983" s="88"/>
      <c r="AU983" s="67"/>
      <c r="DA983" t="str" cm="1">
        <f t="array" ref="DA983">IF(U983&lt;&gt;"", TRANSPOSE(_xlfn._xlws.FILTER(CZ:CZ, CY:CY=U983, "")), "")</f>
        <v/>
      </c>
    </row>
    <row r="984" spans="2:105">
      <c r="B984" s="35">
        <v>980</v>
      </c>
      <c r="C984" s="36" t="s">
        <v>2849</v>
      </c>
      <c r="D984" s="76"/>
      <c r="E984" s="37" t="str">
        <f>IF(Table5[[#This Row],[Query Date]]&lt;&gt;"", TEXT(Table5[[#This Row],[Query Date]], "dddd"), "")</f>
        <v/>
      </c>
      <c r="F984" s="37" t="str">
        <f>IF(Table5[[#This Row],[Query Date]]&lt;&gt;"", TEXT(Table5[[#This Row],[Query Date]], "mmmm"), "")</f>
        <v/>
      </c>
      <c r="G984" s="28"/>
      <c r="H984" s="28"/>
      <c r="I984" s="28"/>
      <c r="J984" s="28"/>
      <c r="K984" s="28"/>
      <c r="L984" s="25"/>
      <c r="M984" s="25"/>
      <c r="N984" s="25"/>
      <c r="O984" s="130"/>
      <c r="P984" s="47"/>
      <c r="Q984" s="77"/>
      <c r="R984" s="77" t="str">
        <f>IF(Table5[[#This Row],[Tour Starting Date]]&lt;&gt;"", TEXT(Table5[[#This Row],[Tour Starting Date]], "dddd"), "")</f>
        <v/>
      </c>
      <c r="S984" s="77"/>
      <c r="T984" s="25" t="str">
        <f>IF(Table5[[#This Row],[Tour Ending Date]]&lt;&gt;"", TEXT(Table5[[#This Row],[Tour Ending Date]], "dddd"), "")</f>
        <v/>
      </c>
      <c r="U98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84" s="37" t="str">
        <f>IF(Table5[[#This Row],[Tour Starting Date]]&lt;&gt;"", TEXT(Table5[[#This Row],[Tour Starting Date]], "mmmm"), "")</f>
        <v/>
      </c>
      <c r="W984" s="80" t="str" cm="1">
        <f t="array" ref="W984">IF(Q984&lt;&gt;"", INDEX(CI:CI, MATCH(1, (Q984&gt;=CG:CG)*(Q984&lt;=CH:CH), 0)), "")</f>
        <v/>
      </c>
      <c r="X984" s="39"/>
      <c r="Y984" s="74"/>
      <c r="Z984" s="74" t="str">
        <f>IF(OR(Table5[[#This Row],[Per Person Package Cost]]="", Table5[[#This Row],[No. of Pax]]=""), "", Table5[[#This Row],[Per Person Package Cost]] * Table5[[#This Row],[No. of Pax]])</f>
        <v/>
      </c>
      <c r="AA984" s="52"/>
      <c r="AB984" s="52"/>
      <c r="AC984" s="52"/>
      <c r="AD984" s="52"/>
      <c r="AE984" s="51" t="str">
        <f t="shared" si="85"/>
        <v/>
      </c>
      <c r="AF984" s="51" t="str">
        <f t="shared" si="86"/>
        <v/>
      </c>
      <c r="AG984" s="74" t="str">
        <f t="shared" si="87"/>
        <v/>
      </c>
      <c r="AH984" s="73" t="str">
        <f t="shared" si="88"/>
        <v/>
      </c>
      <c r="AI984" s="52"/>
      <c r="AJ984" s="56"/>
      <c r="AK984" s="59"/>
      <c r="AL984" s="60"/>
      <c r="AM984" s="54"/>
      <c r="AN984" s="64"/>
      <c r="AO984" s="26"/>
      <c r="AP984" s="93"/>
      <c r="AQ984" s="87"/>
      <c r="AR984" s="26"/>
      <c r="AS984" s="65"/>
      <c r="AT984" s="88"/>
      <c r="AU984" s="67"/>
      <c r="DA984" t="str" cm="1">
        <f t="array" ref="DA984">IF(U984&lt;&gt;"", TRANSPOSE(_xlfn._xlws.FILTER(CZ:CZ, CY:CY=U984, "")), "")</f>
        <v/>
      </c>
    </row>
    <row r="985" spans="2:105">
      <c r="B985" s="35">
        <v>981</v>
      </c>
      <c r="C985" s="36" t="s">
        <v>2850</v>
      </c>
      <c r="D985" s="76"/>
      <c r="E985" s="37" t="str">
        <f>IF(Table5[[#This Row],[Query Date]]&lt;&gt;"", TEXT(Table5[[#This Row],[Query Date]], "dddd"), "")</f>
        <v/>
      </c>
      <c r="F985" s="37" t="str">
        <f>IF(Table5[[#This Row],[Query Date]]&lt;&gt;"", TEXT(Table5[[#This Row],[Query Date]], "mmmm"), "")</f>
        <v/>
      </c>
      <c r="G985" s="28"/>
      <c r="H985" s="28"/>
      <c r="I985" s="28"/>
      <c r="J985" s="28"/>
      <c r="K985" s="28"/>
      <c r="L985" s="25"/>
      <c r="M985" s="25"/>
      <c r="N985" s="25"/>
      <c r="O985" s="130"/>
      <c r="P985" s="47"/>
      <c r="Q985" s="77"/>
      <c r="R985" s="77" t="str">
        <f>IF(Table5[[#This Row],[Tour Starting Date]]&lt;&gt;"", TEXT(Table5[[#This Row],[Tour Starting Date]], "dddd"), "")</f>
        <v/>
      </c>
      <c r="S985" s="77"/>
      <c r="T985" s="25" t="str">
        <f>IF(Table5[[#This Row],[Tour Ending Date]]&lt;&gt;"", TEXT(Table5[[#This Row],[Tour Ending Date]], "dddd"), "")</f>
        <v/>
      </c>
      <c r="U98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85" s="37" t="str">
        <f>IF(Table5[[#This Row],[Tour Starting Date]]&lt;&gt;"", TEXT(Table5[[#This Row],[Tour Starting Date]], "mmmm"), "")</f>
        <v/>
      </c>
      <c r="W985" s="80" t="str" cm="1">
        <f t="array" ref="W985">IF(Q985&lt;&gt;"", INDEX(CI:CI, MATCH(1, (Q985&gt;=CG:CG)*(Q985&lt;=CH:CH), 0)), "")</f>
        <v/>
      </c>
      <c r="X985" s="39"/>
      <c r="Y985" s="74"/>
      <c r="Z985" s="74" t="str">
        <f>IF(OR(Table5[[#This Row],[Per Person Package Cost]]="", Table5[[#This Row],[No. of Pax]]=""), "", Table5[[#This Row],[Per Person Package Cost]] * Table5[[#This Row],[No. of Pax]])</f>
        <v/>
      </c>
      <c r="AA985" s="52"/>
      <c r="AB985" s="52"/>
      <c r="AC985" s="52"/>
      <c r="AD985" s="52"/>
      <c r="AE985" s="51" t="str">
        <f t="shared" si="85"/>
        <v/>
      </c>
      <c r="AF985" s="51" t="str">
        <f t="shared" si="86"/>
        <v/>
      </c>
      <c r="AG985" s="74" t="str">
        <f t="shared" si="87"/>
        <v/>
      </c>
      <c r="AH985" s="73" t="str">
        <f t="shared" si="88"/>
        <v/>
      </c>
      <c r="AI985" s="52"/>
      <c r="AJ985" s="56"/>
      <c r="AK985" s="59"/>
      <c r="AL985" s="60"/>
      <c r="AM985" s="54"/>
      <c r="AN985" s="64"/>
      <c r="AO985" s="26"/>
      <c r="AP985" s="93"/>
      <c r="AQ985" s="87"/>
      <c r="AR985" s="26"/>
      <c r="AS985" s="65"/>
      <c r="AT985" s="88"/>
      <c r="AU985" s="67"/>
      <c r="DA985" t="str" cm="1">
        <f t="array" ref="DA985">IF(U985&lt;&gt;"", TRANSPOSE(_xlfn._xlws.FILTER(CZ:CZ, CY:CY=U985, "")), "")</f>
        <v/>
      </c>
    </row>
    <row r="986" spans="2:105">
      <c r="B986" s="35">
        <v>982</v>
      </c>
      <c r="C986" s="36" t="s">
        <v>2851</v>
      </c>
      <c r="D986" s="76"/>
      <c r="E986" s="37" t="str">
        <f>IF(Table5[[#This Row],[Query Date]]&lt;&gt;"", TEXT(Table5[[#This Row],[Query Date]], "dddd"), "")</f>
        <v/>
      </c>
      <c r="F986" s="37" t="str">
        <f>IF(Table5[[#This Row],[Query Date]]&lt;&gt;"", TEXT(Table5[[#This Row],[Query Date]], "mmmm"), "")</f>
        <v/>
      </c>
      <c r="G986" s="28"/>
      <c r="H986" s="28"/>
      <c r="I986" s="28"/>
      <c r="J986" s="28"/>
      <c r="K986" s="28"/>
      <c r="L986" s="25"/>
      <c r="M986" s="25"/>
      <c r="N986" s="25"/>
      <c r="O986" s="130"/>
      <c r="P986" s="47"/>
      <c r="Q986" s="77"/>
      <c r="R986" s="77" t="str">
        <f>IF(Table5[[#This Row],[Tour Starting Date]]&lt;&gt;"", TEXT(Table5[[#This Row],[Tour Starting Date]], "dddd"), "")</f>
        <v/>
      </c>
      <c r="S986" s="77"/>
      <c r="T986" s="25" t="str">
        <f>IF(Table5[[#This Row],[Tour Ending Date]]&lt;&gt;"", TEXT(Table5[[#This Row],[Tour Ending Date]], "dddd"), "")</f>
        <v/>
      </c>
      <c r="U98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86" s="37" t="str">
        <f>IF(Table5[[#This Row],[Tour Starting Date]]&lt;&gt;"", TEXT(Table5[[#This Row],[Tour Starting Date]], "mmmm"), "")</f>
        <v/>
      </c>
      <c r="W986" s="80" t="str" cm="1">
        <f t="array" ref="W986">IF(Q986&lt;&gt;"", INDEX(CI:CI, MATCH(1, (Q986&gt;=CG:CG)*(Q986&lt;=CH:CH), 0)), "")</f>
        <v/>
      </c>
      <c r="X986" s="39"/>
      <c r="Y986" s="74"/>
      <c r="Z986" s="74" t="str">
        <f>IF(OR(Table5[[#This Row],[Per Person Package Cost]]="", Table5[[#This Row],[No. of Pax]]=""), "", Table5[[#This Row],[Per Person Package Cost]] * Table5[[#This Row],[No. of Pax]])</f>
        <v/>
      </c>
      <c r="AA986" s="52"/>
      <c r="AB986" s="52"/>
      <c r="AC986" s="52"/>
      <c r="AD986" s="52"/>
      <c r="AE986" s="51" t="str">
        <f t="shared" si="85"/>
        <v/>
      </c>
      <c r="AF986" s="51" t="str">
        <f t="shared" si="86"/>
        <v/>
      </c>
      <c r="AG986" s="74" t="str">
        <f t="shared" si="87"/>
        <v/>
      </c>
      <c r="AH986" s="73" t="str">
        <f t="shared" si="88"/>
        <v/>
      </c>
      <c r="AI986" s="52"/>
      <c r="AJ986" s="56"/>
      <c r="AK986" s="59"/>
      <c r="AL986" s="60"/>
      <c r="AM986" s="54"/>
      <c r="AN986" s="64"/>
      <c r="AO986" s="26"/>
      <c r="AP986" s="93"/>
      <c r="AQ986" s="87"/>
      <c r="AR986" s="26"/>
      <c r="AS986" s="65"/>
      <c r="AT986" s="88"/>
      <c r="AU986" s="67"/>
      <c r="DA986" t="str" cm="1">
        <f t="array" ref="DA986">IF(U986&lt;&gt;"", TRANSPOSE(_xlfn._xlws.FILTER(CZ:CZ, CY:CY=U986, "")), "")</f>
        <v/>
      </c>
    </row>
    <row r="987" spans="2:105">
      <c r="B987" s="35">
        <v>983</v>
      </c>
      <c r="C987" s="36" t="s">
        <v>2852</v>
      </c>
      <c r="D987" s="76"/>
      <c r="E987" s="37" t="str">
        <f>IF(Table5[[#This Row],[Query Date]]&lt;&gt;"", TEXT(Table5[[#This Row],[Query Date]], "dddd"), "")</f>
        <v/>
      </c>
      <c r="F987" s="37" t="str">
        <f>IF(Table5[[#This Row],[Query Date]]&lt;&gt;"", TEXT(Table5[[#This Row],[Query Date]], "mmmm"), "")</f>
        <v/>
      </c>
      <c r="G987" s="28"/>
      <c r="H987" s="28"/>
      <c r="I987" s="28"/>
      <c r="J987" s="28"/>
      <c r="K987" s="28"/>
      <c r="L987" s="25"/>
      <c r="M987" s="25"/>
      <c r="N987" s="25"/>
      <c r="O987" s="130"/>
      <c r="P987" s="47"/>
      <c r="Q987" s="77"/>
      <c r="R987" s="77" t="str">
        <f>IF(Table5[[#This Row],[Tour Starting Date]]&lt;&gt;"", TEXT(Table5[[#This Row],[Tour Starting Date]], "dddd"), "")</f>
        <v/>
      </c>
      <c r="S987" s="77"/>
      <c r="T987" s="25" t="str">
        <f>IF(Table5[[#This Row],[Tour Ending Date]]&lt;&gt;"", TEXT(Table5[[#This Row],[Tour Ending Date]], "dddd"), "")</f>
        <v/>
      </c>
      <c r="U98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87" s="37" t="str">
        <f>IF(Table5[[#This Row],[Tour Starting Date]]&lt;&gt;"", TEXT(Table5[[#This Row],[Tour Starting Date]], "mmmm"), "")</f>
        <v/>
      </c>
      <c r="W987" s="80" t="str" cm="1">
        <f t="array" ref="W987">IF(Q987&lt;&gt;"", INDEX(CI:CI, MATCH(1, (Q987&gt;=CG:CG)*(Q987&lt;=CH:CH), 0)), "")</f>
        <v/>
      </c>
      <c r="X987" s="39"/>
      <c r="Y987" s="74"/>
      <c r="Z987" s="74" t="str">
        <f>IF(OR(Table5[[#This Row],[Per Person Package Cost]]="", Table5[[#This Row],[No. of Pax]]=""), "", Table5[[#This Row],[Per Person Package Cost]] * Table5[[#This Row],[No. of Pax]])</f>
        <v/>
      </c>
      <c r="AA987" s="52"/>
      <c r="AB987" s="52"/>
      <c r="AC987" s="52"/>
      <c r="AD987" s="52"/>
      <c r="AE987" s="51" t="str">
        <f t="shared" si="85"/>
        <v/>
      </c>
      <c r="AF987" s="51" t="str">
        <f t="shared" si="86"/>
        <v/>
      </c>
      <c r="AG987" s="74" t="str">
        <f t="shared" si="87"/>
        <v/>
      </c>
      <c r="AH987" s="73" t="str">
        <f t="shared" si="88"/>
        <v/>
      </c>
      <c r="AI987" s="52"/>
      <c r="AJ987" s="56"/>
      <c r="AK987" s="59"/>
      <c r="AL987" s="60"/>
      <c r="AM987" s="54"/>
      <c r="AN987" s="64"/>
      <c r="AO987" s="26"/>
      <c r="AP987" s="93"/>
      <c r="AQ987" s="87"/>
      <c r="AR987" s="26"/>
      <c r="AS987" s="65"/>
      <c r="AT987" s="88"/>
      <c r="AU987" s="67"/>
      <c r="DA987" t="str" cm="1">
        <f t="array" ref="DA987">IF(U987&lt;&gt;"", TRANSPOSE(_xlfn._xlws.FILTER(CZ:CZ, CY:CY=U987, "")), "")</f>
        <v/>
      </c>
    </row>
    <row r="988" spans="2:105">
      <c r="B988" s="35">
        <v>984</v>
      </c>
      <c r="C988" s="36" t="s">
        <v>2853</v>
      </c>
      <c r="D988" s="76"/>
      <c r="E988" s="37" t="str">
        <f>IF(Table5[[#This Row],[Query Date]]&lt;&gt;"", TEXT(Table5[[#This Row],[Query Date]], "dddd"), "")</f>
        <v/>
      </c>
      <c r="F988" s="37" t="str">
        <f>IF(Table5[[#This Row],[Query Date]]&lt;&gt;"", TEXT(Table5[[#This Row],[Query Date]], "mmmm"), "")</f>
        <v/>
      </c>
      <c r="G988" s="28"/>
      <c r="H988" s="28"/>
      <c r="I988" s="28"/>
      <c r="J988" s="28"/>
      <c r="K988" s="28"/>
      <c r="L988" s="25"/>
      <c r="M988" s="25"/>
      <c r="N988" s="25"/>
      <c r="O988" s="130"/>
      <c r="P988" s="47"/>
      <c r="Q988" s="77"/>
      <c r="R988" s="77" t="str">
        <f>IF(Table5[[#This Row],[Tour Starting Date]]&lt;&gt;"", TEXT(Table5[[#This Row],[Tour Starting Date]], "dddd"), "")</f>
        <v/>
      </c>
      <c r="S988" s="77"/>
      <c r="T988" s="25" t="str">
        <f>IF(Table5[[#This Row],[Tour Ending Date]]&lt;&gt;"", TEXT(Table5[[#This Row],[Tour Ending Date]], "dddd"), "")</f>
        <v/>
      </c>
      <c r="U98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88" s="37" t="str">
        <f>IF(Table5[[#This Row],[Tour Starting Date]]&lt;&gt;"", TEXT(Table5[[#This Row],[Tour Starting Date]], "mmmm"), "")</f>
        <v/>
      </c>
      <c r="W988" s="80" t="str" cm="1">
        <f t="array" ref="W988">IF(Q988&lt;&gt;"", INDEX(CI:CI, MATCH(1, (Q988&gt;=CG:CG)*(Q988&lt;=CH:CH), 0)), "")</f>
        <v/>
      </c>
      <c r="X988" s="39"/>
      <c r="Y988" s="74"/>
      <c r="Z988" s="74" t="str">
        <f>IF(OR(Table5[[#This Row],[Per Person Package Cost]]="", Table5[[#This Row],[No. of Pax]]=""), "", Table5[[#This Row],[Per Person Package Cost]] * Table5[[#This Row],[No. of Pax]])</f>
        <v/>
      </c>
      <c r="AA988" s="52"/>
      <c r="AB988" s="52"/>
      <c r="AC988" s="52"/>
      <c r="AD988" s="52"/>
      <c r="AE988" s="51" t="str">
        <f t="shared" si="85"/>
        <v/>
      </c>
      <c r="AF988" s="51" t="str">
        <f t="shared" si="86"/>
        <v/>
      </c>
      <c r="AG988" s="74" t="str">
        <f t="shared" si="87"/>
        <v/>
      </c>
      <c r="AH988" s="73" t="str">
        <f t="shared" si="88"/>
        <v/>
      </c>
      <c r="AI988" s="52"/>
      <c r="AJ988" s="56"/>
      <c r="AK988" s="59"/>
      <c r="AL988" s="60"/>
      <c r="AM988" s="54"/>
      <c r="AN988" s="64"/>
      <c r="AO988" s="26"/>
      <c r="AP988" s="93"/>
      <c r="AQ988" s="87"/>
      <c r="AR988" s="26"/>
      <c r="AS988" s="65"/>
      <c r="AT988" s="88"/>
      <c r="AU988" s="67"/>
      <c r="DA988" t="str" cm="1">
        <f t="array" ref="DA988">IF(U988&lt;&gt;"", TRANSPOSE(_xlfn._xlws.FILTER(CZ:CZ, CY:CY=U988, "")), "")</f>
        <v/>
      </c>
    </row>
    <row r="989" spans="2:105">
      <c r="B989" s="35">
        <v>985</v>
      </c>
      <c r="C989" s="36" t="s">
        <v>2854</v>
      </c>
      <c r="D989" s="76"/>
      <c r="E989" s="37" t="str">
        <f>IF(Table5[[#This Row],[Query Date]]&lt;&gt;"", TEXT(Table5[[#This Row],[Query Date]], "dddd"), "")</f>
        <v/>
      </c>
      <c r="F989" s="37" t="str">
        <f>IF(Table5[[#This Row],[Query Date]]&lt;&gt;"", TEXT(Table5[[#This Row],[Query Date]], "mmmm"), "")</f>
        <v/>
      </c>
      <c r="G989" s="28"/>
      <c r="H989" s="28"/>
      <c r="I989" s="28"/>
      <c r="J989" s="28"/>
      <c r="K989" s="28"/>
      <c r="L989" s="25"/>
      <c r="M989" s="25"/>
      <c r="N989" s="25"/>
      <c r="O989" s="130"/>
      <c r="P989" s="47"/>
      <c r="Q989" s="77"/>
      <c r="R989" s="77" t="str">
        <f>IF(Table5[[#This Row],[Tour Starting Date]]&lt;&gt;"", TEXT(Table5[[#This Row],[Tour Starting Date]], "dddd"), "")</f>
        <v/>
      </c>
      <c r="S989" s="77"/>
      <c r="T989" s="25" t="str">
        <f>IF(Table5[[#This Row],[Tour Ending Date]]&lt;&gt;"", TEXT(Table5[[#This Row],[Tour Ending Date]], "dddd"), "")</f>
        <v/>
      </c>
      <c r="U98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89" s="37" t="str">
        <f>IF(Table5[[#This Row],[Tour Starting Date]]&lt;&gt;"", TEXT(Table5[[#This Row],[Tour Starting Date]], "mmmm"), "")</f>
        <v/>
      </c>
      <c r="W989" s="80" t="str" cm="1">
        <f t="array" ref="W989">IF(Q989&lt;&gt;"", INDEX(CI:CI, MATCH(1, (Q989&gt;=CG:CG)*(Q989&lt;=CH:CH), 0)), "")</f>
        <v/>
      </c>
      <c r="X989" s="39"/>
      <c r="Y989" s="74"/>
      <c r="Z989" s="74" t="str">
        <f>IF(OR(Table5[[#This Row],[Per Person Package Cost]]="", Table5[[#This Row],[No. of Pax]]=""), "", Table5[[#This Row],[Per Person Package Cost]] * Table5[[#This Row],[No. of Pax]])</f>
        <v/>
      </c>
      <c r="AA989" s="52"/>
      <c r="AB989" s="52"/>
      <c r="AC989" s="52"/>
      <c r="AD989" s="52"/>
      <c r="AE989" s="51" t="str">
        <f t="shared" si="85"/>
        <v/>
      </c>
      <c r="AF989" s="51" t="str">
        <f t="shared" si="86"/>
        <v/>
      </c>
      <c r="AG989" s="74" t="str">
        <f t="shared" si="87"/>
        <v/>
      </c>
      <c r="AH989" s="73" t="str">
        <f t="shared" si="88"/>
        <v/>
      </c>
      <c r="AI989" s="52"/>
      <c r="AJ989" s="56"/>
      <c r="AK989" s="59"/>
      <c r="AL989" s="60"/>
      <c r="AM989" s="54"/>
      <c r="AN989" s="64"/>
      <c r="AO989" s="26"/>
      <c r="AP989" s="93"/>
      <c r="AQ989" s="87"/>
      <c r="AR989" s="26"/>
      <c r="AS989" s="65"/>
      <c r="AT989" s="88"/>
      <c r="AU989" s="67"/>
      <c r="DA989" t="str" cm="1">
        <f t="array" ref="DA989">IF(U989&lt;&gt;"", TRANSPOSE(_xlfn._xlws.FILTER(CZ:CZ, CY:CY=U989, "")), "")</f>
        <v/>
      </c>
    </row>
    <row r="990" spans="2:105">
      <c r="B990" s="35">
        <v>986</v>
      </c>
      <c r="C990" s="36" t="s">
        <v>2855</v>
      </c>
      <c r="D990" s="76"/>
      <c r="E990" s="37" t="str">
        <f>IF(Table5[[#This Row],[Query Date]]&lt;&gt;"", TEXT(Table5[[#This Row],[Query Date]], "dddd"), "")</f>
        <v/>
      </c>
      <c r="F990" s="37" t="str">
        <f>IF(Table5[[#This Row],[Query Date]]&lt;&gt;"", TEXT(Table5[[#This Row],[Query Date]], "mmmm"), "")</f>
        <v/>
      </c>
      <c r="G990" s="28"/>
      <c r="H990" s="28"/>
      <c r="I990" s="28"/>
      <c r="J990" s="28"/>
      <c r="K990" s="28"/>
      <c r="L990" s="25"/>
      <c r="M990" s="25"/>
      <c r="N990" s="25"/>
      <c r="O990" s="130"/>
      <c r="P990" s="47"/>
      <c r="Q990" s="77"/>
      <c r="R990" s="77" t="str">
        <f>IF(Table5[[#This Row],[Tour Starting Date]]&lt;&gt;"", TEXT(Table5[[#This Row],[Tour Starting Date]], "dddd"), "")</f>
        <v/>
      </c>
      <c r="S990" s="77"/>
      <c r="T990" s="25" t="str">
        <f>IF(Table5[[#This Row],[Tour Ending Date]]&lt;&gt;"", TEXT(Table5[[#This Row],[Tour Ending Date]], "dddd"), "")</f>
        <v/>
      </c>
      <c r="U99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90" s="37" t="str">
        <f>IF(Table5[[#This Row],[Tour Starting Date]]&lt;&gt;"", TEXT(Table5[[#This Row],[Tour Starting Date]], "mmmm"), "")</f>
        <v/>
      </c>
      <c r="W990" s="80" t="str" cm="1">
        <f t="array" ref="W990">IF(Q990&lt;&gt;"", INDEX(CI:CI, MATCH(1, (Q990&gt;=CG:CG)*(Q990&lt;=CH:CH), 0)), "")</f>
        <v/>
      </c>
      <c r="X990" s="39"/>
      <c r="Y990" s="74"/>
      <c r="Z990" s="74" t="str">
        <f>IF(OR(Table5[[#This Row],[Per Person Package Cost]]="", Table5[[#This Row],[No. of Pax]]=""), "", Table5[[#This Row],[Per Person Package Cost]] * Table5[[#This Row],[No. of Pax]])</f>
        <v/>
      </c>
      <c r="AA990" s="52"/>
      <c r="AB990" s="52"/>
      <c r="AC990" s="52"/>
      <c r="AD990" s="52"/>
      <c r="AE990" s="51" t="str">
        <f t="shared" si="85"/>
        <v/>
      </c>
      <c r="AF990" s="51" t="str">
        <f t="shared" si="86"/>
        <v/>
      </c>
      <c r="AG990" s="74" t="str">
        <f t="shared" si="87"/>
        <v/>
      </c>
      <c r="AH990" s="73" t="str">
        <f t="shared" si="88"/>
        <v/>
      </c>
      <c r="AI990" s="52"/>
      <c r="AJ990" s="56"/>
      <c r="AK990" s="59"/>
      <c r="AL990" s="60"/>
      <c r="AM990" s="54"/>
      <c r="AN990" s="64"/>
      <c r="AO990" s="26"/>
      <c r="AP990" s="93"/>
      <c r="AQ990" s="87"/>
      <c r="AR990" s="26"/>
      <c r="AS990" s="65"/>
      <c r="AT990" s="88"/>
      <c r="AU990" s="67"/>
      <c r="DA990" t="str" cm="1">
        <f t="array" ref="DA990">IF(U990&lt;&gt;"", TRANSPOSE(_xlfn._xlws.FILTER(CZ:CZ, CY:CY=U990, "")), "")</f>
        <v/>
      </c>
    </row>
    <row r="991" spans="2:105">
      <c r="B991" s="35">
        <v>987</v>
      </c>
      <c r="C991" s="36" t="s">
        <v>2856</v>
      </c>
      <c r="D991" s="76"/>
      <c r="E991" s="37" t="str">
        <f>IF(Table5[[#This Row],[Query Date]]&lt;&gt;"", TEXT(Table5[[#This Row],[Query Date]], "dddd"), "")</f>
        <v/>
      </c>
      <c r="F991" s="37" t="str">
        <f>IF(Table5[[#This Row],[Query Date]]&lt;&gt;"", TEXT(Table5[[#This Row],[Query Date]], "mmmm"), "")</f>
        <v/>
      </c>
      <c r="G991" s="28"/>
      <c r="H991" s="28"/>
      <c r="I991" s="28"/>
      <c r="J991" s="28"/>
      <c r="K991" s="28"/>
      <c r="L991" s="25"/>
      <c r="M991" s="25"/>
      <c r="N991" s="25"/>
      <c r="O991" s="130"/>
      <c r="P991" s="47"/>
      <c r="Q991" s="77"/>
      <c r="R991" s="77" t="str">
        <f>IF(Table5[[#This Row],[Tour Starting Date]]&lt;&gt;"", TEXT(Table5[[#This Row],[Tour Starting Date]], "dddd"), "")</f>
        <v/>
      </c>
      <c r="S991" s="77"/>
      <c r="T991" s="25" t="str">
        <f>IF(Table5[[#This Row],[Tour Ending Date]]&lt;&gt;"", TEXT(Table5[[#This Row],[Tour Ending Date]], "dddd"), "")</f>
        <v/>
      </c>
      <c r="U99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91" s="37" t="str">
        <f>IF(Table5[[#This Row],[Tour Starting Date]]&lt;&gt;"", TEXT(Table5[[#This Row],[Tour Starting Date]], "mmmm"), "")</f>
        <v/>
      </c>
      <c r="W991" s="80" t="str" cm="1">
        <f t="array" ref="W991">IF(Q991&lt;&gt;"", INDEX(CI:CI, MATCH(1, (Q991&gt;=CG:CG)*(Q991&lt;=CH:CH), 0)), "")</f>
        <v/>
      </c>
      <c r="X991" s="39"/>
      <c r="Y991" s="74"/>
      <c r="Z991" s="74" t="str">
        <f>IF(OR(Table5[[#This Row],[Per Person Package Cost]]="", Table5[[#This Row],[No. of Pax]]=""), "", Table5[[#This Row],[Per Person Package Cost]] * Table5[[#This Row],[No. of Pax]])</f>
        <v/>
      </c>
      <c r="AA991" s="52"/>
      <c r="AB991" s="52"/>
      <c r="AC991" s="52"/>
      <c r="AD991" s="52"/>
      <c r="AE991" s="51" t="str">
        <f t="shared" si="85"/>
        <v/>
      </c>
      <c r="AF991" s="51" t="str">
        <f t="shared" si="86"/>
        <v/>
      </c>
      <c r="AG991" s="74" t="str">
        <f t="shared" si="87"/>
        <v/>
      </c>
      <c r="AH991" s="73" t="str">
        <f t="shared" si="88"/>
        <v/>
      </c>
      <c r="AI991" s="52"/>
      <c r="AJ991" s="56"/>
      <c r="AK991" s="59"/>
      <c r="AL991" s="60"/>
      <c r="AM991" s="54"/>
      <c r="AN991" s="64"/>
      <c r="AO991" s="26"/>
      <c r="AP991" s="93"/>
      <c r="AQ991" s="87"/>
      <c r="AR991" s="26"/>
      <c r="AS991" s="65"/>
      <c r="AT991" s="88"/>
      <c r="AU991" s="67"/>
      <c r="DA991" t="str" cm="1">
        <f t="array" ref="DA991">IF(U991&lt;&gt;"", TRANSPOSE(_xlfn._xlws.FILTER(CZ:CZ, CY:CY=U991, "")), "")</f>
        <v/>
      </c>
    </row>
    <row r="992" spans="2:105">
      <c r="B992" s="35">
        <v>988</v>
      </c>
      <c r="C992" s="36" t="s">
        <v>2857</v>
      </c>
      <c r="D992" s="76"/>
      <c r="E992" s="37" t="str">
        <f>IF(Table5[[#This Row],[Query Date]]&lt;&gt;"", TEXT(Table5[[#This Row],[Query Date]], "dddd"), "")</f>
        <v/>
      </c>
      <c r="F992" s="37" t="str">
        <f>IF(Table5[[#This Row],[Query Date]]&lt;&gt;"", TEXT(Table5[[#This Row],[Query Date]], "mmmm"), "")</f>
        <v/>
      </c>
      <c r="G992" s="28"/>
      <c r="H992" s="28"/>
      <c r="I992" s="28"/>
      <c r="J992" s="28"/>
      <c r="K992" s="28"/>
      <c r="L992" s="25"/>
      <c r="M992" s="25"/>
      <c r="N992" s="25"/>
      <c r="O992" s="130"/>
      <c r="P992" s="47"/>
      <c r="Q992" s="77"/>
      <c r="R992" s="77" t="str">
        <f>IF(Table5[[#This Row],[Tour Starting Date]]&lt;&gt;"", TEXT(Table5[[#This Row],[Tour Starting Date]], "dddd"), "")</f>
        <v/>
      </c>
      <c r="S992" s="77"/>
      <c r="T992" s="25" t="str">
        <f>IF(Table5[[#This Row],[Tour Ending Date]]&lt;&gt;"", TEXT(Table5[[#This Row],[Tour Ending Date]], "dddd"), "")</f>
        <v/>
      </c>
      <c r="U99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92" s="37" t="str">
        <f>IF(Table5[[#This Row],[Tour Starting Date]]&lt;&gt;"", TEXT(Table5[[#This Row],[Tour Starting Date]], "mmmm"), "")</f>
        <v/>
      </c>
      <c r="W992" s="80" t="str" cm="1">
        <f t="array" ref="W992">IF(Q992&lt;&gt;"", INDEX(CI:CI, MATCH(1, (Q992&gt;=CG:CG)*(Q992&lt;=CH:CH), 0)), "")</f>
        <v/>
      </c>
      <c r="X992" s="39"/>
      <c r="Y992" s="74"/>
      <c r="Z992" s="74" t="str">
        <f>IF(OR(Table5[[#This Row],[Per Person Package Cost]]="", Table5[[#This Row],[No. of Pax]]=""), "", Table5[[#This Row],[Per Person Package Cost]] * Table5[[#This Row],[No. of Pax]])</f>
        <v/>
      </c>
      <c r="AA992" s="52"/>
      <c r="AB992" s="52"/>
      <c r="AC992" s="52"/>
      <c r="AD992" s="52"/>
      <c r="AE992" s="51" t="str">
        <f t="shared" si="85"/>
        <v/>
      </c>
      <c r="AF992" s="51" t="str">
        <f t="shared" si="86"/>
        <v/>
      </c>
      <c r="AG992" s="74" t="str">
        <f t="shared" si="87"/>
        <v/>
      </c>
      <c r="AH992" s="73" t="str">
        <f t="shared" si="88"/>
        <v/>
      </c>
      <c r="AI992" s="52"/>
      <c r="AJ992" s="56"/>
      <c r="AK992" s="59"/>
      <c r="AL992" s="60"/>
      <c r="AM992" s="54"/>
      <c r="AN992" s="64"/>
      <c r="AO992" s="26"/>
      <c r="AP992" s="93"/>
      <c r="AQ992" s="87"/>
      <c r="AR992" s="26"/>
      <c r="AS992" s="65"/>
      <c r="AT992" s="88"/>
      <c r="AU992" s="67"/>
      <c r="DA992" t="str" cm="1">
        <f t="array" ref="DA992">IF(U992&lt;&gt;"", TRANSPOSE(_xlfn._xlws.FILTER(CZ:CZ, CY:CY=U992, "")), "")</f>
        <v/>
      </c>
    </row>
    <row r="993" spans="2:105">
      <c r="B993" s="35">
        <v>989</v>
      </c>
      <c r="C993" s="36" t="s">
        <v>2858</v>
      </c>
      <c r="D993" s="76"/>
      <c r="E993" s="37" t="str">
        <f>IF(Table5[[#This Row],[Query Date]]&lt;&gt;"", TEXT(Table5[[#This Row],[Query Date]], "dddd"), "")</f>
        <v/>
      </c>
      <c r="F993" s="37" t="str">
        <f>IF(Table5[[#This Row],[Query Date]]&lt;&gt;"", TEXT(Table5[[#This Row],[Query Date]], "mmmm"), "")</f>
        <v/>
      </c>
      <c r="G993" s="28"/>
      <c r="H993" s="28"/>
      <c r="I993" s="28"/>
      <c r="J993" s="28"/>
      <c r="K993" s="28"/>
      <c r="L993" s="25"/>
      <c r="M993" s="25"/>
      <c r="N993" s="25"/>
      <c r="O993" s="130"/>
      <c r="P993" s="47"/>
      <c r="Q993" s="77"/>
      <c r="R993" s="77" t="str">
        <f>IF(Table5[[#This Row],[Tour Starting Date]]&lt;&gt;"", TEXT(Table5[[#This Row],[Tour Starting Date]], "dddd"), "")</f>
        <v/>
      </c>
      <c r="S993" s="77"/>
      <c r="T993" s="25" t="str">
        <f>IF(Table5[[#This Row],[Tour Ending Date]]&lt;&gt;"", TEXT(Table5[[#This Row],[Tour Ending Date]], "dddd"), "")</f>
        <v/>
      </c>
      <c r="U99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93" s="37" t="str">
        <f>IF(Table5[[#This Row],[Tour Starting Date]]&lt;&gt;"", TEXT(Table5[[#This Row],[Tour Starting Date]], "mmmm"), "")</f>
        <v/>
      </c>
      <c r="W993" s="80" t="str" cm="1">
        <f t="array" ref="W993">IF(Q993&lt;&gt;"", INDEX(CI:CI, MATCH(1, (Q993&gt;=CG:CG)*(Q993&lt;=CH:CH), 0)), "")</f>
        <v/>
      </c>
      <c r="X993" s="39"/>
      <c r="Y993" s="74"/>
      <c r="Z993" s="74" t="str">
        <f>IF(OR(Table5[[#This Row],[Per Person Package Cost]]="", Table5[[#This Row],[No. of Pax]]=""), "", Table5[[#This Row],[Per Person Package Cost]] * Table5[[#This Row],[No. of Pax]])</f>
        <v/>
      </c>
      <c r="AA993" s="52"/>
      <c r="AB993" s="52"/>
      <c r="AC993" s="52"/>
      <c r="AD993" s="52"/>
      <c r="AE993" s="51" t="str">
        <f t="shared" si="85"/>
        <v/>
      </c>
      <c r="AF993" s="51" t="str">
        <f t="shared" si="86"/>
        <v/>
      </c>
      <c r="AG993" s="74" t="str">
        <f t="shared" si="87"/>
        <v/>
      </c>
      <c r="AH993" s="73" t="str">
        <f t="shared" si="88"/>
        <v/>
      </c>
      <c r="AI993" s="52"/>
      <c r="AJ993" s="56"/>
      <c r="AK993" s="59"/>
      <c r="AL993" s="60"/>
      <c r="AM993" s="54"/>
      <c r="AN993" s="64"/>
      <c r="AO993" s="26"/>
      <c r="AP993" s="93"/>
      <c r="AQ993" s="87"/>
      <c r="AR993" s="26"/>
      <c r="AS993" s="65"/>
      <c r="AT993" s="88"/>
      <c r="AU993" s="67"/>
      <c r="DA993" t="str" cm="1">
        <f t="array" ref="DA993">IF(U993&lt;&gt;"", TRANSPOSE(_xlfn._xlws.FILTER(CZ:CZ, CY:CY=U993, "")), "")</f>
        <v/>
      </c>
    </row>
    <row r="994" spans="2:105">
      <c r="B994" s="35">
        <v>990</v>
      </c>
      <c r="C994" s="36" t="s">
        <v>2859</v>
      </c>
      <c r="D994" s="76"/>
      <c r="E994" s="37" t="str">
        <f>IF(Table5[[#This Row],[Query Date]]&lt;&gt;"", TEXT(Table5[[#This Row],[Query Date]], "dddd"), "")</f>
        <v/>
      </c>
      <c r="F994" s="37" t="str">
        <f>IF(Table5[[#This Row],[Query Date]]&lt;&gt;"", TEXT(Table5[[#This Row],[Query Date]], "mmmm"), "")</f>
        <v/>
      </c>
      <c r="G994" s="28"/>
      <c r="H994" s="28"/>
      <c r="I994" s="28"/>
      <c r="J994" s="28"/>
      <c r="K994" s="28"/>
      <c r="L994" s="25"/>
      <c r="M994" s="25"/>
      <c r="N994" s="25"/>
      <c r="O994" s="130"/>
      <c r="P994" s="47"/>
      <c r="Q994" s="77"/>
      <c r="R994" s="77" t="str">
        <f>IF(Table5[[#This Row],[Tour Starting Date]]&lt;&gt;"", TEXT(Table5[[#This Row],[Tour Starting Date]], "dddd"), "")</f>
        <v/>
      </c>
      <c r="S994" s="77"/>
      <c r="T994" s="25" t="str">
        <f>IF(Table5[[#This Row],[Tour Ending Date]]&lt;&gt;"", TEXT(Table5[[#This Row],[Tour Ending Date]], "dddd"), "")</f>
        <v/>
      </c>
      <c r="U994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94" s="37" t="str">
        <f>IF(Table5[[#This Row],[Tour Starting Date]]&lt;&gt;"", TEXT(Table5[[#This Row],[Tour Starting Date]], "mmmm"), "")</f>
        <v/>
      </c>
      <c r="W994" s="80" t="str" cm="1">
        <f t="array" ref="W994">IF(Q994&lt;&gt;"", INDEX(CI:CI, MATCH(1, (Q994&gt;=CG:CG)*(Q994&lt;=CH:CH), 0)), "")</f>
        <v/>
      </c>
      <c r="X994" s="39"/>
      <c r="Y994" s="74"/>
      <c r="Z994" s="74" t="str">
        <f>IF(OR(Table5[[#This Row],[Per Person Package Cost]]="", Table5[[#This Row],[No. of Pax]]=""), "", Table5[[#This Row],[Per Person Package Cost]] * Table5[[#This Row],[No. of Pax]])</f>
        <v/>
      </c>
      <c r="AA994" s="52"/>
      <c r="AB994" s="52"/>
      <c r="AC994" s="52"/>
      <c r="AD994" s="52"/>
      <c r="AE994" s="51" t="str">
        <f t="shared" si="85"/>
        <v/>
      </c>
      <c r="AF994" s="51" t="str">
        <f t="shared" si="86"/>
        <v/>
      </c>
      <c r="AG994" s="74" t="str">
        <f t="shared" si="87"/>
        <v/>
      </c>
      <c r="AH994" s="73" t="str">
        <f t="shared" si="88"/>
        <v/>
      </c>
      <c r="AI994" s="52"/>
      <c r="AJ994" s="56"/>
      <c r="AK994" s="59"/>
      <c r="AL994" s="60"/>
      <c r="AM994" s="54"/>
      <c r="AN994" s="64"/>
      <c r="AO994" s="26"/>
      <c r="AP994" s="93"/>
      <c r="AQ994" s="87"/>
      <c r="AR994" s="26"/>
      <c r="AS994" s="65"/>
      <c r="AT994" s="88"/>
      <c r="AU994" s="67"/>
      <c r="DA994" t="str" cm="1">
        <f t="array" ref="DA994">IF(U994&lt;&gt;"", TRANSPOSE(_xlfn._xlws.FILTER(CZ:CZ, CY:CY=U994, "")), "")</f>
        <v/>
      </c>
    </row>
    <row r="995" spans="2:105">
      <c r="B995" s="35">
        <v>991</v>
      </c>
      <c r="C995" s="36" t="s">
        <v>2860</v>
      </c>
      <c r="D995" s="76"/>
      <c r="E995" s="37" t="str">
        <f>IF(Table5[[#This Row],[Query Date]]&lt;&gt;"", TEXT(Table5[[#This Row],[Query Date]], "dddd"), "")</f>
        <v/>
      </c>
      <c r="F995" s="37" t="str">
        <f>IF(Table5[[#This Row],[Query Date]]&lt;&gt;"", TEXT(Table5[[#This Row],[Query Date]], "mmmm"), "")</f>
        <v/>
      </c>
      <c r="G995" s="28"/>
      <c r="H995" s="28"/>
      <c r="I995" s="28"/>
      <c r="J995" s="28"/>
      <c r="K995" s="28"/>
      <c r="L995" s="25"/>
      <c r="M995" s="25"/>
      <c r="N995" s="25"/>
      <c r="O995" s="130"/>
      <c r="P995" s="47"/>
      <c r="Q995" s="77"/>
      <c r="R995" s="77" t="str">
        <f>IF(Table5[[#This Row],[Tour Starting Date]]&lt;&gt;"", TEXT(Table5[[#This Row],[Tour Starting Date]], "dddd"), "")</f>
        <v/>
      </c>
      <c r="S995" s="77"/>
      <c r="T995" s="25" t="str">
        <f>IF(Table5[[#This Row],[Tour Ending Date]]&lt;&gt;"", TEXT(Table5[[#This Row],[Tour Ending Date]], "dddd"), "")</f>
        <v/>
      </c>
      <c r="U995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95" s="37" t="str">
        <f>IF(Table5[[#This Row],[Tour Starting Date]]&lt;&gt;"", TEXT(Table5[[#This Row],[Tour Starting Date]], "mmmm"), "")</f>
        <v/>
      </c>
      <c r="W995" s="80" t="str" cm="1">
        <f t="array" ref="W995">IF(Q995&lt;&gt;"", INDEX(CI:CI, MATCH(1, (Q995&gt;=CG:CG)*(Q995&lt;=CH:CH), 0)), "")</f>
        <v/>
      </c>
      <c r="X995" s="39"/>
      <c r="Y995" s="74"/>
      <c r="Z995" s="74" t="str">
        <f>IF(OR(Table5[[#This Row],[Per Person Package Cost]]="", Table5[[#This Row],[No. of Pax]]=""), "", Table5[[#This Row],[Per Person Package Cost]] * Table5[[#This Row],[No. of Pax]])</f>
        <v/>
      </c>
      <c r="AA995" s="52"/>
      <c r="AB995" s="52"/>
      <c r="AC995" s="52"/>
      <c r="AD995" s="52"/>
      <c r="AE995" s="51" t="str">
        <f t="shared" si="85"/>
        <v/>
      </c>
      <c r="AF995" s="51" t="str">
        <f t="shared" si="86"/>
        <v/>
      </c>
      <c r="AG995" s="74" t="str">
        <f t="shared" si="87"/>
        <v/>
      </c>
      <c r="AH995" s="73" t="str">
        <f t="shared" si="88"/>
        <v/>
      </c>
      <c r="AI995" s="52"/>
      <c r="AJ995" s="56"/>
      <c r="AK995" s="59"/>
      <c r="AL995" s="60"/>
      <c r="AM995" s="54"/>
      <c r="AN995" s="64"/>
      <c r="AO995" s="26"/>
      <c r="AP995" s="93"/>
      <c r="AQ995" s="87"/>
      <c r="AR995" s="26"/>
      <c r="AS995" s="65"/>
      <c r="AT995" s="88"/>
      <c r="AU995" s="67"/>
      <c r="DA995" t="str" cm="1">
        <f t="array" ref="DA995">IF(U995&lt;&gt;"", TRANSPOSE(_xlfn._xlws.FILTER(CZ:CZ, CY:CY=U995, "")), "")</f>
        <v/>
      </c>
    </row>
    <row r="996" spans="2:105">
      <c r="B996" s="35">
        <v>992</v>
      </c>
      <c r="C996" s="36" t="s">
        <v>2861</v>
      </c>
      <c r="D996" s="76"/>
      <c r="E996" s="37" t="str">
        <f>IF(Table5[[#This Row],[Query Date]]&lt;&gt;"", TEXT(Table5[[#This Row],[Query Date]], "dddd"), "")</f>
        <v/>
      </c>
      <c r="F996" s="37" t="str">
        <f>IF(Table5[[#This Row],[Query Date]]&lt;&gt;"", TEXT(Table5[[#This Row],[Query Date]], "mmmm"), "")</f>
        <v/>
      </c>
      <c r="G996" s="28"/>
      <c r="H996" s="28"/>
      <c r="I996" s="28"/>
      <c r="J996" s="28"/>
      <c r="K996" s="28"/>
      <c r="L996" s="25"/>
      <c r="M996" s="25"/>
      <c r="N996" s="25"/>
      <c r="O996" s="130"/>
      <c r="P996" s="47"/>
      <c r="Q996" s="77"/>
      <c r="R996" s="77" t="str">
        <f>IF(Table5[[#This Row],[Tour Starting Date]]&lt;&gt;"", TEXT(Table5[[#This Row],[Tour Starting Date]], "dddd"), "")</f>
        <v/>
      </c>
      <c r="S996" s="77"/>
      <c r="T996" s="25" t="str">
        <f>IF(Table5[[#This Row],[Tour Ending Date]]&lt;&gt;"", TEXT(Table5[[#This Row],[Tour Ending Date]], "dddd"), "")</f>
        <v/>
      </c>
      <c r="U996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96" s="37" t="str">
        <f>IF(Table5[[#This Row],[Tour Starting Date]]&lt;&gt;"", TEXT(Table5[[#This Row],[Tour Starting Date]], "mmmm"), "")</f>
        <v/>
      </c>
      <c r="W996" s="80" t="str" cm="1">
        <f t="array" ref="W996">IF(Q996&lt;&gt;"", INDEX(CI:CI, MATCH(1, (Q996&gt;=CG:CG)*(Q996&lt;=CH:CH), 0)), "")</f>
        <v/>
      </c>
      <c r="X996" s="39"/>
      <c r="Y996" s="74"/>
      <c r="Z996" s="74" t="str">
        <f>IF(OR(Table5[[#This Row],[Per Person Package Cost]]="", Table5[[#This Row],[No. of Pax]]=""), "", Table5[[#This Row],[Per Person Package Cost]] * Table5[[#This Row],[No. of Pax]])</f>
        <v/>
      </c>
      <c r="AA996" s="52"/>
      <c r="AB996" s="52"/>
      <c r="AC996" s="52"/>
      <c r="AD996" s="52"/>
      <c r="AE996" s="51" t="str">
        <f t="shared" si="85"/>
        <v/>
      </c>
      <c r="AF996" s="51" t="str">
        <f t="shared" si="86"/>
        <v/>
      </c>
      <c r="AG996" s="74" t="str">
        <f t="shared" si="87"/>
        <v/>
      </c>
      <c r="AH996" s="73" t="str">
        <f t="shared" si="88"/>
        <v/>
      </c>
      <c r="AI996" s="52"/>
      <c r="AJ996" s="56"/>
      <c r="AK996" s="59"/>
      <c r="AL996" s="60"/>
      <c r="AM996" s="54"/>
      <c r="AN996" s="64"/>
      <c r="AO996" s="26"/>
      <c r="AP996" s="93"/>
      <c r="AQ996" s="87"/>
      <c r="AR996" s="26"/>
      <c r="AS996" s="65"/>
      <c r="AT996" s="88"/>
      <c r="AU996" s="67"/>
      <c r="DA996" t="str" cm="1">
        <f t="array" ref="DA996">IF(U996&lt;&gt;"", TRANSPOSE(_xlfn._xlws.FILTER(CZ:CZ, CY:CY=U996, "")), "")</f>
        <v/>
      </c>
    </row>
    <row r="997" spans="2:105">
      <c r="B997" s="35">
        <v>993</v>
      </c>
      <c r="C997" s="36" t="s">
        <v>2862</v>
      </c>
      <c r="D997" s="76"/>
      <c r="E997" s="37" t="str">
        <f>IF(Table5[[#This Row],[Query Date]]&lt;&gt;"", TEXT(Table5[[#This Row],[Query Date]], "dddd"), "")</f>
        <v/>
      </c>
      <c r="F997" s="37" t="str">
        <f>IF(Table5[[#This Row],[Query Date]]&lt;&gt;"", TEXT(Table5[[#This Row],[Query Date]], "mmmm"), "")</f>
        <v/>
      </c>
      <c r="G997" s="28"/>
      <c r="H997" s="28"/>
      <c r="I997" s="28"/>
      <c r="J997" s="28"/>
      <c r="K997" s="28"/>
      <c r="L997" s="25"/>
      <c r="M997" s="25"/>
      <c r="N997" s="25"/>
      <c r="O997" s="130"/>
      <c r="P997" s="47"/>
      <c r="Q997" s="77"/>
      <c r="R997" s="77" t="str">
        <f>IF(Table5[[#This Row],[Tour Starting Date]]&lt;&gt;"", TEXT(Table5[[#This Row],[Tour Starting Date]], "dddd"), "")</f>
        <v/>
      </c>
      <c r="S997" s="77"/>
      <c r="T997" s="25" t="str">
        <f>IF(Table5[[#This Row],[Tour Ending Date]]&lt;&gt;"", TEXT(Table5[[#This Row],[Tour Ending Date]], "dddd"), "")</f>
        <v/>
      </c>
      <c r="U997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97" s="37" t="str">
        <f>IF(Table5[[#This Row],[Tour Starting Date]]&lt;&gt;"", TEXT(Table5[[#This Row],[Tour Starting Date]], "mmmm"), "")</f>
        <v/>
      </c>
      <c r="W997" s="80" t="str" cm="1">
        <f t="array" ref="W997">IF(Q997&lt;&gt;"", INDEX(CI:CI, MATCH(1, (Q997&gt;=CG:CG)*(Q997&lt;=CH:CH), 0)), "")</f>
        <v/>
      </c>
      <c r="X997" s="39"/>
      <c r="Y997" s="74"/>
      <c r="Z997" s="74" t="str">
        <f>IF(OR(Table5[[#This Row],[Per Person Package Cost]]="", Table5[[#This Row],[No. of Pax]]=""), "", Table5[[#This Row],[Per Person Package Cost]] * Table5[[#This Row],[No. of Pax]])</f>
        <v/>
      </c>
      <c r="AA997" s="52"/>
      <c r="AB997" s="52"/>
      <c r="AC997" s="52"/>
      <c r="AD997" s="52"/>
      <c r="AE997" s="51" t="str">
        <f t="shared" si="85"/>
        <v/>
      </c>
      <c r="AF997" s="51" t="str">
        <f t="shared" si="86"/>
        <v/>
      </c>
      <c r="AG997" s="74" t="str">
        <f t="shared" si="87"/>
        <v/>
      </c>
      <c r="AH997" s="73" t="str">
        <f t="shared" si="88"/>
        <v/>
      </c>
      <c r="AI997" s="52"/>
      <c r="AJ997" s="56"/>
      <c r="AK997" s="59"/>
      <c r="AL997" s="60"/>
      <c r="AM997" s="54"/>
      <c r="AN997" s="64"/>
      <c r="AO997" s="26"/>
      <c r="AP997" s="93"/>
      <c r="AQ997" s="87"/>
      <c r="AR997" s="26"/>
      <c r="AS997" s="65"/>
      <c r="AT997" s="88"/>
      <c r="AU997" s="67"/>
      <c r="DA997" t="str" cm="1">
        <f t="array" ref="DA997">IF(U997&lt;&gt;"", TRANSPOSE(_xlfn._xlws.FILTER(CZ:CZ, CY:CY=U997, "")), "")</f>
        <v/>
      </c>
    </row>
    <row r="998" spans="2:105">
      <c r="B998" s="35">
        <v>994</v>
      </c>
      <c r="C998" s="36" t="s">
        <v>2863</v>
      </c>
      <c r="D998" s="76"/>
      <c r="E998" s="37" t="str">
        <f>IF(Table5[[#This Row],[Query Date]]&lt;&gt;"", TEXT(Table5[[#This Row],[Query Date]], "dddd"), "")</f>
        <v/>
      </c>
      <c r="F998" s="37" t="str">
        <f>IF(Table5[[#This Row],[Query Date]]&lt;&gt;"", TEXT(Table5[[#This Row],[Query Date]], "mmmm"), "")</f>
        <v/>
      </c>
      <c r="G998" s="28"/>
      <c r="H998" s="28"/>
      <c r="I998" s="28"/>
      <c r="J998" s="28"/>
      <c r="K998" s="28"/>
      <c r="L998" s="25"/>
      <c r="M998" s="25"/>
      <c r="N998" s="25"/>
      <c r="O998" s="130"/>
      <c r="P998" s="47"/>
      <c r="Q998" s="77"/>
      <c r="R998" s="77" t="str">
        <f>IF(Table5[[#This Row],[Tour Starting Date]]&lt;&gt;"", TEXT(Table5[[#This Row],[Tour Starting Date]], "dddd"), "")</f>
        <v/>
      </c>
      <c r="S998" s="77"/>
      <c r="T998" s="25" t="str">
        <f>IF(Table5[[#This Row],[Tour Ending Date]]&lt;&gt;"", TEXT(Table5[[#This Row],[Tour Ending Date]], "dddd"), "")</f>
        <v/>
      </c>
      <c r="U998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98" s="37" t="str">
        <f>IF(Table5[[#This Row],[Tour Starting Date]]&lt;&gt;"", TEXT(Table5[[#This Row],[Tour Starting Date]], "mmmm"), "")</f>
        <v/>
      </c>
      <c r="W998" s="80" t="str" cm="1">
        <f t="array" ref="W998">IF(Q998&lt;&gt;"", INDEX(CI:CI, MATCH(1, (Q998&gt;=CG:CG)*(Q998&lt;=CH:CH), 0)), "")</f>
        <v/>
      </c>
      <c r="X998" s="39"/>
      <c r="Y998" s="74"/>
      <c r="Z998" s="74" t="str">
        <f>IF(OR(Table5[[#This Row],[Per Person Package Cost]]="", Table5[[#This Row],[No. of Pax]]=""), "", Table5[[#This Row],[Per Person Package Cost]] * Table5[[#This Row],[No. of Pax]])</f>
        <v/>
      </c>
      <c r="AA998" s="52"/>
      <c r="AB998" s="52"/>
      <c r="AC998" s="52"/>
      <c r="AD998" s="52"/>
      <c r="AE998" s="51" t="str">
        <f t="shared" si="85"/>
        <v/>
      </c>
      <c r="AF998" s="51" t="str">
        <f t="shared" si="86"/>
        <v/>
      </c>
      <c r="AG998" s="74" t="str">
        <f t="shared" si="87"/>
        <v/>
      </c>
      <c r="AH998" s="73" t="str">
        <f t="shared" si="88"/>
        <v/>
      </c>
      <c r="AI998" s="52"/>
      <c r="AJ998" s="56"/>
      <c r="AK998" s="59"/>
      <c r="AL998" s="60"/>
      <c r="AM998" s="54"/>
      <c r="AN998" s="64"/>
      <c r="AO998" s="26"/>
      <c r="AP998" s="93"/>
      <c r="AQ998" s="87"/>
      <c r="AR998" s="26"/>
      <c r="AS998" s="65"/>
      <c r="AT998" s="88"/>
      <c r="AU998" s="67"/>
      <c r="DA998" t="str" cm="1">
        <f t="array" ref="DA998">IF(U998&lt;&gt;"", TRANSPOSE(_xlfn._xlws.FILTER(CZ:CZ, CY:CY=U998, "")), "")</f>
        <v/>
      </c>
    </row>
    <row r="999" spans="2:105">
      <c r="B999" s="35">
        <v>995</v>
      </c>
      <c r="C999" s="36" t="s">
        <v>2864</v>
      </c>
      <c r="D999" s="76"/>
      <c r="E999" s="37" t="str">
        <f>IF(Table5[[#This Row],[Query Date]]&lt;&gt;"", TEXT(Table5[[#This Row],[Query Date]], "dddd"), "")</f>
        <v/>
      </c>
      <c r="F999" s="37" t="str">
        <f>IF(Table5[[#This Row],[Query Date]]&lt;&gt;"", TEXT(Table5[[#This Row],[Query Date]], "mmmm"), "")</f>
        <v/>
      </c>
      <c r="G999" s="28"/>
      <c r="H999" s="28"/>
      <c r="I999" s="28"/>
      <c r="J999" s="28"/>
      <c r="K999" s="28"/>
      <c r="L999" s="25"/>
      <c r="M999" s="25"/>
      <c r="N999" s="25"/>
      <c r="O999" s="130"/>
      <c r="P999" s="47"/>
      <c r="Q999" s="77"/>
      <c r="R999" s="77" t="str">
        <f>IF(Table5[[#This Row],[Tour Starting Date]]&lt;&gt;"", TEXT(Table5[[#This Row],[Tour Starting Date]], "dddd"), "")</f>
        <v/>
      </c>
      <c r="S999" s="77"/>
      <c r="T999" s="25" t="str">
        <f>IF(Table5[[#This Row],[Tour Ending Date]]&lt;&gt;"", TEXT(Table5[[#This Row],[Tour Ending Date]], "dddd"), "")</f>
        <v/>
      </c>
      <c r="U999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999" s="37" t="str">
        <f>IF(Table5[[#This Row],[Tour Starting Date]]&lt;&gt;"", TEXT(Table5[[#This Row],[Tour Starting Date]], "mmmm"), "")</f>
        <v/>
      </c>
      <c r="W999" s="80" t="str" cm="1">
        <f t="array" ref="W999">IF(Q999&lt;&gt;"", INDEX(CI:CI, MATCH(1, (Q999&gt;=CG:CG)*(Q999&lt;=CH:CH), 0)), "")</f>
        <v/>
      </c>
      <c r="X999" s="39"/>
      <c r="Y999" s="74"/>
      <c r="Z999" s="74" t="str">
        <f>IF(OR(Table5[[#This Row],[Per Person Package Cost]]="", Table5[[#This Row],[No. of Pax]]=""), "", Table5[[#This Row],[Per Person Package Cost]] * Table5[[#This Row],[No. of Pax]])</f>
        <v/>
      </c>
      <c r="AA999" s="52"/>
      <c r="AB999" s="52"/>
      <c r="AC999" s="52"/>
      <c r="AD999" s="52"/>
      <c r="AE999" s="51" t="str">
        <f t="shared" si="85"/>
        <v/>
      </c>
      <c r="AF999" s="51" t="str">
        <f t="shared" si="86"/>
        <v/>
      </c>
      <c r="AG999" s="74" t="str">
        <f t="shared" si="87"/>
        <v/>
      </c>
      <c r="AH999" s="73" t="str">
        <f t="shared" si="88"/>
        <v/>
      </c>
      <c r="AI999" s="52"/>
      <c r="AJ999" s="56"/>
      <c r="AK999" s="59"/>
      <c r="AL999" s="60"/>
      <c r="AM999" s="54"/>
      <c r="AN999" s="64"/>
      <c r="AO999" s="26"/>
      <c r="AP999" s="93"/>
      <c r="AQ999" s="87"/>
      <c r="AR999" s="26"/>
      <c r="AS999" s="65"/>
      <c r="AT999" s="88"/>
      <c r="AU999" s="67"/>
      <c r="DA999" t="str" cm="1">
        <f t="array" ref="DA999">IF(U999&lt;&gt;"", TRANSPOSE(_xlfn._xlws.FILTER(CZ:CZ, CY:CY=U999, "")), "")</f>
        <v/>
      </c>
    </row>
    <row r="1000" spans="2:105">
      <c r="B1000" s="35">
        <v>996</v>
      </c>
      <c r="C1000" s="36" t="s">
        <v>2865</v>
      </c>
      <c r="D1000" s="76"/>
      <c r="E1000" s="37" t="str">
        <f>IF(Table5[[#This Row],[Query Date]]&lt;&gt;"", TEXT(Table5[[#This Row],[Query Date]], "dddd"), "")</f>
        <v/>
      </c>
      <c r="F1000" s="37" t="str">
        <f>IF(Table5[[#This Row],[Query Date]]&lt;&gt;"", TEXT(Table5[[#This Row],[Query Date]], "mmmm"), "")</f>
        <v/>
      </c>
      <c r="G1000" s="28"/>
      <c r="H1000" s="28"/>
      <c r="I1000" s="28"/>
      <c r="J1000" s="28"/>
      <c r="K1000" s="28"/>
      <c r="L1000" s="25"/>
      <c r="M1000" s="25"/>
      <c r="N1000" s="25"/>
      <c r="O1000" s="130"/>
      <c r="P1000" s="47"/>
      <c r="Q1000" s="77"/>
      <c r="R1000" s="77" t="str">
        <f>IF(Table5[[#This Row],[Tour Starting Date]]&lt;&gt;"", TEXT(Table5[[#This Row],[Tour Starting Date]], "dddd"), "")</f>
        <v/>
      </c>
      <c r="S1000" s="77"/>
      <c r="T1000" s="25" t="str">
        <f>IF(Table5[[#This Row],[Tour Ending Date]]&lt;&gt;"", TEXT(Table5[[#This Row],[Tour Ending Date]], "dddd"), "")</f>
        <v/>
      </c>
      <c r="U1000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1000" s="37" t="str">
        <f>IF(Table5[[#This Row],[Tour Starting Date]]&lt;&gt;"", TEXT(Table5[[#This Row],[Tour Starting Date]], "mmmm"), "")</f>
        <v/>
      </c>
      <c r="W1000" s="80" t="str" cm="1">
        <f t="array" ref="W1000">IF(Q1000&lt;&gt;"", INDEX(CI:CI, MATCH(1, (Q1000&gt;=CG:CG)*(Q1000&lt;=CH:CH), 0)), "")</f>
        <v/>
      </c>
      <c r="X1000" s="39"/>
      <c r="Y1000" s="74"/>
      <c r="Z1000" s="74" t="str">
        <f>IF(OR(Table5[[#This Row],[Per Person Package Cost]]="", Table5[[#This Row],[No. of Pax]]=""), "", Table5[[#This Row],[Per Person Package Cost]] * Table5[[#This Row],[No. of Pax]])</f>
        <v/>
      </c>
      <c r="AA1000" s="52"/>
      <c r="AB1000" s="52"/>
      <c r="AC1000" s="52"/>
      <c r="AD1000" s="52"/>
      <c r="AE1000" s="51" t="str">
        <f t="shared" si="85"/>
        <v/>
      </c>
      <c r="AF1000" s="51" t="str">
        <f t="shared" si="86"/>
        <v/>
      </c>
      <c r="AG1000" s="74" t="str">
        <f t="shared" si="87"/>
        <v/>
      </c>
      <c r="AH1000" s="73" t="str">
        <f t="shared" si="88"/>
        <v/>
      </c>
      <c r="AI1000" s="52"/>
      <c r="AJ1000" s="56"/>
      <c r="AK1000" s="59"/>
      <c r="AL1000" s="60"/>
      <c r="AM1000" s="54"/>
      <c r="AN1000" s="64"/>
      <c r="AO1000" s="26"/>
      <c r="AP1000" s="93"/>
      <c r="AQ1000" s="87"/>
      <c r="AR1000" s="26"/>
      <c r="AS1000" s="65"/>
      <c r="AT1000" s="88"/>
      <c r="AU1000" s="67"/>
      <c r="DA1000" t="str" cm="1">
        <f t="array" ref="DA1000">IF(U1000&lt;&gt;"", TRANSPOSE(_xlfn._xlws.FILTER(CZ:CZ, CY:CY=U1000, "")), "")</f>
        <v/>
      </c>
    </row>
    <row r="1001" spans="2:105">
      <c r="B1001" s="35">
        <v>997</v>
      </c>
      <c r="C1001" s="36" t="s">
        <v>2866</v>
      </c>
      <c r="D1001" s="76"/>
      <c r="E1001" s="37" t="str">
        <f>IF(Table5[[#This Row],[Query Date]]&lt;&gt;"", TEXT(Table5[[#This Row],[Query Date]], "dddd"), "")</f>
        <v/>
      </c>
      <c r="F1001" s="37" t="str">
        <f>IF(Table5[[#This Row],[Query Date]]&lt;&gt;"", TEXT(Table5[[#This Row],[Query Date]], "mmmm"), "")</f>
        <v/>
      </c>
      <c r="G1001" s="28"/>
      <c r="H1001" s="28"/>
      <c r="I1001" s="28"/>
      <c r="J1001" s="28"/>
      <c r="K1001" s="28"/>
      <c r="L1001" s="25"/>
      <c r="M1001" s="25"/>
      <c r="N1001" s="25"/>
      <c r="O1001" s="130"/>
      <c r="P1001" s="47"/>
      <c r="Q1001" s="77"/>
      <c r="R1001" s="77" t="str">
        <f>IF(Table5[[#This Row],[Tour Starting Date]]&lt;&gt;"", TEXT(Table5[[#This Row],[Tour Starting Date]], "dddd"), "")</f>
        <v/>
      </c>
      <c r="S1001" s="77"/>
      <c r="T1001" s="25" t="str">
        <f>IF(Table5[[#This Row],[Tour Ending Date]]&lt;&gt;"", TEXT(Table5[[#This Row],[Tour Ending Date]], "dddd"), "")</f>
        <v/>
      </c>
      <c r="U1001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1001" s="37" t="str">
        <f>IF(Table5[[#This Row],[Tour Starting Date]]&lt;&gt;"", TEXT(Table5[[#This Row],[Tour Starting Date]], "mmmm"), "")</f>
        <v/>
      </c>
      <c r="W1001" s="80" t="str" cm="1">
        <f t="array" ref="W1001">IF(Q1001&lt;&gt;"", INDEX(CI:CI, MATCH(1, (Q1001&gt;=CG:CG)*(Q1001&lt;=CH:CH), 0)), "")</f>
        <v/>
      </c>
      <c r="X1001" s="39"/>
      <c r="Y1001" s="74"/>
      <c r="Z1001" s="74" t="str">
        <f>IF(OR(Table5[[#This Row],[Per Person Package Cost]]="", Table5[[#This Row],[No. of Pax]]=""), "", Table5[[#This Row],[Per Person Package Cost]] * Table5[[#This Row],[No. of Pax]])</f>
        <v/>
      </c>
      <c r="AA1001" s="52"/>
      <c r="AB1001" s="52"/>
      <c r="AC1001" s="52"/>
      <c r="AD1001" s="52"/>
      <c r="AE1001" s="51" t="str">
        <f t="shared" si="85"/>
        <v/>
      </c>
      <c r="AF1001" s="51" t="str">
        <f t="shared" si="86"/>
        <v/>
      </c>
      <c r="AG1001" s="74" t="str">
        <f t="shared" si="87"/>
        <v/>
      </c>
      <c r="AH1001" s="73" t="str">
        <f t="shared" si="88"/>
        <v/>
      </c>
      <c r="AI1001" s="52"/>
      <c r="AJ1001" s="56"/>
      <c r="AK1001" s="59"/>
      <c r="AL1001" s="60"/>
      <c r="AM1001" s="54"/>
      <c r="AN1001" s="64"/>
      <c r="AO1001" s="26"/>
      <c r="AP1001" s="93"/>
      <c r="AQ1001" s="87"/>
      <c r="AR1001" s="26"/>
      <c r="AS1001" s="65"/>
      <c r="AT1001" s="88"/>
      <c r="AU1001" s="67"/>
      <c r="DA1001" t="str" cm="1">
        <f t="array" ref="DA1001">IF(U1001&lt;&gt;"", TRANSPOSE(_xlfn._xlws.FILTER(CZ:CZ, CY:CY=U1001, "")), "")</f>
        <v/>
      </c>
    </row>
    <row r="1002" spans="2:105">
      <c r="B1002" s="35">
        <v>998</v>
      </c>
      <c r="C1002" s="36" t="s">
        <v>2867</v>
      </c>
      <c r="D1002" s="76"/>
      <c r="E1002" s="37" t="str">
        <f>IF(Table5[[#This Row],[Query Date]]&lt;&gt;"", TEXT(Table5[[#This Row],[Query Date]], "dddd"), "")</f>
        <v/>
      </c>
      <c r="F1002" s="37" t="str">
        <f>IF(Table5[[#This Row],[Query Date]]&lt;&gt;"", TEXT(Table5[[#This Row],[Query Date]], "mmmm"), "")</f>
        <v/>
      </c>
      <c r="G1002" s="28"/>
      <c r="H1002" s="28"/>
      <c r="I1002" s="28"/>
      <c r="J1002" s="28"/>
      <c r="K1002" s="28"/>
      <c r="L1002" s="25"/>
      <c r="M1002" s="25"/>
      <c r="N1002" s="25"/>
      <c r="O1002" s="130"/>
      <c r="P1002" s="47"/>
      <c r="Q1002" s="77"/>
      <c r="R1002" s="77" t="str">
        <f>IF(Table5[[#This Row],[Tour Starting Date]]&lt;&gt;"", TEXT(Table5[[#This Row],[Tour Starting Date]], "dddd"), "")</f>
        <v/>
      </c>
      <c r="S1002" s="77"/>
      <c r="T1002" s="25" t="str">
        <f>IF(Table5[[#This Row],[Tour Ending Date]]&lt;&gt;"", TEXT(Table5[[#This Row],[Tour Ending Date]], "dddd"), "")</f>
        <v/>
      </c>
      <c r="U1002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1002" s="37" t="str">
        <f>IF(Table5[[#This Row],[Tour Starting Date]]&lt;&gt;"", TEXT(Table5[[#This Row],[Tour Starting Date]], "mmmm"), "")</f>
        <v/>
      </c>
      <c r="W1002" s="80" t="str" cm="1">
        <f t="array" ref="W1002">IF(Q1002&lt;&gt;"", INDEX(CI:CI, MATCH(1, (Q1002&gt;=CG:CG)*(Q1002&lt;=CH:CH), 0)), "")</f>
        <v/>
      </c>
      <c r="X1002" s="39"/>
      <c r="Y1002" s="74"/>
      <c r="Z1002" s="74" t="str">
        <f>IF(OR(Table5[[#This Row],[Per Person Package Cost]]="", Table5[[#This Row],[No. of Pax]]=""), "", Table5[[#This Row],[Per Person Package Cost]] * Table5[[#This Row],[No. of Pax]])</f>
        <v/>
      </c>
      <c r="AA1002" s="52"/>
      <c r="AB1002" s="52"/>
      <c r="AC1002" s="52"/>
      <c r="AD1002" s="52"/>
      <c r="AE1002" s="51" t="str">
        <f t="shared" si="85"/>
        <v/>
      </c>
      <c r="AF1002" s="51" t="str">
        <f t="shared" si="86"/>
        <v/>
      </c>
      <c r="AG1002" s="74" t="str">
        <f t="shared" si="87"/>
        <v/>
      </c>
      <c r="AH1002" s="73" t="str">
        <f t="shared" si="88"/>
        <v/>
      </c>
      <c r="AI1002" s="52"/>
      <c r="AJ1002" s="56"/>
      <c r="AK1002" s="59"/>
      <c r="AL1002" s="60"/>
      <c r="AM1002" s="54"/>
      <c r="AN1002" s="64"/>
      <c r="AO1002" s="26"/>
      <c r="AP1002" s="93"/>
      <c r="AQ1002" s="87"/>
      <c r="AR1002" s="26"/>
      <c r="AS1002" s="65"/>
      <c r="AT1002" s="88"/>
      <c r="AU1002" s="67"/>
      <c r="DA1002" t="str" cm="1">
        <f t="array" ref="DA1002">IF(U1002&lt;&gt;"", TRANSPOSE(_xlfn._xlws.FILTER(CZ:CZ, CY:CY=U1002, "")), "")</f>
        <v/>
      </c>
    </row>
    <row r="1003" spans="2:105">
      <c r="B1003" s="35">
        <v>999</v>
      </c>
      <c r="C1003" s="36" t="s">
        <v>2868</v>
      </c>
      <c r="D1003" s="76"/>
      <c r="E1003" s="37" t="str">
        <f>IF(Table5[[#This Row],[Query Date]]&lt;&gt;"", TEXT(Table5[[#This Row],[Query Date]], "dddd"), "")</f>
        <v/>
      </c>
      <c r="F1003" s="37" t="str">
        <f>IF(Table5[[#This Row],[Query Date]]&lt;&gt;"", TEXT(Table5[[#This Row],[Query Date]], "mmmm"), "")</f>
        <v/>
      </c>
      <c r="G1003" s="28"/>
      <c r="H1003" s="28"/>
      <c r="I1003" s="28"/>
      <c r="J1003" s="28"/>
      <c r="K1003" s="28"/>
      <c r="L1003" s="25"/>
      <c r="M1003" s="25"/>
      <c r="N1003" s="25"/>
      <c r="O1003" s="130"/>
      <c r="P1003" s="47"/>
      <c r="Q1003" s="77"/>
      <c r="R1003" s="77" t="str">
        <f>IF(Table5[[#This Row],[Tour Starting Date]]&lt;&gt;"", TEXT(Table5[[#This Row],[Tour Starting Date]], "dddd"), "")</f>
        <v/>
      </c>
      <c r="S1003" s="77"/>
      <c r="T1003" s="25" t="str">
        <f>IF(Table5[[#This Row],[Tour Ending Date]]&lt;&gt;"", TEXT(Table5[[#This Row],[Tour Ending Date]], "dddd"), "")</f>
        <v/>
      </c>
      <c r="U1003" s="28" t="str">
        <f>IF(OR(Table5[[#This Row],[Tour Starting Date]]="", Table5[[#This Row],[Tour Ending Date]]=""), "", DATEDIF(Table5[[#This Row],[Tour Starting Date]],Table5[[#This Row],[Tour Ending Date]],"d") &amp; " Nights &amp; " &amp; (DATEDIF(Table5[[#This Row],[Tour Starting Date]],Table5[[#This Row],[Tour Ending Date]],"d")+1) &amp; " Days")</f>
        <v/>
      </c>
      <c r="V1003" s="37" t="str">
        <f>IF(Table5[[#This Row],[Tour Starting Date]]&lt;&gt;"", TEXT(Table5[[#This Row],[Tour Starting Date]], "mmmm"), "")</f>
        <v/>
      </c>
      <c r="W1003" s="80" t="str" cm="1">
        <f t="array" ref="W1003">IF(Q1003&lt;&gt;"", INDEX(CI:CI, MATCH(1, (Q1003&gt;=CG:CG)*(Q1003&lt;=CH:CH), 0)), "")</f>
        <v/>
      </c>
      <c r="X1003" s="39"/>
      <c r="Y1003" s="74"/>
      <c r="Z1003" s="74" t="str">
        <f>IF(OR(Table5[[#This Row],[Per Person Package Cost]]="", Table5[[#This Row],[No. of Pax]]=""), "", Table5[[#This Row],[Per Person Package Cost]] * Table5[[#This Row],[No. of Pax]])</f>
        <v/>
      </c>
      <c r="AA1003" s="52"/>
      <c r="AB1003" s="52"/>
      <c r="AC1003" s="52"/>
      <c r="AD1003" s="52"/>
      <c r="AE1003" s="51" t="str">
        <f t="shared" si="85"/>
        <v/>
      </c>
      <c r="AF1003" s="51" t="str">
        <f t="shared" si="86"/>
        <v/>
      </c>
      <c r="AG1003" s="74" t="str">
        <f t="shared" si="87"/>
        <v/>
      </c>
      <c r="AH1003" s="73" t="str">
        <f t="shared" si="88"/>
        <v/>
      </c>
      <c r="AI1003" s="52"/>
      <c r="AJ1003" s="56"/>
      <c r="AK1003" s="59"/>
      <c r="AL1003" s="60"/>
      <c r="AM1003" s="54"/>
      <c r="AN1003" s="64"/>
      <c r="AO1003" s="26"/>
      <c r="AP1003" s="93"/>
      <c r="AQ1003" s="87"/>
      <c r="AR1003" s="26"/>
      <c r="AS1003" s="65"/>
      <c r="AT1003" s="88"/>
      <c r="AU1003" s="67"/>
      <c r="DA1003" t="str" cm="1">
        <f t="array" ref="DA1003">IF(U1003&lt;&gt;"", TRANSPOSE(_xlfn._xlws.FILTER(CZ:CZ, CY:CY=U1003, "")), "")</f>
        <v/>
      </c>
    </row>
    <row r="1004" spans="2:105">
      <c r="B1004" s="35">
        <v>1000</v>
      </c>
      <c r="C1004" s="36" t="s">
        <v>2869</v>
      </c>
      <c r="D1004" s="76"/>
      <c r="E1004" s="37" t="str">
        <f>IF(Table5[[#This Row],[Query Date]]&lt;&gt;"", TEXT(Table5[[#This Row],[Query Date]], "dddd"), "")</f>
        <v/>
      </c>
      <c r="F1004" s="37" t="str">
        <f>IF(Table5[[#This Row],[Query Date]]&lt;&gt;"", TEXT(Table5[[#This Row],[Query Date]], "mmmm"), "")</f>
        <v/>
      </c>
      <c r="G1004" s="28"/>
      <c r="H1004" s="28"/>
      <c r="I1004" s="28"/>
      <c r="J1004" s="28"/>
      <c r="K1004" s="28"/>
      <c r="L1004" s="25"/>
      <c r="M1004" s="25"/>
      <c r="N1004" s="25"/>
      <c r="O1004" s="130"/>
      <c r="P1004" s="47"/>
      <c r="Q1004" s="77"/>
      <c r="R1004" s="77"/>
      <c r="S1004" s="77"/>
      <c r="T1004" s="25"/>
      <c r="U1004" s="28"/>
      <c r="V1004" s="37" t="str">
        <f>IF(Table5[[#This Row],[Tour Starting Date]]&lt;&gt;"", TEXT(Table5[[#This Row],[Tour Starting Date]], "mmmm"), "")</f>
        <v/>
      </c>
      <c r="W1004" s="80" t="str" cm="1">
        <f t="array" ref="W1004">IF(Q1004&lt;&gt;"", INDEX(CI:CI, MATCH(1, (Q1004&gt;=CG:CG)*(Q1004&lt;=CH:CH), 0)), "")</f>
        <v/>
      </c>
      <c r="X1004" s="39"/>
      <c r="Y1004" s="74"/>
      <c r="Z1004" s="74" t="str">
        <f>IF(OR(Table5[[#This Row],[Per Person Package Cost]]="", Table5[[#This Row],[No. of Pax]]=""), "", Table5[[#This Row],[Per Person Package Cost]] * Table5[[#This Row],[No. of Pax]])</f>
        <v/>
      </c>
      <c r="AA1004" s="52"/>
      <c r="AB1004" s="52"/>
      <c r="AC1004" s="52"/>
      <c r="AD1004" s="52"/>
      <c r="AE1004" s="51" t="str">
        <f t="shared" si="85"/>
        <v/>
      </c>
      <c r="AF1004" s="51" t="str">
        <f t="shared" si="86"/>
        <v/>
      </c>
      <c r="AG1004" s="74" t="str">
        <f t="shared" si="87"/>
        <v/>
      </c>
      <c r="AH1004" s="73" t="str">
        <f t="shared" si="88"/>
        <v/>
      </c>
      <c r="AI1004" s="52"/>
      <c r="AJ1004" s="56"/>
      <c r="AK1004" s="59"/>
      <c r="AL1004" s="60"/>
      <c r="AM1004" s="54"/>
      <c r="AN1004" s="64"/>
      <c r="AO1004" s="26"/>
      <c r="AP1004" s="93"/>
      <c r="AQ1004" s="87"/>
      <c r="AR1004" s="26"/>
      <c r="AS1004" s="65"/>
      <c r="AT1004" s="88"/>
      <c r="AU1004" s="67"/>
      <c r="DA1004" t="str" cm="1">
        <f t="array" ref="DA1004">IF(U1004&lt;&gt;"", TRANSPOSE(_xlfn._xlws.FILTER(CZ:CZ, CY:CY=U1004, "")), "")</f>
        <v/>
      </c>
    </row>
  </sheetData>
  <sheetProtection algorithmName="SHA-512" hashValue="PAp0/eSGZx6BMggUehgb/CebvJP+ANyyOw4vUsJscFJ6UhiID5II52GzdvEZi0BbY3+Yr4vUPfKM6J7umRmcfg==" saltValue="OjLiuDj3nKQU9L6rJBOI7A==" spinCount="100000" sheet="1" objects="1" scenarios="1" insertHyperlinks="0" autoFilter="0" pivotTables="0"/>
  <protectedRanges>
    <protectedRange sqref="N202 N203:O204 P190:Q204 N190:O201 G5:Q189 G190:M204 AD5:AD255 AE267 AD257:AD267 AD268:AE268 AA5:AC270 AD269:AD270 X5:Y1004 S5:S1004 D5:D1004 G205:Q1004 AA271:AD1004" name="Query Data Range"/>
    <protectedRange sqref="AI5:AU1004" name="Other Range"/>
  </protectedRanges>
  <mergeCells count="5">
    <mergeCell ref="C3:X3"/>
    <mergeCell ref="AK3:AM3"/>
    <mergeCell ref="AN3:AP3"/>
    <mergeCell ref="AQ3:AS3"/>
    <mergeCell ref="Y3:AH3"/>
  </mergeCells>
  <phoneticPr fontId="4" type="noConversion"/>
  <conditionalFormatting sqref="B5:AC5 D196:L196 N196:T196 U6:U227 D197:T201 P202:T202 D202:N202 B6:C1004 AD5:AU193 V6:AC193 D6:T195 D203:T227 V194:AU227 D257:M257 D228:AU255 D256:AC256 AE256:AU256 O257:AU257 D258:AU299 D300:L300 N300:AU300 D301:AU1004">
    <cfRule type="expression" dxfId="65" priority="5" stopIfTrue="1">
      <formula>$AT5="WIN"</formula>
    </cfRule>
  </conditionalFormatting>
  <conditionalFormatting sqref="AK5:AK1004">
    <cfRule type="containsText" dxfId="64" priority="13" operator="containsText" text="Ack">
      <formula>NOT(ISERROR(SEARCH("Ack",AK5)))</formula>
    </cfRule>
  </conditionalFormatting>
  <conditionalFormatting sqref="AL45">
    <cfRule type="containsText" dxfId="63" priority="26" operator="containsText" text="Yes">
      <formula>NOT(ISERROR(SEARCH("Yes",AL45)))</formula>
    </cfRule>
  </conditionalFormatting>
  <conditionalFormatting sqref="AM45 AL5:AM44">
    <cfRule type="containsText" dxfId="62" priority="28" operator="containsText" text="Yes">
      <formula>NOT(ISERROR(SEARCH("Yes",AL5)))</formula>
    </cfRule>
  </conditionalFormatting>
  <conditionalFormatting sqref="AL46:AM1004">
    <cfRule type="containsText" dxfId="61" priority="12" operator="containsText" text="Yes">
      <formula>NOT(ISERROR(SEARCH("Yes",AL46)))</formula>
    </cfRule>
  </conditionalFormatting>
  <conditionalFormatting sqref="AR232:AS232 AN232:AN233 AO233:AS233 AN5:AS231 AN234:AS1004">
    <cfRule type="cellIs" dxfId="60" priority="8" operator="equal">
      <formula>$AO$2</formula>
    </cfRule>
  </conditionalFormatting>
  <conditionalFormatting sqref="AO232:AQ232">
    <cfRule type="containsText" dxfId="59" priority="43" operator="containsText" text="Yes">
      <formula>NOT(ISERROR(SEARCH("Yes",AO232)))</formula>
    </cfRule>
  </conditionalFormatting>
  <conditionalFormatting sqref="AT5:AT44">
    <cfRule type="containsText" dxfId="58" priority="30" operator="containsText" text="WIN">
      <formula>NOT(ISERROR(SEARCH("WIN",AT5)))</formula>
    </cfRule>
    <cfRule type="containsText" dxfId="57" priority="31" operator="containsText" text="Lost">
      <formula>NOT(ISERROR(SEARCH("Lost",AT5)))</formula>
    </cfRule>
  </conditionalFormatting>
  <conditionalFormatting sqref="AT5:AT1004">
    <cfRule type="containsText" dxfId="56" priority="11" operator="containsText" text="NURTURING">
      <formula>NOT(ISERROR(SEARCH("NURTURING",AT5)))</formula>
    </cfRule>
  </conditionalFormatting>
  <conditionalFormatting sqref="AT46:AT1004">
    <cfRule type="containsText" dxfId="55" priority="18" operator="containsText" text="WIN">
      <formula>NOT(ISERROR(SEARCH("WIN",AT46)))</formula>
    </cfRule>
    <cfRule type="containsText" dxfId="54" priority="19" operator="containsText" text="Lost">
      <formula>NOT(ISERROR(SEARCH("Lost",AT46)))</formula>
    </cfRule>
  </conditionalFormatting>
  <conditionalFormatting sqref="AD257">
    <cfRule type="expression" dxfId="53" priority="45" stopIfTrue="1">
      <formula>$AT256="WIN"</formula>
    </cfRule>
  </conditionalFormatting>
  <conditionalFormatting sqref="AD259:AD260">
    <cfRule type="expression" dxfId="52" priority="4" stopIfTrue="1">
      <formula>$AT258="WIN"</formula>
    </cfRule>
  </conditionalFormatting>
  <conditionalFormatting sqref="AD265:AD268">
    <cfRule type="expression" dxfId="51" priority="3" stopIfTrue="1">
      <formula>$AT264="WIN"</formula>
    </cfRule>
  </conditionalFormatting>
  <conditionalFormatting sqref="AD269:AD271">
    <cfRule type="expression" dxfId="50" priority="2" stopIfTrue="1">
      <formula>$AT268="WIN"</formula>
    </cfRule>
  </conditionalFormatting>
  <conditionalFormatting sqref="AD280">
    <cfRule type="expression" dxfId="49" priority="1" stopIfTrue="1">
      <formula>$AT279="WIN"</formula>
    </cfRule>
  </conditionalFormatting>
  <dataValidations count="22">
    <dataValidation type="list" allowBlank="1" showInputMessage="1" showErrorMessage="1" sqref="AI40:AI43 AI45:AI50" xr:uid="{4900536F-F94C-470B-937D-9A960ED8D89A}">
      <formula1>$BY$5:$BY$34</formula1>
    </dataValidation>
    <dataValidation type="list" allowBlank="1" showInputMessage="1" showErrorMessage="1" sqref="AO232:AQ232 AM5:AM1004" xr:uid="{00000000-0002-0000-0000-000006000000}">
      <formula1>$CB$5</formula1>
    </dataValidation>
    <dataValidation type="list" allowBlank="1" showInputMessage="1" showErrorMessage="1" sqref="AI44 AI1:AI39 AI51:AI1048576" xr:uid="{239CEF7D-1C74-414B-97D2-B833EF232EBC}">
      <formula1>$BY$5:$BY$17</formula1>
    </dataValidation>
    <dataValidation type="list" allowBlank="1" showInputMessage="1" showErrorMessage="1" sqref="AI394" xr:uid="{00000000-0002-0000-0000-000002000000}">
      <formula1>$BX$5:$BX$15</formula1>
    </dataValidation>
    <dataValidation type="list" allowBlank="1" showInputMessage="1" showErrorMessage="1" sqref="AJ5:AJ1004" xr:uid="{00000000-0002-0000-0000-00000B000000}">
      <formula1>$CK$5:$CK$7</formula1>
    </dataValidation>
    <dataValidation type="date" allowBlank="1" showInputMessage="1" showErrorMessage="1" sqref="Q5:Q1004 S5:S1004" xr:uid="{37543ACD-698F-49D5-990E-9189FBA343EF}">
      <formula1>46113</formula1>
      <formula2>46477</formula2>
    </dataValidation>
    <dataValidation allowBlank="1" showInputMessage="1" showErrorMessage="1" sqref="Y5:AB1004 E5:F1004" xr:uid="{00000000-0002-0000-0000-000009000000}"/>
    <dataValidation type="list" allowBlank="1" showInputMessage="1" showErrorMessage="1" sqref="AK5:AK1004" xr:uid="{00000000-0002-0000-0000-000004000000}">
      <formula1>$BZ$5</formula1>
    </dataValidation>
    <dataValidation type="list" allowBlank="1" showInputMessage="1" showErrorMessage="1" sqref="AL5:AL1004" xr:uid="{00000000-0002-0000-0000-000005000000}">
      <formula1>$CA$5</formula1>
    </dataValidation>
    <dataValidation type="list" allowBlank="1" showInputMessage="1" showErrorMessage="1" sqref="AT5:AT1004" xr:uid="{7EF6653E-8A68-4347-85A8-0D893AE7A915}">
      <formula1>$CC$5:$CC$7</formula1>
    </dataValidation>
    <dataValidation type="list" allowBlank="1" showInputMessage="1" showErrorMessage="1" sqref="X5:X1004" xr:uid="{41BC77A4-CA91-4E17-9226-FBA9526BBBF6}">
      <formula1>$BX$5:$BX$216</formula1>
    </dataValidation>
    <dataValidation type="list" allowBlank="1" showInputMessage="1" showErrorMessage="1" sqref="AU5:AU1004" xr:uid="{F80AC033-EFD9-4FA9-958E-3F426CC755FC}">
      <formula1>$CE$5:$CE$30</formula1>
    </dataValidation>
    <dataValidation type="list" allowBlank="1" showInputMessage="1" showErrorMessage="1" sqref="H5:H1004" xr:uid="{C71EFF74-ECED-414D-88CD-4B4B2AEB6DCA}">
      <formula1>$CQ$5:$CQ$20</formula1>
    </dataValidation>
    <dataValidation type="list" allowBlank="1" showInputMessage="1" showErrorMessage="1" sqref="L5:L1004" xr:uid="{B69DC584-5D3C-47DE-87F1-24A410FDE432}">
      <formula1>$BV$5:$BV$25</formula1>
    </dataValidation>
    <dataValidation type="list" allowBlank="1" showInputMessage="1" showErrorMessage="1" sqref="J5:J1004" xr:uid="{21A03551-BC55-437F-81EB-98CFD6D4FE9E}">
      <formula1>$CO$5:$CO$20</formula1>
    </dataValidation>
    <dataValidation type="list" allowBlank="1" showInputMessage="1" showErrorMessage="1" sqref="I5:I1004" xr:uid="{014C7141-8BC8-4DF1-B51A-08D0A1B131A8}">
      <formula1>$CP$5:$CP$20</formula1>
    </dataValidation>
    <dataValidation type="list" allowBlank="1" showInputMessage="1" showErrorMessage="1" sqref="AC5:AC1004" xr:uid="{D6ABE536-EF11-43DE-A7F6-C4B73B24509C}">
      <formula1>$CT$5:$CT$26</formula1>
    </dataValidation>
    <dataValidation type="list" allowBlank="1" showInputMessage="1" showErrorMessage="1" sqref="G5:G1004" xr:uid="{166BE3EE-0290-4F14-A6C9-CAFCBDE79414}">
      <formula1>$CF$5:$CF$9</formula1>
    </dataValidation>
    <dataValidation type="date" allowBlank="1" showInputMessage="1" showErrorMessage="1" sqref="D5:D1004" xr:uid="{51DB5415-1F03-439D-A2EC-3535BEB77875}">
      <formula1>45669</formula1>
      <formula2>46477</formula2>
    </dataValidation>
    <dataValidation type="list" allowBlank="1" showInputMessage="1" showErrorMessage="1" sqref="N76" xr:uid="{E484EBF8-FE4A-4F3E-AB88-B56DDB845536}">
      <formula1>$CN$5:$CN$372</formula1>
    </dataValidation>
    <dataValidation type="list" allowBlank="1" showInputMessage="1" showErrorMessage="1" sqref="AE267:AE268 AD5:AD1004" xr:uid="{F82F7A31-2AB1-43C9-9952-8E6C32398464}">
      <formula1>$CZ$5:$CZ$202</formula1>
    </dataValidation>
    <dataValidation type="list" allowBlank="1" showInputMessage="1" showErrorMessage="1" sqref="M1:M1048576" xr:uid="{DE3FE7A0-F940-4FC5-99A1-7644EC50DC28}">
      <formula1>$CN$5:$CN$477</formula1>
    </dataValidation>
  </dataValidations>
  <hyperlinks>
    <hyperlink ref="P5" r:id="rId1" xr:uid="{F2FF8161-4FD3-459F-BACD-A8E768AEBB5B}"/>
    <hyperlink ref="P6" r:id="rId2" xr:uid="{DBF37836-A345-4628-B294-F19AC356C3EB}"/>
    <hyperlink ref="P7" r:id="rId3" xr:uid="{B3C092DC-6D04-4886-AAF0-43B9B9524621}"/>
    <hyperlink ref="P8" r:id="rId4" xr:uid="{1B1E94F5-5140-4FD1-9117-9151657F68B6}"/>
    <hyperlink ref="P9" r:id="rId5" xr:uid="{8054E990-414E-4DF6-859E-2CB298DA6C86}"/>
    <hyperlink ref="P10" r:id="rId6" xr:uid="{88913108-ADD5-41CD-871A-C1574B3760AE}"/>
    <hyperlink ref="P12" r:id="rId7" xr:uid="{AB84CFC8-14C6-4D91-8787-0AF6038F7381}"/>
    <hyperlink ref="P13" r:id="rId8" xr:uid="{34E63768-75FF-4842-A95E-7931D2D1CD46}"/>
    <hyperlink ref="P14" r:id="rId9" xr:uid="{3B96D25F-E291-4543-A771-775F5453BF6F}"/>
    <hyperlink ref="P15" r:id="rId10" xr:uid="{46572844-13E4-4EF0-97C0-111E5E9618C4}"/>
    <hyperlink ref="P16" r:id="rId11" xr:uid="{6A17EB02-19A5-406B-B499-5B7704B756AF}"/>
    <hyperlink ref="P17" r:id="rId12" xr:uid="{E82AD1A3-F3B2-40BE-AB2C-A457820A92DD}"/>
    <hyperlink ref="P18" r:id="rId13" xr:uid="{CD661DCF-E78F-4773-9F0F-BE0581ED7B6F}"/>
    <hyperlink ref="P19" r:id="rId14" xr:uid="{52492A3B-E4B2-4510-AC62-6D43E9DF21FC}"/>
    <hyperlink ref="P20" r:id="rId15" xr:uid="{B744F5D4-FB1E-4459-99BD-24CB89CEBDA1}"/>
    <hyperlink ref="P21" r:id="rId16" xr:uid="{0D232A06-17B2-4C54-8207-53EF5985D393}"/>
    <hyperlink ref="P23" r:id="rId17" xr:uid="{DDD9ADC3-05C3-49F4-A5C0-1DF7C6C21E72}"/>
    <hyperlink ref="P24" r:id="rId18" xr:uid="{B79E5707-4ECD-42C9-8E77-3AA78AFCAEE6}"/>
    <hyperlink ref="P25" r:id="rId19" xr:uid="{D3F18D5A-5011-47BB-9AF6-BDCF993B100B}"/>
    <hyperlink ref="P26" r:id="rId20" xr:uid="{005BFB31-B5BE-43CF-A408-4266876E8D68}"/>
    <hyperlink ref="P27" r:id="rId21" xr:uid="{C81BD9B6-C2C8-4209-8CDB-3141370178CB}"/>
    <hyperlink ref="P28" r:id="rId22" xr:uid="{2ABE70EF-5F74-446B-96DC-487C7D37E5E8}"/>
    <hyperlink ref="P29" r:id="rId23" xr:uid="{E0C61BB9-E754-470C-824D-9A830E810E46}"/>
    <hyperlink ref="P30" r:id="rId24" xr:uid="{F4F923EA-6D56-48DD-A069-FB5327969B58}"/>
    <hyperlink ref="P31" r:id="rId25" xr:uid="{EDCFA32F-81ED-4291-AB2F-CF97063C7DEE}"/>
    <hyperlink ref="P32" r:id="rId26" xr:uid="{FC325769-2194-4A78-94A8-81AA494B7B0B}"/>
    <hyperlink ref="P33" r:id="rId27" xr:uid="{F5F5917C-AC7A-4E72-BA76-A1AFEE5FF0F8}"/>
    <hyperlink ref="P34" r:id="rId28" xr:uid="{8C2EC5E8-A18C-46B8-8D7D-ED163A54628F}"/>
    <hyperlink ref="P35" r:id="rId29" xr:uid="{D0884CF1-6891-425E-93AF-C2760050A57C}"/>
    <hyperlink ref="P36" r:id="rId30" xr:uid="{4E4F2794-317D-40AA-A556-D74CDC82B231}"/>
    <hyperlink ref="P38" r:id="rId31" xr:uid="{DAF12D89-8D4D-4B9B-9DBA-ADA3D03A7501}"/>
    <hyperlink ref="P39" r:id="rId32" xr:uid="{4CAA6EED-9CB8-4B73-AED0-D1F21E176D67}"/>
    <hyperlink ref="P40" r:id="rId33" xr:uid="{2AB08990-385D-4BC0-B92C-D405182D17C3}"/>
    <hyperlink ref="P42" r:id="rId34" xr:uid="{318C1CAB-C1A7-44C4-82CB-0A20A2C949B5}"/>
    <hyperlink ref="P43" r:id="rId35" xr:uid="{D0E3EC9D-29FE-4E5F-B690-9441C53F0469}"/>
    <hyperlink ref="P44" r:id="rId36" xr:uid="{F27A4CBE-49A1-4716-9507-96BFE988630F}"/>
    <hyperlink ref="P45" r:id="rId37" xr:uid="{D39B91F8-630A-4852-8F17-DB6CE5526A50}"/>
    <hyperlink ref="P46" r:id="rId38" xr:uid="{12B76FAC-B56C-4AF2-AEF5-3EC828A88FAE}"/>
    <hyperlink ref="P47" r:id="rId39" xr:uid="{640F06F3-F117-419C-8B0F-545C6E755F0E}"/>
    <hyperlink ref="P48" r:id="rId40" xr:uid="{3E207632-F5AA-4817-8A58-91676D3CD73B}"/>
    <hyperlink ref="P49" r:id="rId41" xr:uid="{1697D9E7-F994-4C2D-9D8F-BC7F2644BEAA}"/>
    <hyperlink ref="P50" r:id="rId42" xr:uid="{46699547-D02A-45EF-8BD0-DB5537A2F629}"/>
    <hyperlink ref="P51" r:id="rId43" xr:uid="{1AC5AF70-5B73-4247-B50E-EC7792DD8CF3}"/>
    <hyperlink ref="P59" r:id="rId44" xr:uid="{440FC14D-6047-4D3F-81E9-4493E25D377F}"/>
    <hyperlink ref="P60" r:id="rId45" xr:uid="{80278818-2073-4F7C-838E-F657004B687A}"/>
    <hyperlink ref="P61" r:id="rId46" xr:uid="{3FC04EEA-9EFD-4B97-8E16-E43225BE698E}"/>
    <hyperlink ref="P62" r:id="rId47" xr:uid="{2FC9C70C-CD2B-4EFA-AC8D-C56F6FBB5B65}"/>
    <hyperlink ref="P63" r:id="rId48" xr:uid="{E330FE50-F4CE-464F-96A1-D9A69450AACC}"/>
    <hyperlink ref="P64" r:id="rId49" xr:uid="{5AFCAD3C-E454-4A1B-A7B1-C9EDBDAB30AF}"/>
    <hyperlink ref="P65" r:id="rId50" xr:uid="{EF443742-9E54-46AE-A22F-C115BA40C4B1}"/>
    <hyperlink ref="P66" r:id="rId51" xr:uid="{F14228B3-67D3-4187-9ED7-DA79F04924D1}"/>
    <hyperlink ref="P67" r:id="rId52" xr:uid="{71411D23-65A4-4B47-87C0-E02B16C42BFC}"/>
    <hyperlink ref="P68" r:id="rId53" xr:uid="{92EC99F6-788E-4BE7-B46B-A82A23BD0292}"/>
    <hyperlink ref="P71" r:id="rId54" xr:uid="{7EF3D4EA-E5CE-4181-8D96-469A3EBA6A96}"/>
    <hyperlink ref="P72" r:id="rId55" xr:uid="{17C6E1F6-3A02-4B4E-B7C7-D067FB567ACC}"/>
    <hyperlink ref="P73" r:id="rId56" xr:uid="{FA3BFB60-60FE-4FE5-BAD5-539BA554D27D}"/>
    <hyperlink ref="P74" r:id="rId57" xr:uid="{17BE7DA3-6E26-4CA7-AD41-9533C7072679}"/>
    <hyperlink ref="P75" r:id="rId58" xr:uid="{DE1A55D0-A99C-4F97-A57C-51AEDB2029C8}"/>
    <hyperlink ref="P76" r:id="rId59" xr:uid="{98EF6B62-60FB-4A3C-83DA-B67B41C0164A}"/>
    <hyperlink ref="P77" r:id="rId60" xr:uid="{FA5D4433-1CD5-450F-A91E-6BF15091A68F}"/>
    <hyperlink ref="P78" r:id="rId61" xr:uid="{E8995BA1-1687-44BC-AF3D-169545B29922}"/>
    <hyperlink ref="P80" r:id="rId62" xr:uid="{64656CD4-6D23-4543-9E28-6B82BC497ADC}"/>
    <hyperlink ref="P81" r:id="rId63" xr:uid="{CEA86973-5977-4EA2-935E-E77B352D9E0B}"/>
    <hyperlink ref="P82" r:id="rId64" xr:uid="{1509F284-8C3A-45CA-914A-F1F9EFD8F249}"/>
    <hyperlink ref="P83" r:id="rId65" xr:uid="{386A0CF4-C005-4FBA-9068-932553318B05}"/>
    <hyperlink ref="P84" r:id="rId66" xr:uid="{87D69090-AB91-4F9D-A428-D9A0BC215899}"/>
    <hyperlink ref="P79" r:id="rId67" xr:uid="{52FB1F9A-F563-4A6B-A5FC-298DBD7B778F}"/>
    <hyperlink ref="P85" r:id="rId68" xr:uid="{38B34E17-C847-4364-9A4C-BA02D5EE6857}"/>
    <hyperlink ref="P86" r:id="rId69" xr:uid="{FF06D4C5-DB66-43CF-B98E-3D7A1A9AACEC}"/>
    <hyperlink ref="P87" r:id="rId70" xr:uid="{FF255D0C-3607-47BB-B8B8-1BA93471DACC}"/>
    <hyperlink ref="P88" r:id="rId71" xr:uid="{DCB7AF09-513F-4ADA-98AB-7EEA02E9214E}"/>
    <hyperlink ref="P89" r:id="rId72" xr:uid="{8AF205F7-3B7F-4BD1-9EE8-6D8D3D50FB40}"/>
    <hyperlink ref="P90" r:id="rId73" xr:uid="{CFE939A9-3268-4861-A1DC-521CCCA4CDFD}"/>
    <hyperlink ref="P92" r:id="rId74" xr:uid="{7101A811-B170-4734-BE5B-9D8D59BA4BAC}"/>
    <hyperlink ref="P93" r:id="rId75" xr:uid="{3B66E33B-6C51-40F0-B183-F282D1962A65}"/>
    <hyperlink ref="P94" r:id="rId76" xr:uid="{DD8D2A62-DDB4-4FA1-AC87-B451F161E0A9}"/>
    <hyperlink ref="P95" r:id="rId77" xr:uid="{E1DF8827-CEA2-44CF-99CE-544E0067168D}"/>
    <hyperlink ref="P96" r:id="rId78" xr:uid="{C7D36BE9-77E5-4BD8-8E15-70355CCF0951}"/>
    <hyperlink ref="P97" r:id="rId79" xr:uid="{DA432828-A8EA-4B62-B9A8-6B695E28E5BD}"/>
    <hyperlink ref="P98" r:id="rId80" xr:uid="{6F62A191-E9D2-4595-81DC-61AFB27D5079}"/>
    <hyperlink ref="P99" r:id="rId81" xr:uid="{890DA255-0043-4BBE-B1C7-2AF0A1160E14}"/>
    <hyperlink ref="P100" r:id="rId82" xr:uid="{7985E2E7-CE15-4592-9F87-80ED352641E8}"/>
    <hyperlink ref="P101" r:id="rId83" xr:uid="{70108692-8281-4871-A6F7-D1D5A4756345}"/>
    <hyperlink ref="P102" r:id="rId84" xr:uid="{58FD3FF8-DAA1-47EC-B058-069179F03C9A}"/>
    <hyperlink ref="P103" r:id="rId85" xr:uid="{F159B13F-2E80-4953-9AB5-83D0D5A3371B}"/>
    <hyperlink ref="P104" r:id="rId86" xr:uid="{AFA4818B-74B4-45AF-832C-064F2CACF184}"/>
    <hyperlink ref="P105" r:id="rId87" xr:uid="{DE581939-56AE-46D8-8D5D-5B0486AFCAF8}"/>
    <hyperlink ref="P106" r:id="rId88" xr:uid="{CBB67DD6-4C51-4570-B430-CE4BC704D86A}"/>
    <hyperlink ref="P107" r:id="rId89" xr:uid="{2EDBDACB-FE65-4128-820D-DB365B379873}"/>
    <hyperlink ref="P108" r:id="rId90" xr:uid="{3826C6B3-0B38-47DE-8E39-41BBB55D0821}"/>
    <hyperlink ref="P109" r:id="rId91" xr:uid="{B3F4A7B9-8E29-4E07-B51E-BDBAF7E3FF6F}"/>
    <hyperlink ref="P110" r:id="rId92" xr:uid="{AFD5F63F-EF1D-4279-AB5C-5C68726F26DC}"/>
    <hyperlink ref="P111" r:id="rId93" xr:uid="{999CB5E0-E8BC-4912-9A69-E81304716EC2}"/>
    <hyperlink ref="P112" r:id="rId94" xr:uid="{41E2D421-B7D9-4E40-824F-075DDFD35BF1}"/>
    <hyperlink ref="P113" r:id="rId95" xr:uid="{DFD1B1C3-B440-4B51-B231-050D3E427845}"/>
    <hyperlink ref="P114" r:id="rId96" xr:uid="{1506AAF0-E604-43A1-89FC-EDE70AE51E73}"/>
    <hyperlink ref="P115" r:id="rId97" xr:uid="{80F7C964-2EB4-4DFD-B4C5-8AFDE8ECF211}"/>
    <hyperlink ref="P116" r:id="rId98" xr:uid="{A10A48E0-B4E0-47EA-B7C5-CFA32E6DDC6B}"/>
    <hyperlink ref="P117" r:id="rId99" xr:uid="{2EFE173B-B8DC-4789-BE65-5D90D6481EBD}"/>
    <hyperlink ref="P118" r:id="rId100" xr:uid="{6F2AF62F-A4AC-4D75-A584-26F072DCF6DC}"/>
    <hyperlink ref="P119" r:id="rId101" xr:uid="{37175A92-EFA7-40BE-87A8-6F3BFCD036B2}"/>
    <hyperlink ref="P120" r:id="rId102" xr:uid="{ED89D18E-D440-4A33-9713-227541261E11}"/>
    <hyperlink ref="P121" r:id="rId103" xr:uid="{E8A662F5-8C92-45D3-A2B6-3F851B414E6F}"/>
    <hyperlink ref="P122" r:id="rId104" xr:uid="{AD5CFB36-686B-4E7B-92D9-8A20E72B6538}"/>
    <hyperlink ref="P123" r:id="rId105" xr:uid="{DF7ECC50-7B07-4C93-970C-519446951679}"/>
    <hyperlink ref="P124" r:id="rId106" xr:uid="{2E99A929-14AA-4F54-BCC3-B9B072663304}"/>
    <hyperlink ref="P125" r:id="rId107" xr:uid="{4C3FB9E6-F1D4-4943-9E4C-0448F482E0FD}"/>
    <hyperlink ref="P126" r:id="rId108" xr:uid="{5808B1AF-9B5E-4A3E-8508-8A08F09C41CB}"/>
    <hyperlink ref="P127" r:id="rId109" xr:uid="{4D87B29E-1216-4DE9-AF10-9E4C779FDCAC}"/>
    <hyperlink ref="P129" r:id="rId110" xr:uid="{BE0D53EE-F0BA-434C-A0CF-359395E19CBD}"/>
    <hyperlink ref="P128" r:id="rId111" xr:uid="{41140C33-6A9F-4E1E-A079-119A338E7F60}"/>
    <hyperlink ref="P130" r:id="rId112" xr:uid="{7683FF74-D96D-4E2C-8E01-5490C5BE8073}"/>
    <hyperlink ref="P131" r:id="rId113" xr:uid="{9649CD45-6018-470E-BEFF-AE3B7634DC74}"/>
    <hyperlink ref="P132" r:id="rId114" xr:uid="{B3DACA06-C79C-42DF-AB12-19AF890C2D82}"/>
    <hyperlink ref="P133" r:id="rId115" xr:uid="{1AD46846-74D3-4399-BA0B-A9EBD776F16E}"/>
    <hyperlink ref="P134" r:id="rId116" xr:uid="{7C5D5714-9649-4E22-AE0A-CC1C4F108E40}"/>
    <hyperlink ref="P135" r:id="rId117" xr:uid="{990AD07C-C389-4B23-91C5-25965FAD5237}"/>
    <hyperlink ref="P136" r:id="rId118" xr:uid="{9418EBB6-A97D-42A6-B52B-D2F5A8302798}"/>
    <hyperlink ref="P137" r:id="rId119" xr:uid="{89DC9B54-FC65-4F21-BDC9-508C61797321}"/>
    <hyperlink ref="P138" r:id="rId120" xr:uid="{12FA85E0-4E5A-4C09-8BE2-21029BA7762C}"/>
    <hyperlink ref="P139" r:id="rId121" xr:uid="{FC4567E1-FEA4-4E4E-9921-FD3AD2785793}"/>
    <hyperlink ref="P150" r:id="rId122" xr:uid="{D3CB4C5E-D561-4B5E-91D8-DCBB6705A0F3}"/>
    <hyperlink ref="P156" r:id="rId123" xr:uid="{1D1C2FAF-FE7A-4522-B970-ED10F8CC2DDB}"/>
    <hyperlink ref="P157" r:id="rId124" xr:uid="{E8A22DB3-5EEA-411C-8079-67CED2CCE44E}"/>
    <hyperlink ref="P158" r:id="rId125" xr:uid="{792B49C4-447C-4E59-9D18-A7ED45372800}"/>
    <hyperlink ref="P159" r:id="rId126" xr:uid="{BC1170AD-A069-485D-BACF-BE1C9A8E27F2}"/>
    <hyperlink ref="P160" r:id="rId127" xr:uid="{F489F424-FADA-4C36-9558-005DCCDED601}"/>
    <hyperlink ref="P164" r:id="rId128" xr:uid="{17A05369-B8BA-4734-B3FD-837B4A941071}"/>
    <hyperlink ref="P165" r:id="rId129" xr:uid="{6B7A26CF-F5DE-4D54-A9E2-AA5873DCF032}"/>
    <hyperlink ref="P176" r:id="rId130" xr:uid="{17953322-441E-4ACC-8FF3-D09529532891}"/>
    <hyperlink ref="P178" r:id="rId131" xr:uid="{FF6EDD19-C9F8-4655-A144-3FD85004B2FB}"/>
    <hyperlink ref="P180" r:id="rId132" xr:uid="{F1429674-3F37-4DF3-AD14-CACBF844FDE8}"/>
    <hyperlink ref="P181" r:id="rId133" xr:uid="{7C46FD31-E086-4803-923D-77B21740AA89}"/>
    <hyperlink ref="P182" r:id="rId134" xr:uid="{CCCAC23E-C9FC-4EC1-95B9-F744B5374466}"/>
    <hyperlink ref="P183" r:id="rId135" xr:uid="{E431A403-B17D-4C99-B596-5F39A0DB9E42}"/>
    <hyperlink ref="P184" r:id="rId136" xr:uid="{E8BDA3C3-0B04-4FE7-92A7-0C42A52B103D}"/>
    <hyperlink ref="P185" r:id="rId137" xr:uid="{A169DDC2-6531-406F-BE38-E963A8B646A1}"/>
    <hyperlink ref="P186" r:id="rId138" xr:uid="{A01ED827-4011-41EC-9B0A-FF37C48FA29D}"/>
    <hyperlink ref="P187" r:id="rId139" xr:uid="{D3B70741-954D-4089-B378-4EEEDD446C1B}"/>
    <hyperlink ref="P188" r:id="rId140" xr:uid="{5E2A43F3-8A61-44BE-B11C-BE99998AD917}"/>
    <hyperlink ref="P189" r:id="rId141" xr:uid="{36C90BE3-364F-4F26-B6B1-E8C8D680E96D}"/>
    <hyperlink ref="P191" r:id="rId142" xr:uid="{FFB89161-9D06-4B5A-8C24-686F60EC16C1}"/>
    <hyperlink ref="P196" r:id="rId143" xr:uid="{39694AF7-7D02-48D8-9870-9D1D8433063D}"/>
    <hyperlink ref="P197" r:id="rId144" xr:uid="{32C7E6E3-2CE3-43F0-8471-B4C9C04A2DDB}"/>
    <hyperlink ref="P198" r:id="rId145" xr:uid="{4203E945-2408-41FD-BE85-4919AEB61E26}"/>
    <hyperlink ref="P203" r:id="rId146" xr:uid="{C342FB3C-9209-42A0-A916-78D41A675F54}"/>
    <hyperlink ref="P204" r:id="rId147" xr:uid="{B1F3C711-6E0B-4F34-91F8-F5C5CF361B20}"/>
    <hyperlink ref="P205" r:id="rId148" xr:uid="{B7E54168-F035-4D47-A0F3-7F483B198137}"/>
    <hyperlink ref="P206" r:id="rId149" xr:uid="{B4556615-71B0-4850-A8A3-4E5187789D63}"/>
    <hyperlink ref="P207" r:id="rId150" xr:uid="{042AB98B-E89B-4B6B-AAEB-51FACCA46B74}"/>
    <hyperlink ref="P209" r:id="rId151" xr:uid="{0B341203-5CBC-432A-A3D8-F7830E25D79D}"/>
    <hyperlink ref="P214" r:id="rId152" xr:uid="{A5A91961-381D-4B25-BDB4-F3235A3B2D37}"/>
    <hyperlink ref="P215" r:id="rId153" xr:uid="{5B9239C7-24A8-41CE-A45E-2D96496F515A}"/>
    <hyperlink ref="P217" r:id="rId154" xr:uid="{48A40DEC-88B9-4287-BFB9-C7DA3BE9BE16}"/>
    <hyperlink ref="P218" r:id="rId155" xr:uid="{E4C11114-963C-4429-9D88-32CD546B3003}"/>
    <hyperlink ref="P219" r:id="rId156" xr:uid="{FC4A5774-42FD-4F99-A259-777D0258DAFB}"/>
    <hyperlink ref="P220" r:id="rId157" xr:uid="{79643C0E-F383-4B93-8EF2-7C76352B814F}"/>
    <hyperlink ref="P221" r:id="rId158" xr:uid="{D8A54CDE-C735-4C0E-AE94-3506E39E166A}"/>
    <hyperlink ref="P222" r:id="rId159" xr:uid="{EFA5D977-C7CA-4A6A-84B2-0E95AE1A19E5}"/>
    <hyperlink ref="P223" r:id="rId160" xr:uid="{E2B22FD1-6314-4A3E-BA5E-192615B6CAF3}"/>
    <hyperlink ref="P224" r:id="rId161" xr:uid="{C328F74C-4E3D-4D5D-A431-C4B12CBF4F34}"/>
    <hyperlink ref="P233" r:id="rId162" xr:uid="{5EF611C2-1287-4389-8C5B-096B2F971B00}"/>
    <hyperlink ref="P232" r:id="rId163" display="naturalblissholidays@gmail.com" xr:uid="{8ACD35FB-B44A-46A4-A3B0-085AA3779419}"/>
    <hyperlink ref="P241" r:id="rId164" display="naturalblissholidays@gmail.com" xr:uid="{C775D773-CBF4-4F28-8423-8081E2B71F8D}"/>
    <hyperlink ref="P242" r:id="rId165" xr:uid="{E26071A5-1066-4DD8-B478-DAFDACA43D3B}"/>
    <hyperlink ref="P243" r:id="rId166" xr:uid="{CE771E8E-5E1B-42B7-BA31-94503B3F7E12}"/>
    <hyperlink ref="P244" r:id="rId167" xr:uid="{6D28110E-F8C8-4538-9F8A-F50A666813C6}"/>
    <hyperlink ref="P245" r:id="rId168" xr:uid="{B9A3AF45-4FE2-4289-9A08-61D2E7E34546}"/>
    <hyperlink ref="P246" r:id="rId169" display="naturalblissholidays@gmail.com" xr:uid="{D28414E9-C659-440F-A6E9-28828DAB0730}"/>
    <hyperlink ref="P247" r:id="rId170" display="naturalblissholidays@gmail.com" xr:uid="{21007455-0BC3-4BFA-AAD8-5179AD417215}"/>
    <hyperlink ref="P249" r:id="rId171" display="naturalblissholidays@gmail.com" xr:uid="{0FA53482-B394-4721-B48C-376AA24EDBFA}"/>
    <hyperlink ref="P250" r:id="rId172" display="naturalblissholidays@gmail.com" xr:uid="{245DE364-0975-4D1E-A2F7-B6051A586D7A}"/>
    <hyperlink ref="P254" r:id="rId173" xr:uid="{483FE22D-D530-49D5-97B5-D098DDF24492}"/>
    <hyperlink ref="P255" r:id="rId174" xr:uid="{B9D7199E-EB09-4714-82E4-67BD01FE09B7}"/>
    <hyperlink ref="P256" r:id="rId175" xr:uid="{23F28C28-36C8-4212-8948-79C7035012A4}"/>
    <hyperlink ref="P257" r:id="rId176" xr:uid="{ADA10D82-720D-49A0-BF43-DA42C4A72939}"/>
    <hyperlink ref="P261" r:id="rId177" xr:uid="{0698247C-A31B-471E-932D-9229524CEF12}"/>
    <hyperlink ref="P262" r:id="rId178" xr:uid="{9BD77C11-BD26-45C6-9EC4-8456DB4C7B89}"/>
    <hyperlink ref="P263" r:id="rId179" xr:uid="{80043F87-6921-47E6-91AA-5B2CB307BBE0}"/>
    <hyperlink ref="P264" r:id="rId180" xr:uid="{73C00AB1-44D4-4A50-85DE-B8DCDC17E2D5}"/>
    <hyperlink ref="P271" r:id="rId181" xr:uid="{7502FC41-723E-4215-9B77-36E231B3C4CA}"/>
    <hyperlink ref="P272" r:id="rId182" xr:uid="{39086433-811A-4DC4-AC99-6AE40B2F361C}"/>
    <hyperlink ref="P273" r:id="rId183" xr:uid="{E98C931B-9BBC-4B1A-B0DB-C16E6B4B8B30}"/>
    <hyperlink ref="P274" r:id="rId184" xr:uid="{E65D6344-C687-46F4-87BC-11B1929A7113}"/>
    <hyperlink ref="P278" r:id="rId185" xr:uid="{67D824E6-1CD2-4C2F-97D3-2F90A98175F9}"/>
    <hyperlink ref="P279" r:id="rId186" xr:uid="{1A44377A-8585-4FE8-8A91-ED7E5291899F}"/>
    <hyperlink ref="P280" r:id="rId187" xr:uid="{5610C8F3-9F21-499B-A96C-8CD5BC586048}"/>
    <hyperlink ref="P281" r:id="rId188" xr:uid="{95378591-D170-456E-9162-E405B6ACB0EA}"/>
    <hyperlink ref="P282" r:id="rId189" xr:uid="{E4251C7C-E596-42DB-9E14-9A71190F9230}"/>
    <hyperlink ref="P284" r:id="rId190" xr:uid="{D13E1DB0-E5EE-46B8-A711-3BC75A2E43C2}"/>
    <hyperlink ref="P285" r:id="rId191" xr:uid="{B05938BF-14A6-43E3-8AB6-6DF70069B238}"/>
    <hyperlink ref="P286" r:id="rId192" xr:uid="{E3F54DAF-03F4-4285-B89D-8B5DD3A4A3DF}"/>
    <hyperlink ref="P287" r:id="rId193" xr:uid="{D70140BF-819C-49B1-A7C0-3D62151A9CFC}"/>
    <hyperlink ref="P289" r:id="rId194" xr:uid="{CD78FF0C-1846-44C7-9345-75B3C0D6B87C}"/>
    <hyperlink ref="P288" r:id="rId195" xr:uid="{1372E17D-AC73-4A30-B455-4FF5C5A9D5B6}"/>
    <hyperlink ref="P293" r:id="rId196" xr:uid="{A17A9CCC-B605-4A19-93A1-315CDDA56B36}"/>
    <hyperlink ref="P292" r:id="rId197" xr:uid="{8510809E-395E-40A1-93E2-C7C1EC5AAA1A}"/>
    <hyperlink ref="P295" r:id="rId198" xr:uid="{3D6571AD-5C1A-4078-97CF-3AC3557BDC09}"/>
    <hyperlink ref="P296" r:id="rId199" xr:uid="{E2DAEDF5-57B1-47D3-A062-515904F4E9A0}"/>
    <hyperlink ref="P297" r:id="rId200" xr:uid="{37EA657F-F2C3-4F57-B09F-34B0F448D1A2}"/>
    <hyperlink ref="P298" r:id="rId201" xr:uid="{A5D5A5C2-D9BA-49CA-A9EB-6A34995B8492}"/>
    <hyperlink ref="P299" r:id="rId202" xr:uid="{1058C200-86FB-4F15-B294-B41FED744669}"/>
    <hyperlink ref="P300" r:id="rId203" xr:uid="{BD50FE56-E97F-4DF3-B7BE-77B212BF5579}"/>
    <hyperlink ref="P301" r:id="rId204" xr:uid="{DE9AC720-93AA-4923-8050-9B05F4493DCB}"/>
    <hyperlink ref="P302" r:id="rId205" xr:uid="{86C2D4F3-DF81-48E4-9894-A44488D22217}"/>
    <hyperlink ref="P303" r:id="rId206" xr:uid="{71AF0D56-C628-490D-B895-0E1FC2873E26}"/>
    <hyperlink ref="P304" r:id="rId207" xr:uid="{C771BFBE-C8A9-4B27-A72B-648CF59A2BA7}"/>
    <hyperlink ref="P305" r:id="rId208" xr:uid="{ADEB822E-C355-40C2-85DA-21AF830C161A}"/>
    <hyperlink ref="P306" r:id="rId209" xr:uid="{FAC5C08C-FC38-4A91-B514-C80B7AA52099}"/>
    <hyperlink ref="P307" r:id="rId210" xr:uid="{B14AF982-81E9-4F0C-AA0E-31689D4DB885}"/>
    <hyperlink ref="P308" r:id="rId211" xr:uid="{EB056D27-032C-4B8C-9D75-221FC8984B1E}"/>
    <hyperlink ref="P309" r:id="rId212" xr:uid="{BC182CC8-3D3F-42BD-96B0-834993122BFF}"/>
    <hyperlink ref="P310" r:id="rId213" xr:uid="{58CC0574-A99C-464D-9A32-8547BA8097F0}"/>
    <hyperlink ref="P311" r:id="rId214" xr:uid="{767C4E0E-3ACA-4B2F-AE20-DF5D8A86CA23}"/>
    <hyperlink ref="P312" r:id="rId215" xr:uid="{79E3004F-DC1F-4E8D-AD0B-94E8B164282E}"/>
    <hyperlink ref="P313" r:id="rId216" xr:uid="{5ED921B6-0E01-44CF-BA50-D69308574C4C}"/>
    <hyperlink ref="P314" r:id="rId217" xr:uid="{5A6AAE1F-2570-4569-B147-2F9EF2C7E166}"/>
    <hyperlink ref="P315" r:id="rId218" xr:uid="{CB834284-6FAE-4BD7-82B6-F001098F078D}"/>
    <hyperlink ref="P326" r:id="rId219" xr:uid="{89B2B203-C648-4923-8CA9-2E0BD4507DCD}"/>
    <hyperlink ref="P327" r:id="rId220" xr:uid="{34BC94A3-A18E-4A21-93FC-FB847F4F4F6E}"/>
    <hyperlink ref="P328" r:id="rId221" xr:uid="{21FA7460-FDC5-4A13-8063-969011047723}"/>
    <hyperlink ref="P329" r:id="rId222" xr:uid="{6F54E549-C6AC-4627-9DEC-CE91AB2EE274}"/>
    <hyperlink ref="P330" r:id="rId223" xr:uid="{AEBAEE1D-030D-4F56-AFC4-3E4649F39526}"/>
    <hyperlink ref="P331" r:id="rId224" xr:uid="{ECA3106D-A490-4F71-A4A4-AAC8D6E4C063}"/>
    <hyperlink ref="P332" r:id="rId225" xr:uid="{EB12BAD0-66D3-4456-8EC2-A5957A19C97A}"/>
    <hyperlink ref="P277" r:id="rId226" xr:uid="{01A7F924-9790-4C7F-97A3-6A50BBB1B1C7}"/>
    <hyperlink ref="P333" r:id="rId227" xr:uid="{324A875A-62C0-4587-A592-BEDB0CC02839}"/>
    <hyperlink ref="P334" r:id="rId228" xr:uid="{BCC6C745-4909-4007-98B6-5F18AFA2C0AE}"/>
    <hyperlink ref="P335" r:id="rId229" xr:uid="{E8462C1E-8BE2-4B61-B212-7374D372D38E}"/>
    <hyperlink ref="P336" r:id="rId230" xr:uid="{2525A714-4620-44E0-A243-56DD69BEF317}"/>
    <hyperlink ref="P337" r:id="rId231" xr:uid="{138CDD26-D22A-43EC-A791-6AD545E2AB82}"/>
    <hyperlink ref="P338" r:id="rId232" xr:uid="{434B193F-C069-4954-9B58-B8092D76459B}"/>
    <hyperlink ref="P339" r:id="rId233" xr:uid="{4764350C-4DFB-43F9-AC9A-B3B66D110D5E}"/>
    <hyperlink ref="P340" r:id="rId234" xr:uid="{CA835678-A485-407D-BBB1-161111599505}"/>
    <hyperlink ref="P341" r:id="rId235" xr:uid="{6DD2E4DD-6E60-4491-BDE2-7AEB0260B08E}"/>
    <hyperlink ref="P342" r:id="rId236" xr:uid="{B293C486-D5DB-4AD3-B8A8-D3E2690770E3}"/>
    <hyperlink ref="P343" r:id="rId237" xr:uid="{2AEE1EAA-0C4F-46A2-BB0E-1754B8C69D99}"/>
    <hyperlink ref="P344" r:id="rId238" xr:uid="{835A56F0-8292-4097-8308-A3534C9AC57B}"/>
    <hyperlink ref="P345" r:id="rId239" xr:uid="{0994ABAB-88A1-47BD-95DF-C016E23E7E87}"/>
    <hyperlink ref="P346" r:id="rId240" xr:uid="{1B7AA867-B4A7-49F1-A32B-16379BCB0F74}"/>
    <hyperlink ref="P347" r:id="rId241" xr:uid="{CB253497-C675-48F6-B239-B0948A8524A4}"/>
    <hyperlink ref="P348" r:id="rId242" xr:uid="{9A35A8BC-CB99-4C3B-95B9-706417C6E418}"/>
    <hyperlink ref="P349" r:id="rId243" xr:uid="{9D657CF3-EE74-4526-BC95-7DF674A79134}"/>
    <hyperlink ref="P350" r:id="rId244" xr:uid="{41F79845-1301-4EFA-8013-414E4AAA4A0A}"/>
    <hyperlink ref="P351" r:id="rId245" xr:uid="{CD654E6F-0B01-4830-BBA5-798DCEA0FFD5}"/>
    <hyperlink ref="P352" r:id="rId246" xr:uid="{365BA9E9-8E05-4ABB-A33E-D18A65254CEE}"/>
    <hyperlink ref="P354" r:id="rId247" xr:uid="{A04E2830-28EB-4D0C-ADD1-16BC61E7D81A}"/>
    <hyperlink ref="P355" r:id="rId248" xr:uid="{6F530455-B45A-48D4-A46D-D2BC01C7E3C2}"/>
    <hyperlink ref="P356" r:id="rId249" xr:uid="{FF94C352-96F2-4C39-AFAA-0CCB4C6D38D2}"/>
    <hyperlink ref="P358" r:id="rId250" xr:uid="{39D8184C-41A6-4A81-82D3-480C9EDEEA53}"/>
    <hyperlink ref="CN422" r:id="rId251" display="skyplanner.co.in@gmail.com" xr:uid="{988EBF6E-2F79-4C67-A5DF-894CD7EC8ADB}"/>
    <hyperlink ref="P359" r:id="rId252" xr:uid="{6323D9FD-875B-41EF-9DF5-1508757E36EE}"/>
    <hyperlink ref="P360" r:id="rId253" xr:uid="{4C4C035F-08ED-41D9-9FAD-CFA2D9E8CFB8}"/>
  </hyperlinks>
  <pageMargins left="0.7" right="0.7" top="0.75" bottom="0.75" header="0.3" footer="0.3"/>
  <pageSetup paperSize="9" scale="10" orientation="landscape" horizontalDpi="0" verticalDpi="0" r:id="rId254"/>
  <ignoredErrors>
    <ignoredError sqref="W86" evalError="1"/>
  </ignoredErrors>
  <legacyDrawing r:id="rId255"/>
  <tableParts count="1">
    <tablePart r:id="rId25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0FD9C-B0C6-4B3F-93D8-57F8130CEA3D}">
  <sheetPr>
    <pageSetUpPr fitToPage="1"/>
  </sheetPr>
  <dimension ref="A2:CV2006"/>
  <sheetViews>
    <sheetView showGridLines="0" topLeftCell="AJ1" workbookViewId="0">
      <selection activeCell="Y5" sqref="Y5"/>
    </sheetView>
  </sheetViews>
  <sheetFormatPr defaultRowHeight="14.45"/>
  <cols>
    <col min="1" max="1" width="19.42578125" bestFit="1" customWidth="1"/>
    <col min="2" max="2" width="19" bestFit="1" customWidth="1"/>
    <col min="3" max="3" width="18.140625" bestFit="1" customWidth="1"/>
    <col min="4" max="4" width="25.7109375" bestFit="1" customWidth="1"/>
    <col min="5" max="5" width="18.140625" bestFit="1" customWidth="1"/>
    <col min="6" max="6" width="25.7109375" bestFit="1" customWidth="1"/>
    <col min="7" max="7" width="18.140625" bestFit="1" customWidth="1"/>
    <col min="8" max="8" width="25.7109375" bestFit="1" customWidth="1"/>
    <col min="9" max="9" width="18.140625" bestFit="1" customWidth="1"/>
    <col min="10" max="10" width="25.7109375" bestFit="1" customWidth="1"/>
    <col min="11" max="11" width="23.140625" bestFit="1" customWidth="1"/>
    <col min="12" max="12" width="30.85546875" bestFit="1" customWidth="1"/>
    <col min="13" max="13" width="23.140625" bestFit="1" customWidth="1"/>
    <col min="14" max="14" width="30.85546875" bestFit="1" customWidth="1"/>
    <col min="23" max="23" width="16" bestFit="1" customWidth="1"/>
    <col min="24" max="24" width="19" bestFit="1" customWidth="1"/>
    <col min="25" max="25" width="18.140625" bestFit="1" customWidth="1"/>
    <col min="26" max="26" width="11.140625" bestFit="1" customWidth="1"/>
    <col min="27" max="27" width="15.140625" bestFit="1" customWidth="1"/>
    <col min="28" max="28" width="4.85546875" bestFit="1" customWidth="1"/>
    <col min="29" max="29" width="11.42578125" bestFit="1" customWidth="1"/>
    <col min="30" max="30" width="15.42578125" bestFit="1" customWidth="1"/>
    <col min="31" max="31" width="11.42578125" bestFit="1" customWidth="1"/>
    <col min="37" max="37" width="19" bestFit="1" customWidth="1"/>
    <col min="38" max="38" width="18.140625" bestFit="1" customWidth="1"/>
    <col min="39" max="39" width="25.7109375" bestFit="1" customWidth="1"/>
    <col min="40" max="40" width="18.140625" bestFit="1" customWidth="1"/>
    <col min="41" max="41" width="25.7109375" bestFit="1" customWidth="1"/>
    <col min="42" max="42" width="18.140625" bestFit="1" customWidth="1"/>
    <col min="43" max="43" width="25.7109375" bestFit="1" customWidth="1"/>
    <col min="44" max="44" width="18.140625" bestFit="1" customWidth="1"/>
    <col min="45" max="45" width="25.7109375" bestFit="1" customWidth="1"/>
    <col min="46" max="46" width="23.140625" bestFit="1" customWidth="1"/>
    <col min="47" max="47" width="30.85546875" bestFit="1" customWidth="1"/>
    <col min="48" max="48" width="23.140625" bestFit="1" customWidth="1"/>
    <col min="49" max="49" width="30.85546875" bestFit="1" customWidth="1"/>
    <col min="50" max="50" width="23.140625" bestFit="1" customWidth="1"/>
    <col min="51" max="51" width="30.85546875" bestFit="1" customWidth="1"/>
    <col min="53" max="53" width="16" bestFit="1" customWidth="1"/>
    <col min="54" max="54" width="18.140625" bestFit="1" customWidth="1"/>
    <col min="55" max="55" width="25.7109375" bestFit="1" customWidth="1"/>
    <col min="56" max="56" width="18.140625" bestFit="1" customWidth="1"/>
    <col min="57" max="57" width="25.7109375" bestFit="1" customWidth="1"/>
    <col min="58" max="58" width="11.85546875" bestFit="1" customWidth="1"/>
    <col min="59" max="59" width="4.85546875" bestFit="1" customWidth="1"/>
    <col min="60" max="60" width="15.42578125" bestFit="1" customWidth="1"/>
    <col min="61" max="61" width="13.85546875" customWidth="1"/>
    <col min="62" max="62" width="19" bestFit="1" customWidth="1"/>
    <col min="63" max="63" width="18.140625" bestFit="1" customWidth="1"/>
    <col min="64" max="66" width="25.7109375" bestFit="1" customWidth="1"/>
    <col min="67" max="67" width="11.85546875" bestFit="1" customWidth="1"/>
    <col min="68" max="68" width="6.28515625" bestFit="1" customWidth="1"/>
    <col min="69" max="69" width="23.140625" bestFit="1" customWidth="1"/>
    <col min="70" max="70" width="30.85546875" bestFit="1" customWidth="1"/>
    <col min="71" max="71" width="19" customWidth="1"/>
    <col min="72" max="72" width="18.140625" customWidth="1"/>
    <col min="73" max="76" width="25.7109375" bestFit="1" customWidth="1"/>
    <col min="77" max="77" width="19" customWidth="1"/>
    <col min="78" max="78" width="19.28515625" customWidth="1"/>
    <col min="79" max="79" width="22.28515625" bestFit="1" customWidth="1"/>
    <col min="80" max="80" width="18.140625" bestFit="1" customWidth="1"/>
    <col min="81" max="82" width="25.7109375" bestFit="1" customWidth="1"/>
    <col min="85" max="85" width="41.7109375" bestFit="1" customWidth="1"/>
    <col min="86" max="87" width="16" bestFit="1" customWidth="1"/>
    <col min="88" max="88" width="20.28515625" bestFit="1" customWidth="1"/>
    <col min="89" max="89" width="18.140625" bestFit="1" customWidth="1"/>
    <col min="90" max="91" width="25.7109375" bestFit="1" customWidth="1"/>
    <col min="95" max="95" width="41.7109375" bestFit="1" customWidth="1"/>
    <col min="96" max="96" width="16" bestFit="1" customWidth="1"/>
    <col min="97" max="97" width="18.140625" bestFit="1" customWidth="1"/>
    <col min="98" max="98" width="18" bestFit="1" customWidth="1"/>
    <col min="99" max="99" width="18.140625" customWidth="1"/>
    <col min="100" max="103" width="25.7109375" bestFit="1" customWidth="1"/>
    <col min="104" max="104" width="30.85546875" bestFit="1" customWidth="1"/>
    <col min="105" max="105" width="7.42578125" bestFit="1" customWidth="1"/>
    <col min="106" max="106" width="23.140625" bestFit="1" customWidth="1"/>
    <col min="107" max="107" width="29" bestFit="1" customWidth="1"/>
    <col min="108" max="108" width="30.85546875" bestFit="1" customWidth="1"/>
  </cols>
  <sheetData>
    <row r="2" spans="1:100">
      <c r="BR2" s="2" t="s">
        <v>2870</v>
      </c>
      <c r="BX2" s="2" t="s">
        <v>2871</v>
      </c>
    </row>
    <row r="3" spans="1:100">
      <c r="A3" s="107" t="s">
        <v>26</v>
      </c>
      <c r="B3" s="107" t="s">
        <v>50</v>
      </c>
      <c r="C3" t="s">
        <v>2872</v>
      </c>
      <c r="D3" t="s">
        <v>2873</v>
      </c>
      <c r="W3" s="107" t="s">
        <v>26</v>
      </c>
      <c r="X3" s="107" t="s">
        <v>50</v>
      </c>
      <c r="Y3" t="s">
        <v>2872</v>
      </c>
      <c r="AJ3" s="107" t="s">
        <v>26</v>
      </c>
      <c r="AK3" s="107" t="s">
        <v>50</v>
      </c>
      <c r="AL3" t="s">
        <v>2872</v>
      </c>
      <c r="AM3" t="s">
        <v>2873</v>
      </c>
      <c r="BA3" s="107" t="s">
        <v>26</v>
      </c>
      <c r="BB3" t="s">
        <v>2872</v>
      </c>
      <c r="BC3" t="s">
        <v>2873</v>
      </c>
      <c r="BI3" s="107" t="s">
        <v>26</v>
      </c>
      <c r="BJ3" s="107" t="s">
        <v>50</v>
      </c>
      <c r="BK3" t="s">
        <v>2872</v>
      </c>
      <c r="BL3" t="s">
        <v>2873</v>
      </c>
      <c r="BR3" s="107" t="s">
        <v>26</v>
      </c>
      <c r="BS3" s="107" t="s">
        <v>50</v>
      </c>
      <c r="BT3" t="s">
        <v>2872</v>
      </c>
      <c r="BU3" t="s">
        <v>2873</v>
      </c>
      <c r="BX3" s="107" t="s">
        <v>26</v>
      </c>
      <c r="BY3" s="107" t="s">
        <v>50</v>
      </c>
      <c r="BZ3" s="107" t="s">
        <v>7</v>
      </c>
      <c r="CA3" s="107" t="s">
        <v>30</v>
      </c>
      <c r="CB3" t="s">
        <v>2872</v>
      </c>
      <c r="CC3" t="s">
        <v>2873</v>
      </c>
      <c r="CG3" s="2" t="s">
        <v>2870</v>
      </c>
    </row>
    <row r="4" spans="1:100">
      <c r="A4" t="s">
        <v>2874</v>
      </c>
      <c r="C4" s="120"/>
      <c r="D4" s="120"/>
      <c r="W4" t="s">
        <v>2874</v>
      </c>
      <c r="Y4" s="120"/>
      <c r="AJ4" t="s">
        <v>2874</v>
      </c>
      <c r="AL4" s="120"/>
      <c r="AM4" s="120"/>
      <c r="BA4" t="s">
        <v>2874</v>
      </c>
      <c r="BB4" s="120"/>
      <c r="BC4" s="120"/>
      <c r="BI4" t="s">
        <v>2875</v>
      </c>
      <c r="BJ4" t="s">
        <v>2876</v>
      </c>
      <c r="BK4" s="120">
        <v>1000</v>
      </c>
      <c r="BL4" s="120">
        <v>0</v>
      </c>
      <c r="BR4" t="s">
        <v>2875</v>
      </c>
      <c r="BS4" t="s">
        <v>2876</v>
      </c>
      <c r="BT4" s="120">
        <v>1000</v>
      </c>
      <c r="BU4" s="120">
        <v>0</v>
      </c>
      <c r="BX4" t="s">
        <v>2875</v>
      </c>
      <c r="BY4" t="s">
        <v>2876</v>
      </c>
      <c r="BZ4" t="s">
        <v>64</v>
      </c>
      <c r="CB4" s="120">
        <v>1</v>
      </c>
      <c r="CC4" s="120">
        <v>0</v>
      </c>
      <c r="CG4" s="107" t="s">
        <v>10</v>
      </c>
      <c r="CH4" s="107" t="s">
        <v>8</v>
      </c>
      <c r="CI4" s="107" t="s">
        <v>26</v>
      </c>
      <c r="CJ4" s="107" t="s">
        <v>21</v>
      </c>
      <c r="CK4" t="s">
        <v>2872</v>
      </c>
      <c r="CL4" t="s">
        <v>2873</v>
      </c>
      <c r="CT4" s="107" t="s">
        <v>15</v>
      </c>
      <c r="CU4" t="s">
        <v>2872</v>
      </c>
      <c r="CV4" t="s">
        <v>2873</v>
      </c>
    </row>
    <row r="5" spans="1:100">
      <c r="BI5" t="s">
        <v>2877</v>
      </c>
      <c r="BK5" s="120">
        <v>1000</v>
      </c>
      <c r="BL5" s="120">
        <v>0</v>
      </c>
      <c r="BR5" t="s">
        <v>2877</v>
      </c>
      <c r="BT5" s="120">
        <v>1000</v>
      </c>
      <c r="BU5" s="120">
        <v>0</v>
      </c>
      <c r="BZ5" t="s">
        <v>2878</v>
      </c>
      <c r="CB5" s="120">
        <v>1</v>
      </c>
      <c r="CC5" s="120">
        <v>0</v>
      </c>
      <c r="CG5" t="s">
        <v>2875</v>
      </c>
      <c r="CH5" t="s">
        <v>2876</v>
      </c>
      <c r="CI5" t="s">
        <v>2875</v>
      </c>
      <c r="CJ5" t="s">
        <v>2876</v>
      </c>
      <c r="CK5" s="120">
        <v>1000</v>
      </c>
      <c r="CL5" s="120">
        <v>0</v>
      </c>
      <c r="CT5" t="s">
        <v>2876</v>
      </c>
      <c r="CU5" s="120">
        <v>1000</v>
      </c>
      <c r="CV5" s="120">
        <v>0</v>
      </c>
    </row>
    <row r="6" spans="1:100">
      <c r="BI6" t="s">
        <v>2874</v>
      </c>
      <c r="BK6" s="120">
        <v>1000</v>
      </c>
      <c r="BL6" s="120">
        <v>0</v>
      </c>
      <c r="BR6" t="s">
        <v>2874</v>
      </c>
      <c r="BT6" s="120">
        <v>1000</v>
      </c>
      <c r="BU6" s="120">
        <v>0</v>
      </c>
      <c r="BZ6" t="s">
        <v>98</v>
      </c>
      <c r="CB6" s="120">
        <v>1</v>
      </c>
      <c r="CC6" s="120">
        <v>0</v>
      </c>
      <c r="CI6" t="s">
        <v>2877</v>
      </c>
      <c r="CK6" s="120">
        <v>1000</v>
      </c>
      <c r="CL6" s="120">
        <v>0</v>
      </c>
      <c r="CT6" t="s">
        <v>2874</v>
      </c>
      <c r="CU6" s="120">
        <v>1000</v>
      </c>
      <c r="CV6" s="120">
        <v>0</v>
      </c>
    </row>
    <row r="7" spans="1:100">
      <c r="BZ7" t="s">
        <v>2879</v>
      </c>
      <c r="CB7" s="120">
        <v>1</v>
      </c>
      <c r="CC7" s="120">
        <v>0</v>
      </c>
      <c r="CH7" t="s">
        <v>2880</v>
      </c>
      <c r="CK7" s="120">
        <v>1000</v>
      </c>
      <c r="CL7" s="120">
        <v>0</v>
      </c>
    </row>
    <row r="8" spans="1:100">
      <c r="BZ8" t="s">
        <v>127</v>
      </c>
      <c r="CB8" s="120">
        <v>1</v>
      </c>
      <c r="CC8" s="120">
        <v>0</v>
      </c>
      <c r="CG8" t="s">
        <v>2877</v>
      </c>
      <c r="CK8" s="120">
        <v>1000</v>
      </c>
      <c r="CL8" s="120">
        <v>0</v>
      </c>
    </row>
    <row r="9" spans="1:100">
      <c r="BZ9" t="s">
        <v>2881</v>
      </c>
      <c r="CB9" s="120">
        <v>1</v>
      </c>
      <c r="CC9" s="120">
        <v>0</v>
      </c>
      <c r="CG9" t="s">
        <v>2874</v>
      </c>
      <c r="CK9" s="120">
        <v>1000</v>
      </c>
      <c r="CL9" s="120">
        <v>0</v>
      </c>
    </row>
    <row r="10" spans="1:100">
      <c r="BZ10" t="s">
        <v>153</v>
      </c>
      <c r="CB10" s="120">
        <v>1</v>
      </c>
      <c r="CC10" s="120">
        <v>0</v>
      </c>
    </row>
    <row r="11" spans="1:100">
      <c r="BZ11" t="s">
        <v>2882</v>
      </c>
      <c r="CB11" s="120">
        <v>1</v>
      </c>
      <c r="CC11" s="120">
        <v>0</v>
      </c>
    </row>
    <row r="12" spans="1:100">
      <c r="BZ12" t="s">
        <v>177</v>
      </c>
      <c r="CB12" s="120">
        <v>1</v>
      </c>
      <c r="CC12" s="120">
        <v>0</v>
      </c>
    </row>
    <row r="13" spans="1:100">
      <c r="BZ13" t="s">
        <v>2883</v>
      </c>
      <c r="CB13" s="120">
        <v>1</v>
      </c>
      <c r="CC13" s="120">
        <v>0</v>
      </c>
    </row>
    <row r="14" spans="1:100">
      <c r="BZ14" t="s">
        <v>199</v>
      </c>
      <c r="CB14" s="120">
        <v>1</v>
      </c>
      <c r="CC14" s="120">
        <v>0</v>
      </c>
    </row>
    <row r="15" spans="1:100">
      <c r="BZ15" t="s">
        <v>2884</v>
      </c>
      <c r="CB15" s="120">
        <v>1</v>
      </c>
      <c r="CC15" s="120">
        <v>0</v>
      </c>
    </row>
    <row r="16" spans="1:100">
      <c r="BZ16" t="s">
        <v>225</v>
      </c>
      <c r="CB16" s="120">
        <v>1</v>
      </c>
      <c r="CC16" s="120">
        <v>0</v>
      </c>
    </row>
    <row r="17" spans="78:81">
      <c r="BZ17" t="s">
        <v>2885</v>
      </c>
      <c r="CB17" s="120">
        <v>1</v>
      </c>
      <c r="CC17" s="120">
        <v>0</v>
      </c>
    </row>
    <row r="18" spans="78:81">
      <c r="BZ18" t="s">
        <v>245</v>
      </c>
      <c r="CB18" s="120">
        <v>1</v>
      </c>
      <c r="CC18" s="120">
        <v>0</v>
      </c>
    </row>
    <row r="19" spans="78:81">
      <c r="BZ19" t="s">
        <v>2886</v>
      </c>
      <c r="CB19" s="120">
        <v>1</v>
      </c>
      <c r="CC19" s="120">
        <v>0</v>
      </c>
    </row>
    <row r="20" spans="78:81">
      <c r="BZ20" t="s">
        <v>265</v>
      </c>
      <c r="CB20" s="120">
        <v>1</v>
      </c>
      <c r="CC20" s="120">
        <v>0</v>
      </c>
    </row>
    <row r="21" spans="78:81">
      <c r="BZ21" t="s">
        <v>2887</v>
      </c>
      <c r="CB21" s="120">
        <v>1</v>
      </c>
      <c r="CC21" s="120">
        <v>0</v>
      </c>
    </row>
    <row r="22" spans="78:81">
      <c r="BZ22" t="s">
        <v>285</v>
      </c>
      <c r="CB22" s="120">
        <v>1</v>
      </c>
      <c r="CC22" s="120">
        <v>0</v>
      </c>
    </row>
    <row r="23" spans="78:81">
      <c r="BZ23" t="s">
        <v>2888</v>
      </c>
      <c r="CB23" s="120">
        <v>1</v>
      </c>
      <c r="CC23" s="120">
        <v>0</v>
      </c>
    </row>
    <row r="24" spans="78:81">
      <c r="BZ24" t="s">
        <v>305</v>
      </c>
      <c r="CB24" s="120">
        <v>1</v>
      </c>
      <c r="CC24" s="120">
        <v>0</v>
      </c>
    </row>
    <row r="25" spans="78:81">
      <c r="BZ25" t="s">
        <v>2889</v>
      </c>
      <c r="CB25" s="120">
        <v>1</v>
      </c>
      <c r="CC25" s="120">
        <v>0</v>
      </c>
    </row>
    <row r="26" spans="78:81">
      <c r="BZ26" t="s">
        <v>321</v>
      </c>
      <c r="CB26" s="120">
        <v>1</v>
      </c>
      <c r="CC26" s="120">
        <v>0</v>
      </c>
    </row>
    <row r="27" spans="78:81">
      <c r="BZ27" t="s">
        <v>2890</v>
      </c>
      <c r="CB27" s="120">
        <v>1</v>
      </c>
      <c r="CC27" s="120">
        <v>0</v>
      </c>
    </row>
    <row r="28" spans="78:81">
      <c r="BZ28" t="s">
        <v>336</v>
      </c>
      <c r="CB28" s="120">
        <v>1</v>
      </c>
      <c r="CC28" s="120">
        <v>0</v>
      </c>
    </row>
    <row r="29" spans="78:81">
      <c r="BZ29" t="s">
        <v>2891</v>
      </c>
      <c r="CB29" s="120">
        <v>1</v>
      </c>
      <c r="CC29" s="120">
        <v>0</v>
      </c>
    </row>
    <row r="30" spans="78:81">
      <c r="BZ30" t="s">
        <v>353</v>
      </c>
      <c r="CB30" s="120">
        <v>1</v>
      </c>
      <c r="CC30" s="120">
        <v>0</v>
      </c>
    </row>
    <row r="31" spans="78:81">
      <c r="BZ31" t="s">
        <v>2892</v>
      </c>
      <c r="CB31" s="120">
        <v>1</v>
      </c>
      <c r="CC31" s="120">
        <v>0</v>
      </c>
    </row>
    <row r="32" spans="78:81">
      <c r="BZ32" t="s">
        <v>365</v>
      </c>
      <c r="CB32" s="120">
        <v>1</v>
      </c>
      <c r="CC32" s="120">
        <v>0</v>
      </c>
    </row>
    <row r="33" spans="11:81">
      <c r="BZ33" t="s">
        <v>2893</v>
      </c>
      <c r="CB33" s="120">
        <v>1</v>
      </c>
      <c r="CC33" s="120">
        <v>0</v>
      </c>
    </row>
    <row r="34" spans="11:81">
      <c r="BZ34" t="s">
        <v>374</v>
      </c>
      <c r="CB34" s="120">
        <v>1</v>
      </c>
      <c r="CC34" s="120">
        <v>0</v>
      </c>
    </row>
    <row r="35" spans="11:81">
      <c r="BZ35" t="s">
        <v>2894</v>
      </c>
      <c r="CB35" s="120">
        <v>1</v>
      </c>
      <c r="CC35" s="120">
        <v>0</v>
      </c>
    </row>
    <row r="36" spans="11:81">
      <c r="BZ36" t="s">
        <v>385</v>
      </c>
      <c r="CB36" s="120">
        <v>1</v>
      </c>
      <c r="CC36" s="120">
        <v>0</v>
      </c>
    </row>
    <row r="37" spans="11:81">
      <c r="BZ37" t="s">
        <v>2895</v>
      </c>
      <c r="CB37" s="120">
        <v>1</v>
      </c>
      <c r="CC37" s="120">
        <v>0</v>
      </c>
    </row>
    <row r="38" spans="11:81">
      <c r="BZ38" t="s">
        <v>396</v>
      </c>
      <c r="CB38" s="120">
        <v>1</v>
      </c>
      <c r="CC38" s="120">
        <v>0</v>
      </c>
    </row>
    <row r="39" spans="11:81">
      <c r="BZ39" t="s">
        <v>2896</v>
      </c>
      <c r="CB39" s="120">
        <v>1</v>
      </c>
      <c r="CC39" s="120">
        <v>0</v>
      </c>
    </row>
    <row r="40" spans="11:81">
      <c r="BZ40" t="s">
        <v>408</v>
      </c>
      <c r="CB40" s="120">
        <v>1</v>
      </c>
      <c r="CC40" s="120">
        <v>0</v>
      </c>
    </row>
    <row r="41" spans="11:81">
      <c r="BZ41" t="s">
        <v>2897</v>
      </c>
      <c r="CB41" s="120">
        <v>1</v>
      </c>
      <c r="CC41" s="120">
        <v>0</v>
      </c>
    </row>
    <row r="42" spans="11:81">
      <c r="K42" s="109"/>
      <c r="BZ42" t="s">
        <v>416</v>
      </c>
      <c r="CB42" s="120">
        <v>1</v>
      </c>
      <c r="CC42" s="120">
        <v>0</v>
      </c>
    </row>
    <row r="43" spans="11:81">
      <c r="BZ43" t="s">
        <v>2898</v>
      </c>
      <c r="CB43" s="120">
        <v>1</v>
      </c>
      <c r="CC43" s="120">
        <v>0</v>
      </c>
    </row>
    <row r="44" spans="11:81">
      <c r="BZ44" t="s">
        <v>426</v>
      </c>
      <c r="CB44" s="120">
        <v>1</v>
      </c>
      <c r="CC44" s="120">
        <v>0</v>
      </c>
    </row>
    <row r="45" spans="11:81">
      <c r="K45" s="109"/>
      <c r="BZ45" t="s">
        <v>2899</v>
      </c>
      <c r="CB45" s="120">
        <v>1</v>
      </c>
      <c r="CC45" s="120">
        <v>0</v>
      </c>
    </row>
    <row r="46" spans="11:81">
      <c r="BZ46" t="s">
        <v>435</v>
      </c>
      <c r="CB46" s="120">
        <v>1</v>
      </c>
      <c r="CC46" s="120">
        <v>0</v>
      </c>
    </row>
    <row r="47" spans="11:81">
      <c r="BZ47" t="s">
        <v>2900</v>
      </c>
      <c r="CB47" s="120">
        <v>1</v>
      </c>
      <c r="CC47" s="120">
        <v>0</v>
      </c>
    </row>
    <row r="48" spans="11:81">
      <c r="BZ48" t="s">
        <v>444</v>
      </c>
      <c r="CB48" s="120">
        <v>1</v>
      </c>
      <c r="CC48" s="120">
        <v>0</v>
      </c>
    </row>
    <row r="49" spans="78:81">
      <c r="BZ49" t="s">
        <v>2901</v>
      </c>
      <c r="CB49" s="120">
        <v>1</v>
      </c>
      <c r="CC49" s="120">
        <v>0</v>
      </c>
    </row>
    <row r="50" spans="78:81">
      <c r="BZ50" t="s">
        <v>452</v>
      </c>
      <c r="CB50" s="120">
        <v>1</v>
      </c>
      <c r="CC50" s="120">
        <v>0</v>
      </c>
    </row>
    <row r="51" spans="78:81">
      <c r="BZ51" t="s">
        <v>2902</v>
      </c>
      <c r="CB51" s="120">
        <v>1</v>
      </c>
      <c r="CC51" s="120">
        <v>0</v>
      </c>
    </row>
    <row r="52" spans="78:81">
      <c r="BZ52" t="s">
        <v>462</v>
      </c>
      <c r="CB52" s="120">
        <v>1</v>
      </c>
      <c r="CC52" s="120">
        <v>0</v>
      </c>
    </row>
    <row r="53" spans="78:81">
      <c r="BZ53" t="s">
        <v>2903</v>
      </c>
      <c r="CB53" s="120">
        <v>1</v>
      </c>
      <c r="CC53" s="120">
        <v>0</v>
      </c>
    </row>
    <row r="54" spans="78:81">
      <c r="BZ54" t="s">
        <v>472</v>
      </c>
      <c r="CB54" s="120">
        <v>1</v>
      </c>
      <c r="CC54" s="120">
        <v>0</v>
      </c>
    </row>
    <row r="55" spans="78:81">
      <c r="BZ55" t="s">
        <v>2904</v>
      </c>
      <c r="CB55" s="120">
        <v>1</v>
      </c>
      <c r="CC55" s="120">
        <v>0</v>
      </c>
    </row>
    <row r="56" spans="78:81">
      <c r="BZ56" t="s">
        <v>482</v>
      </c>
      <c r="CB56" s="120">
        <v>1</v>
      </c>
      <c r="CC56" s="120">
        <v>0</v>
      </c>
    </row>
    <row r="57" spans="78:81">
      <c r="BZ57" t="s">
        <v>2905</v>
      </c>
      <c r="CB57" s="120">
        <v>1</v>
      </c>
      <c r="CC57" s="120">
        <v>0</v>
      </c>
    </row>
    <row r="58" spans="78:81">
      <c r="BZ58" t="s">
        <v>487</v>
      </c>
      <c r="CB58" s="120">
        <v>1</v>
      </c>
      <c r="CC58" s="120">
        <v>0</v>
      </c>
    </row>
    <row r="59" spans="78:81">
      <c r="BZ59" t="s">
        <v>2906</v>
      </c>
      <c r="CB59" s="120">
        <v>1</v>
      </c>
      <c r="CC59" s="120">
        <v>0</v>
      </c>
    </row>
    <row r="60" spans="78:81">
      <c r="BZ60" t="s">
        <v>497</v>
      </c>
      <c r="CB60" s="120">
        <v>1</v>
      </c>
      <c r="CC60" s="120">
        <v>0</v>
      </c>
    </row>
    <row r="61" spans="78:81">
      <c r="BZ61" t="s">
        <v>2907</v>
      </c>
      <c r="CB61" s="120">
        <v>1</v>
      </c>
      <c r="CC61" s="120">
        <v>0</v>
      </c>
    </row>
    <row r="62" spans="78:81">
      <c r="BZ62" t="s">
        <v>506</v>
      </c>
      <c r="CB62" s="120">
        <v>1</v>
      </c>
      <c r="CC62" s="120">
        <v>0</v>
      </c>
    </row>
    <row r="63" spans="78:81">
      <c r="BZ63" t="s">
        <v>2908</v>
      </c>
      <c r="CB63" s="120">
        <v>1</v>
      </c>
      <c r="CC63" s="120">
        <v>0</v>
      </c>
    </row>
    <row r="64" spans="78:81">
      <c r="BZ64" t="s">
        <v>515</v>
      </c>
      <c r="CB64" s="120">
        <v>1</v>
      </c>
      <c r="CC64" s="120">
        <v>0</v>
      </c>
    </row>
    <row r="65" spans="78:81">
      <c r="BZ65" t="s">
        <v>2909</v>
      </c>
      <c r="CB65" s="120">
        <v>1</v>
      </c>
      <c r="CC65" s="120">
        <v>0</v>
      </c>
    </row>
    <row r="66" spans="78:81">
      <c r="BZ66" t="s">
        <v>526</v>
      </c>
      <c r="CB66" s="120">
        <v>1</v>
      </c>
      <c r="CC66" s="120">
        <v>0</v>
      </c>
    </row>
    <row r="67" spans="78:81">
      <c r="BZ67" t="s">
        <v>2910</v>
      </c>
      <c r="CB67" s="120">
        <v>1</v>
      </c>
      <c r="CC67" s="120">
        <v>0</v>
      </c>
    </row>
    <row r="68" spans="78:81">
      <c r="BZ68" t="s">
        <v>534</v>
      </c>
      <c r="CB68" s="120">
        <v>1</v>
      </c>
      <c r="CC68" s="120">
        <v>0</v>
      </c>
    </row>
    <row r="69" spans="78:81">
      <c r="BZ69" t="s">
        <v>2911</v>
      </c>
      <c r="CB69" s="120">
        <v>1</v>
      </c>
      <c r="CC69" s="120">
        <v>0</v>
      </c>
    </row>
    <row r="70" spans="78:81">
      <c r="BZ70" t="s">
        <v>542</v>
      </c>
      <c r="CB70" s="120">
        <v>1</v>
      </c>
      <c r="CC70" s="120">
        <v>0</v>
      </c>
    </row>
    <row r="71" spans="78:81">
      <c r="BZ71" t="s">
        <v>2912</v>
      </c>
      <c r="CB71" s="120">
        <v>1</v>
      </c>
      <c r="CC71" s="120">
        <v>0</v>
      </c>
    </row>
    <row r="72" spans="78:81">
      <c r="BZ72" t="s">
        <v>545</v>
      </c>
      <c r="CB72" s="120">
        <v>1</v>
      </c>
      <c r="CC72" s="120">
        <v>0</v>
      </c>
    </row>
    <row r="73" spans="78:81">
      <c r="BZ73" t="s">
        <v>2913</v>
      </c>
      <c r="CB73" s="120">
        <v>1</v>
      </c>
      <c r="CC73" s="120">
        <v>0</v>
      </c>
    </row>
    <row r="74" spans="78:81">
      <c r="BZ74" t="s">
        <v>553</v>
      </c>
      <c r="CB74" s="120">
        <v>1</v>
      </c>
      <c r="CC74" s="120">
        <v>0</v>
      </c>
    </row>
    <row r="75" spans="78:81">
      <c r="BZ75" t="s">
        <v>2914</v>
      </c>
      <c r="CB75" s="120">
        <v>1</v>
      </c>
      <c r="CC75" s="120">
        <v>0</v>
      </c>
    </row>
    <row r="76" spans="78:81">
      <c r="BZ76" t="s">
        <v>563</v>
      </c>
      <c r="CB76" s="120">
        <v>1</v>
      </c>
      <c r="CC76" s="120">
        <v>0</v>
      </c>
    </row>
    <row r="77" spans="78:81">
      <c r="BZ77" t="s">
        <v>2915</v>
      </c>
      <c r="CB77" s="120">
        <v>1</v>
      </c>
      <c r="CC77" s="120">
        <v>0</v>
      </c>
    </row>
    <row r="78" spans="78:81">
      <c r="BZ78" t="s">
        <v>569</v>
      </c>
      <c r="CB78" s="120">
        <v>1</v>
      </c>
      <c r="CC78" s="120">
        <v>0</v>
      </c>
    </row>
    <row r="79" spans="78:81">
      <c r="BZ79" t="s">
        <v>2916</v>
      </c>
      <c r="CB79" s="120">
        <v>1</v>
      </c>
      <c r="CC79" s="120">
        <v>0</v>
      </c>
    </row>
    <row r="80" spans="78:81">
      <c r="BZ80" t="s">
        <v>579</v>
      </c>
      <c r="CB80" s="120">
        <v>1</v>
      </c>
      <c r="CC80" s="120">
        <v>0</v>
      </c>
    </row>
    <row r="81" spans="78:81">
      <c r="BZ81" t="s">
        <v>2917</v>
      </c>
      <c r="CB81" s="120">
        <v>1</v>
      </c>
      <c r="CC81" s="120">
        <v>0</v>
      </c>
    </row>
    <row r="82" spans="78:81">
      <c r="BZ82" t="s">
        <v>589</v>
      </c>
      <c r="CB82" s="120">
        <v>1</v>
      </c>
      <c r="CC82" s="120">
        <v>0</v>
      </c>
    </row>
    <row r="83" spans="78:81">
      <c r="BZ83" t="s">
        <v>2918</v>
      </c>
      <c r="CB83" s="120">
        <v>1</v>
      </c>
      <c r="CC83" s="120">
        <v>0</v>
      </c>
    </row>
    <row r="84" spans="78:81">
      <c r="BZ84" t="s">
        <v>599</v>
      </c>
      <c r="CB84" s="120">
        <v>1</v>
      </c>
      <c r="CC84" s="120">
        <v>0</v>
      </c>
    </row>
    <row r="85" spans="78:81">
      <c r="BZ85" t="s">
        <v>2919</v>
      </c>
      <c r="CB85" s="120">
        <v>1</v>
      </c>
      <c r="CC85" s="120">
        <v>0</v>
      </c>
    </row>
    <row r="86" spans="78:81">
      <c r="BZ86" t="s">
        <v>607</v>
      </c>
      <c r="CB86" s="120">
        <v>1</v>
      </c>
      <c r="CC86" s="120">
        <v>0</v>
      </c>
    </row>
    <row r="87" spans="78:81">
      <c r="BZ87" t="s">
        <v>2920</v>
      </c>
      <c r="CB87" s="120">
        <v>1</v>
      </c>
      <c r="CC87" s="120">
        <v>0</v>
      </c>
    </row>
    <row r="88" spans="78:81">
      <c r="BZ88" t="s">
        <v>613</v>
      </c>
      <c r="CB88" s="120">
        <v>1</v>
      </c>
      <c r="CC88" s="120">
        <v>0</v>
      </c>
    </row>
    <row r="89" spans="78:81">
      <c r="BZ89" t="s">
        <v>2921</v>
      </c>
      <c r="CB89" s="120">
        <v>1</v>
      </c>
      <c r="CC89" s="120">
        <v>0</v>
      </c>
    </row>
    <row r="90" spans="78:81">
      <c r="BZ90" t="s">
        <v>623</v>
      </c>
      <c r="CB90" s="120">
        <v>1</v>
      </c>
      <c r="CC90" s="120">
        <v>0</v>
      </c>
    </row>
    <row r="91" spans="78:81">
      <c r="BZ91" t="s">
        <v>2922</v>
      </c>
      <c r="CB91" s="120">
        <v>1</v>
      </c>
      <c r="CC91" s="120">
        <v>0</v>
      </c>
    </row>
    <row r="92" spans="78:81">
      <c r="BZ92" t="s">
        <v>629</v>
      </c>
      <c r="CB92" s="120">
        <v>1</v>
      </c>
      <c r="CC92" s="120">
        <v>0</v>
      </c>
    </row>
    <row r="93" spans="78:81">
      <c r="BZ93" t="s">
        <v>2923</v>
      </c>
      <c r="CB93" s="120">
        <v>1</v>
      </c>
      <c r="CC93" s="120">
        <v>0</v>
      </c>
    </row>
    <row r="94" spans="78:81">
      <c r="BZ94" t="s">
        <v>634</v>
      </c>
      <c r="CB94" s="120">
        <v>1</v>
      </c>
      <c r="CC94" s="120">
        <v>0</v>
      </c>
    </row>
    <row r="95" spans="78:81">
      <c r="BZ95" t="s">
        <v>2924</v>
      </c>
      <c r="CB95" s="120">
        <v>1</v>
      </c>
      <c r="CC95" s="120">
        <v>0</v>
      </c>
    </row>
    <row r="96" spans="78:81">
      <c r="BZ96" t="s">
        <v>643</v>
      </c>
      <c r="CB96" s="120">
        <v>1</v>
      </c>
      <c r="CC96" s="120">
        <v>0</v>
      </c>
    </row>
    <row r="97" spans="78:81">
      <c r="BZ97" t="s">
        <v>2925</v>
      </c>
      <c r="CB97" s="120">
        <v>1</v>
      </c>
      <c r="CC97" s="120">
        <v>0</v>
      </c>
    </row>
    <row r="98" spans="78:81">
      <c r="BZ98" t="s">
        <v>652</v>
      </c>
      <c r="CB98" s="120">
        <v>1</v>
      </c>
      <c r="CC98" s="120">
        <v>0</v>
      </c>
    </row>
    <row r="99" spans="78:81">
      <c r="BZ99" t="s">
        <v>2926</v>
      </c>
      <c r="CB99" s="120">
        <v>1</v>
      </c>
      <c r="CC99" s="120">
        <v>0</v>
      </c>
    </row>
    <row r="100" spans="78:81">
      <c r="BZ100" t="s">
        <v>656</v>
      </c>
      <c r="CB100" s="120">
        <v>1</v>
      </c>
      <c r="CC100" s="120">
        <v>0</v>
      </c>
    </row>
    <row r="101" spans="78:81">
      <c r="BZ101" t="s">
        <v>2927</v>
      </c>
      <c r="CB101" s="120">
        <v>1</v>
      </c>
      <c r="CC101" s="120">
        <v>0</v>
      </c>
    </row>
    <row r="102" spans="78:81">
      <c r="BZ102" t="s">
        <v>662</v>
      </c>
      <c r="CB102" s="120">
        <v>1</v>
      </c>
      <c r="CC102" s="120">
        <v>0</v>
      </c>
    </row>
    <row r="103" spans="78:81">
      <c r="BZ103" t="s">
        <v>2928</v>
      </c>
      <c r="CB103" s="120">
        <v>1</v>
      </c>
      <c r="CC103" s="120">
        <v>0</v>
      </c>
    </row>
    <row r="104" spans="78:81">
      <c r="BZ104" t="s">
        <v>667</v>
      </c>
      <c r="CB104" s="120">
        <v>1</v>
      </c>
      <c r="CC104" s="120">
        <v>0</v>
      </c>
    </row>
    <row r="105" spans="78:81">
      <c r="BZ105" t="s">
        <v>2929</v>
      </c>
      <c r="CB105" s="120">
        <v>1</v>
      </c>
      <c r="CC105" s="120">
        <v>0</v>
      </c>
    </row>
    <row r="106" spans="78:81">
      <c r="BZ106" t="s">
        <v>671</v>
      </c>
      <c r="CB106" s="120">
        <v>1</v>
      </c>
      <c r="CC106" s="120">
        <v>0</v>
      </c>
    </row>
    <row r="107" spans="78:81">
      <c r="BZ107" t="s">
        <v>2930</v>
      </c>
      <c r="CB107" s="120">
        <v>1</v>
      </c>
      <c r="CC107" s="120">
        <v>0</v>
      </c>
    </row>
    <row r="108" spans="78:81">
      <c r="BZ108" t="s">
        <v>677</v>
      </c>
      <c r="CB108" s="120">
        <v>1</v>
      </c>
      <c r="CC108" s="120">
        <v>0</v>
      </c>
    </row>
    <row r="109" spans="78:81">
      <c r="BZ109" t="s">
        <v>2931</v>
      </c>
      <c r="CB109" s="120">
        <v>1</v>
      </c>
      <c r="CC109" s="120">
        <v>0</v>
      </c>
    </row>
    <row r="110" spans="78:81">
      <c r="BZ110" t="s">
        <v>682</v>
      </c>
      <c r="CB110" s="120">
        <v>1</v>
      </c>
      <c r="CC110" s="120">
        <v>0</v>
      </c>
    </row>
    <row r="111" spans="78:81">
      <c r="BZ111" t="s">
        <v>2932</v>
      </c>
      <c r="CB111" s="120">
        <v>1</v>
      </c>
      <c r="CC111" s="120">
        <v>0</v>
      </c>
    </row>
    <row r="112" spans="78:81">
      <c r="BZ112" t="s">
        <v>689</v>
      </c>
      <c r="CB112" s="120">
        <v>1</v>
      </c>
      <c r="CC112" s="120">
        <v>0</v>
      </c>
    </row>
    <row r="113" spans="78:81">
      <c r="BZ113" t="s">
        <v>2933</v>
      </c>
      <c r="CB113" s="120">
        <v>1</v>
      </c>
      <c r="CC113" s="120">
        <v>0</v>
      </c>
    </row>
    <row r="114" spans="78:81">
      <c r="BZ114" t="s">
        <v>697</v>
      </c>
      <c r="CB114" s="120">
        <v>1</v>
      </c>
      <c r="CC114" s="120">
        <v>0</v>
      </c>
    </row>
    <row r="115" spans="78:81">
      <c r="BZ115" t="s">
        <v>2934</v>
      </c>
      <c r="CB115" s="120">
        <v>1</v>
      </c>
      <c r="CC115" s="120">
        <v>0</v>
      </c>
    </row>
    <row r="116" spans="78:81">
      <c r="BZ116" t="s">
        <v>705</v>
      </c>
      <c r="CB116" s="120">
        <v>1</v>
      </c>
      <c r="CC116" s="120">
        <v>0</v>
      </c>
    </row>
    <row r="117" spans="78:81">
      <c r="BZ117" t="s">
        <v>2935</v>
      </c>
      <c r="CB117" s="120">
        <v>1</v>
      </c>
      <c r="CC117" s="120">
        <v>0</v>
      </c>
    </row>
    <row r="118" spans="78:81">
      <c r="BZ118" t="s">
        <v>710</v>
      </c>
      <c r="CB118" s="120">
        <v>1</v>
      </c>
      <c r="CC118" s="120">
        <v>0</v>
      </c>
    </row>
    <row r="119" spans="78:81">
      <c r="BZ119" t="s">
        <v>2936</v>
      </c>
      <c r="CB119" s="120">
        <v>1</v>
      </c>
      <c r="CC119" s="120">
        <v>0</v>
      </c>
    </row>
    <row r="120" spans="78:81">
      <c r="BZ120" t="s">
        <v>717</v>
      </c>
      <c r="CB120" s="120">
        <v>1</v>
      </c>
      <c r="CC120" s="120">
        <v>0</v>
      </c>
    </row>
    <row r="121" spans="78:81">
      <c r="BZ121" t="s">
        <v>2937</v>
      </c>
      <c r="CB121" s="120">
        <v>1</v>
      </c>
      <c r="CC121" s="120">
        <v>0</v>
      </c>
    </row>
    <row r="122" spans="78:81">
      <c r="BZ122" t="s">
        <v>724</v>
      </c>
      <c r="CB122" s="120">
        <v>1</v>
      </c>
      <c r="CC122" s="120">
        <v>0</v>
      </c>
    </row>
    <row r="123" spans="78:81">
      <c r="BZ123" t="s">
        <v>2938</v>
      </c>
      <c r="CB123" s="120">
        <v>1</v>
      </c>
      <c r="CC123" s="120">
        <v>0</v>
      </c>
    </row>
    <row r="124" spans="78:81">
      <c r="BZ124" t="s">
        <v>730</v>
      </c>
      <c r="CB124" s="120">
        <v>1</v>
      </c>
      <c r="CC124" s="120">
        <v>0</v>
      </c>
    </row>
    <row r="125" spans="78:81">
      <c r="BZ125" t="s">
        <v>2939</v>
      </c>
      <c r="CB125" s="120">
        <v>1</v>
      </c>
      <c r="CC125" s="120">
        <v>0</v>
      </c>
    </row>
    <row r="126" spans="78:81">
      <c r="BZ126" t="s">
        <v>740</v>
      </c>
      <c r="CB126" s="120">
        <v>1</v>
      </c>
      <c r="CC126" s="120">
        <v>0</v>
      </c>
    </row>
    <row r="127" spans="78:81">
      <c r="BZ127" t="s">
        <v>2940</v>
      </c>
      <c r="CB127" s="120">
        <v>1</v>
      </c>
      <c r="CC127" s="120">
        <v>0</v>
      </c>
    </row>
    <row r="128" spans="78:81">
      <c r="BZ128" t="s">
        <v>748</v>
      </c>
      <c r="CB128" s="120">
        <v>1</v>
      </c>
      <c r="CC128" s="120">
        <v>0</v>
      </c>
    </row>
    <row r="129" spans="78:81">
      <c r="BZ129" t="s">
        <v>2941</v>
      </c>
      <c r="CB129" s="120">
        <v>1</v>
      </c>
      <c r="CC129" s="120">
        <v>0</v>
      </c>
    </row>
    <row r="130" spans="78:81">
      <c r="BZ130" t="s">
        <v>757</v>
      </c>
      <c r="CB130" s="120">
        <v>1</v>
      </c>
      <c r="CC130" s="120">
        <v>0</v>
      </c>
    </row>
    <row r="131" spans="78:81">
      <c r="BZ131" t="s">
        <v>2942</v>
      </c>
      <c r="CB131" s="120">
        <v>1</v>
      </c>
      <c r="CC131" s="120">
        <v>0</v>
      </c>
    </row>
    <row r="132" spans="78:81">
      <c r="BZ132" t="s">
        <v>763</v>
      </c>
      <c r="CB132" s="120">
        <v>1</v>
      </c>
      <c r="CC132" s="120">
        <v>0</v>
      </c>
    </row>
    <row r="133" spans="78:81">
      <c r="BZ133" t="s">
        <v>2943</v>
      </c>
      <c r="CB133" s="120">
        <v>1</v>
      </c>
      <c r="CC133" s="120">
        <v>0</v>
      </c>
    </row>
    <row r="134" spans="78:81">
      <c r="BZ134" t="s">
        <v>770</v>
      </c>
      <c r="CB134" s="120">
        <v>1</v>
      </c>
      <c r="CC134" s="120">
        <v>0</v>
      </c>
    </row>
    <row r="135" spans="78:81">
      <c r="BZ135" t="s">
        <v>2944</v>
      </c>
      <c r="CB135" s="120">
        <v>1</v>
      </c>
      <c r="CC135" s="120">
        <v>0</v>
      </c>
    </row>
    <row r="136" spans="78:81">
      <c r="BZ136" t="s">
        <v>776</v>
      </c>
      <c r="CB136" s="120">
        <v>1</v>
      </c>
      <c r="CC136" s="120">
        <v>0</v>
      </c>
    </row>
    <row r="137" spans="78:81">
      <c r="BZ137" t="s">
        <v>2945</v>
      </c>
      <c r="CB137" s="120">
        <v>1</v>
      </c>
      <c r="CC137" s="120">
        <v>0</v>
      </c>
    </row>
    <row r="138" spans="78:81">
      <c r="BZ138" t="s">
        <v>786</v>
      </c>
      <c r="CB138" s="120">
        <v>1</v>
      </c>
      <c r="CC138" s="120">
        <v>0</v>
      </c>
    </row>
    <row r="139" spans="78:81">
      <c r="BZ139" t="s">
        <v>2946</v>
      </c>
      <c r="CB139" s="120">
        <v>1</v>
      </c>
      <c r="CC139" s="120">
        <v>0</v>
      </c>
    </row>
    <row r="140" spans="78:81">
      <c r="BZ140" t="s">
        <v>792</v>
      </c>
      <c r="CB140" s="120">
        <v>1</v>
      </c>
      <c r="CC140" s="120">
        <v>0</v>
      </c>
    </row>
    <row r="141" spans="78:81">
      <c r="BZ141" t="s">
        <v>2947</v>
      </c>
      <c r="CB141" s="120">
        <v>1</v>
      </c>
      <c r="CC141" s="120">
        <v>0</v>
      </c>
    </row>
    <row r="142" spans="78:81">
      <c r="BZ142" t="s">
        <v>799</v>
      </c>
      <c r="CB142" s="120">
        <v>1</v>
      </c>
      <c r="CC142" s="120">
        <v>0</v>
      </c>
    </row>
    <row r="143" spans="78:81">
      <c r="BZ143" t="s">
        <v>2948</v>
      </c>
      <c r="CB143" s="120">
        <v>1</v>
      </c>
      <c r="CC143" s="120">
        <v>0</v>
      </c>
    </row>
    <row r="144" spans="78:81">
      <c r="BZ144" t="s">
        <v>803</v>
      </c>
      <c r="CB144" s="120">
        <v>1</v>
      </c>
      <c r="CC144" s="120">
        <v>0</v>
      </c>
    </row>
    <row r="145" spans="78:81">
      <c r="BZ145" t="s">
        <v>2949</v>
      </c>
      <c r="CB145" s="120">
        <v>1</v>
      </c>
      <c r="CC145" s="120">
        <v>0</v>
      </c>
    </row>
    <row r="146" spans="78:81">
      <c r="BZ146" t="s">
        <v>808</v>
      </c>
      <c r="CB146" s="120">
        <v>1</v>
      </c>
      <c r="CC146" s="120">
        <v>0</v>
      </c>
    </row>
    <row r="147" spans="78:81">
      <c r="BZ147" t="s">
        <v>2950</v>
      </c>
      <c r="CB147" s="120">
        <v>1</v>
      </c>
      <c r="CC147" s="120">
        <v>0</v>
      </c>
    </row>
    <row r="148" spans="78:81">
      <c r="BZ148" t="s">
        <v>817</v>
      </c>
      <c r="CB148" s="120">
        <v>1</v>
      </c>
      <c r="CC148" s="120">
        <v>0</v>
      </c>
    </row>
    <row r="149" spans="78:81">
      <c r="BZ149" t="s">
        <v>2951</v>
      </c>
      <c r="CB149" s="120">
        <v>1</v>
      </c>
      <c r="CC149" s="120">
        <v>0</v>
      </c>
    </row>
    <row r="150" spans="78:81">
      <c r="BZ150" t="s">
        <v>827</v>
      </c>
      <c r="CB150" s="120">
        <v>1</v>
      </c>
      <c r="CC150" s="120">
        <v>0</v>
      </c>
    </row>
    <row r="151" spans="78:81">
      <c r="BZ151" t="s">
        <v>2952</v>
      </c>
      <c r="CB151" s="120">
        <v>1</v>
      </c>
      <c r="CC151" s="120">
        <v>0</v>
      </c>
    </row>
    <row r="152" spans="78:81">
      <c r="BZ152" t="s">
        <v>832</v>
      </c>
      <c r="CB152" s="120">
        <v>1</v>
      </c>
      <c r="CC152" s="120">
        <v>0</v>
      </c>
    </row>
    <row r="153" spans="78:81">
      <c r="BZ153" t="s">
        <v>2953</v>
      </c>
      <c r="CB153" s="120">
        <v>1</v>
      </c>
      <c r="CC153" s="120">
        <v>0</v>
      </c>
    </row>
    <row r="154" spans="78:81">
      <c r="BZ154" t="s">
        <v>840</v>
      </c>
      <c r="CB154" s="120">
        <v>1</v>
      </c>
      <c r="CC154" s="120">
        <v>0</v>
      </c>
    </row>
    <row r="155" spans="78:81">
      <c r="BZ155" t="s">
        <v>2954</v>
      </c>
      <c r="CB155" s="120">
        <v>1</v>
      </c>
      <c r="CC155" s="120">
        <v>0</v>
      </c>
    </row>
    <row r="156" spans="78:81">
      <c r="BZ156" t="s">
        <v>849</v>
      </c>
      <c r="CB156" s="120">
        <v>1</v>
      </c>
      <c r="CC156" s="120">
        <v>0</v>
      </c>
    </row>
    <row r="157" spans="78:81">
      <c r="BZ157" t="s">
        <v>2955</v>
      </c>
      <c r="CB157" s="120">
        <v>1</v>
      </c>
      <c r="CC157" s="120">
        <v>0</v>
      </c>
    </row>
    <row r="158" spans="78:81">
      <c r="BZ158" t="s">
        <v>859</v>
      </c>
      <c r="CB158" s="120">
        <v>1</v>
      </c>
      <c r="CC158" s="120">
        <v>0</v>
      </c>
    </row>
    <row r="159" spans="78:81">
      <c r="BZ159" t="s">
        <v>2956</v>
      </c>
      <c r="CB159" s="120">
        <v>1</v>
      </c>
      <c r="CC159" s="120">
        <v>0</v>
      </c>
    </row>
    <row r="160" spans="78:81">
      <c r="BZ160" t="s">
        <v>870</v>
      </c>
      <c r="CB160" s="120">
        <v>1</v>
      </c>
      <c r="CC160" s="120">
        <v>0</v>
      </c>
    </row>
    <row r="161" spans="78:81">
      <c r="BZ161" t="s">
        <v>2957</v>
      </c>
      <c r="CB161" s="120">
        <v>1</v>
      </c>
      <c r="CC161" s="120">
        <v>0</v>
      </c>
    </row>
    <row r="162" spans="78:81">
      <c r="BZ162" t="s">
        <v>878</v>
      </c>
      <c r="CB162" s="120">
        <v>1</v>
      </c>
      <c r="CC162" s="120">
        <v>0</v>
      </c>
    </row>
    <row r="163" spans="78:81">
      <c r="BZ163" t="s">
        <v>2958</v>
      </c>
      <c r="CB163" s="120">
        <v>1</v>
      </c>
      <c r="CC163" s="120">
        <v>0</v>
      </c>
    </row>
    <row r="164" spans="78:81">
      <c r="BZ164" t="s">
        <v>885</v>
      </c>
      <c r="CB164" s="120">
        <v>1</v>
      </c>
      <c r="CC164" s="120">
        <v>0</v>
      </c>
    </row>
    <row r="165" spans="78:81">
      <c r="BZ165" t="s">
        <v>2959</v>
      </c>
      <c r="CB165" s="120">
        <v>1</v>
      </c>
      <c r="CC165" s="120">
        <v>0</v>
      </c>
    </row>
    <row r="166" spans="78:81">
      <c r="BZ166" t="s">
        <v>893</v>
      </c>
      <c r="CB166" s="120">
        <v>1</v>
      </c>
      <c r="CC166" s="120">
        <v>0</v>
      </c>
    </row>
    <row r="167" spans="78:81">
      <c r="BZ167" t="s">
        <v>2960</v>
      </c>
      <c r="CB167" s="120">
        <v>1</v>
      </c>
      <c r="CC167" s="120">
        <v>0</v>
      </c>
    </row>
    <row r="168" spans="78:81">
      <c r="BZ168" t="s">
        <v>899</v>
      </c>
      <c r="CB168" s="120">
        <v>1</v>
      </c>
      <c r="CC168" s="120">
        <v>0</v>
      </c>
    </row>
    <row r="169" spans="78:81">
      <c r="BZ169" t="s">
        <v>2961</v>
      </c>
      <c r="CB169" s="120">
        <v>1</v>
      </c>
      <c r="CC169" s="120">
        <v>0</v>
      </c>
    </row>
    <row r="170" spans="78:81">
      <c r="BZ170" t="s">
        <v>907</v>
      </c>
      <c r="CB170" s="120">
        <v>1</v>
      </c>
      <c r="CC170" s="120">
        <v>0</v>
      </c>
    </row>
    <row r="171" spans="78:81">
      <c r="BZ171" t="s">
        <v>2962</v>
      </c>
      <c r="CB171" s="120">
        <v>1</v>
      </c>
      <c r="CC171" s="120">
        <v>0</v>
      </c>
    </row>
    <row r="172" spans="78:81">
      <c r="BZ172" t="s">
        <v>916</v>
      </c>
      <c r="CB172" s="120">
        <v>1</v>
      </c>
      <c r="CC172" s="120">
        <v>0</v>
      </c>
    </row>
    <row r="173" spans="78:81">
      <c r="BZ173" t="s">
        <v>2963</v>
      </c>
      <c r="CB173" s="120">
        <v>1</v>
      </c>
      <c r="CC173" s="120">
        <v>0</v>
      </c>
    </row>
    <row r="174" spans="78:81">
      <c r="BZ174" t="s">
        <v>921</v>
      </c>
      <c r="CB174" s="120">
        <v>1</v>
      </c>
      <c r="CC174" s="120">
        <v>0</v>
      </c>
    </row>
    <row r="175" spans="78:81">
      <c r="BZ175" t="s">
        <v>2964</v>
      </c>
      <c r="CB175" s="120">
        <v>1</v>
      </c>
      <c r="CC175" s="120">
        <v>0</v>
      </c>
    </row>
    <row r="176" spans="78:81">
      <c r="BZ176" t="s">
        <v>929</v>
      </c>
      <c r="CB176" s="120">
        <v>1</v>
      </c>
      <c r="CC176" s="120">
        <v>0</v>
      </c>
    </row>
    <row r="177" spans="78:81">
      <c r="BZ177" t="s">
        <v>2965</v>
      </c>
      <c r="CB177" s="120">
        <v>1</v>
      </c>
      <c r="CC177" s="120">
        <v>0</v>
      </c>
    </row>
    <row r="178" spans="78:81">
      <c r="BZ178" t="s">
        <v>936</v>
      </c>
      <c r="CB178" s="120">
        <v>1</v>
      </c>
      <c r="CC178" s="120">
        <v>0</v>
      </c>
    </row>
    <row r="179" spans="78:81">
      <c r="BZ179" t="s">
        <v>2966</v>
      </c>
      <c r="CB179" s="120">
        <v>1</v>
      </c>
      <c r="CC179" s="120">
        <v>0</v>
      </c>
    </row>
    <row r="180" spans="78:81">
      <c r="BZ180" t="s">
        <v>941</v>
      </c>
      <c r="CB180" s="120">
        <v>1</v>
      </c>
      <c r="CC180" s="120">
        <v>0</v>
      </c>
    </row>
    <row r="181" spans="78:81">
      <c r="BZ181" t="s">
        <v>2967</v>
      </c>
      <c r="CB181" s="120">
        <v>1</v>
      </c>
      <c r="CC181" s="120">
        <v>0</v>
      </c>
    </row>
    <row r="182" spans="78:81">
      <c r="BZ182" t="s">
        <v>950</v>
      </c>
      <c r="CB182" s="120">
        <v>1</v>
      </c>
      <c r="CC182" s="120">
        <v>0</v>
      </c>
    </row>
    <row r="183" spans="78:81">
      <c r="BZ183" t="s">
        <v>2968</v>
      </c>
      <c r="CB183" s="120">
        <v>1</v>
      </c>
      <c r="CC183" s="120">
        <v>0</v>
      </c>
    </row>
    <row r="184" spans="78:81">
      <c r="BZ184" t="s">
        <v>955</v>
      </c>
      <c r="CB184" s="120">
        <v>1</v>
      </c>
      <c r="CC184" s="120">
        <v>0</v>
      </c>
    </row>
    <row r="185" spans="78:81">
      <c r="BZ185" t="s">
        <v>2969</v>
      </c>
      <c r="CB185" s="120">
        <v>1</v>
      </c>
      <c r="CC185" s="120">
        <v>0</v>
      </c>
    </row>
    <row r="186" spans="78:81">
      <c r="BZ186" t="s">
        <v>965</v>
      </c>
      <c r="CB186" s="120">
        <v>1</v>
      </c>
      <c r="CC186" s="120">
        <v>0</v>
      </c>
    </row>
    <row r="187" spans="78:81">
      <c r="BZ187" t="s">
        <v>2970</v>
      </c>
      <c r="CB187" s="120">
        <v>1</v>
      </c>
      <c r="CC187" s="120">
        <v>0</v>
      </c>
    </row>
    <row r="188" spans="78:81">
      <c r="BZ188" t="s">
        <v>974</v>
      </c>
      <c r="CB188" s="120">
        <v>1</v>
      </c>
      <c r="CC188" s="120">
        <v>0</v>
      </c>
    </row>
    <row r="189" spans="78:81">
      <c r="BZ189" t="s">
        <v>2971</v>
      </c>
      <c r="CB189" s="120">
        <v>1</v>
      </c>
      <c r="CC189" s="120">
        <v>0</v>
      </c>
    </row>
    <row r="190" spans="78:81">
      <c r="BZ190" t="s">
        <v>983</v>
      </c>
      <c r="CB190" s="120">
        <v>1</v>
      </c>
      <c r="CC190" s="120">
        <v>0</v>
      </c>
    </row>
    <row r="191" spans="78:81">
      <c r="BZ191" t="s">
        <v>2972</v>
      </c>
      <c r="CB191" s="120">
        <v>1</v>
      </c>
      <c r="CC191" s="120">
        <v>0</v>
      </c>
    </row>
    <row r="192" spans="78:81">
      <c r="BZ192" t="s">
        <v>991</v>
      </c>
      <c r="CB192" s="120">
        <v>1</v>
      </c>
      <c r="CC192" s="120">
        <v>0</v>
      </c>
    </row>
    <row r="193" spans="78:81">
      <c r="BZ193" t="s">
        <v>2973</v>
      </c>
      <c r="CB193" s="120">
        <v>1</v>
      </c>
      <c r="CC193" s="120">
        <v>0</v>
      </c>
    </row>
    <row r="194" spans="78:81">
      <c r="BZ194" t="s">
        <v>1001</v>
      </c>
      <c r="CB194" s="120">
        <v>1</v>
      </c>
      <c r="CC194" s="120">
        <v>0</v>
      </c>
    </row>
    <row r="195" spans="78:81">
      <c r="BZ195" t="s">
        <v>2974</v>
      </c>
      <c r="CB195" s="120">
        <v>1</v>
      </c>
      <c r="CC195" s="120">
        <v>0</v>
      </c>
    </row>
    <row r="196" spans="78:81">
      <c r="BZ196" t="s">
        <v>1006</v>
      </c>
      <c r="CB196" s="120">
        <v>1</v>
      </c>
      <c r="CC196" s="120">
        <v>0</v>
      </c>
    </row>
    <row r="197" spans="78:81">
      <c r="BZ197" t="s">
        <v>2975</v>
      </c>
      <c r="CB197" s="120">
        <v>1</v>
      </c>
      <c r="CC197" s="120">
        <v>0</v>
      </c>
    </row>
    <row r="198" spans="78:81">
      <c r="BZ198" t="s">
        <v>1014</v>
      </c>
      <c r="CB198" s="120">
        <v>1</v>
      </c>
      <c r="CC198" s="120">
        <v>0</v>
      </c>
    </row>
    <row r="199" spans="78:81">
      <c r="BZ199" t="s">
        <v>2976</v>
      </c>
      <c r="CB199" s="120">
        <v>1</v>
      </c>
      <c r="CC199" s="120">
        <v>0</v>
      </c>
    </row>
    <row r="200" spans="78:81">
      <c r="BZ200" t="s">
        <v>1024</v>
      </c>
      <c r="CB200" s="120">
        <v>1</v>
      </c>
      <c r="CC200" s="120">
        <v>0</v>
      </c>
    </row>
    <row r="201" spans="78:81">
      <c r="BZ201" t="s">
        <v>2977</v>
      </c>
      <c r="CB201" s="120">
        <v>1</v>
      </c>
      <c r="CC201" s="120">
        <v>0</v>
      </c>
    </row>
    <row r="202" spans="78:81">
      <c r="BZ202" t="s">
        <v>1034</v>
      </c>
      <c r="CB202" s="120">
        <v>1</v>
      </c>
      <c r="CC202" s="120">
        <v>0</v>
      </c>
    </row>
    <row r="203" spans="78:81">
      <c r="BZ203" t="s">
        <v>2978</v>
      </c>
      <c r="CB203" s="120">
        <v>1</v>
      </c>
      <c r="CC203" s="120">
        <v>0</v>
      </c>
    </row>
    <row r="204" spans="78:81">
      <c r="BZ204" t="s">
        <v>1038</v>
      </c>
      <c r="CB204" s="120">
        <v>1</v>
      </c>
      <c r="CC204" s="120">
        <v>0</v>
      </c>
    </row>
    <row r="205" spans="78:81">
      <c r="BZ205" t="s">
        <v>2979</v>
      </c>
      <c r="CB205" s="120">
        <v>1</v>
      </c>
      <c r="CC205" s="120">
        <v>0</v>
      </c>
    </row>
    <row r="206" spans="78:81">
      <c r="BZ206" t="s">
        <v>1047</v>
      </c>
      <c r="CB206" s="120">
        <v>1</v>
      </c>
      <c r="CC206" s="120">
        <v>0</v>
      </c>
    </row>
    <row r="207" spans="78:81">
      <c r="BZ207" t="s">
        <v>2980</v>
      </c>
      <c r="CB207" s="120">
        <v>1</v>
      </c>
      <c r="CC207" s="120">
        <v>0</v>
      </c>
    </row>
    <row r="208" spans="78:81">
      <c r="BZ208" t="s">
        <v>1054</v>
      </c>
      <c r="CB208" s="120">
        <v>1</v>
      </c>
      <c r="CC208" s="120">
        <v>0</v>
      </c>
    </row>
    <row r="209" spans="78:81">
      <c r="BZ209" t="s">
        <v>2981</v>
      </c>
      <c r="CB209" s="120">
        <v>1</v>
      </c>
      <c r="CC209" s="120">
        <v>0</v>
      </c>
    </row>
    <row r="210" spans="78:81">
      <c r="BZ210" t="s">
        <v>1059</v>
      </c>
      <c r="CB210" s="120">
        <v>1</v>
      </c>
      <c r="CC210" s="120">
        <v>0</v>
      </c>
    </row>
    <row r="211" spans="78:81">
      <c r="BZ211" t="s">
        <v>2982</v>
      </c>
      <c r="CB211" s="120">
        <v>1</v>
      </c>
      <c r="CC211" s="120">
        <v>0</v>
      </c>
    </row>
    <row r="212" spans="78:81">
      <c r="BZ212" t="s">
        <v>1066</v>
      </c>
      <c r="CB212" s="120">
        <v>1</v>
      </c>
      <c r="CC212" s="120">
        <v>0</v>
      </c>
    </row>
    <row r="213" spans="78:81">
      <c r="BZ213" t="s">
        <v>2983</v>
      </c>
      <c r="CB213" s="120">
        <v>1</v>
      </c>
      <c r="CC213" s="120">
        <v>0</v>
      </c>
    </row>
    <row r="214" spans="78:81">
      <c r="BZ214" t="s">
        <v>1070</v>
      </c>
      <c r="CB214" s="120">
        <v>1</v>
      </c>
      <c r="CC214" s="120">
        <v>0</v>
      </c>
    </row>
    <row r="215" spans="78:81">
      <c r="BZ215" t="s">
        <v>2984</v>
      </c>
      <c r="CB215" s="120">
        <v>1</v>
      </c>
      <c r="CC215" s="120">
        <v>0</v>
      </c>
    </row>
    <row r="216" spans="78:81">
      <c r="BZ216" t="s">
        <v>1077</v>
      </c>
      <c r="CB216" s="120">
        <v>1</v>
      </c>
      <c r="CC216" s="120">
        <v>0</v>
      </c>
    </row>
    <row r="217" spans="78:81">
      <c r="BZ217" t="s">
        <v>2985</v>
      </c>
      <c r="CB217" s="120">
        <v>1</v>
      </c>
      <c r="CC217" s="120">
        <v>0</v>
      </c>
    </row>
    <row r="218" spans="78:81">
      <c r="BZ218" t="s">
        <v>1081</v>
      </c>
      <c r="CB218" s="120">
        <v>1</v>
      </c>
      <c r="CC218" s="120">
        <v>0</v>
      </c>
    </row>
    <row r="219" spans="78:81">
      <c r="BZ219" t="s">
        <v>2986</v>
      </c>
      <c r="CB219" s="120">
        <v>1</v>
      </c>
      <c r="CC219" s="120">
        <v>0</v>
      </c>
    </row>
    <row r="220" spans="78:81">
      <c r="BZ220" t="s">
        <v>1088</v>
      </c>
      <c r="CB220" s="120">
        <v>1</v>
      </c>
      <c r="CC220" s="120">
        <v>0</v>
      </c>
    </row>
    <row r="221" spans="78:81">
      <c r="BZ221" t="s">
        <v>2987</v>
      </c>
      <c r="CB221" s="120">
        <v>1</v>
      </c>
      <c r="CC221" s="120">
        <v>0</v>
      </c>
    </row>
    <row r="222" spans="78:81">
      <c r="BZ222" t="s">
        <v>1095</v>
      </c>
      <c r="CB222" s="120">
        <v>1</v>
      </c>
      <c r="CC222" s="120">
        <v>0</v>
      </c>
    </row>
    <row r="223" spans="78:81">
      <c r="BZ223" t="s">
        <v>2988</v>
      </c>
      <c r="CB223" s="120">
        <v>1</v>
      </c>
      <c r="CC223" s="120">
        <v>0</v>
      </c>
    </row>
    <row r="224" spans="78:81">
      <c r="BZ224" t="s">
        <v>1106</v>
      </c>
      <c r="CB224" s="120">
        <v>1</v>
      </c>
      <c r="CC224" s="120">
        <v>0</v>
      </c>
    </row>
    <row r="225" spans="78:81">
      <c r="BZ225" t="s">
        <v>2989</v>
      </c>
      <c r="CB225" s="120">
        <v>1</v>
      </c>
      <c r="CC225" s="120">
        <v>0</v>
      </c>
    </row>
    <row r="226" spans="78:81">
      <c r="BZ226" t="s">
        <v>1110</v>
      </c>
      <c r="CB226" s="120">
        <v>1</v>
      </c>
      <c r="CC226" s="120">
        <v>0</v>
      </c>
    </row>
    <row r="227" spans="78:81">
      <c r="BZ227" t="s">
        <v>2990</v>
      </c>
      <c r="CB227" s="120">
        <v>1</v>
      </c>
      <c r="CC227" s="120">
        <v>0</v>
      </c>
    </row>
    <row r="228" spans="78:81">
      <c r="BZ228" t="s">
        <v>1118</v>
      </c>
      <c r="CB228" s="120">
        <v>1</v>
      </c>
      <c r="CC228" s="120">
        <v>0</v>
      </c>
    </row>
    <row r="229" spans="78:81">
      <c r="BZ229" t="s">
        <v>2991</v>
      </c>
      <c r="CB229" s="120">
        <v>1</v>
      </c>
      <c r="CC229" s="120">
        <v>0</v>
      </c>
    </row>
    <row r="230" spans="78:81">
      <c r="BZ230" t="s">
        <v>1123</v>
      </c>
      <c r="CB230" s="120">
        <v>1</v>
      </c>
      <c r="CC230" s="120">
        <v>0</v>
      </c>
    </row>
    <row r="231" spans="78:81">
      <c r="BZ231" t="s">
        <v>2992</v>
      </c>
      <c r="CB231" s="120">
        <v>1</v>
      </c>
      <c r="CC231" s="120">
        <v>0</v>
      </c>
    </row>
    <row r="232" spans="78:81">
      <c r="BZ232" t="s">
        <v>1129</v>
      </c>
      <c r="CB232" s="120">
        <v>1</v>
      </c>
      <c r="CC232" s="120">
        <v>0</v>
      </c>
    </row>
    <row r="233" spans="78:81">
      <c r="BZ233" t="s">
        <v>2993</v>
      </c>
      <c r="CB233" s="120">
        <v>1</v>
      </c>
      <c r="CC233" s="120">
        <v>0</v>
      </c>
    </row>
    <row r="234" spans="78:81">
      <c r="BZ234" t="s">
        <v>1134</v>
      </c>
      <c r="CB234" s="120">
        <v>1</v>
      </c>
      <c r="CC234" s="120">
        <v>0</v>
      </c>
    </row>
    <row r="235" spans="78:81">
      <c r="BZ235" t="s">
        <v>2994</v>
      </c>
      <c r="CB235" s="120">
        <v>1</v>
      </c>
      <c r="CC235" s="120">
        <v>0</v>
      </c>
    </row>
    <row r="236" spans="78:81">
      <c r="BZ236" t="s">
        <v>1143</v>
      </c>
      <c r="CB236" s="120">
        <v>1</v>
      </c>
      <c r="CC236" s="120">
        <v>0</v>
      </c>
    </row>
    <row r="237" spans="78:81">
      <c r="BZ237" t="s">
        <v>2995</v>
      </c>
      <c r="CB237" s="120">
        <v>1</v>
      </c>
      <c r="CC237" s="120">
        <v>0</v>
      </c>
    </row>
    <row r="238" spans="78:81">
      <c r="BZ238" t="s">
        <v>1148</v>
      </c>
      <c r="CB238" s="120">
        <v>1</v>
      </c>
      <c r="CC238" s="120">
        <v>0</v>
      </c>
    </row>
    <row r="239" spans="78:81">
      <c r="BZ239" t="s">
        <v>2996</v>
      </c>
      <c r="CB239" s="120">
        <v>1</v>
      </c>
      <c r="CC239" s="120">
        <v>0</v>
      </c>
    </row>
    <row r="240" spans="78:81">
      <c r="BZ240" t="s">
        <v>1153</v>
      </c>
      <c r="CB240" s="120">
        <v>1</v>
      </c>
      <c r="CC240" s="120">
        <v>0</v>
      </c>
    </row>
    <row r="241" spans="78:81">
      <c r="BZ241" t="s">
        <v>2997</v>
      </c>
      <c r="CB241" s="120">
        <v>1</v>
      </c>
      <c r="CC241" s="120">
        <v>0</v>
      </c>
    </row>
    <row r="242" spans="78:81">
      <c r="BZ242" t="s">
        <v>1161</v>
      </c>
      <c r="CB242" s="120">
        <v>1</v>
      </c>
      <c r="CC242" s="120">
        <v>0</v>
      </c>
    </row>
    <row r="243" spans="78:81">
      <c r="BZ243" t="s">
        <v>2998</v>
      </c>
      <c r="CB243" s="120">
        <v>1</v>
      </c>
      <c r="CC243" s="120">
        <v>0</v>
      </c>
    </row>
    <row r="244" spans="78:81">
      <c r="BZ244" t="s">
        <v>1167</v>
      </c>
      <c r="CB244" s="120">
        <v>1</v>
      </c>
      <c r="CC244" s="120">
        <v>0</v>
      </c>
    </row>
    <row r="245" spans="78:81">
      <c r="BZ245" t="s">
        <v>2999</v>
      </c>
      <c r="CB245" s="120">
        <v>1</v>
      </c>
      <c r="CC245" s="120">
        <v>0</v>
      </c>
    </row>
    <row r="246" spans="78:81">
      <c r="BZ246" t="s">
        <v>1174</v>
      </c>
      <c r="CB246" s="120">
        <v>1</v>
      </c>
      <c r="CC246" s="120">
        <v>0</v>
      </c>
    </row>
    <row r="247" spans="78:81">
      <c r="BZ247" t="s">
        <v>3000</v>
      </c>
      <c r="CB247" s="120">
        <v>1</v>
      </c>
      <c r="CC247" s="120">
        <v>0</v>
      </c>
    </row>
    <row r="248" spans="78:81">
      <c r="BZ248" t="s">
        <v>1184</v>
      </c>
      <c r="CB248" s="120">
        <v>1</v>
      </c>
      <c r="CC248" s="120">
        <v>0</v>
      </c>
    </row>
    <row r="249" spans="78:81">
      <c r="BZ249" t="s">
        <v>3001</v>
      </c>
      <c r="CB249" s="120">
        <v>1</v>
      </c>
      <c r="CC249" s="120">
        <v>0</v>
      </c>
    </row>
    <row r="250" spans="78:81">
      <c r="BZ250" t="s">
        <v>1189</v>
      </c>
      <c r="CB250" s="120">
        <v>1</v>
      </c>
      <c r="CC250" s="120">
        <v>0</v>
      </c>
    </row>
    <row r="251" spans="78:81">
      <c r="BZ251" t="s">
        <v>3002</v>
      </c>
      <c r="CB251" s="120">
        <v>1</v>
      </c>
      <c r="CC251" s="120">
        <v>0</v>
      </c>
    </row>
    <row r="252" spans="78:81">
      <c r="BZ252" t="s">
        <v>1199</v>
      </c>
      <c r="CB252" s="120">
        <v>1</v>
      </c>
      <c r="CC252" s="120">
        <v>0</v>
      </c>
    </row>
    <row r="253" spans="78:81">
      <c r="BZ253" t="s">
        <v>3003</v>
      </c>
      <c r="CB253" s="120">
        <v>1</v>
      </c>
      <c r="CC253" s="120">
        <v>0</v>
      </c>
    </row>
    <row r="254" spans="78:81">
      <c r="BZ254" t="s">
        <v>1207</v>
      </c>
      <c r="CB254" s="120">
        <v>1</v>
      </c>
      <c r="CC254" s="120">
        <v>0</v>
      </c>
    </row>
    <row r="255" spans="78:81">
      <c r="BZ255" t="s">
        <v>3004</v>
      </c>
      <c r="CB255" s="120">
        <v>1</v>
      </c>
      <c r="CC255" s="120">
        <v>0</v>
      </c>
    </row>
    <row r="256" spans="78:81">
      <c r="BZ256" t="s">
        <v>1213</v>
      </c>
      <c r="CB256" s="120">
        <v>1</v>
      </c>
      <c r="CC256" s="120">
        <v>0</v>
      </c>
    </row>
    <row r="257" spans="78:81">
      <c r="BZ257" t="s">
        <v>3005</v>
      </c>
      <c r="CB257" s="120">
        <v>1</v>
      </c>
      <c r="CC257" s="120">
        <v>0</v>
      </c>
    </row>
    <row r="258" spans="78:81">
      <c r="BZ258" t="s">
        <v>1221</v>
      </c>
      <c r="CB258" s="120">
        <v>1</v>
      </c>
      <c r="CC258" s="120">
        <v>0</v>
      </c>
    </row>
    <row r="259" spans="78:81">
      <c r="BZ259" t="s">
        <v>3006</v>
      </c>
      <c r="CB259" s="120">
        <v>1</v>
      </c>
      <c r="CC259" s="120">
        <v>0</v>
      </c>
    </row>
    <row r="260" spans="78:81">
      <c r="BZ260" t="s">
        <v>1226</v>
      </c>
      <c r="CB260" s="120">
        <v>1</v>
      </c>
      <c r="CC260" s="120">
        <v>0</v>
      </c>
    </row>
    <row r="261" spans="78:81">
      <c r="BZ261" t="s">
        <v>3007</v>
      </c>
      <c r="CB261" s="120">
        <v>1</v>
      </c>
      <c r="CC261" s="120">
        <v>0</v>
      </c>
    </row>
    <row r="262" spans="78:81">
      <c r="BZ262" t="s">
        <v>1231</v>
      </c>
      <c r="CB262" s="120">
        <v>1</v>
      </c>
      <c r="CC262" s="120">
        <v>0</v>
      </c>
    </row>
    <row r="263" spans="78:81">
      <c r="BZ263" t="s">
        <v>3008</v>
      </c>
      <c r="CB263" s="120">
        <v>1</v>
      </c>
      <c r="CC263" s="120">
        <v>0</v>
      </c>
    </row>
    <row r="264" spans="78:81">
      <c r="BZ264" t="s">
        <v>1236</v>
      </c>
      <c r="CB264" s="120">
        <v>1</v>
      </c>
      <c r="CC264" s="120">
        <v>0</v>
      </c>
    </row>
    <row r="265" spans="78:81">
      <c r="BZ265" t="s">
        <v>3009</v>
      </c>
      <c r="CB265" s="120">
        <v>1</v>
      </c>
      <c r="CC265" s="120">
        <v>0</v>
      </c>
    </row>
    <row r="266" spans="78:81">
      <c r="BZ266" t="s">
        <v>1243</v>
      </c>
      <c r="CB266" s="120">
        <v>1</v>
      </c>
      <c r="CC266" s="120">
        <v>0</v>
      </c>
    </row>
    <row r="267" spans="78:81">
      <c r="BZ267" t="s">
        <v>3010</v>
      </c>
      <c r="CB267" s="120">
        <v>1</v>
      </c>
      <c r="CC267" s="120">
        <v>0</v>
      </c>
    </row>
    <row r="268" spans="78:81">
      <c r="BZ268" t="s">
        <v>1252</v>
      </c>
      <c r="CB268" s="120">
        <v>1</v>
      </c>
      <c r="CC268" s="120">
        <v>0</v>
      </c>
    </row>
    <row r="269" spans="78:81">
      <c r="BZ269" t="s">
        <v>3011</v>
      </c>
      <c r="CB269" s="120">
        <v>1</v>
      </c>
      <c r="CC269" s="120">
        <v>0</v>
      </c>
    </row>
    <row r="270" spans="78:81">
      <c r="BZ270" t="s">
        <v>1261</v>
      </c>
      <c r="CB270" s="120">
        <v>1</v>
      </c>
      <c r="CC270" s="120">
        <v>0</v>
      </c>
    </row>
    <row r="271" spans="78:81">
      <c r="BZ271" t="s">
        <v>3012</v>
      </c>
      <c r="CB271" s="120">
        <v>1</v>
      </c>
      <c r="CC271" s="120">
        <v>0</v>
      </c>
    </row>
    <row r="272" spans="78:81">
      <c r="BZ272" t="s">
        <v>1266</v>
      </c>
      <c r="CB272" s="120">
        <v>1</v>
      </c>
      <c r="CC272" s="120">
        <v>0</v>
      </c>
    </row>
    <row r="273" spans="10:81">
      <c r="BZ273" t="s">
        <v>3013</v>
      </c>
      <c r="CB273" s="120">
        <v>1</v>
      </c>
      <c r="CC273" s="120">
        <v>0</v>
      </c>
    </row>
    <row r="274" spans="10:81">
      <c r="BZ274" t="s">
        <v>1273</v>
      </c>
      <c r="CB274" s="120">
        <v>1</v>
      </c>
      <c r="CC274" s="120">
        <v>0</v>
      </c>
    </row>
    <row r="275" spans="10:81">
      <c r="BZ275" t="s">
        <v>3014</v>
      </c>
      <c r="CB275" s="120">
        <v>1</v>
      </c>
      <c r="CC275" s="120">
        <v>0</v>
      </c>
    </row>
    <row r="276" spans="10:81">
      <c r="BZ276" t="s">
        <v>1279</v>
      </c>
      <c r="CB276" s="120">
        <v>1</v>
      </c>
      <c r="CC276" s="120">
        <v>0</v>
      </c>
    </row>
    <row r="277" spans="10:81">
      <c r="BZ277" t="s">
        <v>3015</v>
      </c>
      <c r="CB277" s="120">
        <v>1</v>
      </c>
      <c r="CC277" s="120">
        <v>0</v>
      </c>
    </row>
    <row r="278" spans="10:81">
      <c r="BZ278" t="s">
        <v>1286</v>
      </c>
      <c r="CB278" s="120">
        <v>1</v>
      </c>
      <c r="CC278" s="120">
        <v>0</v>
      </c>
    </row>
    <row r="279" spans="10:81">
      <c r="BZ279" t="s">
        <v>3016</v>
      </c>
      <c r="CB279" s="120">
        <v>1</v>
      </c>
      <c r="CC279" s="120">
        <v>0</v>
      </c>
    </row>
    <row r="280" spans="10:81">
      <c r="BZ280" t="s">
        <v>1293</v>
      </c>
      <c r="CB280" s="120">
        <v>1</v>
      </c>
      <c r="CC280" s="120">
        <v>0</v>
      </c>
    </row>
    <row r="281" spans="10:81">
      <c r="BZ281" t="s">
        <v>3017</v>
      </c>
      <c r="CB281" s="120">
        <v>1</v>
      </c>
      <c r="CC281" s="120">
        <v>0</v>
      </c>
    </row>
    <row r="282" spans="10:81">
      <c r="BZ282" t="s">
        <v>1300</v>
      </c>
      <c r="CB282" s="120">
        <v>1</v>
      </c>
      <c r="CC282" s="120">
        <v>0</v>
      </c>
    </row>
    <row r="283" spans="10:81">
      <c r="BZ283" t="s">
        <v>3018</v>
      </c>
      <c r="CB283" s="120">
        <v>1</v>
      </c>
      <c r="CC283" s="120">
        <v>0</v>
      </c>
    </row>
    <row r="284" spans="10:81">
      <c r="BZ284" t="s">
        <v>1307</v>
      </c>
      <c r="CB284" s="120">
        <v>1</v>
      </c>
      <c r="CC284" s="120">
        <v>0</v>
      </c>
    </row>
    <row r="285" spans="10:81">
      <c r="BZ285" t="s">
        <v>3019</v>
      </c>
      <c r="CB285" s="120">
        <v>1</v>
      </c>
      <c r="CC285" s="120">
        <v>0</v>
      </c>
    </row>
    <row r="286" spans="10:81">
      <c r="BZ286" t="s">
        <v>1313</v>
      </c>
      <c r="CB286" s="120">
        <v>1</v>
      </c>
      <c r="CC286" s="120">
        <v>0</v>
      </c>
    </row>
    <row r="287" spans="10:81">
      <c r="BZ287" t="s">
        <v>3020</v>
      </c>
      <c r="CB287" s="120">
        <v>1</v>
      </c>
      <c r="CC287" s="120">
        <v>0</v>
      </c>
    </row>
    <row r="288" spans="10:81">
      <c r="J288" s="109"/>
      <c r="K288" s="109"/>
      <c r="BZ288" t="s">
        <v>1321</v>
      </c>
      <c r="CB288" s="120">
        <v>1</v>
      </c>
      <c r="CC288" s="120">
        <v>0</v>
      </c>
    </row>
    <row r="289" spans="78:81">
      <c r="BZ289" t="s">
        <v>3021</v>
      </c>
      <c r="CB289" s="120">
        <v>1</v>
      </c>
      <c r="CC289" s="120">
        <v>0</v>
      </c>
    </row>
    <row r="290" spans="78:81">
      <c r="BZ290" t="s">
        <v>1327</v>
      </c>
      <c r="CB290" s="120">
        <v>1</v>
      </c>
      <c r="CC290" s="120">
        <v>0</v>
      </c>
    </row>
    <row r="291" spans="78:81">
      <c r="BZ291" t="s">
        <v>3022</v>
      </c>
      <c r="CB291" s="120">
        <v>1</v>
      </c>
      <c r="CC291" s="120">
        <v>0</v>
      </c>
    </row>
    <row r="292" spans="78:81">
      <c r="BZ292" t="s">
        <v>1335</v>
      </c>
      <c r="CB292" s="120">
        <v>1</v>
      </c>
      <c r="CC292" s="120">
        <v>0</v>
      </c>
    </row>
    <row r="293" spans="78:81">
      <c r="BZ293" t="s">
        <v>3023</v>
      </c>
      <c r="CB293" s="120">
        <v>1</v>
      </c>
      <c r="CC293" s="120">
        <v>0</v>
      </c>
    </row>
    <row r="294" spans="78:81">
      <c r="BZ294" t="s">
        <v>1342</v>
      </c>
      <c r="CB294" s="120">
        <v>1</v>
      </c>
      <c r="CC294" s="120">
        <v>0</v>
      </c>
    </row>
    <row r="295" spans="78:81">
      <c r="BZ295" t="s">
        <v>3024</v>
      </c>
      <c r="CB295" s="120">
        <v>1</v>
      </c>
      <c r="CC295" s="120">
        <v>0</v>
      </c>
    </row>
    <row r="296" spans="78:81">
      <c r="BZ296" t="s">
        <v>1347</v>
      </c>
      <c r="CB296" s="120">
        <v>1</v>
      </c>
      <c r="CC296" s="120">
        <v>0</v>
      </c>
    </row>
    <row r="297" spans="78:81">
      <c r="BZ297" t="s">
        <v>3025</v>
      </c>
      <c r="CB297" s="120">
        <v>1</v>
      </c>
      <c r="CC297" s="120">
        <v>0</v>
      </c>
    </row>
    <row r="298" spans="78:81">
      <c r="BZ298" t="s">
        <v>1355</v>
      </c>
      <c r="CB298" s="120">
        <v>1</v>
      </c>
      <c r="CC298" s="120">
        <v>0</v>
      </c>
    </row>
    <row r="299" spans="78:81">
      <c r="BZ299" t="s">
        <v>3026</v>
      </c>
      <c r="CB299" s="120">
        <v>1</v>
      </c>
      <c r="CC299" s="120">
        <v>0</v>
      </c>
    </row>
    <row r="300" spans="78:81">
      <c r="BZ300" t="s">
        <v>1361</v>
      </c>
      <c r="CB300" s="120">
        <v>1</v>
      </c>
      <c r="CC300" s="120">
        <v>0</v>
      </c>
    </row>
    <row r="301" spans="78:81">
      <c r="BZ301" t="s">
        <v>3027</v>
      </c>
      <c r="CB301" s="120">
        <v>1</v>
      </c>
      <c r="CC301" s="120">
        <v>0</v>
      </c>
    </row>
    <row r="302" spans="78:81">
      <c r="BZ302" t="s">
        <v>1367</v>
      </c>
      <c r="CB302" s="120">
        <v>1</v>
      </c>
      <c r="CC302" s="120">
        <v>0</v>
      </c>
    </row>
    <row r="303" spans="78:81">
      <c r="BZ303" t="s">
        <v>3028</v>
      </c>
      <c r="CB303" s="120">
        <v>1</v>
      </c>
      <c r="CC303" s="120">
        <v>0</v>
      </c>
    </row>
    <row r="304" spans="78:81">
      <c r="BZ304" t="s">
        <v>1375</v>
      </c>
      <c r="CB304" s="120">
        <v>1</v>
      </c>
      <c r="CC304" s="120">
        <v>0</v>
      </c>
    </row>
    <row r="305" spans="78:81">
      <c r="BZ305" t="s">
        <v>3029</v>
      </c>
      <c r="CB305" s="120">
        <v>1</v>
      </c>
      <c r="CC305" s="120">
        <v>0</v>
      </c>
    </row>
    <row r="306" spans="78:81">
      <c r="BZ306" t="s">
        <v>1381</v>
      </c>
      <c r="CB306" s="120">
        <v>1</v>
      </c>
      <c r="CC306" s="120">
        <v>0</v>
      </c>
    </row>
    <row r="307" spans="78:81">
      <c r="BZ307" t="s">
        <v>3030</v>
      </c>
      <c r="CB307" s="120">
        <v>1</v>
      </c>
      <c r="CC307" s="120">
        <v>0</v>
      </c>
    </row>
    <row r="308" spans="78:81">
      <c r="BZ308" t="s">
        <v>1389</v>
      </c>
      <c r="CB308" s="120">
        <v>1</v>
      </c>
      <c r="CC308" s="120">
        <v>0</v>
      </c>
    </row>
    <row r="309" spans="78:81">
      <c r="BZ309" t="s">
        <v>3031</v>
      </c>
      <c r="CB309" s="120">
        <v>1</v>
      </c>
      <c r="CC309" s="120">
        <v>0</v>
      </c>
    </row>
    <row r="310" spans="78:81">
      <c r="BZ310" t="s">
        <v>1397</v>
      </c>
      <c r="CB310" s="120">
        <v>1</v>
      </c>
      <c r="CC310" s="120">
        <v>0</v>
      </c>
    </row>
    <row r="311" spans="78:81">
      <c r="BZ311" t="s">
        <v>3032</v>
      </c>
      <c r="CB311" s="120">
        <v>1</v>
      </c>
      <c r="CC311" s="120">
        <v>0</v>
      </c>
    </row>
    <row r="312" spans="78:81">
      <c r="BZ312" t="s">
        <v>1403</v>
      </c>
      <c r="CB312" s="120">
        <v>1</v>
      </c>
      <c r="CC312" s="120">
        <v>0</v>
      </c>
    </row>
    <row r="313" spans="78:81">
      <c r="BZ313" t="s">
        <v>3033</v>
      </c>
      <c r="CB313" s="120">
        <v>1</v>
      </c>
      <c r="CC313" s="120">
        <v>0</v>
      </c>
    </row>
    <row r="314" spans="78:81">
      <c r="BZ314" t="s">
        <v>1411</v>
      </c>
      <c r="CB314" s="120">
        <v>1</v>
      </c>
      <c r="CC314" s="120">
        <v>0</v>
      </c>
    </row>
    <row r="315" spans="78:81">
      <c r="BZ315" t="s">
        <v>3034</v>
      </c>
      <c r="CB315" s="120">
        <v>1</v>
      </c>
      <c r="CC315" s="120">
        <v>0</v>
      </c>
    </row>
    <row r="316" spans="78:81">
      <c r="BZ316" t="s">
        <v>1418</v>
      </c>
      <c r="CB316" s="120">
        <v>1</v>
      </c>
      <c r="CC316" s="120">
        <v>0</v>
      </c>
    </row>
    <row r="317" spans="78:81">
      <c r="BZ317" t="s">
        <v>3035</v>
      </c>
      <c r="CB317" s="120">
        <v>1</v>
      </c>
      <c r="CC317" s="120">
        <v>0</v>
      </c>
    </row>
    <row r="318" spans="78:81">
      <c r="BZ318" t="s">
        <v>1425</v>
      </c>
      <c r="CB318" s="120">
        <v>1</v>
      </c>
      <c r="CC318" s="120">
        <v>0</v>
      </c>
    </row>
    <row r="319" spans="78:81">
      <c r="BZ319" t="s">
        <v>3036</v>
      </c>
      <c r="CB319" s="120">
        <v>1</v>
      </c>
      <c r="CC319" s="120">
        <v>0</v>
      </c>
    </row>
    <row r="320" spans="78:81">
      <c r="BZ320" t="s">
        <v>1432</v>
      </c>
      <c r="CB320" s="120">
        <v>1</v>
      </c>
      <c r="CC320" s="120">
        <v>0</v>
      </c>
    </row>
    <row r="321" spans="78:81">
      <c r="BZ321" t="s">
        <v>3037</v>
      </c>
      <c r="CB321" s="120">
        <v>1</v>
      </c>
      <c r="CC321" s="120">
        <v>0</v>
      </c>
    </row>
    <row r="322" spans="78:81">
      <c r="BZ322" t="s">
        <v>1439</v>
      </c>
      <c r="CB322" s="120">
        <v>1</v>
      </c>
      <c r="CC322" s="120">
        <v>0</v>
      </c>
    </row>
    <row r="323" spans="78:81">
      <c r="BZ323" t="s">
        <v>3038</v>
      </c>
      <c r="CB323" s="120">
        <v>1</v>
      </c>
      <c r="CC323" s="120">
        <v>0</v>
      </c>
    </row>
    <row r="324" spans="78:81">
      <c r="BZ324" t="s">
        <v>1447</v>
      </c>
      <c r="CB324" s="120">
        <v>1</v>
      </c>
      <c r="CC324" s="120">
        <v>0</v>
      </c>
    </row>
    <row r="325" spans="78:81">
      <c r="BZ325" t="s">
        <v>3039</v>
      </c>
      <c r="CB325" s="120">
        <v>1</v>
      </c>
      <c r="CC325" s="120">
        <v>0</v>
      </c>
    </row>
    <row r="326" spans="78:81">
      <c r="BZ326" t="s">
        <v>1456</v>
      </c>
      <c r="CB326" s="120">
        <v>1</v>
      </c>
      <c r="CC326" s="120">
        <v>0</v>
      </c>
    </row>
    <row r="327" spans="78:81">
      <c r="BZ327" t="s">
        <v>3040</v>
      </c>
      <c r="CB327" s="120">
        <v>1</v>
      </c>
      <c r="CC327" s="120">
        <v>0</v>
      </c>
    </row>
    <row r="328" spans="78:81">
      <c r="BZ328" t="s">
        <v>1463</v>
      </c>
      <c r="CB328" s="120">
        <v>1</v>
      </c>
      <c r="CC328" s="120">
        <v>0</v>
      </c>
    </row>
    <row r="329" spans="78:81">
      <c r="BZ329" t="s">
        <v>3041</v>
      </c>
      <c r="CB329" s="120">
        <v>1</v>
      </c>
      <c r="CC329" s="120">
        <v>0</v>
      </c>
    </row>
    <row r="330" spans="78:81">
      <c r="BZ330" t="s">
        <v>1470</v>
      </c>
      <c r="CB330" s="120">
        <v>1</v>
      </c>
      <c r="CC330" s="120">
        <v>0</v>
      </c>
    </row>
    <row r="331" spans="78:81">
      <c r="BZ331" t="s">
        <v>3042</v>
      </c>
      <c r="CB331" s="120">
        <v>1</v>
      </c>
      <c r="CC331" s="120">
        <v>0</v>
      </c>
    </row>
    <row r="332" spans="78:81">
      <c r="BZ332" t="s">
        <v>1477</v>
      </c>
      <c r="CB332" s="120">
        <v>1</v>
      </c>
      <c r="CC332" s="120">
        <v>0</v>
      </c>
    </row>
    <row r="333" spans="78:81">
      <c r="BZ333" t="s">
        <v>3043</v>
      </c>
      <c r="CB333" s="120">
        <v>1</v>
      </c>
      <c r="CC333" s="120">
        <v>0</v>
      </c>
    </row>
    <row r="334" spans="78:81">
      <c r="BZ334" t="s">
        <v>1484</v>
      </c>
      <c r="CB334" s="120">
        <v>1</v>
      </c>
      <c r="CC334" s="120">
        <v>0</v>
      </c>
    </row>
    <row r="335" spans="78:81">
      <c r="BZ335" t="s">
        <v>3044</v>
      </c>
      <c r="CB335" s="120">
        <v>1</v>
      </c>
      <c r="CC335" s="120">
        <v>0</v>
      </c>
    </row>
    <row r="336" spans="78:81">
      <c r="BZ336" t="s">
        <v>1490</v>
      </c>
      <c r="CB336" s="120">
        <v>1</v>
      </c>
      <c r="CC336" s="120">
        <v>0</v>
      </c>
    </row>
    <row r="337" spans="78:81">
      <c r="BZ337" t="s">
        <v>3045</v>
      </c>
      <c r="CB337" s="120">
        <v>1</v>
      </c>
      <c r="CC337" s="120">
        <v>0</v>
      </c>
    </row>
    <row r="338" spans="78:81">
      <c r="BZ338" t="s">
        <v>1496</v>
      </c>
      <c r="CB338" s="120">
        <v>1</v>
      </c>
      <c r="CC338" s="120">
        <v>0</v>
      </c>
    </row>
    <row r="339" spans="78:81">
      <c r="BZ339" t="s">
        <v>3046</v>
      </c>
      <c r="CB339" s="120">
        <v>1</v>
      </c>
      <c r="CC339" s="120">
        <v>0</v>
      </c>
    </row>
    <row r="340" spans="78:81">
      <c r="BZ340" t="s">
        <v>1503</v>
      </c>
      <c r="CB340" s="120">
        <v>1</v>
      </c>
      <c r="CC340" s="120">
        <v>0</v>
      </c>
    </row>
    <row r="341" spans="78:81">
      <c r="BZ341" t="s">
        <v>3047</v>
      </c>
      <c r="CB341" s="120">
        <v>1</v>
      </c>
      <c r="CC341" s="120">
        <v>0</v>
      </c>
    </row>
    <row r="342" spans="78:81">
      <c r="BZ342" t="s">
        <v>1508</v>
      </c>
      <c r="CB342" s="120">
        <v>1</v>
      </c>
      <c r="CC342" s="120">
        <v>0</v>
      </c>
    </row>
    <row r="343" spans="78:81">
      <c r="BZ343" t="s">
        <v>3048</v>
      </c>
      <c r="CB343" s="120">
        <v>1</v>
      </c>
      <c r="CC343" s="120">
        <v>0</v>
      </c>
    </row>
    <row r="344" spans="78:81">
      <c r="BZ344" t="s">
        <v>1516</v>
      </c>
      <c r="CB344" s="120">
        <v>1</v>
      </c>
      <c r="CC344" s="120">
        <v>0</v>
      </c>
    </row>
    <row r="345" spans="78:81">
      <c r="BZ345" t="s">
        <v>3049</v>
      </c>
      <c r="CB345" s="120">
        <v>1</v>
      </c>
      <c r="CC345" s="120">
        <v>0</v>
      </c>
    </row>
    <row r="346" spans="78:81">
      <c r="BZ346" t="s">
        <v>1524</v>
      </c>
      <c r="CB346" s="120">
        <v>1</v>
      </c>
      <c r="CC346" s="120">
        <v>0</v>
      </c>
    </row>
    <row r="347" spans="78:81">
      <c r="BZ347" t="s">
        <v>3050</v>
      </c>
      <c r="CB347" s="120">
        <v>1</v>
      </c>
      <c r="CC347" s="120">
        <v>0</v>
      </c>
    </row>
    <row r="348" spans="78:81">
      <c r="BZ348" t="s">
        <v>1530</v>
      </c>
      <c r="CB348" s="120">
        <v>1</v>
      </c>
      <c r="CC348" s="120">
        <v>0</v>
      </c>
    </row>
    <row r="349" spans="78:81">
      <c r="BZ349" t="s">
        <v>3051</v>
      </c>
      <c r="CB349" s="120">
        <v>1</v>
      </c>
      <c r="CC349" s="120">
        <v>0</v>
      </c>
    </row>
    <row r="350" spans="78:81">
      <c r="BZ350" t="s">
        <v>1537</v>
      </c>
      <c r="CB350" s="120">
        <v>1</v>
      </c>
      <c r="CC350" s="120">
        <v>0</v>
      </c>
    </row>
    <row r="351" spans="78:81">
      <c r="BZ351" t="s">
        <v>3052</v>
      </c>
      <c r="CB351" s="120">
        <v>1</v>
      </c>
      <c r="CC351" s="120">
        <v>0</v>
      </c>
    </row>
    <row r="352" spans="78:81">
      <c r="BZ352" t="s">
        <v>1543</v>
      </c>
      <c r="CB352" s="120">
        <v>1</v>
      </c>
      <c r="CC352" s="120">
        <v>0</v>
      </c>
    </row>
    <row r="353" spans="78:81">
      <c r="BZ353" t="s">
        <v>3053</v>
      </c>
      <c r="CB353" s="120">
        <v>1</v>
      </c>
      <c r="CC353" s="120">
        <v>0</v>
      </c>
    </row>
    <row r="354" spans="78:81">
      <c r="BZ354" t="s">
        <v>1550</v>
      </c>
      <c r="CB354" s="120">
        <v>1</v>
      </c>
      <c r="CC354" s="120">
        <v>0</v>
      </c>
    </row>
    <row r="355" spans="78:81">
      <c r="BZ355" t="s">
        <v>3054</v>
      </c>
      <c r="CB355" s="120">
        <v>1</v>
      </c>
      <c r="CC355" s="120">
        <v>0</v>
      </c>
    </row>
    <row r="356" spans="78:81">
      <c r="BZ356" t="s">
        <v>1556</v>
      </c>
      <c r="CB356" s="120">
        <v>1</v>
      </c>
      <c r="CC356" s="120">
        <v>0</v>
      </c>
    </row>
    <row r="357" spans="78:81">
      <c r="BZ357" t="s">
        <v>3055</v>
      </c>
      <c r="CB357" s="120">
        <v>1</v>
      </c>
      <c r="CC357" s="120">
        <v>0</v>
      </c>
    </row>
    <row r="358" spans="78:81">
      <c r="BZ358" t="s">
        <v>1563</v>
      </c>
      <c r="CB358" s="120">
        <v>1</v>
      </c>
      <c r="CC358" s="120">
        <v>0</v>
      </c>
    </row>
    <row r="359" spans="78:81">
      <c r="BZ359" t="s">
        <v>3056</v>
      </c>
      <c r="CB359" s="120">
        <v>1</v>
      </c>
      <c r="CC359" s="120">
        <v>0</v>
      </c>
    </row>
    <row r="360" spans="78:81">
      <c r="BZ360" t="s">
        <v>1570</v>
      </c>
      <c r="CB360" s="120">
        <v>1</v>
      </c>
      <c r="CC360" s="120">
        <v>0</v>
      </c>
    </row>
    <row r="361" spans="78:81">
      <c r="BZ361" t="s">
        <v>3057</v>
      </c>
      <c r="CB361" s="120">
        <v>1</v>
      </c>
      <c r="CC361" s="120">
        <v>0</v>
      </c>
    </row>
    <row r="362" spans="78:81">
      <c r="BZ362" t="s">
        <v>1579</v>
      </c>
      <c r="CB362" s="120">
        <v>1</v>
      </c>
      <c r="CC362" s="120">
        <v>0</v>
      </c>
    </row>
    <row r="363" spans="78:81">
      <c r="BZ363" t="s">
        <v>3058</v>
      </c>
      <c r="CB363" s="120">
        <v>1</v>
      </c>
      <c r="CC363" s="120">
        <v>0</v>
      </c>
    </row>
    <row r="364" spans="78:81">
      <c r="BZ364" t="s">
        <v>1587</v>
      </c>
      <c r="CB364" s="120">
        <v>1</v>
      </c>
      <c r="CC364" s="120">
        <v>0</v>
      </c>
    </row>
    <row r="365" spans="78:81">
      <c r="BZ365" t="s">
        <v>3059</v>
      </c>
      <c r="CB365" s="120">
        <v>1</v>
      </c>
      <c r="CC365" s="120">
        <v>0</v>
      </c>
    </row>
    <row r="366" spans="78:81">
      <c r="BZ366" t="s">
        <v>1588</v>
      </c>
      <c r="CB366" s="120">
        <v>1</v>
      </c>
      <c r="CC366" s="120">
        <v>0</v>
      </c>
    </row>
    <row r="367" spans="78:81">
      <c r="BZ367" t="s">
        <v>3060</v>
      </c>
      <c r="CB367" s="120">
        <v>1</v>
      </c>
      <c r="CC367" s="120">
        <v>0</v>
      </c>
    </row>
    <row r="368" spans="78:81">
      <c r="BZ368" t="s">
        <v>1593</v>
      </c>
      <c r="CB368" s="120">
        <v>1</v>
      </c>
      <c r="CC368" s="120">
        <v>0</v>
      </c>
    </row>
    <row r="369" spans="78:81">
      <c r="BZ369" t="s">
        <v>3061</v>
      </c>
      <c r="CB369" s="120">
        <v>1</v>
      </c>
      <c r="CC369" s="120">
        <v>0</v>
      </c>
    </row>
    <row r="370" spans="78:81">
      <c r="BZ370" t="s">
        <v>1598</v>
      </c>
      <c r="CB370" s="120">
        <v>1</v>
      </c>
      <c r="CC370" s="120">
        <v>0</v>
      </c>
    </row>
    <row r="371" spans="78:81">
      <c r="BZ371" t="s">
        <v>3062</v>
      </c>
      <c r="CB371" s="120">
        <v>1</v>
      </c>
      <c r="CC371" s="120">
        <v>0</v>
      </c>
    </row>
    <row r="372" spans="78:81">
      <c r="BZ372" t="s">
        <v>1600</v>
      </c>
      <c r="CB372" s="120">
        <v>1</v>
      </c>
      <c r="CC372" s="120">
        <v>0</v>
      </c>
    </row>
    <row r="373" spans="78:81">
      <c r="BZ373" t="s">
        <v>3063</v>
      </c>
      <c r="CB373" s="120">
        <v>1</v>
      </c>
      <c r="CC373" s="120">
        <v>0</v>
      </c>
    </row>
    <row r="374" spans="78:81">
      <c r="BZ374" t="s">
        <v>1602</v>
      </c>
      <c r="CB374" s="120">
        <v>1</v>
      </c>
      <c r="CC374" s="120">
        <v>0</v>
      </c>
    </row>
    <row r="375" spans="78:81">
      <c r="BZ375" t="s">
        <v>3064</v>
      </c>
      <c r="CB375" s="120">
        <v>1</v>
      </c>
      <c r="CC375" s="120">
        <v>0</v>
      </c>
    </row>
    <row r="376" spans="78:81">
      <c r="BZ376" t="s">
        <v>1605</v>
      </c>
      <c r="CB376" s="120">
        <v>1</v>
      </c>
      <c r="CC376" s="120">
        <v>0</v>
      </c>
    </row>
    <row r="377" spans="78:81">
      <c r="BZ377" t="s">
        <v>3065</v>
      </c>
      <c r="CB377" s="120">
        <v>1</v>
      </c>
      <c r="CC377" s="120">
        <v>0</v>
      </c>
    </row>
    <row r="378" spans="78:81">
      <c r="BZ378" t="s">
        <v>1610</v>
      </c>
      <c r="CB378" s="120">
        <v>1</v>
      </c>
      <c r="CC378" s="120">
        <v>0</v>
      </c>
    </row>
    <row r="379" spans="78:81">
      <c r="BZ379" t="s">
        <v>3066</v>
      </c>
      <c r="CB379" s="120">
        <v>1</v>
      </c>
      <c r="CC379" s="120">
        <v>0</v>
      </c>
    </row>
    <row r="380" spans="78:81">
      <c r="BZ380" t="s">
        <v>1615</v>
      </c>
      <c r="CB380" s="120">
        <v>1</v>
      </c>
      <c r="CC380" s="120">
        <v>0</v>
      </c>
    </row>
    <row r="381" spans="78:81">
      <c r="BZ381" t="s">
        <v>3067</v>
      </c>
      <c r="CB381" s="120">
        <v>1</v>
      </c>
      <c r="CC381" s="120">
        <v>0</v>
      </c>
    </row>
    <row r="382" spans="78:81">
      <c r="BZ382" t="s">
        <v>1619</v>
      </c>
      <c r="CB382" s="120">
        <v>1</v>
      </c>
      <c r="CC382" s="120">
        <v>0</v>
      </c>
    </row>
    <row r="383" spans="78:81">
      <c r="BZ383" t="s">
        <v>3068</v>
      </c>
      <c r="CB383" s="120">
        <v>1</v>
      </c>
      <c r="CC383" s="120">
        <v>0</v>
      </c>
    </row>
    <row r="384" spans="78:81">
      <c r="BZ384" t="s">
        <v>1622</v>
      </c>
      <c r="CB384" s="120">
        <v>1</v>
      </c>
      <c r="CC384" s="120">
        <v>0</v>
      </c>
    </row>
    <row r="385" spans="78:81">
      <c r="BZ385" t="s">
        <v>3069</v>
      </c>
      <c r="CB385" s="120">
        <v>1</v>
      </c>
      <c r="CC385" s="120">
        <v>0</v>
      </c>
    </row>
    <row r="386" spans="78:81">
      <c r="BZ386" t="s">
        <v>1626</v>
      </c>
      <c r="CB386" s="120">
        <v>1</v>
      </c>
      <c r="CC386" s="120">
        <v>0</v>
      </c>
    </row>
    <row r="387" spans="78:81">
      <c r="BZ387" t="s">
        <v>3070</v>
      </c>
      <c r="CB387" s="120">
        <v>1</v>
      </c>
      <c r="CC387" s="120">
        <v>0</v>
      </c>
    </row>
    <row r="388" spans="78:81">
      <c r="BZ388" t="s">
        <v>1628</v>
      </c>
      <c r="CB388" s="120">
        <v>1</v>
      </c>
      <c r="CC388" s="120">
        <v>0</v>
      </c>
    </row>
    <row r="389" spans="78:81">
      <c r="BZ389" t="s">
        <v>3071</v>
      </c>
      <c r="CB389" s="120">
        <v>1</v>
      </c>
      <c r="CC389" s="120">
        <v>0</v>
      </c>
    </row>
    <row r="390" spans="78:81">
      <c r="BZ390" t="s">
        <v>1630</v>
      </c>
      <c r="CB390" s="120">
        <v>1</v>
      </c>
      <c r="CC390" s="120">
        <v>0</v>
      </c>
    </row>
    <row r="391" spans="78:81">
      <c r="BZ391" t="s">
        <v>3072</v>
      </c>
      <c r="CB391" s="120">
        <v>1</v>
      </c>
      <c r="CC391" s="120">
        <v>0</v>
      </c>
    </row>
    <row r="392" spans="78:81">
      <c r="BZ392" t="s">
        <v>1635</v>
      </c>
      <c r="CB392" s="120">
        <v>1</v>
      </c>
      <c r="CC392" s="120">
        <v>0</v>
      </c>
    </row>
    <row r="393" spans="78:81">
      <c r="BZ393" t="s">
        <v>3073</v>
      </c>
      <c r="CB393" s="120">
        <v>1</v>
      </c>
      <c r="CC393" s="120">
        <v>0</v>
      </c>
    </row>
    <row r="394" spans="78:81">
      <c r="BZ394" t="s">
        <v>1640</v>
      </c>
      <c r="CB394" s="120">
        <v>1</v>
      </c>
      <c r="CC394" s="120">
        <v>0</v>
      </c>
    </row>
    <row r="395" spans="78:81">
      <c r="BZ395" t="s">
        <v>3074</v>
      </c>
      <c r="CB395" s="120">
        <v>1</v>
      </c>
      <c r="CC395" s="120">
        <v>0</v>
      </c>
    </row>
    <row r="396" spans="78:81">
      <c r="BZ396" t="s">
        <v>1644</v>
      </c>
      <c r="CB396" s="120">
        <v>1</v>
      </c>
      <c r="CC396" s="120">
        <v>0</v>
      </c>
    </row>
    <row r="397" spans="78:81">
      <c r="BZ397" t="s">
        <v>3075</v>
      </c>
      <c r="CB397" s="120">
        <v>1</v>
      </c>
      <c r="CC397" s="120">
        <v>0</v>
      </c>
    </row>
    <row r="398" spans="78:81">
      <c r="BZ398" t="s">
        <v>1649</v>
      </c>
      <c r="CB398" s="120">
        <v>1</v>
      </c>
      <c r="CC398" s="120">
        <v>0</v>
      </c>
    </row>
    <row r="399" spans="78:81">
      <c r="BZ399" t="s">
        <v>3076</v>
      </c>
      <c r="CB399" s="120">
        <v>1</v>
      </c>
      <c r="CC399" s="120">
        <v>0</v>
      </c>
    </row>
    <row r="400" spans="78:81">
      <c r="BZ400" t="s">
        <v>1652</v>
      </c>
      <c r="CB400" s="120">
        <v>1</v>
      </c>
      <c r="CC400" s="120">
        <v>0</v>
      </c>
    </row>
    <row r="401" spans="78:81">
      <c r="BZ401" t="s">
        <v>3077</v>
      </c>
      <c r="CB401" s="120">
        <v>1</v>
      </c>
      <c r="CC401" s="120">
        <v>0</v>
      </c>
    </row>
    <row r="402" spans="78:81">
      <c r="BZ402" t="s">
        <v>1654</v>
      </c>
      <c r="CB402" s="120">
        <v>1</v>
      </c>
      <c r="CC402" s="120">
        <v>0</v>
      </c>
    </row>
    <row r="403" spans="78:81">
      <c r="BZ403" t="s">
        <v>3078</v>
      </c>
      <c r="CB403" s="120">
        <v>1</v>
      </c>
      <c r="CC403" s="120">
        <v>0</v>
      </c>
    </row>
    <row r="404" spans="78:81">
      <c r="BZ404" t="s">
        <v>1656</v>
      </c>
      <c r="CB404" s="120">
        <v>1</v>
      </c>
      <c r="CC404" s="120">
        <v>0</v>
      </c>
    </row>
    <row r="405" spans="78:81">
      <c r="BZ405" t="s">
        <v>3079</v>
      </c>
      <c r="CB405" s="120">
        <v>1</v>
      </c>
      <c r="CC405" s="120">
        <v>0</v>
      </c>
    </row>
    <row r="406" spans="78:81">
      <c r="BZ406" t="s">
        <v>1658</v>
      </c>
      <c r="CB406" s="120">
        <v>1</v>
      </c>
      <c r="CC406" s="120">
        <v>0</v>
      </c>
    </row>
    <row r="407" spans="78:81">
      <c r="BZ407" t="s">
        <v>3080</v>
      </c>
      <c r="CB407" s="120">
        <v>1</v>
      </c>
      <c r="CC407" s="120">
        <v>0</v>
      </c>
    </row>
    <row r="408" spans="78:81">
      <c r="BZ408" t="s">
        <v>1660</v>
      </c>
      <c r="CB408" s="120">
        <v>1</v>
      </c>
      <c r="CC408" s="120">
        <v>0</v>
      </c>
    </row>
    <row r="409" spans="78:81">
      <c r="BZ409" t="s">
        <v>3081</v>
      </c>
      <c r="CB409" s="120">
        <v>1</v>
      </c>
      <c r="CC409" s="120">
        <v>0</v>
      </c>
    </row>
    <row r="410" spans="78:81">
      <c r="BZ410" t="s">
        <v>1662</v>
      </c>
      <c r="CB410" s="120">
        <v>1</v>
      </c>
      <c r="CC410" s="120">
        <v>0</v>
      </c>
    </row>
    <row r="411" spans="78:81">
      <c r="BZ411" t="s">
        <v>3082</v>
      </c>
      <c r="CB411" s="120">
        <v>1</v>
      </c>
      <c r="CC411" s="120">
        <v>0</v>
      </c>
    </row>
    <row r="412" spans="78:81">
      <c r="BZ412" t="s">
        <v>1666</v>
      </c>
      <c r="CB412" s="120">
        <v>1</v>
      </c>
      <c r="CC412" s="120">
        <v>0</v>
      </c>
    </row>
    <row r="413" spans="78:81">
      <c r="BZ413" t="s">
        <v>3083</v>
      </c>
      <c r="CB413" s="120">
        <v>1</v>
      </c>
      <c r="CC413" s="120">
        <v>0</v>
      </c>
    </row>
    <row r="414" spans="78:81">
      <c r="BZ414" t="s">
        <v>1668</v>
      </c>
      <c r="CB414" s="120">
        <v>1</v>
      </c>
      <c r="CC414" s="120">
        <v>0</v>
      </c>
    </row>
    <row r="415" spans="78:81">
      <c r="BZ415" t="s">
        <v>3084</v>
      </c>
      <c r="CB415" s="120">
        <v>1</v>
      </c>
      <c r="CC415" s="120">
        <v>0</v>
      </c>
    </row>
    <row r="416" spans="78:81">
      <c r="BZ416" t="s">
        <v>1672</v>
      </c>
      <c r="CB416" s="120">
        <v>1</v>
      </c>
      <c r="CC416" s="120">
        <v>0</v>
      </c>
    </row>
    <row r="417" spans="78:81">
      <c r="BZ417" t="s">
        <v>3085</v>
      </c>
      <c r="CB417" s="120">
        <v>1</v>
      </c>
      <c r="CC417" s="120">
        <v>0</v>
      </c>
    </row>
    <row r="418" spans="78:81">
      <c r="BZ418" t="s">
        <v>1676</v>
      </c>
      <c r="CB418" s="120">
        <v>1</v>
      </c>
      <c r="CC418" s="120">
        <v>0</v>
      </c>
    </row>
    <row r="419" spans="78:81">
      <c r="BZ419" t="s">
        <v>3086</v>
      </c>
      <c r="CB419" s="120">
        <v>1</v>
      </c>
      <c r="CC419" s="120">
        <v>0</v>
      </c>
    </row>
    <row r="420" spans="78:81">
      <c r="BZ420" t="s">
        <v>1680</v>
      </c>
      <c r="CB420" s="120">
        <v>1</v>
      </c>
      <c r="CC420" s="120">
        <v>0</v>
      </c>
    </row>
    <row r="421" spans="78:81">
      <c r="BZ421" t="s">
        <v>3087</v>
      </c>
      <c r="CB421" s="120">
        <v>1</v>
      </c>
      <c r="CC421" s="120">
        <v>0</v>
      </c>
    </row>
    <row r="422" spans="78:81">
      <c r="BZ422" t="s">
        <v>1684</v>
      </c>
      <c r="CB422" s="120">
        <v>1</v>
      </c>
      <c r="CC422" s="120">
        <v>0</v>
      </c>
    </row>
    <row r="423" spans="78:81">
      <c r="BZ423" t="s">
        <v>3088</v>
      </c>
      <c r="CB423" s="120">
        <v>1</v>
      </c>
      <c r="CC423" s="120">
        <v>0</v>
      </c>
    </row>
    <row r="424" spans="78:81">
      <c r="BZ424" t="s">
        <v>1688</v>
      </c>
      <c r="CB424" s="120">
        <v>1</v>
      </c>
      <c r="CC424" s="120">
        <v>0</v>
      </c>
    </row>
    <row r="425" spans="78:81">
      <c r="BZ425" t="s">
        <v>3089</v>
      </c>
      <c r="CB425" s="120">
        <v>1</v>
      </c>
      <c r="CC425" s="120">
        <v>0</v>
      </c>
    </row>
    <row r="426" spans="78:81">
      <c r="BZ426" t="s">
        <v>1693</v>
      </c>
      <c r="CB426" s="120">
        <v>1</v>
      </c>
      <c r="CC426" s="120">
        <v>0</v>
      </c>
    </row>
    <row r="427" spans="78:81">
      <c r="BZ427" t="s">
        <v>3090</v>
      </c>
      <c r="CB427" s="120">
        <v>1</v>
      </c>
      <c r="CC427" s="120">
        <v>0</v>
      </c>
    </row>
    <row r="428" spans="78:81">
      <c r="BZ428" t="s">
        <v>1696</v>
      </c>
      <c r="CB428" s="120">
        <v>1</v>
      </c>
      <c r="CC428" s="120">
        <v>0</v>
      </c>
    </row>
    <row r="429" spans="78:81">
      <c r="BZ429" t="s">
        <v>3091</v>
      </c>
      <c r="CB429" s="120">
        <v>1</v>
      </c>
      <c r="CC429" s="120">
        <v>0</v>
      </c>
    </row>
    <row r="430" spans="78:81">
      <c r="BZ430" t="s">
        <v>1698</v>
      </c>
      <c r="CB430" s="120">
        <v>1</v>
      </c>
      <c r="CC430" s="120">
        <v>0</v>
      </c>
    </row>
    <row r="431" spans="78:81">
      <c r="BZ431" t="s">
        <v>3092</v>
      </c>
      <c r="CB431" s="120">
        <v>1</v>
      </c>
      <c r="CC431" s="120">
        <v>0</v>
      </c>
    </row>
    <row r="432" spans="78:81">
      <c r="BZ432" t="s">
        <v>1703</v>
      </c>
      <c r="CB432" s="120">
        <v>1</v>
      </c>
      <c r="CC432" s="120">
        <v>0</v>
      </c>
    </row>
    <row r="433" spans="78:81">
      <c r="BZ433" t="s">
        <v>3093</v>
      </c>
      <c r="CB433" s="120">
        <v>1</v>
      </c>
      <c r="CC433" s="120">
        <v>0</v>
      </c>
    </row>
    <row r="434" spans="78:81">
      <c r="BZ434" t="s">
        <v>1708</v>
      </c>
      <c r="CB434" s="120">
        <v>1</v>
      </c>
      <c r="CC434" s="120">
        <v>0</v>
      </c>
    </row>
    <row r="435" spans="78:81">
      <c r="BZ435" t="s">
        <v>3094</v>
      </c>
      <c r="CB435" s="120">
        <v>1</v>
      </c>
      <c r="CC435" s="120">
        <v>0</v>
      </c>
    </row>
    <row r="436" spans="78:81">
      <c r="BZ436" t="s">
        <v>1714</v>
      </c>
      <c r="CB436" s="120">
        <v>1</v>
      </c>
      <c r="CC436" s="120">
        <v>0</v>
      </c>
    </row>
    <row r="437" spans="78:81">
      <c r="BZ437" t="s">
        <v>3095</v>
      </c>
      <c r="CB437" s="120">
        <v>1</v>
      </c>
      <c r="CC437" s="120">
        <v>0</v>
      </c>
    </row>
    <row r="438" spans="78:81">
      <c r="BZ438" t="s">
        <v>1716</v>
      </c>
      <c r="CB438" s="120">
        <v>1</v>
      </c>
      <c r="CC438" s="120">
        <v>0</v>
      </c>
    </row>
    <row r="439" spans="78:81">
      <c r="BZ439" t="s">
        <v>3096</v>
      </c>
      <c r="CB439" s="120">
        <v>1</v>
      </c>
      <c r="CC439" s="120">
        <v>0</v>
      </c>
    </row>
    <row r="440" spans="78:81">
      <c r="BZ440" t="s">
        <v>1722</v>
      </c>
      <c r="CB440" s="120">
        <v>1</v>
      </c>
      <c r="CC440" s="120">
        <v>0</v>
      </c>
    </row>
    <row r="441" spans="78:81">
      <c r="BZ441" t="s">
        <v>3097</v>
      </c>
      <c r="CB441" s="120">
        <v>1</v>
      </c>
      <c r="CC441" s="120">
        <v>0</v>
      </c>
    </row>
    <row r="442" spans="78:81">
      <c r="BZ442" t="s">
        <v>1724</v>
      </c>
      <c r="CB442" s="120">
        <v>1</v>
      </c>
      <c r="CC442" s="120">
        <v>0</v>
      </c>
    </row>
    <row r="443" spans="78:81">
      <c r="BZ443" t="s">
        <v>3098</v>
      </c>
      <c r="CB443" s="120">
        <v>1</v>
      </c>
      <c r="CC443" s="120">
        <v>0</v>
      </c>
    </row>
    <row r="444" spans="78:81">
      <c r="BZ444" t="s">
        <v>1730</v>
      </c>
      <c r="CB444" s="120">
        <v>1</v>
      </c>
      <c r="CC444" s="120">
        <v>0</v>
      </c>
    </row>
    <row r="445" spans="78:81">
      <c r="BZ445" t="s">
        <v>3099</v>
      </c>
      <c r="CB445" s="120">
        <v>1</v>
      </c>
      <c r="CC445" s="120">
        <v>0</v>
      </c>
    </row>
    <row r="446" spans="78:81">
      <c r="BZ446" t="s">
        <v>1734</v>
      </c>
      <c r="CB446" s="120">
        <v>1</v>
      </c>
      <c r="CC446" s="120">
        <v>0</v>
      </c>
    </row>
    <row r="447" spans="78:81">
      <c r="BZ447" t="s">
        <v>3100</v>
      </c>
      <c r="CB447" s="120">
        <v>1</v>
      </c>
      <c r="CC447" s="120">
        <v>0</v>
      </c>
    </row>
    <row r="448" spans="78:81">
      <c r="BZ448" t="s">
        <v>1738</v>
      </c>
      <c r="CB448" s="120">
        <v>1</v>
      </c>
      <c r="CC448" s="120">
        <v>0</v>
      </c>
    </row>
    <row r="449" spans="78:81">
      <c r="BZ449" t="s">
        <v>3101</v>
      </c>
      <c r="CB449" s="120">
        <v>1</v>
      </c>
      <c r="CC449" s="120">
        <v>0</v>
      </c>
    </row>
    <row r="450" spans="78:81">
      <c r="BZ450" t="s">
        <v>1743</v>
      </c>
      <c r="CB450" s="120">
        <v>1</v>
      </c>
      <c r="CC450" s="120">
        <v>0</v>
      </c>
    </row>
    <row r="451" spans="78:81">
      <c r="BZ451" t="s">
        <v>3102</v>
      </c>
      <c r="CB451" s="120">
        <v>1</v>
      </c>
      <c r="CC451" s="120">
        <v>0</v>
      </c>
    </row>
    <row r="452" spans="78:81">
      <c r="BZ452" t="s">
        <v>1745</v>
      </c>
      <c r="CB452" s="120">
        <v>1</v>
      </c>
      <c r="CC452" s="120">
        <v>0</v>
      </c>
    </row>
    <row r="453" spans="78:81">
      <c r="BZ453" t="s">
        <v>3103</v>
      </c>
      <c r="CB453" s="120">
        <v>1</v>
      </c>
      <c r="CC453" s="120">
        <v>0</v>
      </c>
    </row>
    <row r="454" spans="78:81">
      <c r="BZ454" t="s">
        <v>1749</v>
      </c>
      <c r="CB454" s="120">
        <v>1</v>
      </c>
      <c r="CC454" s="120">
        <v>0</v>
      </c>
    </row>
    <row r="455" spans="78:81">
      <c r="BZ455" t="s">
        <v>3104</v>
      </c>
      <c r="CB455" s="120">
        <v>1</v>
      </c>
      <c r="CC455" s="120">
        <v>0</v>
      </c>
    </row>
    <row r="456" spans="78:81">
      <c r="BZ456" t="s">
        <v>1753</v>
      </c>
      <c r="CB456" s="120">
        <v>1</v>
      </c>
      <c r="CC456" s="120">
        <v>0</v>
      </c>
    </row>
    <row r="457" spans="78:81">
      <c r="BZ457" t="s">
        <v>3105</v>
      </c>
      <c r="CB457" s="120">
        <v>1</v>
      </c>
      <c r="CC457" s="120">
        <v>0</v>
      </c>
    </row>
    <row r="458" spans="78:81">
      <c r="BZ458" t="s">
        <v>1757</v>
      </c>
      <c r="CB458" s="120">
        <v>1</v>
      </c>
      <c r="CC458" s="120">
        <v>0</v>
      </c>
    </row>
    <row r="459" spans="78:81">
      <c r="BZ459" t="s">
        <v>3106</v>
      </c>
      <c r="CB459" s="120">
        <v>1</v>
      </c>
      <c r="CC459" s="120">
        <v>0</v>
      </c>
    </row>
    <row r="460" spans="78:81">
      <c r="BZ460" t="s">
        <v>1761</v>
      </c>
      <c r="CB460" s="120">
        <v>1</v>
      </c>
      <c r="CC460" s="120">
        <v>0</v>
      </c>
    </row>
    <row r="461" spans="78:81">
      <c r="BZ461" t="s">
        <v>3107</v>
      </c>
      <c r="CB461" s="120">
        <v>1</v>
      </c>
      <c r="CC461" s="120">
        <v>0</v>
      </c>
    </row>
    <row r="462" spans="78:81">
      <c r="BZ462" t="s">
        <v>1762</v>
      </c>
      <c r="CB462" s="120">
        <v>1</v>
      </c>
      <c r="CC462" s="120">
        <v>0</v>
      </c>
    </row>
    <row r="463" spans="78:81">
      <c r="BZ463" t="s">
        <v>3108</v>
      </c>
      <c r="CB463" s="120">
        <v>1</v>
      </c>
      <c r="CC463" s="120">
        <v>0</v>
      </c>
    </row>
    <row r="464" spans="78:81">
      <c r="BZ464" t="s">
        <v>1766</v>
      </c>
      <c r="CB464" s="120">
        <v>1</v>
      </c>
      <c r="CC464" s="120">
        <v>0</v>
      </c>
    </row>
    <row r="465" spans="78:81">
      <c r="BZ465" t="s">
        <v>3109</v>
      </c>
      <c r="CB465" s="120">
        <v>1</v>
      </c>
      <c r="CC465" s="120">
        <v>0</v>
      </c>
    </row>
    <row r="466" spans="78:81">
      <c r="BZ466" t="s">
        <v>1770</v>
      </c>
      <c r="CB466" s="120">
        <v>1</v>
      </c>
      <c r="CC466" s="120">
        <v>0</v>
      </c>
    </row>
    <row r="467" spans="78:81">
      <c r="BZ467" t="s">
        <v>3110</v>
      </c>
      <c r="CB467" s="120">
        <v>1</v>
      </c>
      <c r="CC467" s="120">
        <v>0</v>
      </c>
    </row>
    <row r="468" spans="78:81">
      <c r="BZ468" t="s">
        <v>1774</v>
      </c>
      <c r="CB468" s="120">
        <v>1</v>
      </c>
      <c r="CC468" s="120">
        <v>0</v>
      </c>
    </row>
    <row r="469" spans="78:81">
      <c r="BZ469" t="s">
        <v>3111</v>
      </c>
      <c r="CB469" s="120">
        <v>1</v>
      </c>
      <c r="CC469" s="120">
        <v>0</v>
      </c>
    </row>
    <row r="470" spans="78:81">
      <c r="BZ470" t="s">
        <v>1779</v>
      </c>
      <c r="CB470" s="120">
        <v>1</v>
      </c>
      <c r="CC470" s="120">
        <v>0</v>
      </c>
    </row>
    <row r="471" spans="78:81">
      <c r="BZ471" t="s">
        <v>3112</v>
      </c>
      <c r="CB471" s="120">
        <v>1</v>
      </c>
      <c r="CC471" s="120">
        <v>0</v>
      </c>
    </row>
    <row r="472" spans="78:81">
      <c r="BZ472" t="s">
        <v>1783</v>
      </c>
      <c r="CB472" s="120">
        <v>1</v>
      </c>
      <c r="CC472" s="120">
        <v>0</v>
      </c>
    </row>
    <row r="473" spans="78:81">
      <c r="BZ473" t="s">
        <v>3113</v>
      </c>
      <c r="CB473" s="120">
        <v>1</v>
      </c>
      <c r="CC473" s="120">
        <v>0</v>
      </c>
    </row>
    <row r="474" spans="78:81">
      <c r="BZ474" t="s">
        <v>1787</v>
      </c>
      <c r="CB474" s="120">
        <v>1</v>
      </c>
      <c r="CC474" s="120">
        <v>0</v>
      </c>
    </row>
    <row r="475" spans="78:81">
      <c r="BZ475" t="s">
        <v>3114</v>
      </c>
      <c r="CB475" s="120">
        <v>1</v>
      </c>
      <c r="CC475" s="120">
        <v>0</v>
      </c>
    </row>
    <row r="476" spans="78:81">
      <c r="BZ476" t="s">
        <v>1791</v>
      </c>
      <c r="CB476" s="120">
        <v>1</v>
      </c>
      <c r="CC476" s="120">
        <v>0</v>
      </c>
    </row>
    <row r="477" spans="78:81">
      <c r="BZ477" t="s">
        <v>3115</v>
      </c>
      <c r="CB477" s="120">
        <v>1</v>
      </c>
      <c r="CC477" s="120">
        <v>0</v>
      </c>
    </row>
    <row r="478" spans="78:81">
      <c r="BZ478" t="s">
        <v>1795</v>
      </c>
      <c r="CB478" s="120">
        <v>1</v>
      </c>
      <c r="CC478" s="120">
        <v>0</v>
      </c>
    </row>
    <row r="479" spans="78:81">
      <c r="BZ479" t="s">
        <v>3116</v>
      </c>
      <c r="CB479" s="120">
        <v>1</v>
      </c>
      <c r="CC479" s="120">
        <v>0</v>
      </c>
    </row>
    <row r="480" spans="78:81">
      <c r="BZ480" t="s">
        <v>1801</v>
      </c>
      <c r="CB480" s="120">
        <v>1</v>
      </c>
      <c r="CC480" s="120">
        <v>0</v>
      </c>
    </row>
    <row r="481" spans="78:81">
      <c r="BZ481" t="s">
        <v>3117</v>
      </c>
      <c r="CB481" s="120">
        <v>1</v>
      </c>
      <c r="CC481" s="120">
        <v>0</v>
      </c>
    </row>
    <row r="482" spans="78:81">
      <c r="BZ482" t="s">
        <v>1804</v>
      </c>
      <c r="CB482" s="120">
        <v>1</v>
      </c>
      <c r="CC482" s="120">
        <v>0</v>
      </c>
    </row>
    <row r="483" spans="78:81">
      <c r="BZ483" t="s">
        <v>3118</v>
      </c>
      <c r="CB483" s="120">
        <v>1</v>
      </c>
      <c r="CC483" s="120">
        <v>0</v>
      </c>
    </row>
    <row r="484" spans="78:81">
      <c r="BZ484" t="s">
        <v>1808</v>
      </c>
      <c r="CB484" s="120">
        <v>1</v>
      </c>
      <c r="CC484" s="120">
        <v>0</v>
      </c>
    </row>
    <row r="485" spans="78:81">
      <c r="BZ485" t="s">
        <v>3119</v>
      </c>
      <c r="CB485" s="120">
        <v>1</v>
      </c>
      <c r="CC485" s="120">
        <v>0</v>
      </c>
    </row>
    <row r="486" spans="78:81">
      <c r="BZ486" t="s">
        <v>1812</v>
      </c>
      <c r="CB486" s="120">
        <v>1</v>
      </c>
      <c r="CC486" s="120">
        <v>0</v>
      </c>
    </row>
    <row r="487" spans="78:81">
      <c r="BZ487" t="s">
        <v>3120</v>
      </c>
      <c r="CB487" s="120">
        <v>1</v>
      </c>
      <c r="CC487" s="120">
        <v>0</v>
      </c>
    </row>
    <row r="488" spans="78:81">
      <c r="BZ488" t="s">
        <v>1816</v>
      </c>
      <c r="CB488" s="120">
        <v>1</v>
      </c>
      <c r="CC488" s="120">
        <v>0</v>
      </c>
    </row>
    <row r="489" spans="78:81">
      <c r="BZ489" t="s">
        <v>3121</v>
      </c>
      <c r="CB489" s="120">
        <v>1</v>
      </c>
      <c r="CC489" s="120">
        <v>0</v>
      </c>
    </row>
    <row r="490" spans="78:81">
      <c r="BZ490" t="s">
        <v>1819</v>
      </c>
      <c r="CB490" s="120">
        <v>1</v>
      </c>
      <c r="CC490" s="120">
        <v>0</v>
      </c>
    </row>
    <row r="491" spans="78:81">
      <c r="BZ491" t="s">
        <v>3122</v>
      </c>
      <c r="CB491" s="120">
        <v>1</v>
      </c>
      <c r="CC491" s="120">
        <v>0</v>
      </c>
    </row>
    <row r="492" spans="78:81">
      <c r="BZ492" t="s">
        <v>1823</v>
      </c>
      <c r="CB492" s="120">
        <v>1</v>
      </c>
      <c r="CC492" s="120">
        <v>0</v>
      </c>
    </row>
    <row r="493" spans="78:81">
      <c r="BZ493" t="s">
        <v>3123</v>
      </c>
      <c r="CB493" s="120">
        <v>1</v>
      </c>
      <c r="CC493" s="120">
        <v>0</v>
      </c>
    </row>
    <row r="494" spans="78:81">
      <c r="BZ494" t="s">
        <v>1826</v>
      </c>
      <c r="CB494" s="120">
        <v>1</v>
      </c>
      <c r="CC494" s="120">
        <v>0</v>
      </c>
    </row>
    <row r="495" spans="78:81">
      <c r="BZ495" t="s">
        <v>3124</v>
      </c>
      <c r="CB495" s="120">
        <v>1</v>
      </c>
      <c r="CC495" s="120">
        <v>0</v>
      </c>
    </row>
    <row r="496" spans="78:81">
      <c r="BZ496" t="s">
        <v>1828</v>
      </c>
      <c r="CB496" s="120">
        <v>1</v>
      </c>
      <c r="CC496" s="120">
        <v>0</v>
      </c>
    </row>
    <row r="497" spans="78:81">
      <c r="BZ497" t="s">
        <v>3125</v>
      </c>
      <c r="CB497" s="120">
        <v>1</v>
      </c>
      <c r="CC497" s="120">
        <v>0</v>
      </c>
    </row>
    <row r="498" spans="78:81">
      <c r="BZ498" t="s">
        <v>1832</v>
      </c>
      <c r="CB498" s="120">
        <v>1</v>
      </c>
      <c r="CC498" s="120">
        <v>0</v>
      </c>
    </row>
    <row r="499" spans="78:81">
      <c r="BZ499" t="s">
        <v>3126</v>
      </c>
      <c r="CB499" s="120">
        <v>1</v>
      </c>
      <c r="CC499" s="120">
        <v>0</v>
      </c>
    </row>
    <row r="500" spans="78:81">
      <c r="BZ500" t="s">
        <v>1836</v>
      </c>
      <c r="CB500" s="120">
        <v>1</v>
      </c>
      <c r="CC500" s="120">
        <v>0</v>
      </c>
    </row>
    <row r="501" spans="78:81">
      <c r="BZ501" t="s">
        <v>3127</v>
      </c>
      <c r="CB501" s="120">
        <v>1</v>
      </c>
      <c r="CC501" s="120">
        <v>0</v>
      </c>
    </row>
    <row r="502" spans="78:81">
      <c r="BZ502" t="s">
        <v>1840</v>
      </c>
      <c r="CB502" s="120">
        <v>1</v>
      </c>
      <c r="CC502" s="120">
        <v>0</v>
      </c>
    </row>
    <row r="503" spans="78:81">
      <c r="BZ503" t="s">
        <v>3128</v>
      </c>
      <c r="CB503" s="120">
        <v>1</v>
      </c>
      <c r="CC503" s="120">
        <v>0</v>
      </c>
    </row>
    <row r="504" spans="78:81">
      <c r="BZ504" t="s">
        <v>1842</v>
      </c>
      <c r="CB504" s="120">
        <v>1</v>
      </c>
      <c r="CC504" s="120">
        <v>0</v>
      </c>
    </row>
    <row r="505" spans="78:81">
      <c r="BZ505" t="s">
        <v>3129</v>
      </c>
      <c r="CB505" s="120">
        <v>1</v>
      </c>
      <c r="CC505" s="120">
        <v>0</v>
      </c>
    </row>
    <row r="506" spans="78:81">
      <c r="BZ506" t="s">
        <v>1845</v>
      </c>
      <c r="CB506" s="120">
        <v>1</v>
      </c>
      <c r="CC506" s="120">
        <v>0</v>
      </c>
    </row>
    <row r="507" spans="78:81">
      <c r="BZ507" t="s">
        <v>3130</v>
      </c>
      <c r="CB507" s="120">
        <v>1</v>
      </c>
      <c r="CC507" s="120">
        <v>0</v>
      </c>
    </row>
    <row r="508" spans="78:81">
      <c r="BZ508" t="s">
        <v>1848</v>
      </c>
      <c r="CB508" s="120">
        <v>1</v>
      </c>
      <c r="CC508" s="120">
        <v>0</v>
      </c>
    </row>
    <row r="509" spans="78:81">
      <c r="BZ509" t="s">
        <v>3131</v>
      </c>
      <c r="CB509" s="120">
        <v>1</v>
      </c>
      <c r="CC509" s="120">
        <v>0</v>
      </c>
    </row>
    <row r="510" spans="78:81">
      <c r="BZ510" t="s">
        <v>1855</v>
      </c>
      <c r="CB510" s="120">
        <v>1</v>
      </c>
      <c r="CC510" s="120">
        <v>0</v>
      </c>
    </row>
    <row r="511" spans="78:81">
      <c r="BZ511" t="s">
        <v>3132</v>
      </c>
      <c r="CB511" s="120">
        <v>1</v>
      </c>
      <c r="CC511" s="120">
        <v>0</v>
      </c>
    </row>
    <row r="512" spans="78:81">
      <c r="BZ512" t="s">
        <v>1858</v>
      </c>
      <c r="CB512" s="120">
        <v>1</v>
      </c>
      <c r="CC512" s="120">
        <v>0</v>
      </c>
    </row>
    <row r="513" spans="78:81">
      <c r="BZ513" t="s">
        <v>3133</v>
      </c>
      <c r="CB513" s="120">
        <v>1</v>
      </c>
      <c r="CC513" s="120">
        <v>0</v>
      </c>
    </row>
    <row r="514" spans="78:81">
      <c r="BZ514" t="s">
        <v>1861</v>
      </c>
      <c r="CB514" s="120">
        <v>1</v>
      </c>
      <c r="CC514" s="120">
        <v>0</v>
      </c>
    </row>
    <row r="515" spans="78:81">
      <c r="BZ515" t="s">
        <v>3134</v>
      </c>
      <c r="CB515" s="120">
        <v>1</v>
      </c>
      <c r="CC515" s="120">
        <v>0</v>
      </c>
    </row>
    <row r="516" spans="78:81">
      <c r="BZ516" t="s">
        <v>1865</v>
      </c>
      <c r="CB516" s="120">
        <v>1</v>
      </c>
      <c r="CC516" s="120">
        <v>0</v>
      </c>
    </row>
    <row r="517" spans="78:81">
      <c r="BZ517" t="s">
        <v>3135</v>
      </c>
      <c r="CB517" s="120">
        <v>1</v>
      </c>
      <c r="CC517" s="120">
        <v>0</v>
      </c>
    </row>
    <row r="518" spans="78:81">
      <c r="BZ518" t="s">
        <v>1867</v>
      </c>
      <c r="CB518" s="120">
        <v>1</v>
      </c>
      <c r="CC518" s="120">
        <v>0</v>
      </c>
    </row>
    <row r="519" spans="78:81">
      <c r="BZ519" t="s">
        <v>3136</v>
      </c>
      <c r="CB519" s="120">
        <v>1</v>
      </c>
      <c r="CC519" s="120">
        <v>0</v>
      </c>
    </row>
    <row r="520" spans="78:81">
      <c r="BZ520" t="s">
        <v>1869</v>
      </c>
      <c r="CB520" s="120">
        <v>1</v>
      </c>
      <c r="CC520" s="120">
        <v>0</v>
      </c>
    </row>
    <row r="521" spans="78:81">
      <c r="BZ521" t="s">
        <v>3137</v>
      </c>
      <c r="CB521" s="120">
        <v>1</v>
      </c>
      <c r="CC521" s="120">
        <v>0</v>
      </c>
    </row>
    <row r="522" spans="78:81">
      <c r="BZ522" t="s">
        <v>1873</v>
      </c>
      <c r="CB522" s="120">
        <v>1</v>
      </c>
      <c r="CC522" s="120">
        <v>0</v>
      </c>
    </row>
    <row r="523" spans="78:81">
      <c r="BZ523" t="s">
        <v>3138</v>
      </c>
      <c r="CB523" s="120">
        <v>1</v>
      </c>
      <c r="CC523" s="120">
        <v>0</v>
      </c>
    </row>
    <row r="524" spans="78:81">
      <c r="BZ524" t="s">
        <v>1879</v>
      </c>
      <c r="CB524" s="120">
        <v>1</v>
      </c>
      <c r="CC524" s="120">
        <v>0</v>
      </c>
    </row>
    <row r="525" spans="78:81">
      <c r="BZ525" t="s">
        <v>3139</v>
      </c>
      <c r="CB525" s="120">
        <v>1</v>
      </c>
      <c r="CC525" s="120">
        <v>0</v>
      </c>
    </row>
    <row r="526" spans="78:81">
      <c r="BZ526" t="s">
        <v>1883</v>
      </c>
      <c r="CB526" s="120">
        <v>1</v>
      </c>
      <c r="CC526" s="120">
        <v>0</v>
      </c>
    </row>
    <row r="527" spans="78:81">
      <c r="BZ527" t="s">
        <v>3140</v>
      </c>
      <c r="CB527" s="120">
        <v>1</v>
      </c>
      <c r="CC527" s="120">
        <v>0</v>
      </c>
    </row>
    <row r="528" spans="78:81">
      <c r="BZ528" t="s">
        <v>1887</v>
      </c>
      <c r="CB528" s="120">
        <v>1</v>
      </c>
      <c r="CC528" s="120">
        <v>0</v>
      </c>
    </row>
    <row r="529" spans="78:81">
      <c r="BZ529" t="s">
        <v>3141</v>
      </c>
      <c r="CB529" s="120">
        <v>1</v>
      </c>
      <c r="CC529" s="120">
        <v>0</v>
      </c>
    </row>
    <row r="530" spans="78:81">
      <c r="BZ530" t="s">
        <v>1891</v>
      </c>
      <c r="CB530" s="120">
        <v>1</v>
      </c>
      <c r="CC530" s="120">
        <v>0</v>
      </c>
    </row>
    <row r="531" spans="78:81">
      <c r="BZ531" t="s">
        <v>3142</v>
      </c>
      <c r="CB531" s="120">
        <v>1</v>
      </c>
      <c r="CC531" s="120">
        <v>0</v>
      </c>
    </row>
    <row r="532" spans="78:81">
      <c r="BZ532" t="s">
        <v>1895</v>
      </c>
      <c r="CB532" s="120">
        <v>1</v>
      </c>
      <c r="CC532" s="120">
        <v>0</v>
      </c>
    </row>
    <row r="533" spans="78:81">
      <c r="BZ533" t="s">
        <v>3143</v>
      </c>
      <c r="CB533" s="120">
        <v>1</v>
      </c>
      <c r="CC533" s="120">
        <v>0</v>
      </c>
    </row>
    <row r="534" spans="78:81">
      <c r="BZ534" t="s">
        <v>1899</v>
      </c>
      <c r="CB534" s="120">
        <v>1</v>
      </c>
      <c r="CC534" s="120">
        <v>0</v>
      </c>
    </row>
    <row r="535" spans="78:81">
      <c r="BZ535" t="s">
        <v>3144</v>
      </c>
      <c r="CB535" s="120">
        <v>1</v>
      </c>
      <c r="CC535" s="120">
        <v>0</v>
      </c>
    </row>
    <row r="536" spans="78:81">
      <c r="BZ536" t="s">
        <v>1902</v>
      </c>
      <c r="CB536" s="120">
        <v>1</v>
      </c>
      <c r="CC536" s="120">
        <v>0</v>
      </c>
    </row>
    <row r="537" spans="78:81">
      <c r="BZ537" t="s">
        <v>3145</v>
      </c>
      <c r="CB537" s="120">
        <v>1</v>
      </c>
      <c r="CC537" s="120">
        <v>0</v>
      </c>
    </row>
    <row r="538" spans="78:81">
      <c r="BZ538" t="s">
        <v>1904</v>
      </c>
      <c r="CB538" s="120">
        <v>1</v>
      </c>
      <c r="CC538" s="120">
        <v>0</v>
      </c>
    </row>
    <row r="539" spans="78:81">
      <c r="BZ539" t="s">
        <v>3146</v>
      </c>
      <c r="CB539" s="120">
        <v>1</v>
      </c>
      <c r="CC539" s="120">
        <v>0</v>
      </c>
    </row>
    <row r="540" spans="78:81">
      <c r="BZ540" t="s">
        <v>1909</v>
      </c>
      <c r="CB540" s="120">
        <v>1</v>
      </c>
      <c r="CC540" s="120">
        <v>0</v>
      </c>
    </row>
    <row r="541" spans="78:81">
      <c r="BZ541" t="s">
        <v>3147</v>
      </c>
      <c r="CB541" s="120">
        <v>1</v>
      </c>
      <c r="CC541" s="120">
        <v>0</v>
      </c>
    </row>
    <row r="542" spans="78:81">
      <c r="BZ542" t="s">
        <v>1916</v>
      </c>
      <c r="CB542" s="120">
        <v>1</v>
      </c>
      <c r="CC542" s="120">
        <v>0</v>
      </c>
    </row>
    <row r="543" spans="78:81">
      <c r="BZ543" t="s">
        <v>3148</v>
      </c>
      <c r="CB543" s="120">
        <v>1</v>
      </c>
      <c r="CC543" s="120">
        <v>0</v>
      </c>
    </row>
    <row r="544" spans="78:81">
      <c r="BZ544" t="s">
        <v>1921</v>
      </c>
      <c r="CB544" s="120">
        <v>1</v>
      </c>
      <c r="CC544" s="120">
        <v>0</v>
      </c>
    </row>
    <row r="545" spans="78:81">
      <c r="BZ545" t="s">
        <v>3149</v>
      </c>
      <c r="CB545" s="120">
        <v>1</v>
      </c>
      <c r="CC545" s="120">
        <v>0</v>
      </c>
    </row>
    <row r="546" spans="78:81">
      <c r="BZ546" t="s">
        <v>1925</v>
      </c>
      <c r="CB546" s="120">
        <v>1</v>
      </c>
      <c r="CC546" s="120">
        <v>0</v>
      </c>
    </row>
    <row r="547" spans="78:81">
      <c r="BZ547" t="s">
        <v>3150</v>
      </c>
      <c r="CB547" s="120">
        <v>1</v>
      </c>
      <c r="CC547" s="120">
        <v>0</v>
      </c>
    </row>
    <row r="548" spans="78:81">
      <c r="BZ548" t="s">
        <v>1928</v>
      </c>
      <c r="CB548" s="120">
        <v>1</v>
      </c>
      <c r="CC548" s="120">
        <v>0</v>
      </c>
    </row>
    <row r="549" spans="78:81">
      <c r="BZ549" t="s">
        <v>3151</v>
      </c>
      <c r="CB549" s="120">
        <v>1</v>
      </c>
      <c r="CC549" s="120">
        <v>0</v>
      </c>
    </row>
    <row r="550" spans="78:81">
      <c r="BZ550" t="s">
        <v>1933</v>
      </c>
      <c r="CB550" s="120">
        <v>1</v>
      </c>
      <c r="CC550" s="120">
        <v>0</v>
      </c>
    </row>
    <row r="551" spans="78:81">
      <c r="BZ551" t="s">
        <v>3152</v>
      </c>
      <c r="CB551" s="120">
        <v>1</v>
      </c>
      <c r="CC551" s="120">
        <v>0</v>
      </c>
    </row>
    <row r="552" spans="78:81">
      <c r="BZ552" t="s">
        <v>1935</v>
      </c>
      <c r="CB552" s="120">
        <v>1</v>
      </c>
      <c r="CC552" s="120">
        <v>0</v>
      </c>
    </row>
    <row r="553" spans="78:81">
      <c r="BZ553" t="s">
        <v>3153</v>
      </c>
      <c r="CB553" s="120">
        <v>1</v>
      </c>
      <c r="CC553" s="120">
        <v>0</v>
      </c>
    </row>
    <row r="554" spans="78:81">
      <c r="BZ554" t="s">
        <v>1936</v>
      </c>
      <c r="CB554" s="120">
        <v>1</v>
      </c>
      <c r="CC554" s="120">
        <v>0</v>
      </c>
    </row>
    <row r="555" spans="78:81">
      <c r="BZ555" t="s">
        <v>3154</v>
      </c>
      <c r="CB555" s="120">
        <v>1</v>
      </c>
      <c r="CC555" s="120">
        <v>0</v>
      </c>
    </row>
    <row r="556" spans="78:81">
      <c r="BZ556" t="s">
        <v>1937</v>
      </c>
      <c r="CB556" s="120">
        <v>1</v>
      </c>
      <c r="CC556" s="120">
        <v>0</v>
      </c>
    </row>
    <row r="557" spans="78:81">
      <c r="BZ557" t="s">
        <v>3155</v>
      </c>
      <c r="CB557" s="120">
        <v>1</v>
      </c>
      <c r="CC557" s="120">
        <v>0</v>
      </c>
    </row>
    <row r="558" spans="78:81">
      <c r="BZ558" t="s">
        <v>1943</v>
      </c>
      <c r="CB558" s="120">
        <v>1</v>
      </c>
      <c r="CC558" s="120">
        <v>0</v>
      </c>
    </row>
    <row r="559" spans="78:81">
      <c r="BZ559" t="s">
        <v>3156</v>
      </c>
      <c r="CB559" s="120">
        <v>1</v>
      </c>
      <c r="CC559" s="120">
        <v>0</v>
      </c>
    </row>
    <row r="560" spans="78:81">
      <c r="BZ560" t="s">
        <v>1948</v>
      </c>
      <c r="CB560" s="120">
        <v>1</v>
      </c>
      <c r="CC560" s="120">
        <v>0</v>
      </c>
    </row>
    <row r="561" spans="78:81">
      <c r="BZ561" t="s">
        <v>3157</v>
      </c>
      <c r="CB561" s="120">
        <v>1</v>
      </c>
      <c r="CC561" s="120">
        <v>0</v>
      </c>
    </row>
    <row r="562" spans="78:81">
      <c r="BZ562" t="s">
        <v>1951</v>
      </c>
      <c r="CB562" s="120">
        <v>1</v>
      </c>
      <c r="CC562" s="120">
        <v>0</v>
      </c>
    </row>
    <row r="563" spans="78:81">
      <c r="BZ563" t="s">
        <v>3158</v>
      </c>
      <c r="CB563" s="120">
        <v>1</v>
      </c>
      <c r="CC563" s="120">
        <v>0</v>
      </c>
    </row>
    <row r="564" spans="78:81">
      <c r="BZ564" t="s">
        <v>1956</v>
      </c>
      <c r="CB564" s="120">
        <v>1</v>
      </c>
      <c r="CC564" s="120">
        <v>0</v>
      </c>
    </row>
    <row r="565" spans="78:81">
      <c r="BZ565" t="s">
        <v>3159</v>
      </c>
      <c r="CB565" s="120">
        <v>1</v>
      </c>
      <c r="CC565" s="120">
        <v>0</v>
      </c>
    </row>
    <row r="566" spans="78:81">
      <c r="BZ566" t="s">
        <v>1962</v>
      </c>
      <c r="CB566" s="120">
        <v>1</v>
      </c>
      <c r="CC566" s="120">
        <v>0</v>
      </c>
    </row>
    <row r="567" spans="78:81">
      <c r="BZ567" t="s">
        <v>3160</v>
      </c>
      <c r="CB567" s="120">
        <v>1</v>
      </c>
      <c r="CC567" s="120">
        <v>0</v>
      </c>
    </row>
    <row r="568" spans="78:81">
      <c r="BZ568" t="s">
        <v>1966</v>
      </c>
      <c r="CB568" s="120">
        <v>1</v>
      </c>
      <c r="CC568" s="120">
        <v>0</v>
      </c>
    </row>
    <row r="569" spans="78:81">
      <c r="BZ569" t="s">
        <v>3161</v>
      </c>
      <c r="CB569" s="120">
        <v>1</v>
      </c>
      <c r="CC569" s="120">
        <v>0</v>
      </c>
    </row>
    <row r="570" spans="78:81">
      <c r="BZ570" t="s">
        <v>1968</v>
      </c>
      <c r="CB570" s="120">
        <v>1</v>
      </c>
      <c r="CC570" s="120">
        <v>0</v>
      </c>
    </row>
    <row r="571" spans="78:81">
      <c r="BZ571" t="s">
        <v>3162</v>
      </c>
      <c r="CB571" s="120">
        <v>1</v>
      </c>
      <c r="CC571" s="120">
        <v>0</v>
      </c>
    </row>
    <row r="572" spans="78:81">
      <c r="BZ572" t="s">
        <v>1970</v>
      </c>
      <c r="CB572" s="120">
        <v>1</v>
      </c>
      <c r="CC572" s="120">
        <v>0</v>
      </c>
    </row>
    <row r="573" spans="78:81">
      <c r="BZ573" t="s">
        <v>3163</v>
      </c>
      <c r="CB573" s="120">
        <v>1</v>
      </c>
      <c r="CC573" s="120">
        <v>0</v>
      </c>
    </row>
    <row r="574" spans="78:81">
      <c r="BZ574" t="s">
        <v>1975</v>
      </c>
      <c r="CB574" s="120">
        <v>1</v>
      </c>
      <c r="CC574" s="120">
        <v>0</v>
      </c>
    </row>
    <row r="575" spans="78:81">
      <c r="BZ575" t="s">
        <v>3164</v>
      </c>
      <c r="CB575" s="120">
        <v>1</v>
      </c>
      <c r="CC575" s="120">
        <v>0</v>
      </c>
    </row>
    <row r="576" spans="78:81">
      <c r="BZ576" t="s">
        <v>1980</v>
      </c>
      <c r="CB576" s="120">
        <v>1</v>
      </c>
      <c r="CC576" s="120">
        <v>0</v>
      </c>
    </row>
    <row r="577" spans="78:81">
      <c r="BZ577" t="s">
        <v>3165</v>
      </c>
      <c r="CB577" s="120">
        <v>1</v>
      </c>
      <c r="CC577" s="120">
        <v>0</v>
      </c>
    </row>
    <row r="578" spans="78:81">
      <c r="BZ578" t="s">
        <v>1984</v>
      </c>
      <c r="CB578" s="120">
        <v>1</v>
      </c>
      <c r="CC578" s="120">
        <v>0</v>
      </c>
    </row>
    <row r="579" spans="78:81">
      <c r="BZ579" t="s">
        <v>3166</v>
      </c>
      <c r="CB579" s="120">
        <v>1</v>
      </c>
      <c r="CC579" s="120">
        <v>0</v>
      </c>
    </row>
    <row r="580" spans="78:81">
      <c r="BZ580" t="s">
        <v>1990</v>
      </c>
      <c r="CB580" s="120">
        <v>1</v>
      </c>
      <c r="CC580" s="120">
        <v>0</v>
      </c>
    </row>
    <row r="581" spans="78:81">
      <c r="BZ581" t="s">
        <v>3167</v>
      </c>
      <c r="CB581" s="120">
        <v>1</v>
      </c>
      <c r="CC581" s="120">
        <v>0</v>
      </c>
    </row>
    <row r="582" spans="78:81">
      <c r="BZ582" t="s">
        <v>1992</v>
      </c>
      <c r="CB582" s="120">
        <v>1</v>
      </c>
      <c r="CC582" s="120">
        <v>0</v>
      </c>
    </row>
    <row r="583" spans="78:81">
      <c r="BZ583" t="s">
        <v>3168</v>
      </c>
      <c r="CB583" s="120">
        <v>1</v>
      </c>
      <c r="CC583" s="120">
        <v>0</v>
      </c>
    </row>
    <row r="584" spans="78:81">
      <c r="BZ584" t="s">
        <v>1994</v>
      </c>
      <c r="CB584" s="120">
        <v>1</v>
      </c>
      <c r="CC584" s="120">
        <v>0</v>
      </c>
    </row>
    <row r="585" spans="78:81">
      <c r="BZ585" t="s">
        <v>3169</v>
      </c>
      <c r="CB585" s="120">
        <v>1</v>
      </c>
      <c r="CC585" s="120">
        <v>0</v>
      </c>
    </row>
    <row r="586" spans="78:81">
      <c r="BZ586" t="s">
        <v>2000</v>
      </c>
      <c r="CB586" s="120">
        <v>1</v>
      </c>
      <c r="CC586" s="120">
        <v>0</v>
      </c>
    </row>
    <row r="587" spans="78:81">
      <c r="BZ587" t="s">
        <v>3170</v>
      </c>
      <c r="CB587" s="120">
        <v>1</v>
      </c>
      <c r="CC587" s="120">
        <v>0</v>
      </c>
    </row>
    <row r="588" spans="78:81">
      <c r="BZ588" t="s">
        <v>2006</v>
      </c>
      <c r="CB588" s="120">
        <v>1</v>
      </c>
      <c r="CC588" s="120">
        <v>0</v>
      </c>
    </row>
    <row r="589" spans="78:81">
      <c r="BZ589" t="s">
        <v>3171</v>
      </c>
      <c r="CB589" s="120">
        <v>1</v>
      </c>
      <c r="CC589" s="120">
        <v>0</v>
      </c>
    </row>
    <row r="590" spans="78:81">
      <c r="BZ590" t="s">
        <v>2008</v>
      </c>
      <c r="CB590" s="120">
        <v>1</v>
      </c>
      <c r="CC590" s="120">
        <v>0</v>
      </c>
    </row>
    <row r="591" spans="78:81">
      <c r="BZ591" t="s">
        <v>3172</v>
      </c>
      <c r="CB591" s="120">
        <v>1</v>
      </c>
      <c r="CC591" s="120">
        <v>0</v>
      </c>
    </row>
    <row r="592" spans="78:81">
      <c r="BZ592" t="s">
        <v>2010</v>
      </c>
      <c r="CB592" s="120">
        <v>1</v>
      </c>
      <c r="CC592" s="120">
        <v>0</v>
      </c>
    </row>
    <row r="593" spans="78:81">
      <c r="BZ593" t="s">
        <v>3173</v>
      </c>
      <c r="CB593" s="120">
        <v>1</v>
      </c>
      <c r="CC593" s="120">
        <v>0</v>
      </c>
    </row>
    <row r="594" spans="78:81">
      <c r="BZ594" t="s">
        <v>2016</v>
      </c>
      <c r="CB594" s="120">
        <v>1</v>
      </c>
      <c r="CC594" s="120">
        <v>0</v>
      </c>
    </row>
    <row r="595" spans="78:81">
      <c r="BZ595" t="s">
        <v>3174</v>
      </c>
      <c r="CB595" s="120">
        <v>1</v>
      </c>
      <c r="CC595" s="120">
        <v>0</v>
      </c>
    </row>
    <row r="596" spans="78:81">
      <c r="BZ596" t="s">
        <v>2023</v>
      </c>
      <c r="CB596" s="120">
        <v>1</v>
      </c>
      <c r="CC596" s="120">
        <v>0</v>
      </c>
    </row>
    <row r="597" spans="78:81">
      <c r="BZ597" t="s">
        <v>3175</v>
      </c>
      <c r="CB597" s="120">
        <v>1</v>
      </c>
      <c r="CC597" s="120">
        <v>0</v>
      </c>
    </row>
    <row r="598" spans="78:81">
      <c r="BZ598" t="s">
        <v>2024</v>
      </c>
      <c r="CB598" s="120">
        <v>1</v>
      </c>
      <c r="CC598" s="120">
        <v>0</v>
      </c>
    </row>
    <row r="599" spans="78:81">
      <c r="BZ599" t="s">
        <v>3176</v>
      </c>
      <c r="CB599" s="120">
        <v>1</v>
      </c>
      <c r="CC599" s="120">
        <v>0</v>
      </c>
    </row>
    <row r="600" spans="78:81">
      <c r="BZ600" t="s">
        <v>2029</v>
      </c>
      <c r="CB600" s="120">
        <v>1</v>
      </c>
      <c r="CC600" s="120">
        <v>0</v>
      </c>
    </row>
    <row r="601" spans="78:81">
      <c r="BZ601" t="s">
        <v>3177</v>
      </c>
      <c r="CB601" s="120">
        <v>1</v>
      </c>
      <c r="CC601" s="120">
        <v>0</v>
      </c>
    </row>
    <row r="602" spans="78:81">
      <c r="BZ602" t="s">
        <v>2031</v>
      </c>
      <c r="CB602" s="120">
        <v>1</v>
      </c>
      <c r="CC602" s="120">
        <v>0</v>
      </c>
    </row>
    <row r="603" spans="78:81">
      <c r="BZ603" t="s">
        <v>3178</v>
      </c>
      <c r="CB603" s="120">
        <v>1</v>
      </c>
      <c r="CC603" s="120">
        <v>0</v>
      </c>
    </row>
    <row r="604" spans="78:81">
      <c r="BZ604" t="s">
        <v>2037</v>
      </c>
      <c r="CB604" s="120">
        <v>1</v>
      </c>
      <c r="CC604" s="120">
        <v>0</v>
      </c>
    </row>
    <row r="605" spans="78:81">
      <c r="BZ605" t="s">
        <v>3179</v>
      </c>
      <c r="CB605" s="120">
        <v>1</v>
      </c>
      <c r="CC605" s="120">
        <v>0</v>
      </c>
    </row>
    <row r="606" spans="78:81">
      <c r="BZ606" t="s">
        <v>2043</v>
      </c>
      <c r="CB606" s="120">
        <v>1</v>
      </c>
      <c r="CC606" s="120">
        <v>0</v>
      </c>
    </row>
    <row r="607" spans="78:81">
      <c r="BZ607" t="s">
        <v>3180</v>
      </c>
      <c r="CB607" s="120">
        <v>1</v>
      </c>
      <c r="CC607" s="120">
        <v>0</v>
      </c>
    </row>
    <row r="608" spans="78:81">
      <c r="BZ608" t="s">
        <v>2044</v>
      </c>
      <c r="CB608" s="120">
        <v>1</v>
      </c>
      <c r="CC608" s="120">
        <v>0</v>
      </c>
    </row>
    <row r="609" spans="78:81">
      <c r="BZ609" t="s">
        <v>3181</v>
      </c>
      <c r="CB609" s="120">
        <v>1</v>
      </c>
      <c r="CC609" s="120">
        <v>0</v>
      </c>
    </row>
    <row r="610" spans="78:81">
      <c r="BZ610" t="s">
        <v>2047</v>
      </c>
      <c r="CB610" s="120">
        <v>1</v>
      </c>
      <c r="CC610" s="120">
        <v>0</v>
      </c>
    </row>
    <row r="611" spans="78:81">
      <c r="BZ611" t="s">
        <v>3182</v>
      </c>
      <c r="CB611" s="120">
        <v>1</v>
      </c>
      <c r="CC611" s="120">
        <v>0</v>
      </c>
    </row>
    <row r="612" spans="78:81">
      <c r="BZ612" t="s">
        <v>2050</v>
      </c>
      <c r="CB612" s="120">
        <v>1</v>
      </c>
      <c r="CC612" s="120">
        <v>0</v>
      </c>
    </row>
    <row r="613" spans="78:81">
      <c r="BZ613" t="s">
        <v>3183</v>
      </c>
      <c r="CB613" s="120">
        <v>1</v>
      </c>
      <c r="CC613" s="120">
        <v>0</v>
      </c>
    </row>
    <row r="614" spans="78:81">
      <c r="BZ614" t="s">
        <v>2055</v>
      </c>
      <c r="CB614" s="120">
        <v>1</v>
      </c>
      <c r="CC614" s="120">
        <v>0</v>
      </c>
    </row>
    <row r="615" spans="78:81">
      <c r="BZ615" t="s">
        <v>3184</v>
      </c>
      <c r="CB615" s="120">
        <v>1</v>
      </c>
      <c r="CC615" s="120">
        <v>0</v>
      </c>
    </row>
    <row r="616" spans="78:81">
      <c r="BZ616" t="s">
        <v>2057</v>
      </c>
      <c r="CB616" s="120">
        <v>1</v>
      </c>
      <c r="CC616" s="120">
        <v>0</v>
      </c>
    </row>
    <row r="617" spans="78:81">
      <c r="BZ617" t="s">
        <v>3185</v>
      </c>
      <c r="CB617" s="120">
        <v>1</v>
      </c>
      <c r="CC617" s="120">
        <v>0</v>
      </c>
    </row>
    <row r="618" spans="78:81">
      <c r="BZ618" t="s">
        <v>2063</v>
      </c>
      <c r="CB618" s="120">
        <v>1</v>
      </c>
      <c r="CC618" s="120">
        <v>0</v>
      </c>
    </row>
    <row r="619" spans="78:81">
      <c r="BZ619" t="s">
        <v>3186</v>
      </c>
      <c r="CB619" s="120">
        <v>1</v>
      </c>
      <c r="CC619" s="120">
        <v>0</v>
      </c>
    </row>
    <row r="620" spans="78:81">
      <c r="BZ620" t="s">
        <v>2070</v>
      </c>
      <c r="CB620" s="120">
        <v>1</v>
      </c>
      <c r="CC620" s="120">
        <v>0</v>
      </c>
    </row>
    <row r="621" spans="78:81">
      <c r="BZ621" t="s">
        <v>3187</v>
      </c>
      <c r="CB621" s="120">
        <v>1</v>
      </c>
      <c r="CC621" s="120">
        <v>0</v>
      </c>
    </row>
    <row r="622" spans="78:81">
      <c r="BZ622" t="s">
        <v>2075</v>
      </c>
      <c r="CB622" s="120">
        <v>1</v>
      </c>
      <c r="CC622" s="120">
        <v>0</v>
      </c>
    </row>
    <row r="623" spans="78:81">
      <c r="BZ623" t="s">
        <v>3188</v>
      </c>
      <c r="CB623" s="120">
        <v>1</v>
      </c>
      <c r="CC623" s="120">
        <v>0</v>
      </c>
    </row>
    <row r="624" spans="78:81">
      <c r="BZ624" t="s">
        <v>2081</v>
      </c>
      <c r="CB624" s="120">
        <v>1</v>
      </c>
      <c r="CC624" s="120">
        <v>0</v>
      </c>
    </row>
    <row r="625" spans="78:81">
      <c r="BZ625" t="s">
        <v>3189</v>
      </c>
      <c r="CB625" s="120">
        <v>1</v>
      </c>
      <c r="CC625" s="120">
        <v>0</v>
      </c>
    </row>
    <row r="626" spans="78:81">
      <c r="BZ626" t="s">
        <v>2082</v>
      </c>
      <c r="CB626" s="120">
        <v>1</v>
      </c>
      <c r="CC626" s="120">
        <v>0</v>
      </c>
    </row>
    <row r="627" spans="78:81">
      <c r="BZ627" t="s">
        <v>3190</v>
      </c>
      <c r="CB627" s="120">
        <v>1</v>
      </c>
      <c r="CC627" s="120">
        <v>0</v>
      </c>
    </row>
    <row r="628" spans="78:81">
      <c r="BZ628" t="s">
        <v>2087</v>
      </c>
      <c r="CB628" s="120">
        <v>1</v>
      </c>
      <c r="CC628" s="120">
        <v>0</v>
      </c>
    </row>
    <row r="629" spans="78:81">
      <c r="BZ629" t="s">
        <v>3191</v>
      </c>
      <c r="CB629" s="120">
        <v>1</v>
      </c>
      <c r="CC629" s="120">
        <v>0</v>
      </c>
    </row>
    <row r="630" spans="78:81">
      <c r="BZ630" t="s">
        <v>2092</v>
      </c>
      <c r="CB630" s="120">
        <v>1</v>
      </c>
      <c r="CC630" s="120">
        <v>0</v>
      </c>
    </row>
    <row r="631" spans="78:81">
      <c r="BZ631" t="s">
        <v>3192</v>
      </c>
      <c r="CB631" s="120">
        <v>1</v>
      </c>
      <c r="CC631" s="120">
        <v>0</v>
      </c>
    </row>
    <row r="632" spans="78:81">
      <c r="BZ632" t="s">
        <v>2096</v>
      </c>
      <c r="CB632" s="120">
        <v>1</v>
      </c>
      <c r="CC632" s="120">
        <v>0</v>
      </c>
    </row>
    <row r="633" spans="78:81">
      <c r="BZ633" t="s">
        <v>3193</v>
      </c>
      <c r="CB633" s="120">
        <v>1</v>
      </c>
      <c r="CC633" s="120">
        <v>0</v>
      </c>
    </row>
    <row r="634" spans="78:81">
      <c r="BZ634" t="s">
        <v>2100</v>
      </c>
      <c r="CB634" s="120">
        <v>1</v>
      </c>
      <c r="CC634" s="120">
        <v>0</v>
      </c>
    </row>
    <row r="635" spans="78:81">
      <c r="BZ635" t="s">
        <v>3194</v>
      </c>
      <c r="CB635" s="120">
        <v>1</v>
      </c>
      <c r="CC635" s="120">
        <v>0</v>
      </c>
    </row>
    <row r="636" spans="78:81">
      <c r="BZ636" t="s">
        <v>2102</v>
      </c>
      <c r="CB636" s="120">
        <v>1</v>
      </c>
      <c r="CC636" s="120">
        <v>0</v>
      </c>
    </row>
    <row r="637" spans="78:81">
      <c r="BZ637" t="s">
        <v>3195</v>
      </c>
      <c r="CB637" s="120">
        <v>1</v>
      </c>
      <c r="CC637" s="120">
        <v>0</v>
      </c>
    </row>
    <row r="638" spans="78:81">
      <c r="BZ638" t="s">
        <v>2106</v>
      </c>
      <c r="CB638" s="120">
        <v>1</v>
      </c>
      <c r="CC638" s="120">
        <v>0</v>
      </c>
    </row>
    <row r="639" spans="78:81">
      <c r="BZ639" t="s">
        <v>3196</v>
      </c>
      <c r="CB639" s="120">
        <v>1</v>
      </c>
      <c r="CC639" s="120">
        <v>0</v>
      </c>
    </row>
    <row r="640" spans="78:81">
      <c r="BZ640" t="s">
        <v>2110</v>
      </c>
      <c r="CB640" s="120">
        <v>1</v>
      </c>
      <c r="CC640" s="120">
        <v>0</v>
      </c>
    </row>
    <row r="641" spans="78:81">
      <c r="BZ641" t="s">
        <v>3197</v>
      </c>
      <c r="CB641" s="120">
        <v>1</v>
      </c>
      <c r="CC641" s="120">
        <v>0</v>
      </c>
    </row>
    <row r="642" spans="78:81">
      <c r="BZ642" t="s">
        <v>2114</v>
      </c>
      <c r="CB642" s="120">
        <v>1</v>
      </c>
      <c r="CC642" s="120">
        <v>0</v>
      </c>
    </row>
    <row r="643" spans="78:81">
      <c r="BZ643" t="s">
        <v>3198</v>
      </c>
      <c r="CB643" s="120">
        <v>1</v>
      </c>
      <c r="CC643" s="120">
        <v>0</v>
      </c>
    </row>
    <row r="644" spans="78:81">
      <c r="BZ644" t="s">
        <v>2119</v>
      </c>
      <c r="CB644" s="120">
        <v>1</v>
      </c>
      <c r="CC644" s="120">
        <v>0</v>
      </c>
    </row>
    <row r="645" spans="78:81">
      <c r="BZ645" t="s">
        <v>3199</v>
      </c>
      <c r="CB645" s="120">
        <v>1</v>
      </c>
      <c r="CC645" s="120">
        <v>0</v>
      </c>
    </row>
    <row r="646" spans="78:81">
      <c r="BZ646" t="s">
        <v>2123</v>
      </c>
      <c r="CB646" s="120">
        <v>1</v>
      </c>
      <c r="CC646" s="120">
        <v>0</v>
      </c>
    </row>
    <row r="647" spans="78:81">
      <c r="BZ647" t="s">
        <v>3200</v>
      </c>
      <c r="CB647" s="120">
        <v>1</v>
      </c>
      <c r="CC647" s="120">
        <v>0</v>
      </c>
    </row>
    <row r="648" spans="78:81">
      <c r="BZ648" t="s">
        <v>2124</v>
      </c>
      <c r="CB648" s="120">
        <v>1</v>
      </c>
      <c r="CC648" s="120">
        <v>0</v>
      </c>
    </row>
    <row r="649" spans="78:81">
      <c r="BZ649" t="s">
        <v>3201</v>
      </c>
      <c r="CB649" s="120">
        <v>1</v>
      </c>
      <c r="CC649" s="120">
        <v>0</v>
      </c>
    </row>
    <row r="650" spans="78:81">
      <c r="BZ650" t="s">
        <v>2131</v>
      </c>
      <c r="CB650" s="120">
        <v>1</v>
      </c>
      <c r="CC650" s="120">
        <v>0</v>
      </c>
    </row>
    <row r="651" spans="78:81">
      <c r="BZ651" t="s">
        <v>3202</v>
      </c>
      <c r="CB651" s="120">
        <v>1</v>
      </c>
      <c r="CC651" s="120">
        <v>0</v>
      </c>
    </row>
    <row r="652" spans="78:81">
      <c r="BZ652" t="s">
        <v>2135</v>
      </c>
      <c r="CB652" s="120">
        <v>1</v>
      </c>
      <c r="CC652" s="120">
        <v>0</v>
      </c>
    </row>
    <row r="653" spans="78:81">
      <c r="BZ653" t="s">
        <v>3203</v>
      </c>
      <c r="CB653" s="120">
        <v>1</v>
      </c>
      <c r="CC653" s="120">
        <v>0</v>
      </c>
    </row>
    <row r="654" spans="78:81">
      <c r="BZ654" t="s">
        <v>2137</v>
      </c>
      <c r="CB654" s="120">
        <v>1</v>
      </c>
      <c r="CC654" s="120">
        <v>0</v>
      </c>
    </row>
    <row r="655" spans="78:81">
      <c r="BZ655" t="s">
        <v>3204</v>
      </c>
      <c r="CB655" s="120">
        <v>1</v>
      </c>
      <c r="CC655" s="120">
        <v>0</v>
      </c>
    </row>
    <row r="656" spans="78:81">
      <c r="BZ656" t="s">
        <v>2139</v>
      </c>
      <c r="CB656" s="120">
        <v>1</v>
      </c>
      <c r="CC656" s="120">
        <v>0</v>
      </c>
    </row>
    <row r="657" spans="78:81">
      <c r="BZ657" t="s">
        <v>3205</v>
      </c>
      <c r="CB657" s="120">
        <v>1</v>
      </c>
      <c r="CC657" s="120">
        <v>0</v>
      </c>
    </row>
    <row r="658" spans="78:81">
      <c r="BZ658" t="s">
        <v>2141</v>
      </c>
      <c r="CB658" s="120">
        <v>1</v>
      </c>
      <c r="CC658" s="120">
        <v>0</v>
      </c>
    </row>
    <row r="659" spans="78:81">
      <c r="BZ659" t="s">
        <v>3206</v>
      </c>
      <c r="CB659" s="120">
        <v>1</v>
      </c>
      <c r="CC659" s="120">
        <v>0</v>
      </c>
    </row>
    <row r="660" spans="78:81">
      <c r="BZ660" t="s">
        <v>2144</v>
      </c>
      <c r="CB660" s="120">
        <v>1</v>
      </c>
      <c r="CC660" s="120">
        <v>0</v>
      </c>
    </row>
    <row r="661" spans="78:81">
      <c r="BZ661" t="s">
        <v>3207</v>
      </c>
      <c r="CB661" s="120">
        <v>1</v>
      </c>
      <c r="CC661" s="120">
        <v>0</v>
      </c>
    </row>
    <row r="662" spans="78:81">
      <c r="BZ662" t="s">
        <v>2148</v>
      </c>
      <c r="CB662" s="120">
        <v>1</v>
      </c>
      <c r="CC662" s="120">
        <v>0</v>
      </c>
    </row>
    <row r="663" spans="78:81">
      <c r="BZ663" t="s">
        <v>3208</v>
      </c>
      <c r="CB663" s="120">
        <v>1</v>
      </c>
      <c r="CC663" s="120">
        <v>0</v>
      </c>
    </row>
    <row r="664" spans="78:81">
      <c r="BZ664" t="s">
        <v>2150</v>
      </c>
      <c r="CB664" s="120">
        <v>1</v>
      </c>
      <c r="CC664" s="120">
        <v>0</v>
      </c>
    </row>
    <row r="665" spans="78:81">
      <c r="BZ665" t="s">
        <v>3209</v>
      </c>
      <c r="CB665" s="120">
        <v>1</v>
      </c>
      <c r="CC665" s="120">
        <v>0</v>
      </c>
    </row>
    <row r="666" spans="78:81">
      <c r="BZ666" t="s">
        <v>2156</v>
      </c>
      <c r="CB666" s="120">
        <v>1</v>
      </c>
      <c r="CC666" s="120">
        <v>0</v>
      </c>
    </row>
    <row r="667" spans="78:81">
      <c r="BZ667" t="s">
        <v>3210</v>
      </c>
      <c r="CB667" s="120">
        <v>1</v>
      </c>
      <c r="CC667" s="120">
        <v>0</v>
      </c>
    </row>
    <row r="668" spans="78:81">
      <c r="BZ668" t="s">
        <v>2158</v>
      </c>
      <c r="CB668" s="120">
        <v>1</v>
      </c>
      <c r="CC668" s="120">
        <v>0</v>
      </c>
    </row>
    <row r="669" spans="78:81">
      <c r="BZ669" t="s">
        <v>3211</v>
      </c>
      <c r="CB669" s="120">
        <v>1</v>
      </c>
      <c r="CC669" s="120">
        <v>0</v>
      </c>
    </row>
    <row r="670" spans="78:81">
      <c r="BZ670" t="s">
        <v>2161</v>
      </c>
      <c r="CB670" s="120">
        <v>1</v>
      </c>
      <c r="CC670" s="120">
        <v>0</v>
      </c>
    </row>
    <row r="671" spans="78:81">
      <c r="BZ671" t="s">
        <v>3212</v>
      </c>
      <c r="CB671" s="120">
        <v>1</v>
      </c>
      <c r="CC671" s="120">
        <v>0</v>
      </c>
    </row>
    <row r="672" spans="78:81">
      <c r="BZ672" t="s">
        <v>2166</v>
      </c>
      <c r="CB672" s="120">
        <v>1</v>
      </c>
      <c r="CC672" s="120">
        <v>0</v>
      </c>
    </row>
    <row r="673" spans="78:81">
      <c r="BZ673" t="s">
        <v>3213</v>
      </c>
      <c r="CB673" s="120">
        <v>1</v>
      </c>
      <c r="CC673" s="120">
        <v>0</v>
      </c>
    </row>
    <row r="674" spans="78:81">
      <c r="BZ674" t="s">
        <v>2171</v>
      </c>
      <c r="CB674" s="120">
        <v>1</v>
      </c>
      <c r="CC674" s="120">
        <v>0</v>
      </c>
    </row>
    <row r="675" spans="78:81">
      <c r="BZ675" t="s">
        <v>3214</v>
      </c>
      <c r="CB675" s="120">
        <v>1</v>
      </c>
      <c r="CC675" s="120">
        <v>0</v>
      </c>
    </row>
    <row r="676" spans="78:81">
      <c r="BZ676" t="s">
        <v>2173</v>
      </c>
      <c r="CB676" s="120">
        <v>1</v>
      </c>
      <c r="CC676" s="120">
        <v>0</v>
      </c>
    </row>
    <row r="677" spans="78:81">
      <c r="BZ677" t="s">
        <v>3215</v>
      </c>
      <c r="CB677" s="120">
        <v>1</v>
      </c>
      <c r="CC677" s="120">
        <v>0</v>
      </c>
    </row>
    <row r="678" spans="78:81">
      <c r="BZ678" t="s">
        <v>2175</v>
      </c>
      <c r="CB678" s="120">
        <v>1</v>
      </c>
      <c r="CC678" s="120">
        <v>0</v>
      </c>
    </row>
    <row r="679" spans="78:81">
      <c r="BZ679" t="s">
        <v>3216</v>
      </c>
      <c r="CB679" s="120">
        <v>1</v>
      </c>
      <c r="CC679" s="120">
        <v>0</v>
      </c>
    </row>
    <row r="680" spans="78:81">
      <c r="BZ680" t="s">
        <v>2177</v>
      </c>
      <c r="CB680" s="120">
        <v>1</v>
      </c>
      <c r="CC680" s="120">
        <v>0</v>
      </c>
    </row>
    <row r="681" spans="78:81">
      <c r="BZ681" t="s">
        <v>3217</v>
      </c>
      <c r="CB681" s="120">
        <v>1</v>
      </c>
      <c r="CC681" s="120">
        <v>0</v>
      </c>
    </row>
    <row r="682" spans="78:81">
      <c r="BZ682" t="s">
        <v>2179</v>
      </c>
      <c r="CB682" s="120">
        <v>1</v>
      </c>
      <c r="CC682" s="120">
        <v>0</v>
      </c>
    </row>
    <row r="683" spans="78:81">
      <c r="BZ683" t="s">
        <v>3218</v>
      </c>
      <c r="CB683" s="120">
        <v>1</v>
      </c>
      <c r="CC683" s="120">
        <v>0</v>
      </c>
    </row>
    <row r="684" spans="78:81">
      <c r="BZ684" t="s">
        <v>2181</v>
      </c>
      <c r="CB684" s="120">
        <v>1</v>
      </c>
      <c r="CC684" s="120">
        <v>0</v>
      </c>
    </row>
    <row r="685" spans="78:81">
      <c r="BZ685" t="s">
        <v>3219</v>
      </c>
      <c r="CB685" s="120">
        <v>1</v>
      </c>
      <c r="CC685" s="120">
        <v>0</v>
      </c>
    </row>
    <row r="686" spans="78:81">
      <c r="BZ686" t="s">
        <v>2183</v>
      </c>
      <c r="CB686" s="120">
        <v>1</v>
      </c>
      <c r="CC686" s="120">
        <v>0</v>
      </c>
    </row>
    <row r="687" spans="78:81">
      <c r="BZ687" t="s">
        <v>3220</v>
      </c>
      <c r="CB687" s="120">
        <v>1</v>
      </c>
      <c r="CC687" s="120">
        <v>0</v>
      </c>
    </row>
    <row r="688" spans="78:81">
      <c r="BZ688" t="s">
        <v>2185</v>
      </c>
      <c r="CB688" s="120">
        <v>1</v>
      </c>
      <c r="CC688" s="120">
        <v>0</v>
      </c>
    </row>
    <row r="689" spans="78:81">
      <c r="BZ689" t="s">
        <v>3221</v>
      </c>
      <c r="CB689" s="120">
        <v>1</v>
      </c>
      <c r="CC689" s="120">
        <v>0</v>
      </c>
    </row>
    <row r="690" spans="78:81">
      <c r="BZ690" t="s">
        <v>2187</v>
      </c>
      <c r="CB690" s="120">
        <v>1</v>
      </c>
      <c r="CC690" s="120">
        <v>0</v>
      </c>
    </row>
    <row r="691" spans="78:81">
      <c r="BZ691" t="s">
        <v>3222</v>
      </c>
      <c r="CB691" s="120">
        <v>1</v>
      </c>
      <c r="CC691" s="120">
        <v>0</v>
      </c>
    </row>
    <row r="692" spans="78:81">
      <c r="BZ692" t="s">
        <v>2188</v>
      </c>
      <c r="CB692" s="120">
        <v>1</v>
      </c>
      <c r="CC692" s="120">
        <v>0</v>
      </c>
    </row>
    <row r="693" spans="78:81">
      <c r="BZ693" t="s">
        <v>3223</v>
      </c>
      <c r="CB693" s="120">
        <v>1</v>
      </c>
      <c r="CC693" s="120">
        <v>0</v>
      </c>
    </row>
    <row r="694" spans="78:81">
      <c r="BZ694" t="s">
        <v>2190</v>
      </c>
      <c r="CB694" s="120">
        <v>1</v>
      </c>
      <c r="CC694" s="120">
        <v>0</v>
      </c>
    </row>
    <row r="695" spans="78:81">
      <c r="BZ695" t="s">
        <v>3224</v>
      </c>
      <c r="CB695" s="120">
        <v>1</v>
      </c>
      <c r="CC695" s="120">
        <v>0</v>
      </c>
    </row>
    <row r="696" spans="78:81">
      <c r="BZ696" t="s">
        <v>2192</v>
      </c>
      <c r="CB696" s="120">
        <v>1</v>
      </c>
      <c r="CC696" s="120">
        <v>0</v>
      </c>
    </row>
    <row r="697" spans="78:81">
      <c r="BZ697" t="s">
        <v>3225</v>
      </c>
      <c r="CB697" s="120">
        <v>1</v>
      </c>
      <c r="CC697" s="120">
        <v>0</v>
      </c>
    </row>
    <row r="698" spans="78:81">
      <c r="BZ698" t="s">
        <v>2193</v>
      </c>
      <c r="CB698" s="120">
        <v>1</v>
      </c>
      <c r="CC698" s="120">
        <v>0</v>
      </c>
    </row>
    <row r="699" spans="78:81">
      <c r="BZ699" t="s">
        <v>3226</v>
      </c>
      <c r="CB699" s="120">
        <v>1</v>
      </c>
      <c r="CC699" s="120">
        <v>0</v>
      </c>
    </row>
    <row r="700" spans="78:81">
      <c r="BZ700" t="s">
        <v>2195</v>
      </c>
      <c r="CB700" s="120">
        <v>1</v>
      </c>
      <c r="CC700" s="120">
        <v>0</v>
      </c>
    </row>
    <row r="701" spans="78:81">
      <c r="BZ701" t="s">
        <v>3227</v>
      </c>
      <c r="CB701" s="120">
        <v>1</v>
      </c>
      <c r="CC701" s="120">
        <v>0</v>
      </c>
    </row>
    <row r="702" spans="78:81">
      <c r="BZ702" t="s">
        <v>2196</v>
      </c>
      <c r="CB702" s="120">
        <v>1</v>
      </c>
      <c r="CC702" s="120">
        <v>0</v>
      </c>
    </row>
    <row r="703" spans="78:81">
      <c r="BZ703" t="s">
        <v>3228</v>
      </c>
      <c r="CB703" s="120">
        <v>1</v>
      </c>
      <c r="CC703" s="120">
        <v>0</v>
      </c>
    </row>
    <row r="704" spans="78:81">
      <c r="BZ704" t="s">
        <v>2200</v>
      </c>
      <c r="CB704" s="120">
        <v>1</v>
      </c>
      <c r="CC704" s="120">
        <v>0</v>
      </c>
    </row>
    <row r="705" spans="78:81">
      <c r="BZ705" t="s">
        <v>3229</v>
      </c>
      <c r="CB705" s="120">
        <v>1</v>
      </c>
      <c r="CC705" s="120">
        <v>0</v>
      </c>
    </row>
    <row r="706" spans="78:81">
      <c r="BZ706" t="s">
        <v>2201</v>
      </c>
      <c r="CB706" s="120">
        <v>1</v>
      </c>
      <c r="CC706" s="120">
        <v>0</v>
      </c>
    </row>
    <row r="707" spans="78:81">
      <c r="BZ707" t="s">
        <v>3230</v>
      </c>
      <c r="CB707" s="120">
        <v>1</v>
      </c>
      <c r="CC707" s="120">
        <v>0</v>
      </c>
    </row>
    <row r="708" spans="78:81">
      <c r="BZ708" t="s">
        <v>2202</v>
      </c>
      <c r="CB708" s="120">
        <v>1</v>
      </c>
      <c r="CC708" s="120">
        <v>0</v>
      </c>
    </row>
    <row r="709" spans="78:81">
      <c r="BZ709" t="s">
        <v>3231</v>
      </c>
      <c r="CB709" s="120">
        <v>1</v>
      </c>
      <c r="CC709" s="120">
        <v>0</v>
      </c>
    </row>
    <row r="710" spans="78:81">
      <c r="BZ710" t="s">
        <v>2205</v>
      </c>
      <c r="CB710" s="120">
        <v>1</v>
      </c>
      <c r="CC710" s="120">
        <v>0</v>
      </c>
    </row>
    <row r="711" spans="78:81">
      <c r="BZ711" t="s">
        <v>3232</v>
      </c>
      <c r="CB711" s="120">
        <v>1</v>
      </c>
      <c r="CC711" s="120">
        <v>0</v>
      </c>
    </row>
    <row r="712" spans="78:81">
      <c r="BZ712" t="s">
        <v>2210</v>
      </c>
      <c r="CB712" s="120">
        <v>1</v>
      </c>
      <c r="CC712" s="120">
        <v>0</v>
      </c>
    </row>
    <row r="713" spans="78:81">
      <c r="BZ713" t="s">
        <v>3233</v>
      </c>
      <c r="CB713" s="120">
        <v>1</v>
      </c>
      <c r="CC713" s="120">
        <v>0</v>
      </c>
    </row>
    <row r="714" spans="78:81">
      <c r="BZ714" t="s">
        <v>2213</v>
      </c>
      <c r="CB714" s="120">
        <v>1</v>
      </c>
      <c r="CC714" s="120">
        <v>0</v>
      </c>
    </row>
    <row r="715" spans="78:81">
      <c r="BZ715" t="s">
        <v>3234</v>
      </c>
      <c r="CB715" s="120">
        <v>1</v>
      </c>
      <c r="CC715" s="120">
        <v>0</v>
      </c>
    </row>
    <row r="716" spans="78:81">
      <c r="BZ716" t="s">
        <v>2214</v>
      </c>
      <c r="CB716" s="120">
        <v>1</v>
      </c>
      <c r="CC716" s="120">
        <v>0</v>
      </c>
    </row>
    <row r="717" spans="78:81">
      <c r="BZ717" t="s">
        <v>3235</v>
      </c>
      <c r="CB717" s="120">
        <v>1</v>
      </c>
      <c r="CC717" s="120">
        <v>0</v>
      </c>
    </row>
    <row r="718" spans="78:81">
      <c r="BZ718" t="s">
        <v>2215</v>
      </c>
      <c r="CB718" s="120">
        <v>1</v>
      </c>
      <c r="CC718" s="120">
        <v>0</v>
      </c>
    </row>
    <row r="719" spans="78:81">
      <c r="BZ719" t="s">
        <v>3236</v>
      </c>
      <c r="CB719" s="120">
        <v>1</v>
      </c>
      <c r="CC719" s="120">
        <v>0</v>
      </c>
    </row>
    <row r="720" spans="78:81">
      <c r="BZ720" t="s">
        <v>2216</v>
      </c>
      <c r="CB720" s="120">
        <v>1</v>
      </c>
      <c r="CC720" s="120">
        <v>0</v>
      </c>
    </row>
    <row r="721" spans="78:81">
      <c r="BZ721" t="s">
        <v>3237</v>
      </c>
      <c r="CB721" s="120">
        <v>1</v>
      </c>
      <c r="CC721" s="120">
        <v>0</v>
      </c>
    </row>
    <row r="722" spans="78:81">
      <c r="BZ722" t="s">
        <v>2217</v>
      </c>
      <c r="CB722" s="120">
        <v>1</v>
      </c>
      <c r="CC722" s="120">
        <v>0</v>
      </c>
    </row>
    <row r="723" spans="78:81">
      <c r="BZ723" t="s">
        <v>3238</v>
      </c>
      <c r="CB723" s="120">
        <v>1</v>
      </c>
      <c r="CC723" s="120">
        <v>0</v>
      </c>
    </row>
    <row r="724" spans="78:81">
      <c r="BZ724" t="s">
        <v>2218</v>
      </c>
      <c r="CB724" s="120">
        <v>1</v>
      </c>
      <c r="CC724" s="120">
        <v>0</v>
      </c>
    </row>
    <row r="725" spans="78:81">
      <c r="BZ725" t="s">
        <v>3239</v>
      </c>
      <c r="CB725" s="120">
        <v>1</v>
      </c>
      <c r="CC725" s="120">
        <v>0</v>
      </c>
    </row>
    <row r="726" spans="78:81">
      <c r="BZ726" t="s">
        <v>2219</v>
      </c>
      <c r="CB726" s="120">
        <v>1</v>
      </c>
      <c r="CC726" s="120">
        <v>0</v>
      </c>
    </row>
    <row r="727" spans="78:81">
      <c r="BZ727" t="s">
        <v>3240</v>
      </c>
      <c r="CB727" s="120">
        <v>1</v>
      </c>
      <c r="CC727" s="120">
        <v>0</v>
      </c>
    </row>
    <row r="728" spans="78:81">
      <c r="BZ728" t="s">
        <v>2220</v>
      </c>
      <c r="CB728" s="120">
        <v>1</v>
      </c>
      <c r="CC728" s="120">
        <v>0</v>
      </c>
    </row>
    <row r="729" spans="78:81">
      <c r="BZ729" t="s">
        <v>3241</v>
      </c>
      <c r="CB729" s="120">
        <v>1</v>
      </c>
      <c r="CC729" s="120">
        <v>0</v>
      </c>
    </row>
    <row r="730" spans="78:81">
      <c r="BZ730" t="s">
        <v>2221</v>
      </c>
      <c r="CB730" s="120">
        <v>1</v>
      </c>
      <c r="CC730" s="120">
        <v>0</v>
      </c>
    </row>
    <row r="731" spans="78:81">
      <c r="BZ731" t="s">
        <v>3242</v>
      </c>
      <c r="CB731" s="120">
        <v>1</v>
      </c>
      <c r="CC731" s="120">
        <v>0</v>
      </c>
    </row>
    <row r="732" spans="78:81">
      <c r="BZ732" t="s">
        <v>2222</v>
      </c>
      <c r="CB732" s="120">
        <v>1</v>
      </c>
      <c r="CC732" s="120">
        <v>0</v>
      </c>
    </row>
    <row r="733" spans="78:81">
      <c r="BZ733" t="s">
        <v>3243</v>
      </c>
      <c r="CB733" s="120">
        <v>1</v>
      </c>
      <c r="CC733" s="120">
        <v>0</v>
      </c>
    </row>
    <row r="734" spans="78:81">
      <c r="BZ734" t="s">
        <v>2223</v>
      </c>
      <c r="CB734" s="120">
        <v>1</v>
      </c>
      <c r="CC734" s="120">
        <v>0</v>
      </c>
    </row>
    <row r="735" spans="78:81">
      <c r="BZ735" t="s">
        <v>3244</v>
      </c>
      <c r="CB735" s="120">
        <v>1</v>
      </c>
      <c r="CC735" s="120">
        <v>0</v>
      </c>
    </row>
    <row r="736" spans="78:81">
      <c r="BZ736" t="s">
        <v>2224</v>
      </c>
      <c r="CB736" s="120">
        <v>1</v>
      </c>
      <c r="CC736" s="120">
        <v>0</v>
      </c>
    </row>
    <row r="737" spans="78:81">
      <c r="BZ737" t="s">
        <v>3245</v>
      </c>
      <c r="CB737" s="120">
        <v>1</v>
      </c>
      <c r="CC737" s="120">
        <v>0</v>
      </c>
    </row>
    <row r="738" spans="78:81">
      <c r="BZ738" t="s">
        <v>2225</v>
      </c>
      <c r="CB738" s="120">
        <v>1</v>
      </c>
      <c r="CC738" s="120">
        <v>0</v>
      </c>
    </row>
    <row r="739" spans="78:81">
      <c r="BZ739" t="s">
        <v>3246</v>
      </c>
      <c r="CB739" s="120">
        <v>1</v>
      </c>
      <c r="CC739" s="120">
        <v>0</v>
      </c>
    </row>
    <row r="740" spans="78:81">
      <c r="BZ740" t="s">
        <v>2226</v>
      </c>
      <c r="CB740" s="120">
        <v>1</v>
      </c>
      <c r="CC740" s="120">
        <v>0</v>
      </c>
    </row>
    <row r="741" spans="78:81">
      <c r="BZ741" t="s">
        <v>3247</v>
      </c>
      <c r="CB741" s="120">
        <v>1</v>
      </c>
      <c r="CC741" s="120">
        <v>0</v>
      </c>
    </row>
    <row r="742" spans="78:81">
      <c r="BZ742" t="s">
        <v>2227</v>
      </c>
      <c r="CB742" s="120">
        <v>1</v>
      </c>
      <c r="CC742" s="120">
        <v>0</v>
      </c>
    </row>
    <row r="743" spans="78:81">
      <c r="BZ743" t="s">
        <v>3248</v>
      </c>
      <c r="CB743" s="120">
        <v>1</v>
      </c>
      <c r="CC743" s="120">
        <v>0</v>
      </c>
    </row>
    <row r="744" spans="78:81">
      <c r="BZ744" t="s">
        <v>2228</v>
      </c>
      <c r="CB744" s="120">
        <v>1</v>
      </c>
      <c r="CC744" s="120">
        <v>0</v>
      </c>
    </row>
    <row r="745" spans="78:81">
      <c r="BZ745" t="s">
        <v>3249</v>
      </c>
      <c r="CB745" s="120">
        <v>1</v>
      </c>
      <c r="CC745" s="120">
        <v>0</v>
      </c>
    </row>
    <row r="746" spans="78:81">
      <c r="BZ746" t="s">
        <v>2229</v>
      </c>
      <c r="CB746" s="120">
        <v>1</v>
      </c>
      <c r="CC746" s="120">
        <v>0</v>
      </c>
    </row>
    <row r="747" spans="78:81">
      <c r="BZ747" t="s">
        <v>3250</v>
      </c>
      <c r="CB747" s="120">
        <v>1</v>
      </c>
      <c r="CC747" s="120">
        <v>0</v>
      </c>
    </row>
    <row r="748" spans="78:81">
      <c r="BZ748" t="s">
        <v>2230</v>
      </c>
      <c r="CB748" s="120">
        <v>1</v>
      </c>
      <c r="CC748" s="120">
        <v>0</v>
      </c>
    </row>
    <row r="749" spans="78:81">
      <c r="BZ749" t="s">
        <v>3251</v>
      </c>
      <c r="CB749" s="120">
        <v>1</v>
      </c>
      <c r="CC749" s="120">
        <v>0</v>
      </c>
    </row>
    <row r="750" spans="78:81">
      <c r="BZ750" t="s">
        <v>2231</v>
      </c>
      <c r="CB750" s="120">
        <v>1</v>
      </c>
      <c r="CC750" s="120">
        <v>0</v>
      </c>
    </row>
    <row r="751" spans="78:81">
      <c r="BZ751" t="s">
        <v>3252</v>
      </c>
      <c r="CB751" s="120">
        <v>1</v>
      </c>
      <c r="CC751" s="120">
        <v>0</v>
      </c>
    </row>
    <row r="752" spans="78:81">
      <c r="BZ752" t="s">
        <v>2232</v>
      </c>
      <c r="CB752" s="120">
        <v>1</v>
      </c>
      <c r="CC752" s="120">
        <v>0</v>
      </c>
    </row>
    <row r="753" spans="78:81">
      <c r="BZ753" t="s">
        <v>3253</v>
      </c>
      <c r="CB753" s="120">
        <v>1</v>
      </c>
      <c r="CC753" s="120">
        <v>0</v>
      </c>
    </row>
    <row r="754" spans="78:81">
      <c r="BZ754" t="s">
        <v>2233</v>
      </c>
      <c r="CB754" s="120">
        <v>1</v>
      </c>
      <c r="CC754" s="120">
        <v>0</v>
      </c>
    </row>
    <row r="755" spans="78:81">
      <c r="BZ755" t="s">
        <v>3254</v>
      </c>
      <c r="CB755" s="120">
        <v>1</v>
      </c>
      <c r="CC755" s="120">
        <v>0</v>
      </c>
    </row>
    <row r="756" spans="78:81">
      <c r="BZ756" t="s">
        <v>2234</v>
      </c>
      <c r="CB756" s="120">
        <v>1</v>
      </c>
      <c r="CC756" s="120">
        <v>0</v>
      </c>
    </row>
    <row r="757" spans="78:81">
      <c r="BZ757" t="s">
        <v>3255</v>
      </c>
      <c r="CB757" s="120">
        <v>1</v>
      </c>
      <c r="CC757" s="120">
        <v>0</v>
      </c>
    </row>
    <row r="758" spans="78:81">
      <c r="BZ758" t="s">
        <v>2235</v>
      </c>
      <c r="CB758" s="120">
        <v>1</v>
      </c>
      <c r="CC758" s="120">
        <v>0</v>
      </c>
    </row>
    <row r="759" spans="78:81">
      <c r="BZ759" t="s">
        <v>3256</v>
      </c>
      <c r="CB759" s="120">
        <v>1</v>
      </c>
      <c r="CC759" s="120">
        <v>0</v>
      </c>
    </row>
    <row r="760" spans="78:81">
      <c r="BZ760" t="s">
        <v>2237</v>
      </c>
      <c r="CB760" s="120">
        <v>1</v>
      </c>
      <c r="CC760" s="120">
        <v>0</v>
      </c>
    </row>
    <row r="761" spans="78:81">
      <c r="BZ761" t="s">
        <v>3257</v>
      </c>
      <c r="CB761" s="120">
        <v>1</v>
      </c>
      <c r="CC761" s="120">
        <v>0</v>
      </c>
    </row>
    <row r="762" spans="78:81">
      <c r="BZ762" t="s">
        <v>2238</v>
      </c>
      <c r="CB762" s="120">
        <v>1</v>
      </c>
      <c r="CC762" s="120">
        <v>0</v>
      </c>
    </row>
    <row r="763" spans="78:81">
      <c r="BZ763" t="s">
        <v>3258</v>
      </c>
      <c r="CB763" s="120">
        <v>1</v>
      </c>
      <c r="CC763" s="120">
        <v>0</v>
      </c>
    </row>
    <row r="764" spans="78:81">
      <c r="BZ764" t="s">
        <v>2240</v>
      </c>
      <c r="CB764" s="120">
        <v>1</v>
      </c>
      <c r="CC764" s="120">
        <v>0</v>
      </c>
    </row>
    <row r="765" spans="78:81">
      <c r="BZ765" t="s">
        <v>3259</v>
      </c>
      <c r="CB765" s="120">
        <v>1</v>
      </c>
      <c r="CC765" s="120">
        <v>0</v>
      </c>
    </row>
    <row r="766" spans="78:81">
      <c r="BZ766" t="s">
        <v>2242</v>
      </c>
      <c r="CB766" s="120">
        <v>1</v>
      </c>
      <c r="CC766" s="120">
        <v>0</v>
      </c>
    </row>
    <row r="767" spans="78:81">
      <c r="BZ767" t="s">
        <v>3260</v>
      </c>
      <c r="CB767" s="120">
        <v>1</v>
      </c>
      <c r="CC767" s="120">
        <v>0</v>
      </c>
    </row>
    <row r="768" spans="78:81">
      <c r="BZ768" t="s">
        <v>2244</v>
      </c>
      <c r="CB768" s="120">
        <v>1</v>
      </c>
      <c r="CC768" s="120">
        <v>0</v>
      </c>
    </row>
    <row r="769" spans="78:81">
      <c r="BZ769" t="s">
        <v>3261</v>
      </c>
      <c r="CB769" s="120">
        <v>1</v>
      </c>
      <c r="CC769" s="120">
        <v>0</v>
      </c>
    </row>
    <row r="770" spans="78:81">
      <c r="BZ770" t="s">
        <v>2246</v>
      </c>
      <c r="CB770" s="120">
        <v>1</v>
      </c>
      <c r="CC770" s="120">
        <v>0</v>
      </c>
    </row>
    <row r="771" spans="78:81">
      <c r="BZ771" t="s">
        <v>3262</v>
      </c>
      <c r="CB771" s="120">
        <v>1</v>
      </c>
      <c r="CC771" s="120">
        <v>0</v>
      </c>
    </row>
    <row r="772" spans="78:81">
      <c r="BZ772" t="s">
        <v>2248</v>
      </c>
      <c r="CB772" s="120">
        <v>1</v>
      </c>
      <c r="CC772" s="120">
        <v>0</v>
      </c>
    </row>
    <row r="773" spans="78:81">
      <c r="BZ773" t="s">
        <v>3263</v>
      </c>
      <c r="CB773" s="120">
        <v>1</v>
      </c>
      <c r="CC773" s="120">
        <v>0</v>
      </c>
    </row>
    <row r="774" spans="78:81">
      <c r="BZ774" t="s">
        <v>2250</v>
      </c>
      <c r="CB774" s="120">
        <v>1</v>
      </c>
      <c r="CC774" s="120">
        <v>0</v>
      </c>
    </row>
    <row r="775" spans="78:81">
      <c r="BZ775" t="s">
        <v>3264</v>
      </c>
      <c r="CB775" s="120">
        <v>1</v>
      </c>
      <c r="CC775" s="120">
        <v>0</v>
      </c>
    </row>
    <row r="776" spans="78:81">
      <c r="BZ776" t="s">
        <v>2252</v>
      </c>
      <c r="CB776" s="120">
        <v>1</v>
      </c>
      <c r="CC776" s="120">
        <v>0</v>
      </c>
    </row>
    <row r="777" spans="78:81">
      <c r="BZ777" t="s">
        <v>3265</v>
      </c>
      <c r="CB777" s="120">
        <v>1</v>
      </c>
      <c r="CC777" s="120">
        <v>0</v>
      </c>
    </row>
    <row r="778" spans="78:81">
      <c r="BZ778" t="s">
        <v>2253</v>
      </c>
      <c r="CB778" s="120">
        <v>1</v>
      </c>
      <c r="CC778" s="120">
        <v>0</v>
      </c>
    </row>
    <row r="779" spans="78:81">
      <c r="BZ779" t="s">
        <v>3266</v>
      </c>
      <c r="CB779" s="120">
        <v>1</v>
      </c>
      <c r="CC779" s="120">
        <v>0</v>
      </c>
    </row>
    <row r="780" spans="78:81">
      <c r="BZ780" t="s">
        <v>2255</v>
      </c>
      <c r="CB780" s="120">
        <v>1</v>
      </c>
      <c r="CC780" s="120">
        <v>0</v>
      </c>
    </row>
    <row r="781" spans="78:81">
      <c r="BZ781" t="s">
        <v>3267</v>
      </c>
      <c r="CB781" s="120">
        <v>1</v>
      </c>
      <c r="CC781" s="120">
        <v>0</v>
      </c>
    </row>
    <row r="782" spans="78:81">
      <c r="BZ782" t="s">
        <v>2257</v>
      </c>
      <c r="CB782" s="120">
        <v>1</v>
      </c>
      <c r="CC782" s="120">
        <v>0</v>
      </c>
    </row>
    <row r="783" spans="78:81">
      <c r="BZ783" t="s">
        <v>3268</v>
      </c>
      <c r="CB783" s="120">
        <v>1</v>
      </c>
      <c r="CC783" s="120">
        <v>0</v>
      </c>
    </row>
    <row r="784" spans="78:81">
      <c r="BZ784" t="s">
        <v>2259</v>
      </c>
      <c r="CB784" s="120">
        <v>1</v>
      </c>
      <c r="CC784" s="120">
        <v>0</v>
      </c>
    </row>
    <row r="785" spans="78:81">
      <c r="BZ785" t="s">
        <v>3269</v>
      </c>
      <c r="CB785" s="120">
        <v>1</v>
      </c>
      <c r="CC785" s="120">
        <v>0</v>
      </c>
    </row>
    <row r="786" spans="78:81">
      <c r="BZ786" t="s">
        <v>2260</v>
      </c>
      <c r="CB786" s="120">
        <v>1</v>
      </c>
      <c r="CC786" s="120">
        <v>0</v>
      </c>
    </row>
    <row r="787" spans="78:81">
      <c r="BZ787" t="s">
        <v>3270</v>
      </c>
      <c r="CB787" s="120">
        <v>1</v>
      </c>
      <c r="CC787" s="120">
        <v>0</v>
      </c>
    </row>
    <row r="788" spans="78:81">
      <c r="BZ788" t="s">
        <v>2261</v>
      </c>
      <c r="CB788" s="120">
        <v>1</v>
      </c>
      <c r="CC788" s="120">
        <v>0</v>
      </c>
    </row>
    <row r="789" spans="78:81">
      <c r="BZ789" t="s">
        <v>3271</v>
      </c>
      <c r="CB789" s="120">
        <v>1</v>
      </c>
      <c r="CC789" s="120">
        <v>0</v>
      </c>
    </row>
    <row r="790" spans="78:81">
      <c r="BZ790" t="s">
        <v>2262</v>
      </c>
      <c r="CB790" s="120">
        <v>1</v>
      </c>
      <c r="CC790" s="120">
        <v>0</v>
      </c>
    </row>
    <row r="791" spans="78:81">
      <c r="BZ791" t="s">
        <v>3272</v>
      </c>
      <c r="CB791" s="120">
        <v>1</v>
      </c>
      <c r="CC791" s="120">
        <v>0</v>
      </c>
    </row>
    <row r="792" spans="78:81">
      <c r="BZ792" t="s">
        <v>2263</v>
      </c>
      <c r="CB792" s="120">
        <v>1</v>
      </c>
      <c r="CC792" s="120">
        <v>0</v>
      </c>
    </row>
    <row r="793" spans="78:81">
      <c r="BZ793" t="s">
        <v>3273</v>
      </c>
      <c r="CB793" s="120">
        <v>1</v>
      </c>
      <c r="CC793" s="120">
        <v>0</v>
      </c>
    </row>
    <row r="794" spans="78:81">
      <c r="BZ794" t="s">
        <v>2264</v>
      </c>
      <c r="CB794" s="120">
        <v>1</v>
      </c>
      <c r="CC794" s="120">
        <v>0</v>
      </c>
    </row>
    <row r="795" spans="78:81">
      <c r="BZ795" t="s">
        <v>3274</v>
      </c>
      <c r="CB795" s="120">
        <v>1</v>
      </c>
      <c r="CC795" s="120">
        <v>0</v>
      </c>
    </row>
    <row r="796" spans="78:81">
      <c r="BZ796" t="s">
        <v>2265</v>
      </c>
      <c r="CB796" s="120">
        <v>1</v>
      </c>
      <c r="CC796" s="120">
        <v>0</v>
      </c>
    </row>
    <row r="797" spans="78:81">
      <c r="BZ797" t="s">
        <v>3275</v>
      </c>
      <c r="CB797" s="120">
        <v>1</v>
      </c>
      <c r="CC797" s="120">
        <v>0</v>
      </c>
    </row>
    <row r="798" spans="78:81">
      <c r="BZ798" t="s">
        <v>2266</v>
      </c>
      <c r="CB798" s="120">
        <v>1</v>
      </c>
      <c r="CC798" s="120">
        <v>0</v>
      </c>
    </row>
    <row r="799" spans="78:81">
      <c r="BZ799" t="s">
        <v>3276</v>
      </c>
      <c r="CB799" s="120">
        <v>1</v>
      </c>
      <c r="CC799" s="120">
        <v>0</v>
      </c>
    </row>
    <row r="800" spans="78:81">
      <c r="BZ800" t="s">
        <v>2267</v>
      </c>
      <c r="CB800" s="120">
        <v>1</v>
      </c>
      <c r="CC800" s="120">
        <v>0</v>
      </c>
    </row>
    <row r="801" spans="78:81">
      <c r="BZ801" t="s">
        <v>3277</v>
      </c>
      <c r="CB801" s="120">
        <v>1</v>
      </c>
      <c r="CC801" s="120">
        <v>0</v>
      </c>
    </row>
    <row r="802" spans="78:81">
      <c r="BZ802" t="s">
        <v>2268</v>
      </c>
      <c r="CB802" s="120">
        <v>1</v>
      </c>
      <c r="CC802" s="120">
        <v>0</v>
      </c>
    </row>
    <row r="803" spans="78:81">
      <c r="BZ803" t="s">
        <v>3278</v>
      </c>
      <c r="CB803" s="120">
        <v>1</v>
      </c>
      <c r="CC803" s="120">
        <v>0</v>
      </c>
    </row>
    <row r="804" spans="78:81">
      <c r="BZ804" t="s">
        <v>2269</v>
      </c>
      <c r="CB804" s="120">
        <v>1</v>
      </c>
      <c r="CC804" s="120">
        <v>0</v>
      </c>
    </row>
    <row r="805" spans="78:81">
      <c r="BZ805" t="s">
        <v>3279</v>
      </c>
      <c r="CB805" s="120">
        <v>1</v>
      </c>
      <c r="CC805" s="120">
        <v>0</v>
      </c>
    </row>
    <row r="806" spans="78:81">
      <c r="BZ806" t="s">
        <v>2270</v>
      </c>
      <c r="CB806" s="120">
        <v>1</v>
      </c>
      <c r="CC806" s="120">
        <v>0</v>
      </c>
    </row>
    <row r="807" spans="78:81">
      <c r="BZ807" t="s">
        <v>3280</v>
      </c>
      <c r="CB807" s="120">
        <v>1</v>
      </c>
      <c r="CC807" s="120">
        <v>0</v>
      </c>
    </row>
    <row r="808" spans="78:81">
      <c r="BZ808" t="s">
        <v>2271</v>
      </c>
      <c r="CB808" s="120">
        <v>1</v>
      </c>
      <c r="CC808" s="120">
        <v>0</v>
      </c>
    </row>
    <row r="809" spans="78:81">
      <c r="BZ809" t="s">
        <v>3281</v>
      </c>
      <c r="CB809" s="120">
        <v>1</v>
      </c>
      <c r="CC809" s="120">
        <v>0</v>
      </c>
    </row>
    <row r="810" spans="78:81">
      <c r="BZ810" t="s">
        <v>2272</v>
      </c>
      <c r="CB810" s="120">
        <v>1</v>
      </c>
      <c r="CC810" s="120">
        <v>0</v>
      </c>
    </row>
    <row r="811" spans="78:81">
      <c r="BZ811" t="s">
        <v>3282</v>
      </c>
      <c r="CB811" s="120">
        <v>1</v>
      </c>
      <c r="CC811" s="120">
        <v>0</v>
      </c>
    </row>
    <row r="812" spans="78:81">
      <c r="BZ812" t="s">
        <v>2273</v>
      </c>
      <c r="CB812" s="120">
        <v>1</v>
      </c>
      <c r="CC812" s="120">
        <v>0</v>
      </c>
    </row>
    <row r="813" spans="78:81">
      <c r="BZ813" t="s">
        <v>3283</v>
      </c>
      <c r="CB813" s="120">
        <v>1</v>
      </c>
      <c r="CC813" s="120">
        <v>0</v>
      </c>
    </row>
    <row r="814" spans="78:81">
      <c r="BZ814" t="s">
        <v>2274</v>
      </c>
      <c r="CB814" s="120">
        <v>1</v>
      </c>
      <c r="CC814" s="120">
        <v>0</v>
      </c>
    </row>
    <row r="815" spans="78:81">
      <c r="BZ815" t="s">
        <v>3284</v>
      </c>
      <c r="CB815" s="120">
        <v>1</v>
      </c>
      <c r="CC815" s="120">
        <v>0</v>
      </c>
    </row>
    <row r="816" spans="78:81">
      <c r="BZ816" t="s">
        <v>2275</v>
      </c>
      <c r="CB816" s="120">
        <v>1</v>
      </c>
      <c r="CC816" s="120">
        <v>0</v>
      </c>
    </row>
    <row r="817" spans="78:81">
      <c r="BZ817" t="s">
        <v>3285</v>
      </c>
      <c r="CB817" s="120">
        <v>1</v>
      </c>
      <c r="CC817" s="120">
        <v>0</v>
      </c>
    </row>
    <row r="818" spans="78:81">
      <c r="BZ818" t="s">
        <v>2276</v>
      </c>
      <c r="CB818" s="120">
        <v>1</v>
      </c>
      <c r="CC818" s="120">
        <v>0</v>
      </c>
    </row>
    <row r="819" spans="78:81">
      <c r="BZ819" t="s">
        <v>3286</v>
      </c>
      <c r="CB819" s="120">
        <v>1</v>
      </c>
      <c r="CC819" s="120">
        <v>0</v>
      </c>
    </row>
    <row r="820" spans="78:81">
      <c r="BZ820" t="s">
        <v>2277</v>
      </c>
      <c r="CB820" s="120">
        <v>1</v>
      </c>
      <c r="CC820" s="120">
        <v>0</v>
      </c>
    </row>
    <row r="821" spans="78:81">
      <c r="BZ821" t="s">
        <v>3287</v>
      </c>
      <c r="CB821" s="120">
        <v>1</v>
      </c>
      <c r="CC821" s="120">
        <v>0</v>
      </c>
    </row>
    <row r="822" spans="78:81">
      <c r="BZ822" t="s">
        <v>2278</v>
      </c>
      <c r="CB822" s="120">
        <v>1</v>
      </c>
      <c r="CC822" s="120">
        <v>0</v>
      </c>
    </row>
    <row r="823" spans="78:81">
      <c r="BZ823" t="s">
        <v>3288</v>
      </c>
      <c r="CB823" s="120">
        <v>1</v>
      </c>
      <c r="CC823" s="120">
        <v>0</v>
      </c>
    </row>
    <row r="824" spans="78:81">
      <c r="BZ824" t="s">
        <v>2279</v>
      </c>
      <c r="CB824" s="120">
        <v>1</v>
      </c>
      <c r="CC824" s="120">
        <v>0</v>
      </c>
    </row>
    <row r="825" spans="78:81">
      <c r="BZ825" t="s">
        <v>3289</v>
      </c>
      <c r="CB825" s="120">
        <v>1</v>
      </c>
      <c r="CC825" s="120">
        <v>0</v>
      </c>
    </row>
    <row r="826" spans="78:81">
      <c r="BZ826" t="s">
        <v>2280</v>
      </c>
      <c r="CB826" s="120">
        <v>1</v>
      </c>
      <c r="CC826" s="120">
        <v>0</v>
      </c>
    </row>
    <row r="827" spans="78:81">
      <c r="BZ827" t="s">
        <v>3290</v>
      </c>
      <c r="CB827" s="120">
        <v>1</v>
      </c>
      <c r="CC827" s="120">
        <v>0</v>
      </c>
    </row>
    <row r="828" spans="78:81">
      <c r="BZ828" t="s">
        <v>2281</v>
      </c>
      <c r="CB828" s="120">
        <v>1</v>
      </c>
      <c r="CC828" s="120">
        <v>0</v>
      </c>
    </row>
    <row r="829" spans="78:81">
      <c r="BZ829" t="s">
        <v>3291</v>
      </c>
      <c r="CB829" s="120">
        <v>1</v>
      </c>
      <c r="CC829" s="120">
        <v>0</v>
      </c>
    </row>
    <row r="830" spans="78:81">
      <c r="BZ830" t="s">
        <v>2283</v>
      </c>
      <c r="CB830" s="120">
        <v>1</v>
      </c>
      <c r="CC830" s="120">
        <v>0</v>
      </c>
    </row>
    <row r="831" spans="78:81">
      <c r="BZ831" t="s">
        <v>3292</v>
      </c>
      <c r="CB831" s="120">
        <v>1</v>
      </c>
      <c r="CC831" s="120">
        <v>0</v>
      </c>
    </row>
    <row r="832" spans="78:81">
      <c r="BZ832" t="s">
        <v>2284</v>
      </c>
      <c r="CB832" s="120">
        <v>1</v>
      </c>
      <c r="CC832" s="120">
        <v>0</v>
      </c>
    </row>
    <row r="833" spans="78:81">
      <c r="BZ833" t="s">
        <v>3293</v>
      </c>
      <c r="CB833" s="120">
        <v>1</v>
      </c>
      <c r="CC833" s="120">
        <v>0</v>
      </c>
    </row>
    <row r="834" spans="78:81">
      <c r="BZ834" t="s">
        <v>2285</v>
      </c>
      <c r="CB834" s="120">
        <v>1</v>
      </c>
      <c r="CC834" s="120">
        <v>0</v>
      </c>
    </row>
    <row r="835" spans="78:81">
      <c r="BZ835" t="s">
        <v>3294</v>
      </c>
      <c r="CB835" s="120">
        <v>1</v>
      </c>
      <c r="CC835" s="120">
        <v>0</v>
      </c>
    </row>
    <row r="836" spans="78:81">
      <c r="BZ836" t="s">
        <v>2286</v>
      </c>
      <c r="CB836" s="120">
        <v>1</v>
      </c>
      <c r="CC836" s="120">
        <v>0</v>
      </c>
    </row>
    <row r="837" spans="78:81">
      <c r="BZ837" t="s">
        <v>3295</v>
      </c>
      <c r="CB837" s="120">
        <v>1</v>
      </c>
      <c r="CC837" s="120">
        <v>0</v>
      </c>
    </row>
    <row r="838" spans="78:81">
      <c r="BZ838" t="s">
        <v>2287</v>
      </c>
      <c r="CB838" s="120">
        <v>1</v>
      </c>
      <c r="CC838" s="120">
        <v>0</v>
      </c>
    </row>
    <row r="839" spans="78:81">
      <c r="BZ839" t="s">
        <v>3296</v>
      </c>
      <c r="CB839" s="120">
        <v>1</v>
      </c>
      <c r="CC839" s="120">
        <v>0</v>
      </c>
    </row>
    <row r="840" spans="78:81">
      <c r="BZ840" t="s">
        <v>2288</v>
      </c>
      <c r="CB840" s="120">
        <v>1</v>
      </c>
      <c r="CC840" s="120">
        <v>0</v>
      </c>
    </row>
    <row r="841" spans="78:81">
      <c r="BZ841" t="s">
        <v>3297</v>
      </c>
      <c r="CB841" s="120">
        <v>1</v>
      </c>
      <c r="CC841" s="120">
        <v>0</v>
      </c>
    </row>
    <row r="842" spans="78:81">
      <c r="BZ842" t="s">
        <v>2289</v>
      </c>
      <c r="CB842" s="120">
        <v>1</v>
      </c>
      <c r="CC842" s="120">
        <v>0</v>
      </c>
    </row>
    <row r="843" spans="78:81">
      <c r="BZ843" t="s">
        <v>3298</v>
      </c>
      <c r="CB843" s="120">
        <v>1</v>
      </c>
      <c r="CC843" s="120">
        <v>0</v>
      </c>
    </row>
    <row r="844" spans="78:81">
      <c r="BZ844" t="s">
        <v>2290</v>
      </c>
      <c r="CB844" s="120">
        <v>1</v>
      </c>
      <c r="CC844" s="120">
        <v>0</v>
      </c>
    </row>
    <row r="845" spans="78:81">
      <c r="BZ845" t="s">
        <v>3299</v>
      </c>
      <c r="CB845" s="120">
        <v>1</v>
      </c>
      <c r="CC845" s="120">
        <v>0</v>
      </c>
    </row>
    <row r="846" spans="78:81">
      <c r="BZ846" t="s">
        <v>2291</v>
      </c>
      <c r="CB846" s="120">
        <v>1</v>
      </c>
      <c r="CC846" s="120">
        <v>0</v>
      </c>
    </row>
    <row r="847" spans="78:81">
      <c r="BZ847" t="s">
        <v>3300</v>
      </c>
      <c r="CB847" s="120">
        <v>1</v>
      </c>
      <c r="CC847" s="120">
        <v>0</v>
      </c>
    </row>
    <row r="848" spans="78:81">
      <c r="BZ848" t="s">
        <v>2292</v>
      </c>
      <c r="CB848" s="120">
        <v>1</v>
      </c>
      <c r="CC848" s="120">
        <v>0</v>
      </c>
    </row>
    <row r="849" spans="78:81">
      <c r="BZ849" t="s">
        <v>3301</v>
      </c>
      <c r="CB849" s="120">
        <v>1</v>
      </c>
      <c r="CC849" s="120">
        <v>0</v>
      </c>
    </row>
    <row r="850" spans="78:81">
      <c r="BZ850" t="s">
        <v>2293</v>
      </c>
      <c r="CB850" s="120">
        <v>1</v>
      </c>
      <c r="CC850" s="120">
        <v>0</v>
      </c>
    </row>
    <row r="851" spans="78:81">
      <c r="BZ851" t="s">
        <v>3302</v>
      </c>
      <c r="CB851" s="120">
        <v>1</v>
      </c>
      <c r="CC851" s="120">
        <v>0</v>
      </c>
    </row>
    <row r="852" spans="78:81">
      <c r="BZ852" t="s">
        <v>2294</v>
      </c>
      <c r="CB852" s="120">
        <v>1</v>
      </c>
      <c r="CC852" s="120">
        <v>0</v>
      </c>
    </row>
    <row r="853" spans="78:81">
      <c r="BZ853" t="s">
        <v>3303</v>
      </c>
      <c r="CB853" s="120">
        <v>1</v>
      </c>
      <c r="CC853" s="120">
        <v>0</v>
      </c>
    </row>
    <row r="854" spans="78:81">
      <c r="BZ854" t="s">
        <v>2295</v>
      </c>
      <c r="CB854" s="120">
        <v>1</v>
      </c>
      <c r="CC854" s="120">
        <v>0</v>
      </c>
    </row>
    <row r="855" spans="78:81">
      <c r="BZ855" t="s">
        <v>3304</v>
      </c>
      <c r="CB855" s="120">
        <v>1</v>
      </c>
      <c r="CC855" s="120">
        <v>0</v>
      </c>
    </row>
    <row r="856" spans="78:81">
      <c r="BZ856" t="s">
        <v>2296</v>
      </c>
      <c r="CB856" s="120">
        <v>1</v>
      </c>
      <c r="CC856" s="120">
        <v>0</v>
      </c>
    </row>
    <row r="857" spans="78:81">
      <c r="BZ857" t="s">
        <v>3305</v>
      </c>
      <c r="CB857" s="120">
        <v>1</v>
      </c>
      <c r="CC857" s="120">
        <v>0</v>
      </c>
    </row>
    <row r="858" spans="78:81">
      <c r="BZ858" t="s">
        <v>2297</v>
      </c>
      <c r="CB858" s="120">
        <v>1</v>
      </c>
      <c r="CC858" s="120">
        <v>0</v>
      </c>
    </row>
    <row r="859" spans="78:81">
      <c r="BZ859" t="s">
        <v>3306</v>
      </c>
      <c r="CB859" s="120">
        <v>1</v>
      </c>
      <c r="CC859" s="120">
        <v>0</v>
      </c>
    </row>
    <row r="860" spans="78:81">
      <c r="BZ860" t="s">
        <v>2298</v>
      </c>
      <c r="CB860" s="120">
        <v>1</v>
      </c>
      <c r="CC860" s="120">
        <v>0</v>
      </c>
    </row>
    <row r="861" spans="78:81">
      <c r="BZ861" t="s">
        <v>3307</v>
      </c>
      <c r="CB861" s="120">
        <v>1</v>
      </c>
      <c r="CC861" s="120">
        <v>0</v>
      </c>
    </row>
    <row r="862" spans="78:81">
      <c r="BZ862" t="s">
        <v>2299</v>
      </c>
      <c r="CB862" s="120">
        <v>1</v>
      </c>
      <c r="CC862" s="120">
        <v>0</v>
      </c>
    </row>
    <row r="863" spans="78:81">
      <c r="BZ863" t="s">
        <v>3308</v>
      </c>
      <c r="CB863" s="120">
        <v>1</v>
      </c>
      <c r="CC863" s="120">
        <v>0</v>
      </c>
    </row>
    <row r="864" spans="78:81">
      <c r="BZ864" t="s">
        <v>2300</v>
      </c>
      <c r="CB864" s="120">
        <v>1</v>
      </c>
      <c r="CC864" s="120">
        <v>0</v>
      </c>
    </row>
    <row r="865" spans="78:81">
      <c r="BZ865" t="s">
        <v>3309</v>
      </c>
      <c r="CB865" s="120">
        <v>1</v>
      </c>
      <c r="CC865" s="120">
        <v>0</v>
      </c>
    </row>
    <row r="866" spans="78:81">
      <c r="BZ866" t="s">
        <v>2301</v>
      </c>
      <c r="CB866" s="120">
        <v>1</v>
      </c>
      <c r="CC866" s="120">
        <v>0</v>
      </c>
    </row>
    <row r="867" spans="78:81">
      <c r="BZ867" t="s">
        <v>3310</v>
      </c>
      <c r="CB867" s="120">
        <v>1</v>
      </c>
      <c r="CC867" s="120">
        <v>0</v>
      </c>
    </row>
    <row r="868" spans="78:81">
      <c r="BZ868" t="s">
        <v>2302</v>
      </c>
      <c r="CB868" s="120">
        <v>1</v>
      </c>
      <c r="CC868" s="120">
        <v>0</v>
      </c>
    </row>
    <row r="869" spans="78:81">
      <c r="BZ869" t="s">
        <v>3311</v>
      </c>
      <c r="CB869" s="120">
        <v>1</v>
      </c>
      <c r="CC869" s="120">
        <v>0</v>
      </c>
    </row>
    <row r="870" spans="78:81">
      <c r="BZ870" t="s">
        <v>2303</v>
      </c>
      <c r="CB870" s="120">
        <v>1</v>
      </c>
      <c r="CC870" s="120">
        <v>0</v>
      </c>
    </row>
    <row r="871" spans="78:81">
      <c r="BZ871" t="s">
        <v>3312</v>
      </c>
      <c r="CB871" s="120">
        <v>1</v>
      </c>
      <c r="CC871" s="120">
        <v>0</v>
      </c>
    </row>
    <row r="872" spans="78:81">
      <c r="BZ872" t="s">
        <v>2304</v>
      </c>
      <c r="CB872" s="120">
        <v>1</v>
      </c>
      <c r="CC872" s="120">
        <v>0</v>
      </c>
    </row>
    <row r="873" spans="78:81">
      <c r="BZ873" t="s">
        <v>3313</v>
      </c>
      <c r="CB873" s="120">
        <v>1</v>
      </c>
      <c r="CC873" s="120">
        <v>0</v>
      </c>
    </row>
    <row r="874" spans="78:81">
      <c r="BZ874" t="s">
        <v>2305</v>
      </c>
      <c r="CB874" s="120">
        <v>1</v>
      </c>
      <c r="CC874" s="120">
        <v>0</v>
      </c>
    </row>
    <row r="875" spans="78:81">
      <c r="BZ875" t="s">
        <v>3314</v>
      </c>
      <c r="CB875" s="120">
        <v>1</v>
      </c>
      <c r="CC875" s="120">
        <v>0</v>
      </c>
    </row>
    <row r="876" spans="78:81">
      <c r="BZ876" t="s">
        <v>2306</v>
      </c>
      <c r="CB876" s="120">
        <v>1</v>
      </c>
      <c r="CC876" s="120">
        <v>0</v>
      </c>
    </row>
    <row r="877" spans="78:81">
      <c r="BZ877" t="s">
        <v>3315</v>
      </c>
      <c r="CB877" s="120">
        <v>1</v>
      </c>
      <c r="CC877" s="120">
        <v>0</v>
      </c>
    </row>
    <row r="878" spans="78:81">
      <c r="BZ878" t="s">
        <v>2307</v>
      </c>
      <c r="CB878" s="120">
        <v>1</v>
      </c>
      <c r="CC878" s="120">
        <v>0</v>
      </c>
    </row>
    <row r="879" spans="78:81">
      <c r="BZ879" t="s">
        <v>3316</v>
      </c>
      <c r="CB879" s="120">
        <v>1</v>
      </c>
      <c r="CC879" s="120">
        <v>0</v>
      </c>
    </row>
    <row r="880" spans="78:81">
      <c r="BZ880" t="s">
        <v>2308</v>
      </c>
      <c r="CB880" s="120">
        <v>1</v>
      </c>
      <c r="CC880" s="120">
        <v>0</v>
      </c>
    </row>
    <row r="881" spans="78:81">
      <c r="BZ881" t="s">
        <v>3317</v>
      </c>
      <c r="CB881" s="120">
        <v>1</v>
      </c>
      <c r="CC881" s="120">
        <v>0</v>
      </c>
    </row>
    <row r="882" spans="78:81">
      <c r="BZ882" t="s">
        <v>2309</v>
      </c>
      <c r="CB882" s="120">
        <v>1</v>
      </c>
      <c r="CC882" s="120">
        <v>0</v>
      </c>
    </row>
    <row r="883" spans="78:81">
      <c r="BZ883" t="s">
        <v>3318</v>
      </c>
      <c r="CB883" s="120">
        <v>1</v>
      </c>
      <c r="CC883" s="120">
        <v>0</v>
      </c>
    </row>
    <row r="884" spans="78:81">
      <c r="BZ884" t="s">
        <v>2310</v>
      </c>
      <c r="CB884" s="120">
        <v>1</v>
      </c>
      <c r="CC884" s="120">
        <v>0</v>
      </c>
    </row>
    <row r="885" spans="78:81">
      <c r="BZ885" t="s">
        <v>3319</v>
      </c>
      <c r="CB885" s="120">
        <v>1</v>
      </c>
      <c r="CC885" s="120">
        <v>0</v>
      </c>
    </row>
    <row r="886" spans="78:81">
      <c r="BZ886" t="s">
        <v>2311</v>
      </c>
      <c r="CB886" s="120">
        <v>1</v>
      </c>
      <c r="CC886" s="120">
        <v>0</v>
      </c>
    </row>
    <row r="887" spans="78:81">
      <c r="BZ887" t="s">
        <v>3320</v>
      </c>
      <c r="CB887" s="120">
        <v>1</v>
      </c>
      <c r="CC887" s="120">
        <v>0</v>
      </c>
    </row>
    <row r="888" spans="78:81">
      <c r="BZ888" t="s">
        <v>2312</v>
      </c>
      <c r="CB888" s="120">
        <v>1</v>
      </c>
      <c r="CC888" s="120">
        <v>0</v>
      </c>
    </row>
    <row r="889" spans="78:81">
      <c r="BZ889" t="s">
        <v>3321</v>
      </c>
      <c r="CB889" s="120">
        <v>1</v>
      </c>
      <c r="CC889" s="120">
        <v>0</v>
      </c>
    </row>
    <row r="890" spans="78:81">
      <c r="BZ890" t="s">
        <v>2313</v>
      </c>
      <c r="CB890" s="120">
        <v>1</v>
      </c>
      <c r="CC890" s="120">
        <v>0</v>
      </c>
    </row>
    <row r="891" spans="78:81">
      <c r="BZ891" t="s">
        <v>3322</v>
      </c>
      <c r="CB891" s="120">
        <v>1</v>
      </c>
      <c r="CC891" s="120">
        <v>0</v>
      </c>
    </row>
    <row r="892" spans="78:81">
      <c r="BZ892" t="s">
        <v>2314</v>
      </c>
      <c r="CB892" s="120">
        <v>1</v>
      </c>
      <c r="CC892" s="120">
        <v>0</v>
      </c>
    </row>
    <row r="893" spans="78:81">
      <c r="BZ893" t="s">
        <v>3323</v>
      </c>
      <c r="CB893" s="120">
        <v>1</v>
      </c>
      <c r="CC893" s="120">
        <v>0</v>
      </c>
    </row>
    <row r="894" spans="78:81">
      <c r="BZ894" t="s">
        <v>2315</v>
      </c>
      <c r="CB894" s="120">
        <v>1</v>
      </c>
      <c r="CC894" s="120">
        <v>0</v>
      </c>
    </row>
    <row r="895" spans="78:81">
      <c r="BZ895" t="s">
        <v>3324</v>
      </c>
      <c r="CB895" s="120">
        <v>1</v>
      </c>
      <c r="CC895" s="120">
        <v>0</v>
      </c>
    </row>
    <row r="896" spans="78:81">
      <c r="BZ896" t="s">
        <v>2316</v>
      </c>
      <c r="CB896" s="120">
        <v>1</v>
      </c>
      <c r="CC896" s="120">
        <v>0</v>
      </c>
    </row>
    <row r="897" spans="78:81">
      <c r="BZ897" t="s">
        <v>3325</v>
      </c>
      <c r="CB897" s="120">
        <v>1</v>
      </c>
      <c r="CC897" s="120">
        <v>0</v>
      </c>
    </row>
    <row r="898" spans="78:81">
      <c r="BZ898" t="s">
        <v>2317</v>
      </c>
      <c r="CB898" s="120">
        <v>1</v>
      </c>
      <c r="CC898" s="120">
        <v>0</v>
      </c>
    </row>
    <row r="899" spans="78:81">
      <c r="BZ899" t="s">
        <v>3326</v>
      </c>
      <c r="CB899" s="120">
        <v>1</v>
      </c>
      <c r="CC899" s="120">
        <v>0</v>
      </c>
    </row>
    <row r="900" spans="78:81">
      <c r="BZ900" t="s">
        <v>2318</v>
      </c>
      <c r="CB900" s="120">
        <v>1</v>
      </c>
      <c r="CC900" s="120">
        <v>0</v>
      </c>
    </row>
    <row r="901" spans="78:81">
      <c r="BZ901" t="s">
        <v>3327</v>
      </c>
      <c r="CB901" s="120">
        <v>1</v>
      </c>
      <c r="CC901" s="120">
        <v>0</v>
      </c>
    </row>
    <row r="902" spans="78:81">
      <c r="BZ902" t="s">
        <v>2319</v>
      </c>
      <c r="CB902" s="120">
        <v>1</v>
      </c>
      <c r="CC902" s="120">
        <v>0</v>
      </c>
    </row>
    <row r="903" spans="78:81">
      <c r="BZ903" t="s">
        <v>3328</v>
      </c>
      <c r="CB903" s="120">
        <v>1</v>
      </c>
      <c r="CC903" s="120">
        <v>0</v>
      </c>
    </row>
    <row r="904" spans="78:81">
      <c r="BZ904" t="s">
        <v>2320</v>
      </c>
      <c r="CB904" s="120">
        <v>1</v>
      </c>
      <c r="CC904" s="120">
        <v>0</v>
      </c>
    </row>
    <row r="905" spans="78:81">
      <c r="BZ905" t="s">
        <v>3329</v>
      </c>
      <c r="CB905" s="120">
        <v>1</v>
      </c>
      <c r="CC905" s="120">
        <v>0</v>
      </c>
    </row>
    <row r="906" spans="78:81">
      <c r="BZ906" t="s">
        <v>2321</v>
      </c>
      <c r="CB906" s="120">
        <v>1</v>
      </c>
      <c r="CC906" s="120">
        <v>0</v>
      </c>
    </row>
    <row r="907" spans="78:81">
      <c r="BZ907" t="s">
        <v>3330</v>
      </c>
      <c r="CB907" s="120">
        <v>1</v>
      </c>
      <c r="CC907" s="120">
        <v>0</v>
      </c>
    </row>
    <row r="908" spans="78:81">
      <c r="BZ908" t="s">
        <v>2322</v>
      </c>
      <c r="CB908" s="120">
        <v>1</v>
      </c>
      <c r="CC908" s="120">
        <v>0</v>
      </c>
    </row>
    <row r="909" spans="78:81">
      <c r="BZ909" t="s">
        <v>3331</v>
      </c>
      <c r="CB909" s="120">
        <v>1</v>
      </c>
      <c r="CC909" s="120">
        <v>0</v>
      </c>
    </row>
    <row r="910" spans="78:81">
      <c r="BZ910" t="s">
        <v>2323</v>
      </c>
      <c r="CB910" s="120">
        <v>1</v>
      </c>
      <c r="CC910" s="120">
        <v>0</v>
      </c>
    </row>
    <row r="911" spans="78:81">
      <c r="BZ911" t="s">
        <v>3332</v>
      </c>
      <c r="CB911" s="120">
        <v>1</v>
      </c>
      <c r="CC911" s="120">
        <v>0</v>
      </c>
    </row>
    <row r="912" spans="78:81">
      <c r="BZ912" t="s">
        <v>2324</v>
      </c>
      <c r="CB912" s="120">
        <v>1</v>
      </c>
      <c r="CC912" s="120">
        <v>0</v>
      </c>
    </row>
    <row r="913" spans="78:81">
      <c r="BZ913" t="s">
        <v>3333</v>
      </c>
      <c r="CB913" s="120">
        <v>1</v>
      </c>
      <c r="CC913" s="120">
        <v>0</v>
      </c>
    </row>
    <row r="914" spans="78:81">
      <c r="BZ914" t="s">
        <v>2325</v>
      </c>
      <c r="CB914" s="120">
        <v>1</v>
      </c>
      <c r="CC914" s="120">
        <v>0</v>
      </c>
    </row>
    <row r="915" spans="78:81">
      <c r="BZ915" t="s">
        <v>3334</v>
      </c>
      <c r="CB915" s="120">
        <v>1</v>
      </c>
      <c r="CC915" s="120">
        <v>0</v>
      </c>
    </row>
    <row r="916" spans="78:81">
      <c r="BZ916" t="s">
        <v>2326</v>
      </c>
      <c r="CB916" s="120">
        <v>1</v>
      </c>
      <c r="CC916" s="120">
        <v>0</v>
      </c>
    </row>
    <row r="917" spans="78:81">
      <c r="BZ917" t="s">
        <v>3335</v>
      </c>
      <c r="CB917" s="120">
        <v>1</v>
      </c>
      <c r="CC917" s="120">
        <v>0</v>
      </c>
    </row>
    <row r="918" spans="78:81">
      <c r="BZ918" t="s">
        <v>2327</v>
      </c>
      <c r="CB918" s="120">
        <v>1</v>
      </c>
      <c r="CC918" s="120">
        <v>0</v>
      </c>
    </row>
    <row r="919" spans="78:81">
      <c r="BZ919" t="s">
        <v>3336</v>
      </c>
      <c r="CB919" s="120">
        <v>1</v>
      </c>
      <c r="CC919" s="120">
        <v>0</v>
      </c>
    </row>
    <row r="920" spans="78:81">
      <c r="BZ920" t="s">
        <v>2328</v>
      </c>
      <c r="CB920" s="120">
        <v>1</v>
      </c>
      <c r="CC920" s="120">
        <v>0</v>
      </c>
    </row>
    <row r="921" spans="78:81">
      <c r="BZ921" t="s">
        <v>3337</v>
      </c>
      <c r="CB921" s="120">
        <v>1</v>
      </c>
      <c r="CC921" s="120">
        <v>0</v>
      </c>
    </row>
    <row r="922" spans="78:81">
      <c r="BZ922" t="s">
        <v>2329</v>
      </c>
      <c r="CB922" s="120">
        <v>1</v>
      </c>
      <c r="CC922" s="120">
        <v>0</v>
      </c>
    </row>
    <row r="923" spans="78:81">
      <c r="BZ923" t="s">
        <v>3338</v>
      </c>
      <c r="CB923" s="120">
        <v>1</v>
      </c>
      <c r="CC923" s="120">
        <v>0</v>
      </c>
    </row>
    <row r="924" spans="78:81">
      <c r="BZ924" t="s">
        <v>2330</v>
      </c>
      <c r="CB924" s="120">
        <v>1</v>
      </c>
      <c r="CC924" s="120">
        <v>0</v>
      </c>
    </row>
    <row r="925" spans="78:81">
      <c r="BZ925" t="s">
        <v>3339</v>
      </c>
      <c r="CB925" s="120">
        <v>1</v>
      </c>
      <c r="CC925" s="120">
        <v>0</v>
      </c>
    </row>
    <row r="926" spans="78:81">
      <c r="BZ926" t="s">
        <v>2331</v>
      </c>
      <c r="CB926" s="120">
        <v>1</v>
      </c>
      <c r="CC926" s="120">
        <v>0</v>
      </c>
    </row>
    <row r="927" spans="78:81">
      <c r="BZ927" t="s">
        <v>3340</v>
      </c>
      <c r="CB927" s="120">
        <v>1</v>
      </c>
      <c r="CC927" s="120">
        <v>0</v>
      </c>
    </row>
    <row r="928" spans="78:81">
      <c r="BZ928" t="s">
        <v>2332</v>
      </c>
      <c r="CB928" s="120">
        <v>1</v>
      </c>
      <c r="CC928" s="120">
        <v>0</v>
      </c>
    </row>
    <row r="929" spans="78:81">
      <c r="BZ929" t="s">
        <v>3341</v>
      </c>
      <c r="CB929" s="120">
        <v>1</v>
      </c>
      <c r="CC929" s="120">
        <v>0</v>
      </c>
    </row>
    <row r="930" spans="78:81">
      <c r="BZ930" t="s">
        <v>2333</v>
      </c>
      <c r="CB930" s="120">
        <v>1</v>
      </c>
      <c r="CC930" s="120">
        <v>0</v>
      </c>
    </row>
    <row r="931" spans="78:81">
      <c r="BZ931" t="s">
        <v>3342</v>
      </c>
      <c r="CB931" s="120">
        <v>1</v>
      </c>
      <c r="CC931" s="120">
        <v>0</v>
      </c>
    </row>
    <row r="932" spans="78:81">
      <c r="BZ932" t="s">
        <v>2334</v>
      </c>
      <c r="CB932" s="120">
        <v>1</v>
      </c>
      <c r="CC932" s="120">
        <v>0</v>
      </c>
    </row>
    <row r="933" spans="78:81">
      <c r="BZ933" t="s">
        <v>3343</v>
      </c>
      <c r="CB933" s="120">
        <v>1</v>
      </c>
      <c r="CC933" s="120">
        <v>0</v>
      </c>
    </row>
    <row r="934" spans="78:81">
      <c r="BZ934" t="s">
        <v>2335</v>
      </c>
      <c r="CB934" s="120">
        <v>1</v>
      </c>
      <c r="CC934" s="120">
        <v>0</v>
      </c>
    </row>
    <row r="935" spans="78:81">
      <c r="BZ935" t="s">
        <v>3344</v>
      </c>
      <c r="CB935" s="120">
        <v>1</v>
      </c>
      <c r="CC935" s="120">
        <v>0</v>
      </c>
    </row>
    <row r="936" spans="78:81">
      <c r="BZ936" t="s">
        <v>2336</v>
      </c>
      <c r="CB936" s="120">
        <v>1</v>
      </c>
      <c r="CC936" s="120">
        <v>0</v>
      </c>
    </row>
    <row r="937" spans="78:81">
      <c r="BZ937" t="s">
        <v>3345</v>
      </c>
      <c r="CB937" s="120">
        <v>1</v>
      </c>
      <c r="CC937" s="120">
        <v>0</v>
      </c>
    </row>
    <row r="938" spans="78:81">
      <c r="BZ938" t="s">
        <v>2337</v>
      </c>
      <c r="CB938" s="120">
        <v>1</v>
      </c>
      <c r="CC938" s="120">
        <v>0</v>
      </c>
    </row>
    <row r="939" spans="78:81">
      <c r="BZ939" t="s">
        <v>3346</v>
      </c>
      <c r="CB939" s="120">
        <v>1</v>
      </c>
      <c r="CC939" s="120">
        <v>0</v>
      </c>
    </row>
    <row r="940" spans="78:81">
      <c r="BZ940" t="s">
        <v>2338</v>
      </c>
      <c r="CB940" s="120">
        <v>1</v>
      </c>
      <c r="CC940" s="120">
        <v>0</v>
      </c>
    </row>
    <row r="941" spans="78:81">
      <c r="BZ941" t="s">
        <v>3347</v>
      </c>
      <c r="CB941" s="120">
        <v>1</v>
      </c>
      <c r="CC941" s="120">
        <v>0</v>
      </c>
    </row>
    <row r="942" spans="78:81">
      <c r="BZ942" t="s">
        <v>2339</v>
      </c>
      <c r="CB942" s="120">
        <v>1</v>
      </c>
      <c r="CC942" s="120">
        <v>0</v>
      </c>
    </row>
    <row r="943" spans="78:81">
      <c r="BZ943" t="s">
        <v>3348</v>
      </c>
      <c r="CB943" s="120">
        <v>1</v>
      </c>
      <c r="CC943" s="120">
        <v>0</v>
      </c>
    </row>
    <row r="944" spans="78:81">
      <c r="BZ944" t="s">
        <v>2340</v>
      </c>
      <c r="CB944" s="120">
        <v>1</v>
      </c>
      <c r="CC944" s="120">
        <v>0</v>
      </c>
    </row>
    <row r="945" spans="78:81">
      <c r="BZ945" t="s">
        <v>3349</v>
      </c>
      <c r="CB945" s="120">
        <v>1</v>
      </c>
      <c r="CC945" s="120">
        <v>0</v>
      </c>
    </row>
    <row r="946" spans="78:81">
      <c r="BZ946" t="s">
        <v>2341</v>
      </c>
      <c r="CB946" s="120">
        <v>1</v>
      </c>
      <c r="CC946" s="120">
        <v>0</v>
      </c>
    </row>
    <row r="947" spans="78:81">
      <c r="BZ947" t="s">
        <v>3350</v>
      </c>
      <c r="CB947" s="120">
        <v>1</v>
      </c>
      <c r="CC947" s="120">
        <v>0</v>
      </c>
    </row>
    <row r="948" spans="78:81">
      <c r="BZ948" t="s">
        <v>2342</v>
      </c>
      <c r="CB948" s="120">
        <v>1</v>
      </c>
      <c r="CC948" s="120">
        <v>0</v>
      </c>
    </row>
    <row r="949" spans="78:81">
      <c r="BZ949" t="s">
        <v>3351</v>
      </c>
      <c r="CB949" s="120">
        <v>1</v>
      </c>
      <c r="CC949" s="120">
        <v>0</v>
      </c>
    </row>
    <row r="950" spans="78:81">
      <c r="BZ950" t="s">
        <v>2343</v>
      </c>
      <c r="CB950" s="120">
        <v>1</v>
      </c>
      <c r="CC950" s="120">
        <v>0</v>
      </c>
    </row>
    <row r="951" spans="78:81">
      <c r="BZ951" t="s">
        <v>3352</v>
      </c>
      <c r="CB951" s="120">
        <v>1</v>
      </c>
      <c r="CC951" s="120">
        <v>0</v>
      </c>
    </row>
    <row r="952" spans="78:81">
      <c r="BZ952" t="s">
        <v>2344</v>
      </c>
      <c r="CB952" s="120">
        <v>1</v>
      </c>
      <c r="CC952" s="120">
        <v>0</v>
      </c>
    </row>
    <row r="953" spans="78:81">
      <c r="BZ953" t="s">
        <v>3353</v>
      </c>
      <c r="CB953" s="120">
        <v>1</v>
      </c>
      <c r="CC953" s="120">
        <v>0</v>
      </c>
    </row>
    <row r="954" spans="78:81">
      <c r="BZ954" t="s">
        <v>2345</v>
      </c>
      <c r="CB954" s="120">
        <v>1</v>
      </c>
      <c r="CC954" s="120">
        <v>0</v>
      </c>
    </row>
    <row r="955" spans="78:81">
      <c r="BZ955" t="s">
        <v>3354</v>
      </c>
      <c r="CB955" s="120">
        <v>1</v>
      </c>
      <c r="CC955" s="120">
        <v>0</v>
      </c>
    </row>
    <row r="956" spans="78:81">
      <c r="BZ956" t="s">
        <v>2346</v>
      </c>
      <c r="CB956" s="120">
        <v>1</v>
      </c>
      <c r="CC956" s="120">
        <v>0</v>
      </c>
    </row>
    <row r="957" spans="78:81">
      <c r="BZ957" t="s">
        <v>3355</v>
      </c>
      <c r="CB957" s="120">
        <v>1</v>
      </c>
      <c r="CC957" s="120">
        <v>0</v>
      </c>
    </row>
    <row r="958" spans="78:81">
      <c r="BZ958" t="s">
        <v>2347</v>
      </c>
      <c r="CB958" s="120">
        <v>1</v>
      </c>
      <c r="CC958" s="120">
        <v>0</v>
      </c>
    </row>
    <row r="959" spans="78:81">
      <c r="BZ959" t="s">
        <v>3356</v>
      </c>
      <c r="CB959" s="120">
        <v>1</v>
      </c>
      <c r="CC959" s="120">
        <v>0</v>
      </c>
    </row>
    <row r="960" spans="78:81">
      <c r="BZ960" t="s">
        <v>2348</v>
      </c>
      <c r="CB960" s="120">
        <v>1</v>
      </c>
      <c r="CC960" s="120">
        <v>0</v>
      </c>
    </row>
    <row r="961" spans="78:81">
      <c r="BZ961" t="s">
        <v>3357</v>
      </c>
      <c r="CB961" s="120">
        <v>1</v>
      </c>
      <c r="CC961" s="120">
        <v>0</v>
      </c>
    </row>
    <row r="962" spans="78:81">
      <c r="BZ962" t="s">
        <v>2349</v>
      </c>
      <c r="CB962" s="120">
        <v>1</v>
      </c>
      <c r="CC962" s="120">
        <v>0</v>
      </c>
    </row>
    <row r="963" spans="78:81">
      <c r="BZ963" t="s">
        <v>3358</v>
      </c>
      <c r="CB963" s="120">
        <v>1</v>
      </c>
      <c r="CC963" s="120">
        <v>0</v>
      </c>
    </row>
    <row r="964" spans="78:81">
      <c r="BZ964" t="s">
        <v>2350</v>
      </c>
      <c r="CB964" s="120">
        <v>1</v>
      </c>
      <c r="CC964" s="120">
        <v>0</v>
      </c>
    </row>
    <row r="965" spans="78:81">
      <c r="BZ965" t="s">
        <v>3359</v>
      </c>
      <c r="CB965" s="120">
        <v>1</v>
      </c>
      <c r="CC965" s="120">
        <v>0</v>
      </c>
    </row>
    <row r="966" spans="78:81">
      <c r="BZ966" t="s">
        <v>2351</v>
      </c>
      <c r="CB966" s="120">
        <v>1</v>
      </c>
      <c r="CC966" s="120">
        <v>0</v>
      </c>
    </row>
    <row r="967" spans="78:81">
      <c r="BZ967" t="s">
        <v>3360</v>
      </c>
      <c r="CB967" s="120">
        <v>1</v>
      </c>
      <c r="CC967" s="120">
        <v>0</v>
      </c>
    </row>
    <row r="968" spans="78:81">
      <c r="BZ968" t="s">
        <v>2352</v>
      </c>
      <c r="CB968" s="120">
        <v>1</v>
      </c>
      <c r="CC968" s="120">
        <v>0</v>
      </c>
    </row>
    <row r="969" spans="78:81">
      <c r="BZ969" t="s">
        <v>3361</v>
      </c>
      <c r="CB969" s="120">
        <v>1</v>
      </c>
      <c r="CC969" s="120">
        <v>0</v>
      </c>
    </row>
    <row r="970" spans="78:81">
      <c r="BZ970" t="s">
        <v>2353</v>
      </c>
      <c r="CB970" s="120">
        <v>1</v>
      </c>
      <c r="CC970" s="120">
        <v>0</v>
      </c>
    </row>
    <row r="971" spans="78:81">
      <c r="BZ971" t="s">
        <v>3362</v>
      </c>
      <c r="CB971" s="120">
        <v>1</v>
      </c>
      <c r="CC971" s="120">
        <v>0</v>
      </c>
    </row>
    <row r="972" spans="78:81">
      <c r="BZ972" t="s">
        <v>2354</v>
      </c>
      <c r="CB972" s="120">
        <v>1</v>
      </c>
      <c r="CC972" s="120">
        <v>0</v>
      </c>
    </row>
    <row r="973" spans="78:81">
      <c r="BZ973" t="s">
        <v>3363</v>
      </c>
      <c r="CB973" s="120">
        <v>1</v>
      </c>
      <c r="CC973" s="120">
        <v>0</v>
      </c>
    </row>
    <row r="974" spans="78:81">
      <c r="BZ974" t="s">
        <v>2355</v>
      </c>
      <c r="CB974" s="120">
        <v>1</v>
      </c>
      <c r="CC974" s="120">
        <v>0</v>
      </c>
    </row>
    <row r="975" spans="78:81">
      <c r="BZ975" t="s">
        <v>3364</v>
      </c>
      <c r="CB975" s="120">
        <v>1</v>
      </c>
      <c r="CC975" s="120">
        <v>0</v>
      </c>
    </row>
    <row r="976" spans="78:81">
      <c r="BZ976" t="s">
        <v>2356</v>
      </c>
      <c r="CB976" s="120">
        <v>1</v>
      </c>
      <c r="CC976" s="120">
        <v>0</v>
      </c>
    </row>
    <row r="977" spans="78:81">
      <c r="BZ977" t="s">
        <v>3365</v>
      </c>
      <c r="CB977" s="120">
        <v>1</v>
      </c>
      <c r="CC977" s="120">
        <v>0</v>
      </c>
    </row>
    <row r="978" spans="78:81">
      <c r="BZ978" t="s">
        <v>2357</v>
      </c>
      <c r="CB978" s="120">
        <v>1</v>
      </c>
      <c r="CC978" s="120">
        <v>0</v>
      </c>
    </row>
    <row r="979" spans="78:81">
      <c r="BZ979" t="s">
        <v>3366</v>
      </c>
      <c r="CB979" s="120">
        <v>1</v>
      </c>
      <c r="CC979" s="120">
        <v>0</v>
      </c>
    </row>
    <row r="980" spans="78:81">
      <c r="BZ980" t="s">
        <v>2358</v>
      </c>
      <c r="CB980" s="120">
        <v>1</v>
      </c>
      <c r="CC980" s="120">
        <v>0</v>
      </c>
    </row>
    <row r="981" spans="78:81">
      <c r="BZ981" t="s">
        <v>3367</v>
      </c>
      <c r="CB981" s="120">
        <v>1</v>
      </c>
      <c r="CC981" s="120">
        <v>0</v>
      </c>
    </row>
    <row r="982" spans="78:81">
      <c r="BZ982" t="s">
        <v>2359</v>
      </c>
      <c r="CB982" s="120">
        <v>1</v>
      </c>
      <c r="CC982" s="120">
        <v>0</v>
      </c>
    </row>
    <row r="983" spans="78:81">
      <c r="BZ983" t="s">
        <v>3368</v>
      </c>
      <c r="CB983" s="120">
        <v>1</v>
      </c>
      <c r="CC983" s="120">
        <v>0</v>
      </c>
    </row>
    <row r="984" spans="78:81">
      <c r="BZ984" t="s">
        <v>2360</v>
      </c>
      <c r="CB984" s="120">
        <v>1</v>
      </c>
      <c r="CC984" s="120">
        <v>0</v>
      </c>
    </row>
    <row r="985" spans="78:81">
      <c r="BZ985" t="s">
        <v>3369</v>
      </c>
      <c r="CB985" s="120">
        <v>1</v>
      </c>
      <c r="CC985" s="120">
        <v>0</v>
      </c>
    </row>
    <row r="986" spans="78:81">
      <c r="BZ986" t="s">
        <v>2361</v>
      </c>
      <c r="CB986" s="120">
        <v>1</v>
      </c>
      <c r="CC986" s="120">
        <v>0</v>
      </c>
    </row>
    <row r="987" spans="78:81">
      <c r="BZ987" t="s">
        <v>3370</v>
      </c>
      <c r="CB987" s="120">
        <v>1</v>
      </c>
      <c r="CC987" s="120">
        <v>0</v>
      </c>
    </row>
    <row r="988" spans="78:81">
      <c r="BZ988" t="s">
        <v>2362</v>
      </c>
      <c r="CB988" s="120">
        <v>1</v>
      </c>
      <c r="CC988" s="120">
        <v>0</v>
      </c>
    </row>
    <row r="989" spans="78:81">
      <c r="BZ989" t="s">
        <v>3371</v>
      </c>
      <c r="CB989" s="120">
        <v>1</v>
      </c>
      <c r="CC989" s="120">
        <v>0</v>
      </c>
    </row>
    <row r="990" spans="78:81">
      <c r="BZ990" t="s">
        <v>2363</v>
      </c>
      <c r="CB990" s="120">
        <v>1</v>
      </c>
      <c r="CC990" s="120">
        <v>0</v>
      </c>
    </row>
    <row r="991" spans="78:81">
      <c r="BZ991" t="s">
        <v>3372</v>
      </c>
      <c r="CB991" s="120">
        <v>1</v>
      </c>
      <c r="CC991" s="120">
        <v>0</v>
      </c>
    </row>
    <row r="992" spans="78:81">
      <c r="BZ992" t="s">
        <v>2364</v>
      </c>
      <c r="CB992" s="120">
        <v>1</v>
      </c>
      <c r="CC992" s="120">
        <v>0</v>
      </c>
    </row>
    <row r="993" spans="78:81">
      <c r="BZ993" t="s">
        <v>3373</v>
      </c>
      <c r="CB993" s="120">
        <v>1</v>
      </c>
      <c r="CC993" s="120">
        <v>0</v>
      </c>
    </row>
    <row r="994" spans="78:81">
      <c r="BZ994" t="s">
        <v>2365</v>
      </c>
      <c r="CB994" s="120">
        <v>1</v>
      </c>
      <c r="CC994" s="120">
        <v>0</v>
      </c>
    </row>
    <row r="995" spans="78:81">
      <c r="BZ995" t="s">
        <v>3374</v>
      </c>
      <c r="CB995" s="120">
        <v>1</v>
      </c>
      <c r="CC995" s="120">
        <v>0</v>
      </c>
    </row>
    <row r="996" spans="78:81">
      <c r="BZ996" t="s">
        <v>2366</v>
      </c>
      <c r="CB996" s="120">
        <v>1</v>
      </c>
      <c r="CC996" s="120">
        <v>0</v>
      </c>
    </row>
    <row r="997" spans="78:81">
      <c r="BZ997" t="s">
        <v>3375</v>
      </c>
      <c r="CB997" s="120">
        <v>1</v>
      </c>
      <c r="CC997" s="120">
        <v>0</v>
      </c>
    </row>
    <row r="998" spans="78:81">
      <c r="BZ998" t="s">
        <v>2367</v>
      </c>
      <c r="CB998" s="120">
        <v>1</v>
      </c>
      <c r="CC998" s="120">
        <v>0</v>
      </c>
    </row>
    <row r="999" spans="78:81">
      <c r="BZ999" t="s">
        <v>3376</v>
      </c>
      <c r="CB999" s="120">
        <v>1</v>
      </c>
      <c r="CC999" s="120">
        <v>0</v>
      </c>
    </row>
    <row r="1000" spans="78:81">
      <c r="BZ1000" t="s">
        <v>2368</v>
      </c>
      <c r="CB1000" s="120">
        <v>1</v>
      </c>
      <c r="CC1000" s="120">
        <v>0</v>
      </c>
    </row>
    <row r="1001" spans="78:81">
      <c r="BZ1001" t="s">
        <v>3377</v>
      </c>
      <c r="CB1001" s="120">
        <v>1</v>
      </c>
      <c r="CC1001" s="120">
        <v>0</v>
      </c>
    </row>
    <row r="1002" spans="78:81">
      <c r="BZ1002" t="s">
        <v>2369</v>
      </c>
      <c r="CB1002" s="120">
        <v>1</v>
      </c>
      <c r="CC1002" s="120">
        <v>0</v>
      </c>
    </row>
    <row r="1003" spans="78:81">
      <c r="BZ1003" t="s">
        <v>3378</v>
      </c>
      <c r="CB1003" s="120">
        <v>1</v>
      </c>
      <c r="CC1003" s="120">
        <v>0</v>
      </c>
    </row>
    <row r="1004" spans="78:81">
      <c r="BZ1004" t="s">
        <v>2370</v>
      </c>
      <c r="CB1004" s="120">
        <v>1</v>
      </c>
      <c r="CC1004" s="120">
        <v>0</v>
      </c>
    </row>
    <row r="1005" spans="78:81">
      <c r="BZ1005" t="s">
        <v>3379</v>
      </c>
      <c r="CB1005" s="120">
        <v>1</v>
      </c>
      <c r="CC1005" s="120">
        <v>0</v>
      </c>
    </row>
    <row r="1006" spans="78:81">
      <c r="BZ1006" t="s">
        <v>2371</v>
      </c>
      <c r="CB1006" s="120">
        <v>1</v>
      </c>
      <c r="CC1006" s="120">
        <v>0</v>
      </c>
    </row>
    <row r="1007" spans="78:81">
      <c r="BZ1007" t="s">
        <v>3380</v>
      </c>
      <c r="CB1007" s="120">
        <v>1</v>
      </c>
      <c r="CC1007" s="120">
        <v>0</v>
      </c>
    </row>
    <row r="1008" spans="78:81">
      <c r="BZ1008" t="s">
        <v>2372</v>
      </c>
      <c r="CB1008" s="120">
        <v>1</v>
      </c>
      <c r="CC1008" s="120">
        <v>0</v>
      </c>
    </row>
    <row r="1009" spans="78:81">
      <c r="BZ1009" t="s">
        <v>3381</v>
      </c>
      <c r="CB1009" s="120">
        <v>1</v>
      </c>
      <c r="CC1009" s="120">
        <v>0</v>
      </c>
    </row>
    <row r="1010" spans="78:81">
      <c r="BZ1010" t="s">
        <v>2373</v>
      </c>
      <c r="CB1010" s="120">
        <v>1</v>
      </c>
      <c r="CC1010" s="120">
        <v>0</v>
      </c>
    </row>
    <row r="1011" spans="78:81">
      <c r="BZ1011" t="s">
        <v>3382</v>
      </c>
      <c r="CB1011" s="120">
        <v>1</v>
      </c>
      <c r="CC1011" s="120">
        <v>0</v>
      </c>
    </row>
    <row r="1012" spans="78:81">
      <c r="BZ1012" t="s">
        <v>2374</v>
      </c>
      <c r="CB1012" s="120">
        <v>1</v>
      </c>
      <c r="CC1012" s="120">
        <v>0</v>
      </c>
    </row>
    <row r="1013" spans="78:81">
      <c r="BZ1013" t="s">
        <v>3383</v>
      </c>
      <c r="CB1013" s="120">
        <v>1</v>
      </c>
      <c r="CC1013" s="120">
        <v>0</v>
      </c>
    </row>
    <row r="1014" spans="78:81">
      <c r="BZ1014" t="s">
        <v>2375</v>
      </c>
      <c r="CB1014" s="120">
        <v>1</v>
      </c>
      <c r="CC1014" s="120">
        <v>0</v>
      </c>
    </row>
    <row r="1015" spans="78:81">
      <c r="BZ1015" t="s">
        <v>3384</v>
      </c>
      <c r="CB1015" s="120">
        <v>1</v>
      </c>
      <c r="CC1015" s="120">
        <v>0</v>
      </c>
    </row>
    <row r="1016" spans="78:81">
      <c r="BZ1016" t="s">
        <v>2376</v>
      </c>
      <c r="CB1016" s="120">
        <v>1</v>
      </c>
      <c r="CC1016" s="120">
        <v>0</v>
      </c>
    </row>
    <row r="1017" spans="78:81">
      <c r="BZ1017" t="s">
        <v>3385</v>
      </c>
      <c r="CB1017" s="120">
        <v>1</v>
      </c>
      <c r="CC1017" s="120">
        <v>0</v>
      </c>
    </row>
    <row r="1018" spans="78:81">
      <c r="BZ1018" t="s">
        <v>2377</v>
      </c>
      <c r="CB1018" s="120">
        <v>1</v>
      </c>
      <c r="CC1018" s="120">
        <v>0</v>
      </c>
    </row>
    <row r="1019" spans="78:81">
      <c r="BZ1019" t="s">
        <v>3386</v>
      </c>
      <c r="CB1019" s="120">
        <v>1</v>
      </c>
      <c r="CC1019" s="120">
        <v>0</v>
      </c>
    </row>
    <row r="1020" spans="78:81">
      <c r="BZ1020" t="s">
        <v>2378</v>
      </c>
      <c r="CB1020" s="120">
        <v>1</v>
      </c>
      <c r="CC1020" s="120">
        <v>0</v>
      </c>
    </row>
    <row r="1021" spans="78:81">
      <c r="BZ1021" t="s">
        <v>3387</v>
      </c>
      <c r="CB1021" s="120">
        <v>1</v>
      </c>
      <c r="CC1021" s="120">
        <v>0</v>
      </c>
    </row>
    <row r="1022" spans="78:81">
      <c r="BZ1022" t="s">
        <v>2379</v>
      </c>
      <c r="CB1022" s="120">
        <v>1</v>
      </c>
      <c r="CC1022" s="120">
        <v>0</v>
      </c>
    </row>
    <row r="1023" spans="78:81">
      <c r="BZ1023" t="s">
        <v>3388</v>
      </c>
      <c r="CB1023" s="120">
        <v>1</v>
      </c>
      <c r="CC1023" s="120">
        <v>0</v>
      </c>
    </row>
    <row r="1024" spans="78:81">
      <c r="BZ1024" t="s">
        <v>2380</v>
      </c>
      <c r="CB1024" s="120">
        <v>1</v>
      </c>
      <c r="CC1024" s="120">
        <v>0</v>
      </c>
    </row>
    <row r="1025" spans="78:81">
      <c r="BZ1025" t="s">
        <v>3389</v>
      </c>
      <c r="CB1025" s="120">
        <v>1</v>
      </c>
      <c r="CC1025" s="120">
        <v>0</v>
      </c>
    </row>
    <row r="1026" spans="78:81">
      <c r="BZ1026" t="s">
        <v>2381</v>
      </c>
      <c r="CB1026" s="120">
        <v>1</v>
      </c>
      <c r="CC1026" s="120">
        <v>0</v>
      </c>
    </row>
    <row r="1027" spans="78:81">
      <c r="BZ1027" t="s">
        <v>3390</v>
      </c>
      <c r="CB1027" s="120">
        <v>1</v>
      </c>
      <c r="CC1027" s="120">
        <v>0</v>
      </c>
    </row>
    <row r="1028" spans="78:81">
      <c r="BZ1028" t="s">
        <v>2382</v>
      </c>
      <c r="CB1028" s="120">
        <v>1</v>
      </c>
      <c r="CC1028" s="120">
        <v>0</v>
      </c>
    </row>
    <row r="1029" spans="78:81">
      <c r="BZ1029" t="s">
        <v>3391</v>
      </c>
      <c r="CB1029" s="120">
        <v>1</v>
      </c>
      <c r="CC1029" s="120">
        <v>0</v>
      </c>
    </row>
    <row r="1030" spans="78:81">
      <c r="BZ1030" t="s">
        <v>2383</v>
      </c>
      <c r="CB1030" s="120">
        <v>1</v>
      </c>
      <c r="CC1030" s="120">
        <v>0</v>
      </c>
    </row>
    <row r="1031" spans="78:81">
      <c r="BZ1031" t="s">
        <v>3392</v>
      </c>
      <c r="CB1031" s="120">
        <v>1</v>
      </c>
      <c r="CC1031" s="120">
        <v>0</v>
      </c>
    </row>
    <row r="1032" spans="78:81">
      <c r="BZ1032" t="s">
        <v>2384</v>
      </c>
      <c r="CB1032" s="120">
        <v>1</v>
      </c>
      <c r="CC1032" s="120">
        <v>0</v>
      </c>
    </row>
    <row r="1033" spans="78:81">
      <c r="BZ1033" t="s">
        <v>3393</v>
      </c>
      <c r="CB1033" s="120">
        <v>1</v>
      </c>
      <c r="CC1033" s="120">
        <v>0</v>
      </c>
    </row>
    <row r="1034" spans="78:81">
      <c r="BZ1034" t="s">
        <v>2385</v>
      </c>
      <c r="CB1034" s="120">
        <v>1</v>
      </c>
      <c r="CC1034" s="120">
        <v>0</v>
      </c>
    </row>
    <row r="1035" spans="78:81">
      <c r="BZ1035" t="s">
        <v>3394</v>
      </c>
      <c r="CB1035" s="120">
        <v>1</v>
      </c>
      <c r="CC1035" s="120">
        <v>0</v>
      </c>
    </row>
    <row r="1036" spans="78:81">
      <c r="BZ1036" t="s">
        <v>2386</v>
      </c>
      <c r="CB1036" s="120">
        <v>1</v>
      </c>
      <c r="CC1036" s="120">
        <v>0</v>
      </c>
    </row>
    <row r="1037" spans="78:81">
      <c r="BZ1037" t="s">
        <v>3395</v>
      </c>
      <c r="CB1037" s="120">
        <v>1</v>
      </c>
      <c r="CC1037" s="120">
        <v>0</v>
      </c>
    </row>
    <row r="1038" spans="78:81">
      <c r="BZ1038" t="s">
        <v>2387</v>
      </c>
      <c r="CB1038" s="120">
        <v>1</v>
      </c>
      <c r="CC1038" s="120">
        <v>0</v>
      </c>
    </row>
    <row r="1039" spans="78:81">
      <c r="BZ1039" t="s">
        <v>3396</v>
      </c>
      <c r="CB1039" s="120">
        <v>1</v>
      </c>
      <c r="CC1039" s="120">
        <v>0</v>
      </c>
    </row>
    <row r="1040" spans="78:81">
      <c r="BZ1040" t="s">
        <v>2388</v>
      </c>
      <c r="CB1040" s="120">
        <v>1</v>
      </c>
      <c r="CC1040" s="120">
        <v>0</v>
      </c>
    </row>
    <row r="1041" spans="78:81">
      <c r="BZ1041" t="s">
        <v>3397</v>
      </c>
      <c r="CB1041" s="120">
        <v>1</v>
      </c>
      <c r="CC1041" s="120">
        <v>0</v>
      </c>
    </row>
    <row r="1042" spans="78:81">
      <c r="BZ1042" t="s">
        <v>2389</v>
      </c>
      <c r="CB1042" s="120">
        <v>1</v>
      </c>
      <c r="CC1042" s="120">
        <v>0</v>
      </c>
    </row>
    <row r="1043" spans="78:81">
      <c r="BZ1043" t="s">
        <v>3398</v>
      </c>
      <c r="CB1043" s="120">
        <v>1</v>
      </c>
      <c r="CC1043" s="120">
        <v>0</v>
      </c>
    </row>
    <row r="1044" spans="78:81">
      <c r="BZ1044" t="s">
        <v>2390</v>
      </c>
      <c r="CB1044" s="120">
        <v>1</v>
      </c>
      <c r="CC1044" s="120">
        <v>0</v>
      </c>
    </row>
    <row r="1045" spans="78:81">
      <c r="BZ1045" t="s">
        <v>3399</v>
      </c>
      <c r="CB1045" s="120">
        <v>1</v>
      </c>
      <c r="CC1045" s="120">
        <v>0</v>
      </c>
    </row>
    <row r="1046" spans="78:81">
      <c r="BZ1046" t="s">
        <v>2391</v>
      </c>
      <c r="CB1046" s="120">
        <v>1</v>
      </c>
      <c r="CC1046" s="120">
        <v>0</v>
      </c>
    </row>
    <row r="1047" spans="78:81">
      <c r="BZ1047" t="s">
        <v>3400</v>
      </c>
      <c r="CB1047" s="120">
        <v>1</v>
      </c>
      <c r="CC1047" s="120">
        <v>0</v>
      </c>
    </row>
    <row r="1048" spans="78:81">
      <c r="BZ1048" t="s">
        <v>2392</v>
      </c>
      <c r="CB1048" s="120">
        <v>1</v>
      </c>
      <c r="CC1048" s="120">
        <v>0</v>
      </c>
    </row>
    <row r="1049" spans="78:81">
      <c r="BZ1049" t="s">
        <v>3401</v>
      </c>
      <c r="CB1049" s="120">
        <v>1</v>
      </c>
      <c r="CC1049" s="120">
        <v>0</v>
      </c>
    </row>
    <row r="1050" spans="78:81">
      <c r="BZ1050" t="s">
        <v>2393</v>
      </c>
      <c r="CB1050" s="120">
        <v>1</v>
      </c>
      <c r="CC1050" s="120">
        <v>0</v>
      </c>
    </row>
    <row r="1051" spans="78:81">
      <c r="BZ1051" t="s">
        <v>3402</v>
      </c>
      <c r="CB1051" s="120">
        <v>1</v>
      </c>
      <c r="CC1051" s="120">
        <v>0</v>
      </c>
    </row>
    <row r="1052" spans="78:81">
      <c r="BZ1052" t="s">
        <v>2394</v>
      </c>
      <c r="CB1052" s="120">
        <v>1</v>
      </c>
      <c r="CC1052" s="120">
        <v>0</v>
      </c>
    </row>
    <row r="1053" spans="78:81">
      <c r="BZ1053" t="s">
        <v>3403</v>
      </c>
      <c r="CB1053" s="120">
        <v>1</v>
      </c>
      <c r="CC1053" s="120">
        <v>0</v>
      </c>
    </row>
    <row r="1054" spans="78:81">
      <c r="BZ1054" t="s">
        <v>2395</v>
      </c>
      <c r="CB1054" s="120">
        <v>1</v>
      </c>
      <c r="CC1054" s="120">
        <v>0</v>
      </c>
    </row>
    <row r="1055" spans="78:81">
      <c r="BZ1055" t="s">
        <v>3404</v>
      </c>
      <c r="CB1055" s="120">
        <v>1</v>
      </c>
      <c r="CC1055" s="120">
        <v>0</v>
      </c>
    </row>
    <row r="1056" spans="78:81">
      <c r="BZ1056" t="s">
        <v>2396</v>
      </c>
      <c r="CB1056" s="120">
        <v>1</v>
      </c>
      <c r="CC1056" s="120">
        <v>0</v>
      </c>
    </row>
    <row r="1057" spans="78:81">
      <c r="BZ1057" t="s">
        <v>3405</v>
      </c>
      <c r="CB1057" s="120">
        <v>1</v>
      </c>
      <c r="CC1057" s="120">
        <v>0</v>
      </c>
    </row>
    <row r="1058" spans="78:81">
      <c r="BZ1058" t="s">
        <v>2397</v>
      </c>
      <c r="CB1058" s="120">
        <v>1</v>
      </c>
      <c r="CC1058" s="120">
        <v>0</v>
      </c>
    </row>
    <row r="1059" spans="78:81">
      <c r="BZ1059" t="s">
        <v>3406</v>
      </c>
      <c r="CB1059" s="120">
        <v>1</v>
      </c>
      <c r="CC1059" s="120">
        <v>0</v>
      </c>
    </row>
    <row r="1060" spans="78:81">
      <c r="BZ1060" t="s">
        <v>2398</v>
      </c>
      <c r="CB1060" s="120">
        <v>1</v>
      </c>
      <c r="CC1060" s="120">
        <v>0</v>
      </c>
    </row>
    <row r="1061" spans="78:81">
      <c r="BZ1061" t="s">
        <v>3407</v>
      </c>
      <c r="CB1061" s="120">
        <v>1</v>
      </c>
      <c r="CC1061" s="120">
        <v>0</v>
      </c>
    </row>
    <row r="1062" spans="78:81">
      <c r="BZ1062" t="s">
        <v>2399</v>
      </c>
      <c r="CB1062" s="120">
        <v>1</v>
      </c>
      <c r="CC1062" s="120">
        <v>0</v>
      </c>
    </row>
    <row r="1063" spans="78:81">
      <c r="BZ1063" t="s">
        <v>3408</v>
      </c>
      <c r="CB1063" s="120">
        <v>1</v>
      </c>
      <c r="CC1063" s="120">
        <v>0</v>
      </c>
    </row>
    <row r="1064" spans="78:81">
      <c r="BZ1064" t="s">
        <v>2400</v>
      </c>
      <c r="CB1064" s="120">
        <v>1</v>
      </c>
      <c r="CC1064" s="120">
        <v>0</v>
      </c>
    </row>
    <row r="1065" spans="78:81">
      <c r="BZ1065" t="s">
        <v>3409</v>
      </c>
      <c r="CB1065" s="120">
        <v>1</v>
      </c>
      <c r="CC1065" s="120">
        <v>0</v>
      </c>
    </row>
    <row r="1066" spans="78:81">
      <c r="BZ1066" t="s">
        <v>2401</v>
      </c>
      <c r="CB1066" s="120">
        <v>1</v>
      </c>
      <c r="CC1066" s="120">
        <v>0</v>
      </c>
    </row>
    <row r="1067" spans="78:81">
      <c r="BZ1067" t="s">
        <v>3410</v>
      </c>
      <c r="CB1067" s="120">
        <v>1</v>
      </c>
      <c r="CC1067" s="120">
        <v>0</v>
      </c>
    </row>
    <row r="1068" spans="78:81">
      <c r="BZ1068" t="s">
        <v>2402</v>
      </c>
      <c r="CB1068" s="120">
        <v>1</v>
      </c>
      <c r="CC1068" s="120">
        <v>0</v>
      </c>
    </row>
    <row r="1069" spans="78:81">
      <c r="BZ1069" t="s">
        <v>3411</v>
      </c>
      <c r="CB1069" s="120">
        <v>1</v>
      </c>
      <c r="CC1069" s="120">
        <v>0</v>
      </c>
    </row>
    <row r="1070" spans="78:81">
      <c r="BZ1070" t="s">
        <v>2403</v>
      </c>
      <c r="CB1070" s="120">
        <v>1</v>
      </c>
      <c r="CC1070" s="120">
        <v>0</v>
      </c>
    </row>
    <row r="1071" spans="78:81">
      <c r="BZ1071" t="s">
        <v>3412</v>
      </c>
      <c r="CB1071" s="120">
        <v>1</v>
      </c>
      <c r="CC1071" s="120">
        <v>0</v>
      </c>
    </row>
    <row r="1072" spans="78:81">
      <c r="BZ1072" t="s">
        <v>2404</v>
      </c>
      <c r="CB1072" s="120">
        <v>1</v>
      </c>
      <c r="CC1072" s="120">
        <v>0</v>
      </c>
    </row>
    <row r="1073" spans="78:81">
      <c r="BZ1073" t="s">
        <v>3413</v>
      </c>
      <c r="CB1073" s="120">
        <v>1</v>
      </c>
      <c r="CC1073" s="120">
        <v>0</v>
      </c>
    </row>
    <row r="1074" spans="78:81">
      <c r="BZ1074" t="s">
        <v>2405</v>
      </c>
      <c r="CB1074" s="120">
        <v>1</v>
      </c>
      <c r="CC1074" s="120">
        <v>0</v>
      </c>
    </row>
    <row r="1075" spans="78:81">
      <c r="BZ1075" t="s">
        <v>3414</v>
      </c>
      <c r="CB1075" s="120">
        <v>1</v>
      </c>
      <c r="CC1075" s="120">
        <v>0</v>
      </c>
    </row>
    <row r="1076" spans="78:81">
      <c r="BZ1076" t="s">
        <v>2406</v>
      </c>
      <c r="CB1076" s="120">
        <v>1</v>
      </c>
      <c r="CC1076" s="120">
        <v>0</v>
      </c>
    </row>
    <row r="1077" spans="78:81">
      <c r="BZ1077" t="s">
        <v>3415</v>
      </c>
      <c r="CB1077" s="120">
        <v>1</v>
      </c>
      <c r="CC1077" s="120">
        <v>0</v>
      </c>
    </row>
    <row r="1078" spans="78:81">
      <c r="BZ1078" t="s">
        <v>2407</v>
      </c>
      <c r="CB1078" s="120">
        <v>1</v>
      </c>
      <c r="CC1078" s="120">
        <v>0</v>
      </c>
    </row>
    <row r="1079" spans="78:81">
      <c r="BZ1079" t="s">
        <v>3416</v>
      </c>
      <c r="CB1079" s="120">
        <v>1</v>
      </c>
      <c r="CC1079" s="120">
        <v>0</v>
      </c>
    </row>
    <row r="1080" spans="78:81">
      <c r="BZ1080" t="s">
        <v>2408</v>
      </c>
      <c r="CB1080" s="120">
        <v>1</v>
      </c>
      <c r="CC1080" s="120">
        <v>0</v>
      </c>
    </row>
    <row r="1081" spans="78:81">
      <c r="BZ1081" t="s">
        <v>3417</v>
      </c>
      <c r="CB1081" s="120">
        <v>1</v>
      </c>
      <c r="CC1081" s="120">
        <v>0</v>
      </c>
    </row>
    <row r="1082" spans="78:81">
      <c r="BZ1082" t="s">
        <v>2409</v>
      </c>
      <c r="CB1082" s="120">
        <v>1</v>
      </c>
      <c r="CC1082" s="120">
        <v>0</v>
      </c>
    </row>
    <row r="1083" spans="78:81">
      <c r="BZ1083" t="s">
        <v>3418</v>
      </c>
      <c r="CB1083" s="120">
        <v>1</v>
      </c>
      <c r="CC1083" s="120">
        <v>0</v>
      </c>
    </row>
    <row r="1084" spans="78:81">
      <c r="BZ1084" t="s">
        <v>2410</v>
      </c>
      <c r="CB1084" s="120">
        <v>1</v>
      </c>
      <c r="CC1084" s="120">
        <v>0</v>
      </c>
    </row>
    <row r="1085" spans="78:81">
      <c r="BZ1085" t="s">
        <v>3419</v>
      </c>
      <c r="CB1085" s="120">
        <v>1</v>
      </c>
      <c r="CC1085" s="120">
        <v>0</v>
      </c>
    </row>
    <row r="1086" spans="78:81">
      <c r="BZ1086" t="s">
        <v>2411</v>
      </c>
      <c r="CB1086" s="120">
        <v>1</v>
      </c>
      <c r="CC1086" s="120">
        <v>0</v>
      </c>
    </row>
    <row r="1087" spans="78:81">
      <c r="BZ1087" t="s">
        <v>3420</v>
      </c>
      <c r="CB1087" s="120">
        <v>1</v>
      </c>
      <c r="CC1087" s="120">
        <v>0</v>
      </c>
    </row>
    <row r="1088" spans="78:81">
      <c r="BZ1088" t="s">
        <v>2412</v>
      </c>
      <c r="CB1088" s="120">
        <v>1</v>
      </c>
      <c r="CC1088" s="120">
        <v>0</v>
      </c>
    </row>
    <row r="1089" spans="78:81">
      <c r="BZ1089" t="s">
        <v>3421</v>
      </c>
      <c r="CB1089" s="120">
        <v>1</v>
      </c>
      <c r="CC1089" s="120">
        <v>0</v>
      </c>
    </row>
    <row r="1090" spans="78:81">
      <c r="BZ1090" t="s">
        <v>2413</v>
      </c>
      <c r="CB1090" s="120">
        <v>1</v>
      </c>
      <c r="CC1090" s="120">
        <v>0</v>
      </c>
    </row>
    <row r="1091" spans="78:81">
      <c r="BZ1091" t="s">
        <v>3422</v>
      </c>
      <c r="CB1091" s="120">
        <v>1</v>
      </c>
      <c r="CC1091" s="120">
        <v>0</v>
      </c>
    </row>
    <row r="1092" spans="78:81">
      <c r="BZ1092" t="s">
        <v>2414</v>
      </c>
      <c r="CB1092" s="120">
        <v>1</v>
      </c>
      <c r="CC1092" s="120">
        <v>0</v>
      </c>
    </row>
    <row r="1093" spans="78:81">
      <c r="BZ1093" t="s">
        <v>3423</v>
      </c>
      <c r="CB1093" s="120">
        <v>1</v>
      </c>
      <c r="CC1093" s="120">
        <v>0</v>
      </c>
    </row>
    <row r="1094" spans="78:81">
      <c r="BZ1094" t="s">
        <v>2415</v>
      </c>
      <c r="CB1094" s="120">
        <v>1</v>
      </c>
      <c r="CC1094" s="120">
        <v>0</v>
      </c>
    </row>
    <row r="1095" spans="78:81">
      <c r="BZ1095" t="s">
        <v>3424</v>
      </c>
      <c r="CB1095" s="120">
        <v>1</v>
      </c>
      <c r="CC1095" s="120">
        <v>0</v>
      </c>
    </row>
    <row r="1096" spans="78:81">
      <c r="BZ1096" t="s">
        <v>2416</v>
      </c>
      <c r="CB1096" s="120">
        <v>1</v>
      </c>
      <c r="CC1096" s="120">
        <v>0</v>
      </c>
    </row>
    <row r="1097" spans="78:81">
      <c r="BZ1097" t="s">
        <v>3425</v>
      </c>
      <c r="CB1097" s="120">
        <v>1</v>
      </c>
      <c r="CC1097" s="120">
        <v>0</v>
      </c>
    </row>
    <row r="1098" spans="78:81">
      <c r="BZ1098" t="s">
        <v>2417</v>
      </c>
      <c r="CB1098" s="120">
        <v>1</v>
      </c>
      <c r="CC1098" s="120">
        <v>0</v>
      </c>
    </row>
    <row r="1099" spans="78:81">
      <c r="BZ1099" t="s">
        <v>3426</v>
      </c>
      <c r="CB1099" s="120">
        <v>1</v>
      </c>
      <c r="CC1099" s="120">
        <v>0</v>
      </c>
    </row>
    <row r="1100" spans="78:81">
      <c r="BZ1100" t="s">
        <v>2418</v>
      </c>
      <c r="CB1100" s="120">
        <v>1</v>
      </c>
      <c r="CC1100" s="120">
        <v>0</v>
      </c>
    </row>
    <row r="1101" spans="78:81">
      <c r="BZ1101" t="s">
        <v>3427</v>
      </c>
      <c r="CB1101" s="120">
        <v>1</v>
      </c>
      <c r="CC1101" s="120">
        <v>0</v>
      </c>
    </row>
    <row r="1102" spans="78:81">
      <c r="BZ1102" t="s">
        <v>2419</v>
      </c>
      <c r="CB1102" s="120">
        <v>1</v>
      </c>
      <c r="CC1102" s="120">
        <v>0</v>
      </c>
    </row>
    <row r="1103" spans="78:81">
      <c r="BZ1103" t="s">
        <v>3428</v>
      </c>
      <c r="CB1103" s="120">
        <v>1</v>
      </c>
      <c r="CC1103" s="120">
        <v>0</v>
      </c>
    </row>
    <row r="1104" spans="78:81">
      <c r="BZ1104" t="s">
        <v>2420</v>
      </c>
      <c r="CB1104" s="120">
        <v>1</v>
      </c>
      <c r="CC1104" s="120">
        <v>0</v>
      </c>
    </row>
    <row r="1105" spans="78:81">
      <c r="BZ1105" t="s">
        <v>3429</v>
      </c>
      <c r="CB1105" s="120">
        <v>1</v>
      </c>
      <c r="CC1105" s="120">
        <v>0</v>
      </c>
    </row>
    <row r="1106" spans="78:81">
      <c r="BZ1106" t="s">
        <v>2421</v>
      </c>
      <c r="CB1106" s="120">
        <v>1</v>
      </c>
      <c r="CC1106" s="120">
        <v>0</v>
      </c>
    </row>
    <row r="1107" spans="78:81">
      <c r="BZ1107" t="s">
        <v>3430</v>
      </c>
      <c r="CB1107" s="120">
        <v>1</v>
      </c>
      <c r="CC1107" s="120">
        <v>0</v>
      </c>
    </row>
    <row r="1108" spans="78:81">
      <c r="BZ1108" t="s">
        <v>2422</v>
      </c>
      <c r="CB1108" s="120">
        <v>1</v>
      </c>
      <c r="CC1108" s="120">
        <v>0</v>
      </c>
    </row>
    <row r="1109" spans="78:81">
      <c r="BZ1109" t="s">
        <v>3431</v>
      </c>
      <c r="CB1109" s="120">
        <v>1</v>
      </c>
      <c r="CC1109" s="120">
        <v>0</v>
      </c>
    </row>
    <row r="1110" spans="78:81">
      <c r="BZ1110" t="s">
        <v>2423</v>
      </c>
      <c r="CB1110" s="120">
        <v>1</v>
      </c>
      <c r="CC1110" s="120">
        <v>0</v>
      </c>
    </row>
    <row r="1111" spans="78:81">
      <c r="BZ1111" t="s">
        <v>3432</v>
      </c>
      <c r="CB1111" s="120">
        <v>1</v>
      </c>
      <c r="CC1111" s="120">
        <v>0</v>
      </c>
    </row>
    <row r="1112" spans="78:81">
      <c r="BZ1112" t="s">
        <v>2424</v>
      </c>
      <c r="CB1112" s="120">
        <v>1</v>
      </c>
      <c r="CC1112" s="120">
        <v>0</v>
      </c>
    </row>
    <row r="1113" spans="78:81">
      <c r="BZ1113" t="s">
        <v>3433</v>
      </c>
      <c r="CB1113" s="120">
        <v>1</v>
      </c>
      <c r="CC1113" s="120">
        <v>0</v>
      </c>
    </row>
    <row r="1114" spans="78:81">
      <c r="BZ1114" t="s">
        <v>2425</v>
      </c>
      <c r="CB1114" s="120">
        <v>1</v>
      </c>
      <c r="CC1114" s="120">
        <v>0</v>
      </c>
    </row>
    <row r="1115" spans="78:81">
      <c r="BZ1115" t="s">
        <v>3434</v>
      </c>
      <c r="CB1115" s="120">
        <v>1</v>
      </c>
      <c r="CC1115" s="120">
        <v>0</v>
      </c>
    </row>
    <row r="1116" spans="78:81">
      <c r="BZ1116" t="s">
        <v>2426</v>
      </c>
      <c r="CB1116" s="120">
        <v>1</v>
      </c>
      <c r="CC1116" s="120">
        <v>0</v>
      </c>
    </row>
    <row r="1117" spans="78:81">
      <c r="BZ1117" t="s">
        <v>3435</v>
      </c>
      <c r="CB1117" s="120">
        <v>1</v>
      </c>
      <c r="CC1117" s="120">
        <v>0</v>
      </c>
    </row>
    <row r="1118" spans="78:81">
      <c r="BZ1118" t="s">
        <v>2427</v>
      </c>
      <c r="CB1118" s="120">
        <v>1</v>
      </c>
      <c r="CC1118" s="120">
        <v>0</v>
      </c>
    </row>
    <row r="1119" spans="78:81">
      <c r="BZ1119" t="s">
        <v>3436</v>
      </c>
      <c r="CB1119" s="120">
        <v>1</v>
      </c>
      <c r="CC1119" s="120">
        <v>0</v>
      </c>
    </row>
    <row r="1120" spans="78:81">
      <c r="BZ1120" t="s">
        <v>2428</v>
      </c>
      <c r="CB1120" s="120">
        <v>1</v>
      </c>
      <c r="CC1120" s="120">
        <v>0</v>
      </c>
    </row>
    <row r="1121" spans="78:81">
      <c r="BZ1121" t="s">
        <v>3437</v>
      </c>
      <c r="CB1121" s="120">
        <v>1</v>
      </c>
      <c r="CC1121" s="120">
        <v>0</v>
      </c>
    </row>
    <row r="1122" spans="78:81">
      <c r="BZ1122" t="s">
        <v>2429</v>
      </c>
      <c r="CB1122" s="120">
        <v>1</v>
      </c>
      <c r="CC1122" s="120">
        <v>0</v>
      </c>
    </row>
    <row r="1123" spans="78:81">
      <c r="BZ1123" t="s">
        <v>3438</v>
      </c>
      <c r="CB1123" s="120">
        <v>1</v>
      </c>
      <c r="CC1123" s="120">
        <v>0</v>
      </c>
    </row>
    <row r="1124" spans="78:81">
      <c r="BZ1124" t="s">
        <v>2430</v>
      </c>
      <c r="CB1124" s="120">
        <v>1</v>
      </c>
      <c r="CC1124" s="120">
        <v>0</v>
      </c>
    </row>
    <row r="1125" spans="78:81">
      <c r="BZ1125" t="s">
        <v>3439</v>
      </c>
      <c r="CB1125" s="120">
        <v>1</v>
      </c>
      <c r="CC1125" s="120">
        <v>0</v>
      </c>
    </row>
    <row r="1126" spans="78:81">
      <c r="BZ1126" t="s">
        <v>2431</v>
      </c>
      <c r="CB1126" s="120">
        <v>1</v>
      </c>
      <c r="CC1126" s="120">
        <v>0</v>
      </c>
    </row>
    <row r="1127" spans="78:81">
      <c r="BZ1127" t="s">
        <v>3440</v>
      </c>
      <c r="CB1127" s="120">
        <v>1</v>
      </c>
      <c r="CC1127" s="120">
        <v>0</v>
      </c>
    </row>
    <row r="1128" spans="78:81">
      <c r="BZ1128" t="s">
        <v>2432</v>
      </c>
      <c r="CB1128" s="120">
        <v>1</v>
      </c>
      <c r="CC1128" s="120">
        <v>0</v>
      </c>
    </row>
    <row r="1129" spans="78:81">
      <c r="BZ1129" t="s">
        <v>3441</v>
      </c>
      <c r="CB1129" s="120">
        <v>1</v>
      </c>
      <c r="CC1129" s="120">
        <v>0</v>
      </c>
    </row>
    <row r="1130" spans="78:81">
      <c r="BZ1130" t="s">
        <v>2433</v>
      </c>
      <c r="CB1130" s="120">
        <v>1</v>
      </c>
      <c r="CC1130" s="120">
        <v>0</v>
      </c>
    </row>
    <row r="1131" spans="78:81">
      <c r="BZ1131" t="s">
        <v>3442</v>
      </c>
      <c r="CB1131" s="120">
        <v>1</v>
      </c>
      <c r="CC1131" s="120">
        <v>0</v>
      </c>
    </row>
    <row r="1132" spans="78:81">
      <c r="BZ1132" t="s">
        <v>2434</v>
      </c>
      <c r="CB1132" s="120">
        <v>1</v>
      </c>
      <c r="CC1132" s="120">
        <v>0</v>
      </c>
    </row>
    <row r="1133" spans="78:81">
      <c r="BZ1133" t="s">
        <v>3443</v>
      </c>
      <c r="CB1133" s="120">
        <v>1</v>
      </c>
      <c r="CC1133" s="120">
        <v>0</v>
      </c>
    </row>
    <row r="1134" spans="78:81">
      <c r="BZ1134" t="s">
        <v>2435</v>
      </c>
      <c r="CB1134" s="120">
        <v>1</v>
      </c>
      <c r="CC1134" s="120">
        <v>0</v>
      </c>
    </row>
    <row r="1135" spans="78:81">
      <c r="BZ1135" t="s">
        <v>3444</v>
      </c>
      <c r="CB1135" s="120">
        <v>1</v>
      </c>
      <c r="CC1135" s="120">
        <v>0</v>
      </c>
    </row>
    <row r="1136" spans="78:81">
      <c r="BZ1136" t="s">
        <v>2436</v>
      </c>
      <c r="CB1136" s="120">
        <v>1</v>
      </c>
      <c r="CC1136" s="120">
        <v>0</v>
      </c>
    </row>
    <row r="1137" spans="78:81">
      <c r="BZ1137" t="s">
        <v>3445</v>
      </c>
      <c r="CB1137" s="120">
        <v>1</v>
      </c>
      <c r="CC1137" s="120">
        <v>0</v>
      </c>
    </row>
    <row r="1138" spans="78:81">
      <c r="BZ1138" t="s">
        <v>2437</v>
      </c>
      <c r="CB1138" s="120">
        <v>1</v>
      </c>
      <c r="CC1138" s="120">
        <v>0</v>
      </c>
    </row>
    <row r="1139" spans="78:81">
      <c r="BZ1139" t="s">
        <v>3446</v>
      </c>
      <c r="CB1139" s="120">
        <v>1</v>
      </c>
      <c r="CC1139" s="120">
        <v>0</v>
      </c>
    </row>
    <row r="1140" spans="78:81">
      <c r="BZ1140" t="s">
        <v>2438</v>
      </c>
      <c r="CB1140" s="120">
        <v>1</v>
      </c>
      <c r="CC1140" s="120">
        <v>0</v>
      </c>
    </row>
    <row r="1141" spans="78:81">
      <c r="BZ1141" t="s">
        <v>3447</v>
      </c>
      <c r="CB1141" s="120">
        <v>1</v>
      </c>
      <c r="CC1141" s="120">
        <v>0</v>
      </c>
    </row>
    <row r="1142" spans="78:81">
      <c r="BZ1142" t="s">
        <v>2439</v>
      </c>
      <c r="CB1142" s="120">
        <v>1</v>
      </c>
      <c r="CC1142" s="120">
        <v>0</v>
      </c>
    </row>
    <row r="1143" spans="78:81">
      <c r="BZ1143" t="s">
        <v>3448</v>
      </c>
      <c r="CB1143" s="120">
        <v>1</v>
      </c>
      <c r="CC1143" s="120">
        <v>0</v>
      </c>
    </row>
    <row r="1144" spans="78:81">
      <c r="BZ1144" t="s">
        <v>2440</v>
      </c>
      <c r="CB1144" s="120">
        <v>1</v>
      </c>
      <c r="CC1144" s="120">
        <v>0</v>
      </c>
    </row>
    <row r="1145" spans="78:81">
      <c r="BZ1145" t="s">
        <v>3449</v>
      </c>
      <c r="CB1145" s="120">
        <v>1</v>
      </c>
      <c r="CC1145" s="120">
        <v>0</v>
      </c>
    </row>
    <row r="1146" spans="78:81">
      <c r="BZ1146" t="s">
        <v>2441</v>
      </c>
      <c r="CB1146" s="120">
        <v>1</v>
      </c>
      <c r="CC1146" s="120">
        <v>0</v>
      </c>
    </row>
    <row r="1147" spans="78:81">
      <c r="BZ1147" t="s">
        <v>3450</v>
      </c>
      <c r="CB1147" s="120">
        <v>1</v>
      </c>
      <c r="CC1147" s="120">
        <v>0</v>
      </c>
    </row>
    <row r="1148" spans="78:81">
      <c r="BZ1148" t="s">
        <v>2442</v>
      </c>
      <c r="CB1148" s="120">
        <v>1</v>
      </c>
      <c r="CC1148" s="120">
        <v>0</v>
      </c>
    </row>
    <row r="1149" spans="78:81">
      <c r="BZ1149" t="s">
        <v>3451</v>
      </c>
      <c r="CB1149" s="120">
        <v>1</v>
      </c>
      <c r="CC1149" s="120">
        <v>0</v>
      </c>
    </row>
    <row r="1150" spans="78:81">
      <c r="BZ1150" t="s">
        <v>2443</v>
      </c>
      <c r="CB1150" s="120">
        <v>1</v>
      </c>
      <c r="CC1150" s="120">
        <v>0</v>
      </c>
    </row>
    <row r="1151" spans="78:81">
      <c r="BZ1151" t="s">
        <v>3452</v>
      </c>
      <c r="CB1151" s="120">
        <v>1</v>
      </c>
      <c r="CC1151" s="120">
        <v>0</v>
      </c>
    </row>
    <row r="1152" spans="78:81">
      <c r="BZ1152" t="s">
        <v>2444</v>
      </c>
      <c r="CB1152" s="120">
        <v>1</v>
      </c>
      <c r="CC1152" s="120">
        <v>0</v>
      </c>
    </row>
    <row r="1153" spans="78:81">
      <c r="BZ1153" t="s">
        <v>3453</v>
      </c>
      <c r="CB1153" s="120">
        <v>1</v>
      </c>
      <c r="CC1153" s="120">
        <v>0</v>
      </c>
    </row>
    <row r="1154" spans="78:81">
      <c r="BZ1154" t="s">
        <v>2445</v>
      </c>
      <c r="CB1154" s="120">
        <v>1</v>
      </c>
      <c r="CC1154" s="120">
        <v>0</v>
      </c>
    </row>
    <row r="1155" spans="78:81">
      <c r="BZ1155" t="s">
        <v>3454</v>
      </c>
      <c r="CB1155" s="120">
        <v>1</v>
      </c>
      <c r="CC1155" s="120">
        <v>0</v>
      </c>
    </row>
    <row r="1156" spans="78:81">
      <c r="BZ1156" t="s">
        <v>2446</v>
      </c>
      <c r="CB1156" s="120">
        <v>1</v>
      </c>
      <c r="CC1156" s="120">
        <v>0</v>
      </c>
    </row>
    <row r="1157" spans="78:81">
      <c r="BZ1157" t="s">
        <v>3455</v>
      </c>
      <c r="CB1157" s="120">
        <v>1</v>
      </c>
      <c r="CC1157" s="120">
        <v>0</v>
      </c>
    </row>
    <row r="1158" spans="78:81">
      <c r="BZ1158" t="s">
        <v>2447</v>
      </c>
      <c r="CB1158" s="120">
        <v>1</v>
      </c>
      <c r="CC1158" s="120">
        <v>0</v>
      </c>
    </row>
    <row r="1159" spans="78:81">
      <c r="BZ1159" t="s">
        <v>3456</v>
      </c>
      <c r="CB1159" s="120">
        <v>1</v>
      </c>
      <c r="CC1159" s="120">
        <v>0</v>
      </c>
    </row>
    <row r="1160" spans="78:81">
      <c r="BZ1160" t="s">
        <v>2448</v>
      </c>
      <c r="CB1160" s="120">
        <v>1</v>
      </c>
      <c r="CC1160" s="120">
        <v>0</v>
      </c>
    </row>
    <row r="1161" spans="78:81">
      <c r="BZ1161" t="s">
        <v>3457</v>
      </c>
      <c r="CB1161" s="120">
        <v>1</v>
      </c>
      <c r="CC1161" s="120">
        <v>0</v>
      </c>
    </row>
    <row r="1162" spans="78:81">
      <c r="BZ1162" t="s">
        <v>2449</v>
      </c>
      <c r="CB1162" s="120">
        <v>1</v>
      </c>
      <c r="CC1162" s="120">
        <v>0</v>
      </c>
    </row>
    <row r="1163" spans="78:81">
      <c r="BZ1163" t="s">
        <v>3458</v>
      </c>
      <c r="CB1163" s="120">
        <v>1</v>
      </c>
      <c r="CC1163" s="120">
        <v>0</v>
      </c>
    </row>
    <row r="1164" spans="78:81">
      <c r="BZ1164" t="s">
        <v>2450</v>
      </c>
      <c r="CB1164" s="120">
        <v>1</v>
      </c>
      <c r="CC1164" s="120">
        <v>0</v>
      </c>
    </row>
    <row r="1165" spans="78:81">
      <c r="BZ1165" t="s">
        <v>3459</v>
      </c>
      <c r="CB1165" s="120">
        <v>1</v>
      </c>
      <c r="CC1165" s="120">
        <v>0</v>
      </c>
    </row>
    <row r="1166" spans="78:81">
      <c r="BZ1166" t="s">
        <v>2451</v>
      </c>
      <c r="CB1166" s="120">
        <v>1</v>
      </c>
      <c r="CC1166" s="120">
        <v>0</v>
      </c>
    </row>
    <row r="1167" spans="78:81">
      <c r="BZ1167" t="s">
        <v>3460</v>
      </c>
      <c r="CB1167" s="120">
        <v>1</v>
      </c>
      <c r="CC1167" s="120">
        <v>0</v>
      </c>
    </row>
    <row r="1168" spans="78:81">
      <c r="BZ1168" t="s">
        <v>2452</v>
      </c>
      <c r="CB1168" s="120">
        <v>1</v>
      </c>
      <c r="CC1168" s="120">
        <v>0</v>
      </c>
    </row>
    <row r="1169" spans="78:81">
      <c r="BZ1169" t="s">
        <v>3461</v>
      </c>
      <c r="CB1169" s="120">
        <v>1</v>
      </c>
      <c r="CC1169" s="120">
        <v>0</v>
      </c>
    </row>
    <row r="1170" spans="78:81">
      <c r="BZ1170" t="s">
        <v>2453</v>
      </c>
      <c r="CB1170" s="120">
        <v>1</v>
      </c>
      <c r="CC1170" s="120">
        <v>0</v>
      </c>
    </row>
    <row r="1171" spans="78:81">
      <c r="BZ1171" t="s">
        <v>3462</v>
      </c>
      <c r="CB1171" s="120">
        <v>1</v>
      </c>
      <c r="CC1171" s="120">
        <v>0</v>
      </c>
    </row>
    <row r="1172" spans="78:81">
      <c r="BZ1172" t="s">
        <v>2454</v>
      </c>
      <c r="CB1172" s="120">
        <v>1</v>
      </c>
      <c r="CC1172" s="120">
        <v>0</v>
      </c>
    </row>
    <row r="1173" spans="78:81">
      <c r="BZ1173" t="s">
        <v>3463</v>
      </c>
      <c r="CB1173" s="120">
        <v>1</v>
      </c>
      <c r="CC1173" s="120">
        <v>0</v>
      </c>
    </row>
    <row r="1174" spans="78:81">
      <c r="BZ1174" t="s">
        <v>2455</v>
      </c>
      <c r="CB1174" s="120">
        <v>1</v>
      </c>
      <c r="CC1174" s="120">
        <v>0</v>
      </c>
    </row>
    <row r="1175" spans="78:81">
      <c r="BZ1175" t="s">
        <v>3464</v>
      </c>
      <c r="CB1175" s="120">
        <v>1</v>
      </c>
      <c r="CC1175" s="120">
        <v>0</v>
      </c>
    </row>
    <row r="1176" spans="78:81">
      <c r="BZ1176" t="s">
        <v>2456</v>
      </c>
      <c r="CB1176" s="120">
        <v>1</v>
      </c>
      <c r="CC1176" s="120">
        <v>0</v>
      </c>
    </row>
    <row r="1177" spans="78:81">
      <c r="BZ1177" t="s">
        <v>3465</v>
      </c>
      <c r="CB1177" s="120">
        <v>1</v>
      </c>
      <c r="CC1177" s="120">
        <v>0</v>
      </c>
    </row>
    <row r="1178" spans="78:81">
      <c r="BZ1178" t="s">
        <v>2457</v>
      </c>
      <c r="CB1178" s="120">
        <v>1</v>
      </c>
      <c r="CC1178" s="120">
        <v>0</v>
      </c>
    </row>
    <row r="1179" spans="78:81">
      <c r="BZ1179" t="s">
        <v>3466</v>
      </c>
      <c r="CB1179" s="120">
        <v>1</v>
      </c>
      <c r="CC1179" s="120">
        <v>0</v>
      </c>
    </row>
    <row r="1180" spans="78:81">
      <c r="BZ1180" t="s">
        <v>2458</v>
      </c>
      <c r="CB1180" s="120">
        <v>1</v>
      </c>
      <c r="CC1180" s="120">
        <v>0</v>
      </c>
    </row>
    <row r="1181" spans="78:81">
      <c r="BZ1181" t="s">
        <v>3467</v>
      </c>
      <c r="CB1181" s="120">
        <v>1</v>
      </c>
      <c r="CC1181" s="120">
        <v>0</v>
      </c>
    </row>
    <row r="1182" spans="78:81">
      <c r="BZ1182" t="s">
        <v>2459</v>
      </c>
      <c r="CB1182" s="120">
        <v>1</v>
      </c>
      <c r="CC1182" s="120">
        <v>0</v>
      </c>
    </row>
    <row r="1183" spans="78:81">
      <c r="BZ1183" t="s">
        <v>3468</v>
      </c>
      <c r="CB1183" s="120">
        <v>1</v>
      </c>
      <c r="CC1183" s="120">
        <v>0</v>
      </c>
    </row>
    <row r="1184" spans="78:81">
      <c r="BZ1184" t="s">
        <v>2460</v>
      </c>
      <c r="CB1184" s="120">
        <v>1</v>
      </c>
      <c r="CC1184" s="120">
        <v>0</v>
      </c>
    </row>
    <row r="1185" spans="78:81">
      <c r="BZ1185" t="s">
        <v>3469</v>
      </c>
      <c r="CB1185" s="120">
        <v>1</v>
      </c>
      <c r="CC1185" s="120">
        <v>0</v>
      </c>
    </row>
    <row r="1186" spans="78:81">
      <c r="BZ1186" t="s">
        <v>2461</v>
      </c>
      <c r="CB1186" s="120">
        <v>1</v>
      </c>
      <c r="CC1186" s="120">
        <v>0</v>
      </c>
    </row>
    <row r="1187" spans="78:81">
      <c r="BZ1187" t="s">
        <v>3470</v>
      </c>
      <c r="CB1187" s="120">
        <v>1</v>
      </c>
      <c r="CC1187" s="120">
        <v>0</v>
      </c>
    </row>
    <row r="1188" spans="78:81">
      <c r="BZ1188" t="s">
        <v>2462</v>
      </c>
      <c r="CB1188" s="120">
        <v>1</v>
      </c>
      <c r="CC1188" s="120">
        <v>0</v>
      </c>
    </row>
    <row r="1189" spans="78:81">
      <c r="BZ1189" t="s">
        <v>3471</v>
      </c>
      <c r="CB1189" s="120">
        <v>1</v>
      </c>
      <c r="CC1189" s="120">
        <v>0</v>
      </c>
    </row>
    <row r="1190" spans="78:81">
      <c r="BZ1190" t="s">
        <v>2463</v>
      </c>
      <c r="CB1190" s="120">
        <v>1</v>
      </c>
      <c r="CC1190" s="120">
        <v>0</v>
      </c>
    </row>
    <row r="1191" spans="78:81">
      <c r="BZ1191" t="s">
        <v>3472</v>
      </c>
      <c r="CB1191" s="120">
        <v>1</v>
      </c>
      <c r="CC1191" s="120">
        <v>0</v>
      </c>
    </row>
    <row r="1192" spans="78:81">
      <c r="BZ1192" t="s">
        <v>2464</v>
      </c>
      <c r="CB1192" s="120">
        <v>1</v>
      </c>
      <c r="CC1192" s="120">
        <v>0</v>
      </c>
    </row>
    <row r="1193" spans="78:81">
      <c r="BZ1193" t="s">
        <v>3473</v>
      </c>
      <c r="CB1193" s="120">
        <v>1</v>
      </c>
      <c r="CC1193" s="120">
        <v>0</v>
      </c>
    </row>
    <row r="1194" spans="78:81">
      <c r="BZ1194" t="s">
        <v>2465</v>
      </c>
      <c r="CB1194" s="120">
        <v>1</v>
      </c>
      <c r="CC1194" s="120">
        <v>0</v>
      </c>
    </row>
    <row r="1195" spans="78:81">
      <c r="BZ1195" t="s">
        <v>3474</v>
      </c>
      <c r="CB1195" s="120">
        <v>1</v>
      </c>
      <c r="CC1195" s="120">
        <v>0</v>
      </c>
    </row>
    <row r="1196" spans="78:81">
      <c r="BZ1196" t="s">
        <v>2466</v>
      </c>
      <c r="CB1196" s="120">
        <v>1</v>
      </c>
      <c r="CC1196" s="120">
        <v>0</v>
      </c>
    </row>
    <row r="1197" spans="78:81">
      <c r="BZ1197" t="s">
        <v>3475</v>
      </c>
      <c r="CB1197" s="120">
        <v>1</v>
      </c>
      <c r="CC1197" s="120">
        <v>0</v>
      </c>
    </row>
    <row r="1198" spans="78:81">
      <c r="BZ1198" t="s">
        <v>2467</v>
      </c>
      <c r="CB1198" s="120">
        <v>1</v>
      </c>
      <c r="CC1198" s="120">
        <v>0</v>
      </c>
    </row>
    <row r="1199" spans="78:81">
      <c r="BZ1199" t="s">
        <v>3476</v>
      </c>
      <c r="CB1199" s="120">
        <v>1</v>
      </c>
      <c r="CC1199" s="120">
        <v>0</v>
      </c>
    </row>
    <row r="1200" spans="78:81">
      <c r="BZ1200" t="s">
        <v>2468</v>
      </c>
      <c r="CB1200" s="120">
        <v>1</v>
      </c>
      <c r="CC1200" s="120">
        <v>0</v>
      </c>
    </row>
    <row r="1201" spans="78:81">
      <c r="BZ1201" t="s">
        <v>3477</v>
      </c>
      <c r="CB1201" s="120">
        <v>1</v>
      </c>
      <c r="CC1201" s="120">
        <v>0</v>
      </c>
    </row>
    <row r="1202" spans="78:81">
      <c r="BZ1202" t="s">
        <v>2469</v>
      </c>
      <c r="CB1202" s="120">
        <v>1</v>
      </c>
      <c r="CC1202" s="120">
        <v>0</v>
      </c>
    </row>
    <row r="1203" spans="78:81">
      <c r="BZ1203" t="s">
        <v>3478</v>
      </c>
      <c r="CB1203" s="120">
        <v>1</v>
      </c>
      <c r="CC1203" s="120">
        <v>0</v>
      </c>
    </row>
    <row r="1204" spans="78:81">
      <c r="BZ1204" t="s">
        <v>2470</v>
      </c>
      <c r="CB1204" s="120">
        <v>1</v>
      </c>
      <c r="CC1204" s="120">
        <v>0</v>
      </c>
    </row>
    <row r="1205" spans="78:81">
      <c r="BZ1205" t="s">
        <v>3479</v>
      </c>
      <c r="CB1205" s="120">
        <v>1</v>
      </c>
      <c r="CC1205" s="120">
        <v>0</v>
      </c>
    </row>
    <row r="1206" spans="78:81">
      <c r="BZ1206" t="s">
        <v>2471</v>
      </c>
      <c r="CB1206" s="120">
        <v>1</v>
      </c>
      <c r="CC1206" s="120">
        <v>0</v>
      </c>
    </row>
    <row r="1207" spans="78:81">
      <c r="BZ1207" t="s">
        <v>3480</v>
      </c>
      <c r="CB1207" s="120">
        <v>1</v>
      </c>
      <c r="CC1207" s="120">
        <v>0</v>
      </c>
    </row>
    <row r="1208" spans="78:81">
      <c r="BZ1208" t="s">
        <v>2472</v>
      </c>
      <c r="CB1208" s="120">
        <v>1</v>
      </c>
      <c r="CC1208" s="120">
        <v>0</v>
      </c>
    </row>
    <row r="1209" spans="78:81">
      <c r="BZ1209" t="s">
        <v>3481</v>
      </c>
      <c r="CB1209" s="120">
        <v>1</v>
      </c>
      <c r="CC1209" s="120">
        <v>0</v>
      </c>
    </row>
    <row r="1210" spans="78:81">
      <c r="BZ1210" t="s">
        <v>2473</v>
      </c>
      <c r="CB1210" s="120">
        <v>1</v>
      </c>
      <c r="CC1210" s="120">
        <v>0</v>
      </c>
    </row>
    <row r="1211" spans="78:81">
      <c r="BZ1211" t="s">
        <v>3482</v>
      </c>
      <c r="CB1211" s="120">
        <v>1</v>
      </c>
      <c r="CC1211" s="120">
        <v>0</v>
      </c>
    </row>
    <row r="1212" spans="78:81">
      <c r="BZ1212" t="s">
        <v>2474</v>
      </c>
      <c r="CB1212" s="120">
        <v>1</v>
      </c>
      <c r="CC1212" s="120">
        <v>0</v>
      </c>
    </row>
    <row r="1213" spans="78:81">
      <c r="BZ1213" t="s">
        <v>3483</v>
      </c>
      <c r="CB1213" s="120">
        <v>1</v>
      </c>
      <c r="CC1213" s="120">
        <v>0</v>
      </c>
    </row>
    <row r="1214" spans="78:81">
      <c r="BZ1214" t="s">
        <v>2475</v>
      </c>
      <c r="CB1214" s="120">
        <v>1</v>
      </c>
      <c r="CC1214" s="120">
        <v>0</v>
      </c>
    </row>
    <row r="1215" spans="78:81">
      <c r="BZ1215" t="s">
        <v>3484</v>
      </c>
      <c r="CB1215" s="120">
        <v>1</v>
      </c>
      <c r="CC1215" s="120">
        <v>0</v>
      </c>
    </row>
    <row r="1216" spans="78:81">
      <c r="BZ1216" t="s">
        <v>2476</v>
      </c>
      <c r="CB1216" s="120">
        <v>1</v>
      </c>
      <c r="CC1216" s="120">
        <v>0</v>
      </c>
    </row>
    <row r="1217" spans="78:81">
      <c r="BZ1217" t="s">
        <v>3485</v>
      </c>
      <c r="CB1217" s="120">
        <v>1</v>
      </c>
      <c r="CC1217" s="120">
        <v>0</v>
      </c>
    </row>
    <row r="1218" spans="78:81">
      <c r="BZ1218" t="s">
        <v>2477</v>
      </c>
      <c r="CB1218" s="120">
        <v>1</v>
      </c>
      <c r="CC1218" s="120">
        <v>0</v>
      </c>
    </row>
    <row r="1219" spans="78:81">
      <c r="BZ1219" t="s">
        <v>3486</v>
      </c>
      <c r="CB1219" s="120">
        <v>1</v>
      </c>
      <c r="CC1219" s="120">
        <v>0</v>
      </c>
    </row>
    <row r="1220" spans="78:81">
      <c r="BZ1220" t="s">
        <v>2478</v>
      </c>
      <c r="CB1220" s="120">
        <v>1</v>
      </c>
      <c r="CC1220" s="120">
        <v>0</v>
      </c>
    </row>
    <row r="1221" spans="78:81">
      <c r="BZ1221" t="s">
        <v>3487</v>
      </c>
      <c r="CB1221" s="120">
        <v>1</v>
      </c>
      <c r="CC1221" s="120">
        <v>0</v>
      </c>
    </row>
    <row r="1222" spans="78:81">
      <c r="BZ1222" t="s">
        <v>2479</v>
      </c>
      <c r="CB1222" s="120">
        <v>1</v>
      </c>
      <c r="CC1222" s="120">
        <v>0</v>
      </c>
    </row>
    <row r="1223" spans="78:81">
      <c r="BZ1223" t="s">
        <v>3488</v>
      </c>
      <c r="CB1223" s="120">
        <v>1</v>
      </c>
      <c r="CC1223" s="120">
        <v>0</v>
      </c>
    </row>
    <row r="1224" spans="78:81">
      <c r="BZ1224" t="s">
        <v>2480</v>
      </c>
      <c r="CB1224" s="120">
        <v>1</v>
      </c>
      <c r="CC1224" s="120">
        <v>0</v>
      </c>
    </row>
    <row r="1225" spans="78:81">
      <c r="BZ1225" t="s">
        <v>3489</v>
      </c>
      <c r="CB1225" s="120">
        <v>1</v>
      </c>
      <c r="CC1225" s="120">
        <v>0</v>
      </c>
    </row>
    <row r="1226" spans="78:81">
      <c r="BZ1226" t="s">
        <v>2481</v>
      </c>
      <c r="CB1226" s="120">
        <v>1</v>
      </c>
      <c r="CC1226" s="120">
        <v>0</v>
      </c>
    </row>
    <row r="1227" spans="78:81">
      <c r="BZ1227" t="s">
        <v>3490</v>
      </c>
      <c r="CB1227" s="120">
        <v>1</v>
      </c>
      <c r="CC1227" s="120">
        <v>0</v>
      </c>
    </row>
    <row r="1228" spans="78:81">
      <c r="BZ1228" t="s">
        <v>2482</v>
      </c>
      <c r="CB1228" s="120">
        <v>1</v>
      </c>
      <c r="CC1228" s="120">
        <v>0</v>
      </c>
    </row>
    <row r="1229" spans="78:81">
      <c r="BZ1229" t="s">
        <v>3491</v>
      </c>
      <c r="CB1229" s="120">
        <v>1</v>
      </c>
      <c r="CC1229" s="120">
        <v>0</v>
      </c>
    </row>
    <row r="1230" spans="78:81">
      <c r="BZ1230" t="s">
        <v>2483</v>
      </c>
      <c r="CB1230" s="120">
        <v>1</v>
      </c>
      <c r="CC1230" s="120">
        <v>0</v>
      </c>
    </row>
    <row r="1231" spans="78:81">
      <c r="BZ1231" t="s">
        <v>3492</v>
      </c>
      <c r="CB1231" s="120">
        <v>1</v>
      </c>
      <c r="CC1231" s="120">
        <v>0</v>
      </c>
    </row>
    <row r="1232" spans="78:81">
      <c r="BZ1232" t="s">
        <v>2484</v>
      </c>
      <c r="CB1232" s="120">
        <v>1</v>
      </c>
      <c r="CC1232" s="120">
        <v>0</v>
      </c>
    </row>
    <row r="1233" spans="78:81">
      <c r="BZ1233" t="s">
        <v>3493</v>
      </c>
      <c r="CB1233" s="120">
        <v>1</v>
      </c>
      <c r="CC1233" s="120">
        <v>0</v>
      </c>
    </row>
    <row r="1234" spans="78:81">
      <c r="BZ1234" t="s">
        <v>2485</v>
      </c>
      <c r="CB1234" s="120">
        <v>1</v>
      </c>
      <c r="CC1234" s="120">
        <v>0</v>
      </c>
    </row>
    <row r="1235" spans="78:81">
      <c r="BZ1235" t="s">
        <v>3494</v>
      </c>
      <c r="CB1235" s="120">
        <v>1</v>
      </c>
      <c r="CC1235" s="120">
        <v>0</v>
      </c>
    </row>
    <row r="1236" spans="78:81">
      <c r="BZ1236" t="s">
        <v>2486</v>
      </c>
      <c r="CB1236" s="120">
        <v>1</v>
      </c>
      <c r="CC1236" s="120">
        <v>0</v>
      </c>
    </row>
    <row r="1237" spans="78:81">
      <c r="BZ1237" t="s">
        <v>3495</v>
      </c>
      <c r="CB1237" s="120">
        <v>1</v>
      </c>
      <c r="CC1237" s="120">
        <v>0</v>
      </c>
    </row>
    <row r="1238" spans="78:81">
      <c r="BZ1238" t="s">
        <v>2487</v>
      </c>
      <c r="CB1238" s="120">
        <v>1</v>
      </c>
      <c r="CC1238" s="120">
        <v>0</v>
      </c>
    </row>
    <row r="1239" spans="78:81">
      <c r="BZ1239" t="s">
        <v>3496</v>
      </c>
      <c r="CB1239" s="120">
        <v>1</v>
      </c>
      <c r="CC1239" s="120">
        <v>0</v>
      </c>
    </row>
    <row r="1240" spans="78:81">
      <c r="BZ1240" t="s">
        <v>2488</v>
      </c>
      <c r="CB1240" s="120">
        <v>1</v>
      </c>
      <c r="CC1240" s="120">
        <v>0</v>
      </c>
    </row>
    <row r="1241" spans="78:81">
      <c r="BZ1241" t="s">
        <v>3497</v>
      </c>
      <c r="CB1241" s="120">
        <v>1</v>
      </c>
      <c r="CC1241" s="120">
        <v>0</v>
      </c>
    </row>
    <row r="1242" spans="78:81">
      <c r="BZ1242" t="s">
        <v>2489</v>
      </c>
      <c r="CB1242" s="120">
        <v>1</v>
      </c>
      <c r="CC1242" s="120">
        <v>0</v>
      </c>
    </row>
    <row r="1243" spans="78:81">
      <c r="BZ1243" t="s">
        <v>3498</v>
      </c>
      <c r="CB1243" s="120">
        <v>1</v>
      </c>
      <c r="CC1243" s="120">
        <v>0</v>
      </c>
    </row>
    <row r="1244" spans="78:81">
      <c r="BZ1244" t="s">
        <v>2490</v>
      </c>
      <c r="CB1244" s="120">
        <v>1</v>
      </c>
      <c r="CC1244" s="120">
        <v>0</v>
      </c>
    </row>
    <row r="1245" spans="78:81">
      <c r="BZ1245" t="s">
        <v>3499</v>
      </c>
      <c r="CB1245" s="120">
        <v>1</v>
      </c>
      <c r="CC1245" s="120">
        <v>0</v>
      </c>
    </row>
    <row r="1246" spans="78:81">
      <c r="BZ1246" t="s">
        <v>2491</v>
      </c>
      <c r="CB1246" s="120">
        <v>1</v>
      </c>
      <c r="CC1246" s="120">
        <v>0</v>
      </c>
    </row>
    <row r="1247" spans="78:81">
      <c r="BZ1247" t="s">
        <v>3500</v>
      </c>
      <c r="CB1247" s="120">
        <v>1</v>
      </c>
      <c r="CC1247" s="120">
        <v>0</v>
      </c>
    </row>
    <row r="1248" spans="78:81">
      <c r="BZ1248" t="s">
        <v>2492</v>
      </c>
      <c r="CB1248" s="120">
        <v>1</v>
      </c>
      <c r="CC1248" s="120">
        <v>0</v>
      </c>
    </row>
    <row r="1249" spans="78:81">
      <c r="BZ1249" t="s">
        <v>3501</v>
      </c>
      <c r="CB1249" s="120">
        <v>1</v>
      </c>
      <c r="CC1249" s="120">
        <v>0</v>
      </c>
    </row>
    <row r="1250" spans="78:81">
      <c r="BZ1250" t="s">
        <v>2493</v>
      </c>
      <c r="CB1250" s="120">
        <v>1</v>
      </c>
      <c r="CC1250" s="120">
        <v>0</v>
      </c>
    </row>
    <row r="1251" spans="78:81">
      <c r="BZ1251" t="s">
        <v>3502</v>
      </c>
      <c r="CB1251" s="120">
        <v>1</v>
      </c>
      <c r="CC1251" s="120">
        <v>0</v>
      </c>
    </row>
    <row r="1252" spans="78:81">
      <c r="BZ1252" t="s">
        <v>2494</v>
      </c>
      <c r="CB1252" s="120">
        <v>1</v>
      </c>
      <c r="CC1252" s="120">
        <v>0</v>
      </c>
    </row>
    <row r="1253" spans="78:81">
      <c r="BZ1253" t="s">
        <v>3503</v>
      </c>
      <c r="CB1253" s="120">
        <v>1</v>
      </c>
      <c r="CC1253" s="120">
        <v>0</v>
      </c>
    </row>
    <row r="1254" spans="78:81">
      <c r="BZ1254" t="s">
        <v>2495</v>
      </c>
      <c r="CB1254" s="120">
        <v>1</v>
      </c>
      <c r="CC1254" s="120">
        <v>0</v>
      </c>
    </row>
    <row r="1255" spans="78:81">
      <c r="BZ1255" t="s">
        <v>3504</v>
      </c>
      <c r="CB1255" s="120">
        <v>1</v>
      </c>
      <c r="CC1255" s="120">
        <v>0</v>
      </c>
    </row>
    <row r="1256" spans="78:81">
      <c r="BZ1256" t="s">
        <v>2496</v>
      </c>
      <c r="CB1256" s="120">
        <v>1</v>
      </c>
      <c r="CC1256" s="120">
        <v>0</v>
      </c>
    </row>
    <row r="1257" spans="78:81">
      <c r="BZ1257" t="s">
        <v>3505</v>
      </c>
      <c r="CB1257" s="120">
        <v>1</v>
      </c>
      <c r="CC1257" s="120">
        <v>0</v>
      </c>
    </row>
    <row r="1258" spans="78:81">
      <c r="BZ1258" t="s">
        <v>2497</v>
      </c>
      <c r="CB1258" s="120">
        <v>1</v>
      </c>
      <c r="CC1258" s="120">
        <v>0</v>
      </c>
    </row>
    <row r="1259" spans="78:81">
      <c r="BZ1259" t="s">
        <v>3506</v>
      </c>
      <c r="CB1259" s="120">
        <v>1</v>
      </c>
      <c r="CC1259" s="120">
        <v>0</v>
      </c>
    </row>
    <row r="1260" spans="78:81">
      <c r="BZ1260" t="s">
        <v>2498</v>
      </c>
      <c r="CB1260" s="120">
        <v>1</v>
      </c>
      <c r="CC1260" s="120">
        <v>0</v>
      </c>
    </row>
    <row r="1261" spans="78:81">
      <c r="BZ1261" t="s">
        <v>3507</v>
      </c>
      <c r="CB1261" s="120">
        <v>1</v>
      </c>
      <c r="CC1261" s="120">
        <v>0</v>
      </c>
    </row>
    <row r="1262" spans="78:81">
      <c r="BZ1262" t="s">
        <v>2499</v>
      </c>
      <c r="CB1262" s="120">
        <v>1</v>
      </c>
      <c r="CC1262" s="120">
        <v>0</v>
      </c>
    </row>
    <row r="1263" spans="78:81">
      <c r="BZ1263" t="s">
        <v>3508</v>
      </c>
      <c r="CB1263" s="120">
        <v>1</v>
      </c>
      <c r="CC1263" s="120">
        <v>0</v>
      </c>
    </row>
    <row r="1264" spans="78:81">
      <c r="BZ1264" t="s">
        <v>2500</v>
      </c>
      <c r="CB1264" s="120">
        <v>1</v>
      </c>
      <c r="CC1264" s="120">
        <v>0</v>
      </c>
    </row>
    <row r="1265" spans="78:81">
      <c r="BZ1265" t="s">
        <v>3509</v>
      </c>
      <c r="CB1265" s="120">
        <v>1</v>
      </c>
      <c r="CC1265" s="120">
        <v>0</v>
      </c>
    </row>
    <row r="1266" spans="78:81">
      <c r="BZ1266" t="s">
        <v>2501</v>
      </c>
      <c r="CB1266" s="120">
        <v>1</v>
      </c>
      <c r="CC1266" s="120">
        <v>0</v>
      </c>
    </row>
    <row r="1267" spans="78:81">
      <c r="BZ1267" t="s">
        <v>3510</v>
      </c>
      <c r="CB1267" s="120">
        <v>1</v>
      </c>
      <c r="CC1267" s="120">
        <v>0</v>
      </c>
    </row>
    <row r="1268" spans="78:81">
      <c r="BZ1268" t="s">
        <v>2502</v>
      </c>
      <c r="CB1268" s="120">
        <v>1</v>
      </c>
      <c r="CC1268" s="120">
        <v>0</v>
      </c>
    </row>
    <row r="1269" spans="78:81">
      <c r="BZ1269" t="s">
        <v>3511</v>
      </c>
      <c r="CB1269" s="120">
        <v>1</v>
      </c>
      <c r="CC1269" s="120">
        <v>0</v>
      </c>
    </row>
    <row r="1270" spans="78:81">
      <c r="BZ1270" t="s">
        <v>2503</v>
      </c>
      <c r="CB1270" s="120">
        <v>1</v>
      </c>
      <c r="CC1270" s="120">
        <v>0</v>
      </c>
    </row>
    <row r="1271" spans="78:81">
      <c r="BZ1271" t="s">
        <v>3512</v>
      </c>
      <c r="CB1271" s="120">
        <v>1</v>
      </c>
      <c r="CC1271" s="120">
        <v>0</v>
      </c>
    </row>
    <row r="1272" spans="78:81">
      <c r="BZ1272" t="s">
        <v>2504</v>
      </c>
      <c r="CB1272" s="120">
        <v>1</v>
      </c>
      <c r="CC1272" s="120">
        <v>0</v>
      </c>
    </row>
    <row r="1273" spans="78:81">
      <c r="BZ1273" t="s">
        <v>3513</v>
      </c>
      <c r="CB1273" s="120">
        <v>1</v>
      </c>
      <c r="CC1273" s="120">
        <v>0</v>
      </c>
    </row>
    <row r="1274" spans="78:81">
      <c r="BZ1274" t="s">
        <v>2505</v>
      </c>
      <c r="CB1274" s="120">
        <v>1</v>
      </c>
      <c r="CC1274" s="120">
        <v>0</v>
      </c>
    </row>
    <row r="1275" spans="78:81">
      <c r="BZ1275" t="s">
        <v>3514</v>
      </c>
      <c r="CB1275" s="120">
        <v>1</v>
      </c>
      <c r="CC1275" s="120">
        <v>0</v>
      </c>
    </row>
    <row r="1276" spans="78:81">
      <c r="BZ1276" t="s">
        <v>2506</v>
      </c>
      <c r="CB1276" s="120">
        <v>1</v>
      </c>
      <c r="CC1276" s="120">
        <v>0</v>
      </c>
    </row>
    <row r="1277" spans="78:81">
      <c r="BZ1277" t="s">
        <v>3515</v>
      </c>
      <c r="CB1277" s="120">
        <v>1</v>
      </c>
      <c r="CC1277" s="120">
        <v>0</v>
      </c>
    </row>
    <row r="1278" spans="78:81">
      <c r="BZ1278" t="s">
        <v>2507</v>
      </c>
      <c r="CB1278" s="120">
        <v>1</v>
      </c>
      <c r="CC1278" s="120">
        <v>0</v>
      </c>
    </row>
    <row r="1279" spans="78:81">
      <c r="BZ1279" t="s">
        <v>3516</v>
      </c>
      <c r="CB1279" s="120">
        <v>1</v>
      </c>
      <c r="CC1279" s="120">
        <v>0</v>
      </c>
    </row>
    <row r="1280" spans="78:81">
      <c r="BZ1280" t="s">
        <v>2508</v>
      </c>
      <c r="CB1280" s="120">
        <v>1</v>
      </c>
      <c r="CC1280" s="120">
        <v>0</v>
      </c>
    </row>
    <row r="1281" spans="78:81">
      <c r="BZ1281" t="s">
        <v>3517</v>
      </c>
      <c r="CB1281" s="120">
        <v>1</v>
      </c>
      <c r="CC1281" s="120">
        <v>0</v>
      </c>
    </row>
    <row r="1282" spans="78:81">
      <c r="BZ1282" t="s">
        <v>2509</v>
      </c>
      <c r="CB1282" s="120">
        <v>1</v>
      </c>
      <c r="CC1282" s="120">
        <v>0</v>
      </c>
    </row>
    <row r="1283" spans="78:81">
      <c r="BZ1283" t="s">
        <v>3518</v>
      </c>
      <c r="CB1283" s="120">
        <v>1</v>
      </c>
      <c r="CC1283" s="120">
        <v>0</v>
      </c>
    </row>
    <row r="1284" spans="78:81">
      <c r="BZ1284" t="s">
        <v>2510</v>
      </c>
      <c r="CB1284" s="120">
        <v>1</v>
      </c>
      <c r="CC1284" s="120">
        <v>0</v>
      </c>
    </row>
    <row r="1285" spans="78:81">
      <c r="BZ1285" t="s">
        <v>3519</v>
      </c>
      <c r="CB1285" s="120">
        <v>1</v>
      </c>
      <c r="CC1285" s="120">
        <v>0</v>
      </c>
    </row>
    <row r="1286" spans="78:81">
      <c r="BZ1286" t="s">
        <v>2511</v>
      </c>
      <c r="CB1286" s="120">
        <v>1</v>
      </c>
      <c r="CC1286" s="120">
        <v>0</v>
      </c>
    </row>
    <row r="1287" spans="78:81">
      <c r="BZ1287" t="s">
        <v>3520</v>
      </c>
      <c r="CB1287" s="120">
        <v>1</v>
      </c>
      <c r="CC1287" s="120">
        <v>0</v>
      </c>
    </row>
    <row r="1288" spans="78:81">
      <c r="BZ1288" t="s">
        <v>2512</v>
      </c>
      <c r="CB1288" s="120">
        <v>1</v>
      </c>
      <c r="CC1288" s="120">
        <v>0</v>
      </c>
    </row>
    <row r="1289" spans="78:81">
      <c r="BZ1289" t="s">
        <v>3521</v>
      </c>
      <c r="CB1289" s="120">
        <v>1</v>
      </c>
      <c r="CC1289" s="120">
        <v>0</v>
      </c>
    </row>
    <row r="1290" spans="78:81">
      <c r="BZ1290" t="s">
        <v>2513</v>
      </c>
      <c r="CB1290" s="120">
        <v>1</v>
      </c>
      <c r="CC1290" s="120">
        <v>0</v>
      </c>
    </row>
    <row r="1291" spans="78:81">
      <c r="BZ1291" t="s">
        <v>3522</v>
      </c>
      <c r="CB1291" s="120">
        <v>1</v>
      </c>
      <c r="CC1291" s="120">
        <v>0</v>
      </c>
    </row>
    <row r="1292" spans="78:81">
      <c r="BZ1292" t="s">
        <v>2514</v>
      </c>
      <c r="CB1292" s="120">
        <v>1</v>
      </c>
      <c r="CC1292" s="120">
        <v>0</v>
      </c>
    </row>
    <row r="1293" spans="78:81">
      <c r="BZ1293" t="s">
        <v>3523</v>
      </c>
      <c r="CB1293" s="120">
        <v>1</v>
      </c>
      <c r="CC1293" s="120">
        <v>0</v>
      </c>
    </row>
    <row r="1294" spans="78:81">
      <c r="BZ1294" t="s">
        <v>2515</v>
      </c>
      <c r="CB1294" s="120">
        <v>1</v>
      </c>
      <c r="CC1294" s="120">
        <v>0</v>
      </c>
    </row>
    <row r="1295" spans="78:81">
      <c r="BZ1295" t="s">
        <v>3524</v>
      </c>
      <c r="CB1295" s="120">
        <v>1</v>
      </c>
      <c r="CC1295" s="120">
        <v>0</v>
      </c>
    </row>
    <row r="1296" spans="78:81">
      <c r="BZ1296" t="s">
        <v>2516</v>
      </c>
      <c r="CB1296" s="120">
        <v>1</v>
      </c>
      <c r="CC1296" s="120">
        <v>0</v>
      </c>
    </row>
    <row r="1297" spans="78:81">
      <c r="BZ1297" t="s">
        <v>3525</v>
      </c>
      <c r="CB1297" s="120">
        <v>1</v>
      </c>
      <c r="CC1297" s="120">
        <v>0</v>
      </c>
    </row>
    <row r="1298" spans="78:81">
      <c r="BZ1298" t="s">
        <v>2517</v>
      </c>
      <c r="CB1298" s="120">
        <v>1</v>
      </c>
      <c r="CC1298" s="120">
        <v>0</v>
      </c>
    </row>
    <row r="1299" spans="78:81">
      <c r="BZ1299" t="s">
        <v>3526</v>
      </c>
      <c r="CB1299" s="120">
        <v>1</v>
      </c>
      <c r="CC1299" s="120">
        <v>0</v>
      </c>
    </row>
    <row r="1300" spans="78:81">
      <c r="BZ1300" t="s">
        <v>2518</v>
      </c>
      <c r="CB1300" s="120">
        <v>1</v>
      </c>
      <c r="CC1300" s="120">
        <v>0</v>
      </c>
    </row>
    <row r="1301" spans="78:81">
      <c r="BZ1301" t="s">
        <v>3527</v>
      </c>
      <c r="CB1301" s="120">
        <v>1</v>
      </c>
      <c r="CC1301" s="120">
        <v>0</v>
      </c>
    </row>
    <row r="1302" spans="78:81">
      <c r="BZ1302" t="s">
        <v>2519</v>
      </c>
      <c r="CB1302" s="120">
        <v>1</v>
      </c>
      <c r="CC1302" s="120">
        <v>0</v>
      </c>
    </row>
    <row r="1303" spans="78:81">
      <c r="BZ1303" t="s">
        <v>3528</v>
      </c>
      <c r="CB1303" s="120">
        <v>1</v>
      </c>
      <c r="CC1303" s="120">
        <v>0</v>
      </c>
    </row>
    <row r="1304" spans="78:81">
      <c r="BZ1304" t="s">
        <v>2520</v>
      </c>
      <c r="CB1304" s="120">
        <v>1</v>
      </c>
      <c r="CC1304" s="120">
        <v>0</v>
      </c>
    </row>
    <row r="1305" spans="78:81">
      <c r="BZ1305" t="s">
        <v>3529</v>
      </c>
      <c r="CB1305" s="120">
        <v>1</v>
      </c>
      <c r="CC1305" s="120">
        <v>0</v>
      </c>
    </row>
    <row r="1306" spans="78:81">
      <c r="BZ1306" t="s">
        <v>2521</v>
      </c>
      <c r="CB1306" s="120">
        <v>1</v>
      </c>
      <c r="CC1306" s="120">
        <v>0</v>
      </c>
    </row>
    <row r="1307" spans="78:81">
      <c r="BZ1307" t="s">
        <v>3530</v>
      </c>
      <c r="CB1307" s="120">
        <v>1</v>
      </c>
      <c r="CC1307" s="120">
        <v>0</v>
      </c>
    </row>
    <row r="1308" spans="78:81">
      <c r="BZ1308" t="s">
        <v>2522</v>
      </c>
      <c r="CB1308" s="120">
        <v>1</v>
      </c>
      <c r="CC1308" s="120">
        <v>0</v>
      </c>
    </row>
    <row r="1309" spans="78:81">
      <c r="BZ1309" t="s">
        <v>3531</v>
      </c>
      <c r="CB1309" s="120">
        <v>1</v>
      </c>
      <c r="CC1309" s="120">
        <v>0</v>
      </c>
    </row>
    <row r="1310" spans="78:81">
      <c r="BZ1310" t="s">
        <v>2523</v>
      </c>
      <c r="CB1310" s="120">
        <v>1</v>
      </c>
      <c r="CC1310" s="120">
        <v>0</v>
      </c>
    </row>
    <row r="1311" spans="78:81">
      <c r="BZ1311" t="s">
        <v>3532</v>
      </c>
      <c r="CB1311" s="120">
        <v>1</v>
      </c>
      <c r="CC1311" s="120">
        <v>0</v>
      </c>
    </row>
    <row r="1312" spans="78:81">
      <c r="BZ1312" t="s">
        <v>2524</v>
      </c>
      <c r="CB1312" s="120">
        <v>1</v>
      </c>
      <c r="CC1312" s="120">
        <v>0</v>
      </c>
    </row>
    <row r="1313" spans="78:81">
      <c r="BZ1313" t="s">
        <v>3533</v>
      </c>
      <c r="CB1313" s="120">
        <v>1</v>
      </c>
      <c r="CC1313" s="120">
        <v>0</v>
      </c>
    </row>
    <row r="1314" spans="78:81">
      <c r="BZ1314" t="s">
        <v>2525</v>
      </c>
      <c r="CB1314" s="120">
        <v>1</v>
      </c>
      <c r="CC1314" s="120">
        <v>0</v>
      </c>
    </row>
    <row r="1315" spans="78:81">
      <c r="BZ1315" t="s">
        <v>3534</v>
      </c>
      <c r="CB1315" s="120">
        <v>1</v>
      </c>
      <c r="CC1315" s="120">
        <v>0</v>
      </c>
    </row>
    <row r="1316" spans="78:81">
      <c r="BZ1316" t="s">
        <v>2526</v>
      </c>
      <c r="CB1316" s="120">
        <v>1</v>
      </c>
      <c r="CC1316" s="120">
        <v>0</v>
      </c>
    </row>
    <row r="1317" spans="78:81">
      <c r="BZ1317" t="s">
        <v>3535</v>
      </c>
      <c r="CB1317" s="120">
        <v>1</v>
      </c>
      <c r="CC1317" s="120">
        <v>0</v>
      </c>
    </row>
    <row r="1318" spans="78:81">
      <c r="BZ1318" t="s">
        <v>2527</v>
      </c>
      <c r="CB1318" s="120">
        <v>1</v>
      </c>
      <c r="CC1318" s="120">
        <v>0</v>
      </c>
    </row>
    <row r="1319" spans="78:81">
      <c r="BZ1319" t="s">
        <v>3536</v>
      </c>
      <c r="CB1319" s="120">
        <v>1</v>
      </c>
      <c r="CC1319" s="120">
        <v>0</v>
      </c>
    </row>
    <row r="1320" spans="78:81">
      <c r="BZ1320" t="s">
        <v>2528</v>
      </c>
      <c r="CB1320" s="120">
        <v>1</v>
      </c>
      <c r="CC1320" s="120">
        <v>0</v>
      </c>
    </row>
    <row r="1321" spans="78:81">
      <c r="BZ1321" t="s">
        <v>3537</v>
      </c>
      <c r="CB1321" s="120">
        <v>1</v>
      </c>
      <c r="CC1321" s="120">
        <v>0</v>
      </c>
    </row>
    <row r="1322" spans="78:81">
      <c r="BZ1322" t="s">
        <v>2529</v>
      </c>
      <c r="CB1322" s="120">
        <v>1</v>
      </c>
      <c r="CC1322" s="120">
        <v>0</v>
      </c>
    </row>
    <row r="1323" spans="78:81">
      <c r="BZ1323" t="s">
        <v>3538</v>
      </c>
      <c r="CB1323" s="120">
        <v>1</v>
      </c>
      <c r="CC1323" s="120">
        <v>0</v>
      </c>
    </row>
    <row r="1324" spans="78:81">
      <c r="BZ1324" t="s">
        <v>2530</v>
      </c>
      <c r="CB1324" s="120">
        <v>1</v>
      </c>
      <c r="CC1324" s="120">
        <v>0</v>
      </c>
    </row>
    <row r="1325" spans="78:81">
      <c r="BZ1325" t="s">
        <v>3539</v>
      </c>
      <c r="CB1325" s="120">
        <v>1</v>
      </c>
      <c r="CC1325" s="120">
        <v>0</v>
      </c>
    </row>
    <row r="1326" spans="78:81">
      <c r="BZ1326" t="s">
        <v>2531</v>
      </c>
      <c r="CB1326" s="120">
        <v>1</v>
      </c>
      <c r="CC1326" s="120">
        <v>0</v>
      </c>
    </row>
    <row r="1327" spans="78:81">
      <c r="BZ1327" t="s">
        <v>3540</v>
      </c>
      <c r="CB1327" s="120">
        <v>1</v>
      </c>
      <c r="CC1327" s="120">
        <v>0</v>
      </c>
    </row>
    <row r="1328" spans="78:81">
      <c r="BZ1328" t="s">
        <v>2532</v>
      </c>
      <c r="CB1328" s="120">
        <v>1</v>
      </c>
      <c r="CC1328" s="120">
        <v>0</v>
      </c>
    </row>
    <row r="1329" spans="78:81">
      <c r="BZ1329" t="s">
        <v>3541</v>
      </c>
      <c r="CB1329" s="120">
        <v>1</v>
      </c>
      <c r="CC1329" s="120">
        <v>0</v>
      </c>
    </row>
    <row r="1330" spans="78:81">
      <c r="BZ1330" t="s">
        <v>2533</v>
      </c>
      <c r="CB1330" s="120">
        <v>1</v>
      </c>
      <c r="CC1330" s="120">
        <v>0</v>
      </c>
    </row>
    <row r="1331" spans="78:81">
      <c r="BZ1331" t="s">
        <v>3542</v>
      </c>
      <c r="CB1331" s="120">
        <v>1</v>
      </c>
      <c r="CC1331" s="120">
        <v>0</v>
      </c>
    </row>
    <row r="1332" spans="78:81">
      <c r="BZ1332" t="s">
        <v>2534</v>
      </c>
      <c r="CB1332" s="120">
        <v>1</v>
      </c>
      <c r="CC1332" s="120">
        <v>0</v>
      </c>
    </row>
    <row r="1333" spans="78:81">
      <c r="BZ1333" t="s">
        <v>3543</v>
      </c>
      <c r="CB1333" s="120">
        <v>1</v>
      </c>
      <c r="CC1333" s="120">
        <v>0</v>
      </c>
    </row>
    <row r="1334" spans="78:81">
      <c r="BZ1334" t="s">
        <v>2535</v>
      </c>
      <c r="CB1334" s="120">
        <v>1</v>
      </c>
      <c r="CC1334" s="120">
        <v>0</v>
      </c>
    </row>
    <row r="1335" spans="78:81">
      <c r="BZ1335" t="s">
        <v>3544</v>
      </c>
      <c r="CB1335" s="120">
        <v>1</v>
      </c>
      <c r="CC1335" s="120">
        <v>0</v>
      </c>
    </row>
    <row r="1336" spans="78:81">
      <c r="BZ1336" t="s">
        <v>2536</v>
      </c>
      <c r="CB1336" s="120">
        <v>1</v>
      </c>
      <c r="CC1336" s="120">
        <v>0</v>
      </c>
    </row>
    <row r="1337" spans="78:81">
      <c r="BZ1337" t="s">
        <v>3545</v>
      </c>
      <c r="CB1337" s="120">
        <v>1</v>
      </c>
      <c r="CC1337" s="120">
        <v>0</v>
      </c>
    </row>
    <row r="1338" spans="78:81">
      <c r="BZ1338" t="s">
        <v>2537</v>
      </c>
      <c r="CB1338" s="120">
        <v>1</v>
      </c>
      <c r="CC1338" s="120">
        <v>0</v>
      </c>
    </row>
    <row r="1339" spans="78:81">
      <c r="BZ1339" t="s">
        <v>3546</v>
      </c>
      <c r="CB1339" s="120">
        <v>1</v>
      </c>
      <c r="CC1339" s="120">
        <v>0</v>
      </c>
    </row>
    <row r="1340" spans="78:81">
      <c r="BZ1340" t="s">
        <v>2538</v>
      </c>
      <c r="CB1340" s="120">
        <v>1</v>
      </c>
      <c r="CC1340" s="120">
        <v>0</v>
      </c>
    </row>
    <row r="1341" spans="78:81">
      <c r="BZ1341" t="s">
        <v>3547</v>
      </c>
      <c r="CB1341" s="120">
        <v>1</v>
      </c>
      <c r="CC1341" s="120">
        <v>0</v>
      </c>
    </row>
    <row r="1342" spans="78:81">
      <c r="BZ1342" t="s">
        <v>2539</v>
      </c>
      <c r="CB1342" s="120">
        <v>1</v>
      </c>
      <c r="CC1342" s="120">
        <v>0</v>
      </c>
    </row>
    <row r="1343" spans="78:81">
      <c r="BZ1343" t="s">
        <v>3548</v>
      </c>
      <c r="CB1343" s="120">
        <v>1</v>
      </c>
      <c r="CC1343" s="120">
        <v>0</v>
      </c>
    </row>
    <row r="1344" spans="78:81">
      <c r="BZ1344" t="s">
        <v>2540</v>
      </c>
      <c r="CB1344" s="120">
        <v>1</v>
      </c>
      <c r="CC1344" s="120">
        <v>0</v>
      </c>
    </row>
    <row r="1345" spans="78:81">
      <c r="BZ1345" t="s">
        <v>3549</v>
      </c>
      <c r="CB1345" s="120">
        <v>1</v>
      </c>
      <c r="CC1345" s="120">
        <v>0</v>
      </c>
    </row>
    <row r="1346" spans="78:81">
      <c r="BZ1346" t="s">
        <v>2541</v>
      </c>
      <c r="CB1346" s="120">
        <v>1</v>
      </c>
      <c r="CC1346" s="120">
        <v>0</v>
      </c>
    </row>
    <row r="1347" spans="78:81">
      <c r="BZ1347" t="s">
        <v>3550</v>
      </c>
      <c r="CB1347" s="120">
        <v>1</v>
      </c>
      <c r="CC1347" s="120">
        <v>0</v>
      </c>
    </row>
    <row r="1348" spans="78:81">
      <c r="BZ1348" t="s">
        <v>2542</v>
      </c>
      <c r="CB1348" s="120">
        <v>1</v>
      </c>
      <c r="CC1348" s="120">
        <v>0</v>
      </c>
    </row>
    <row r="1349" spans="78:81">
      <c r="BZ1349" t="s">
        <v>3551</v>
      </c>
      <c r="CB1349" s="120">
        <v>1</v>
      </c>
      <c r="CC1349" s="120">
        <v>0</v>
      </c>
    </row>
    <row r="1350" spans="78:81">
      <c r="BZ1350" t="s">
        <v>2543</v>
      </c>
      <c r="CB1350" s="120">
        <v>1</v>
      </c>
      <c r="CC1350" s="120">
        <v>0</v>
      </c>
    </row>
    <row r="1351" spans="78:81">
      <c r="BZ1351" t="s">
        <v>3552</v>
      </c>
      <c r="CB1351" s="120">
        <v>1</v>
      </c>
      <c r="CC1351" s="120">
        <v>0</v>
      </c>
    </row>
    <row r="1352" spans="78:81">
      <c r="BZ1352" t="s">
        <v>2544</v>
      </c>
      <c r="CB1352" s="120">
        <v>1</v>
      </c>
      <c r="CC1352" s="120">
        <v>0</v>
      </c>
    </row>
    <row r="1353" spans="78:81">
      <c r="BZ1353" t="s">
        <v>3553</v>
      </c>
      <c r="CB1353" s="120">
        <v>1</v>
      </c>
      <c r="CC1353" s="120">
        <v>0</v>
      </c>
    </row>
    <row r="1354" spans="78:81">
      <c r="BZ1354" t="s">
        <v>2545</v>
      </c>
      <c r="CB1354" s="120">
        <v>1</v>
      </c>
      <c r="CC1354" s="120">
        <v>0</v>
      </c>
    </row>
    <row r="1355" spans="78:81">
      <c r="BZ1355" t="s">
        <v>3554</v>
      </c>
      <c r="CB1355" s="120">
        <v>1</v>
      </c>
      <c r="CC1355" s="120">
        <v>0</v>
      </c>
    </row>
    <row r="1356" spans="78:81">
      <c r="BZ1356" t="s">
        <v>2546</v>
      </c>
      <c r="CB1356" s="120">
        <v>1</v>
      </c>
      <c r="CC1356" s="120">
        <v>0</v>
      </c>
    </row>
    <row r="1357" spans="78:81">
      <c r="BZ1357" t="s">
        <v>3555</v>
      </c>
      <c r="CB1357" s="120">
        <v>1</v>
      </c>
      <c r="CC1357" s="120">
        <v>0</v>
      </c>
    </row>
    <row r="1358" spans="78:81">
      <c r="BZ1358" t="s">
        <v>2547</v>
      </c>
      <c r="CB1358" s="120">
        <v>1</v>
      </c>
      <c r="CC1358" s="120">
        <v>0</v>
      </c>
    </row>
    <row r="1359" spans="78:81">
      <c r="BZ1359" t="s">
        <v>3556</v>
      </c>
      <c r="CB1359" s="120">
        <v>1</v>
      </c>
      <c r="CC1359" s="120">
        <v>0</v>
      </c>
    </row>
    <row r="1360" spans="78:81">
      <c r="BZ1360" t="s">
        <v>2548</v>
      </c>
      <c r="CB1360" s="120">
        <v>1</v>
      </c>
      <c r="CC1360" s="120">
        <v>0</v>
      </c>
    </row>
    <row r="1361" spans="78:81">
      <c r="BZ1361" t="s">
        <v>3557</v>
      </c>
      <c r="CB1361" s="120">
        <v>1</v>
      </c>
      <c r="CC1361" s="120">
        <v>0</v>
      </c>
    </row>
    <row r="1362" spans="78:81">
      <c r="BZ1362" t="s">
        <v>2549</v>
      </c>
      <c r="CB1362" s="120">
        <v>1</v>
      </c>
      <c r="CC1362" s="120">
        <v>0</v>
      </c>
    </row>
    <row r="1363" spans="78:81">
      <c r="BZ1363" t="s">
        <v>3558</v>
      </c>
      <c r="CB1363" s="120">
        <v>1</v>
      </c>
      <c r="CC1363" s="120">
        <v>0</v>
      </c>
    </row>
    <row r="1364" spans="78:81">
      <c r="BZ1364" t="s">
        <v>2550</v>
      </c>
      <c r="CB1364" s="120">
        <v>1</v>
      </c>
      <c r="CC1364" s="120">
        <v>0</v>
      </c>
    </row>
    <row r="1365" spans="78:81">
      <c r="BZ1365" t="s">
        <v>3559</v>
      </c>
      <c r="CB1365" s="120">
        <v>1</v>
      </c>
      <c r="CC1365" s="120">
        <v>0</v>
      </c>
    </row>
    <row r="1366" spans="78:81">
      <c r="BZ1366" t="s">
        <v>2551</v>
      </c>
      <c r="CB1366" s="120">
        <v>1</v>
      </c>
      <c r="CC1366" s="120">
        <v>0</v>
      </c>
    </row>
    <row r="1367" spans="78:81">
      <c r="BZ1367" t="s">
        <v>3560</v>
      </c>
      <c r="CB1367" s="120">
        <v>1</v>
      </c>
      <c r="CC1367" s="120">
        <v>0</v>
      </c>
    </row>
    <row r="1368" spans="78:81">
      <c r="BZ1368" t="s">
        <v>2552</v>
      </c>
      <c r="CB1368" s="120">
        <v>1</v>
      </c>
      <c r="CC1368" s="120">
        <v>0</v>
      </c>
    </row>
    <row r="1369" spans="78:81">
      <c r="BZ1369" t="s">
        <v>3561</v>
      </c>
      <c r="CB1369" s="120">
        <v>1</v>
      </c>
      <c r="CC1369" s="120">
        <v>0</v>
      </c>
    </row>
    <row r="1370" spans="78:81">
      <c r="BZ1370" t="s">
        <v>2553</v>
      </c>
      <c r="CB1370" s="120">
        <v>1</v>
      </c>
      <c r="CC1370" s="120">
        <v>0</v>
      </c>
    </row>
    <row r="1371" spans="78:81">
      <c r="BZ1371" t="s">
        <v>3562</v>
      </c>
      <c r="CB1371" s="120">
        <v>1</v>
      </c>
      <c r="CC1371" s="120">
        <v>0</v>
      </c>
    </row>
    <row r="1372" spans="78:81">
      <c r="BZ1372" t="s">
        <v>2554</v>
      </c>
      <c r="CB1372" s="120">
        <v>1</v>
      </c>
      <c r="CC1372" s="120">
        <v>0</v>
      </c>
    </row>
    <row r="1373" spans="78:81">
      <c r="BZ1373" t="s">
        <v>3563</v>
      </c>
      <c r="CB1373" s="120">
        <v>1</v>
      </c>
      <c r="CC1373" s="120">
        <v>0</v>
      </c>
    </row>
    <row r="1374" spans="78:81">
      <c r="BZ1374" t="s">
        <v>2555</v>
      </c>
      <c r="CB1374" s="120">
        <v>1</v>
      </c>
      <c r="CC1374" s="120">
        <v>0</v>
      </c>
    </row>
    <row r="1375" spans="78:81">
      <c r="BZ1375" t="s">
        <v>3564</v>
      </c>
      <c r="CB1375" s="120">
        <v>1</v>
      </c>
      <c r="CC1375" s="120">
        <v>0</v>
      </c>
    </row>
    <row r="1376" spans="78:81">
      <c r="BZ1376" t="s">
        <v>2556</v>
      </c>
      <c r="CB1376" s="120">
        <v>1</v>
      </c>
      <c r="CC1376" s="120">
        <v>0</v>
      </c>
    </row>
    <row r="1377" spans="78:81">
      <c r="BZ1377" t="s">
        <v>3565</v>
      </c>
      <c r="CB1377" s="120">
        <v>1</v>
      </c>
      <c r="CC1377" s="120">
        <v>0</v>
      </c>
    </row>
    <row r="1378" spans="78:81">
      <c r="BZ1378" t="s">
        <v>2557</v>
      </c>
      <c r="CB1378" s="120">
        <v>1</v>
      </c>
      <c r="CC1378" s="120">
        <v>0</v>
      </c>
    </row>
    <row r="1379" spans="78:81">
      <c r="BZ1379" t="s">
        <v>3566</v>
      </c>
      <c r="CB1379" s="120">
        <v>1</v>
      </c>
      <c r="CC1379" s="120">
        <v>0</v>
      </c>
    </row>
    <row r="1380" spans="78:81">
      <c r="BZ1380" t="s">
        <v>2558</v>
      </c>
      <c r="CB1380" s="120">
        <v>1</v>
      </c>
      <c r="CC1380" s="120">
        <v>0</v>
      </c>
    </row>
    <row r="1381" spans="78:81">
      <c r="BZ1381" t="s">
        <v>3567</v>
      </c>
      <c r="CB1381" s="120">
        <v>1</v>
      </c>
      <c r="CC1381" s="120">
        <v>0</v>
      </c>
    </row>
    <row r="1382" spans="78:81">
      <c r="BZ1382" t="s">
        <v>2559</v>
      </c>
      <c r="CB1382" s="120">
        <v>1</v>
      </c>
      <c r="CC1382" s="120">
        <v>0</v>
      </c>
    </row>
    <row r="1383" spans="78:81">
      <c r="BZ1383" t="s">
        <v>3568</v>
      </c>
      <c r="CB1383" s="120">
        <v>1</v>
      </c>
      <c r="CC1383" s="120">
        <v>0</v>
      </c>
    </row>
    <row r="1384" spans="78:81">
      <c r="BZ1384" t="s">
        <v>2560</v>
      </c>
      <c r="CB1384" s="120">
        <v>1</v>
      </c>
      <c r="CC1384" s="120">
        <v>0</v>
      </c>
    </row>
    <row r="1385" spans="78:81">
      <c r="BZ1385" t="s">
        <v>3569</v>
      </c>
      <c r="CB1385" s="120">
        <v>1</v>
      </c>
      <c r="CC1385" s="120">
        <v>0</v>
      </c>
    </row>
    <row r="1386" spans="78:81">
      <c r="BZ1386" t="s">
        <v>2561</v>
      </c>
      <c r="CB1386" s="120">
        <v>1</v>
      </c>
      <c r="CC1386" s="120">
        <v>0</v>
      </c>
    </row>
    <row r="1387" spans="78:81">
      <c r="BZ1387" t="s">
        <v>3570</v>
      </c>
      <c r="CB1387" s="120">
        <v>1</v>
      </c>
      <c r="CC1387" s="120">
        <v>0</v>
      </c>
    </row>
    <row r="1388" spans="78:81">
      <c r="BZ1388" t="s">
        <v>2562</v>
      </c>
      <c r="CB1388" s="120">
        <v>1</v>
      </c>
      <c r="CC1388" s="120">
        <v>0</v>
      </c>
    </row>
    <row r="1389" spans="78:81">
      <c r="BZ1389" t="s">
        <v>3571</v>
      </c>
      <c r="CB1389" s="120">
        <v>1</v>
      </c>
      <c r="CC1389" s="120">
        <v>0</v>
      </c>
    </row>
    <row r="1390" spans="78:81">
      <c r="BZ1390" t="s">
        <v>2563</v>
      </c>
      <c r="CB1390" s="120">
        <v>1</v>
      </c>
      <c r="CC1390" s="120">
        <v>0</v>
      </c>
    </row>
    <row r="1391" spans="78:81">
      <c r="BZ1391" t="s">
        <v>3572</v>
      </c>
      <c r="CB1391" s="120">
        <v>1</v>
      </c>
      <c r="CC1391" s="120">
        <v>0</v>
      </c>
    </row>
    <row r="1392" spans="78:81">
      <c r="BZ1392" t="s">
        <v>2564</v>
      </c>
      <c r="CB1392" s="120">
        <v>1</v>
      </c>
      <c r="CC1392" s="120">
        <v>0</v>
      </c>
    </row>
    <row r="1393" spans="78:81">
      <c r="BZ1393" t="s">
        <v>3573</v>
      </c>
      <c r="CB1393" s="120">
        <v>1</v>
      </c>
      <c r="CC1393" s="120">
        <v>0</v>
      </c>
    </row>
    <row r="1394" spans="78:81">
      <c r="BZ1394" t="s">
        <v>2565</v>
      </c>
      <c r="CB1394" s="120">
        <v>1</v>
      </c>
      <c r="CC1394" s="120">
        <v>0</v>
      </c>
    </row>
    <row r="1395" spans="78:81">
      <c r="BZ1395" t="s">
        <v>3574</v>
      </c>
      <c r="CB1395" s="120">
        <v>1</v>
      </c>
      <c r="CC1395" s="120">
        <v>0</v>
      </c>
    </row>
    <row r="1396" spans="78:81">
      <c r="BZ1396" t="s">
        <v>2566</v>
      </c>
      <c r="CB1396" s="120">
        <v>1</v>
      </c>
      <c r="CC1396" s="120">
        <v>0</v>
      </c>
    </row>
    <row r="1397" spans="78:81">
      <c r="BZ1397" t="s">
        <v>3575</v>
      </c>
      <c r="CB1397" s="120">
        <v>1</v>
      </c>
      <c r="CC1397" s="120">
        <v>0</v>
      </c>
    </row>
    <row r="1398" spans="78:81">
      <c r="BZ1398" t="s">
        <v>2567</v>
      </c>
      <c r="CB1398" s="120">
        <v>1</v>
      </c>
      <c r="CC1398" s="120">
        <v>0</v>
      </c>
    </row>
    <row r="1399" spans="78:81">
      <c r="BZ1399" t="s">
        <v>3576</v>
      </c>
      <c r="CB1399" s="120">
        <v>1</v>
      </c>
      <c r="CC1399" s="120">
        <v>0</v>
      </c>
    </row>
    <row r="1400" spans="78:81">
      <c r="BZ1400" t="s">
        <v>2568</v>
      </c>
      <c r="CB1400" s="120">
        <v>1</v>
      </c>
      <c r="CC1400" s="120">
        <v>0</v>
      </c>
    </row>
    <row r="1401" spans="78:81">
      <c r="BZ1401" t="s">
        <v>3577</v>
      </c>
      <c r="CB1401" s="120">
        <v>1</v>
      </c>
      <c r="CC1401" s="120">
        <v>0</v>
      </c>
    </row>
    <row r="1402" spans="78:81">
      <c r="BZ1402" t="s">
        <v>2569</v>
      </c>
      <c r="CB1402" s="120">
        <v>1</v>
      </c>
      <c r="CC1402" s="120">
        <v>0</v>
      </c>
    </row>
    <row r="1403" spans="78:81">
      <c r="BZ1403" t="s">
        <v>3578</v>
      </c>
      <c r="CB1403" s="120">
        <v>1</v>
      </c>
      <c r="CC1403" s="120">
        <v>0</v>
      </c>
    </row>
    <row r="1404" spans="78:81">
      <c r="BZ1404" t="s">
        <v>2570</v>
      </c>
      <c r="CB1404" s="120">
        <v>1</v>
      </c>
      <c r="CC1404" s="120">
        <v>0</v>
      </c>
    </row>
    <row r="1405" spans="78:81">
      <c r="BZ1405" t="s">
        <v>3579</v>
      </c>
      <c r="CB1405" s="120">
        <v>1</v>
      </c>
      <c r="CC1405" s="120">
        <v>0</v>
      </c>
    </row>
    <row r="1406" spans="78:81">
      <c r="BZ1406" t="s">
        <v>2571</v>
      </c>
      <c r="CB1406" s="120">
        <v>1</v>
      </c>
      <c r="CC1406" s="120">
        <v>0</v>
      </c>
    </row>
    <row r="1407" spans="78:81">
      <c r="BZ1407" t="s">
        <v>3580</v>
      </c>
      <c r="CB1407" s="120">
        <v>1</v>
      </c>
      <c r="CC1407" s="120">
        <v>0</v>
      </c>
    </row>
    <row r="1408" spans="78:81">
      <c r="BZ1408" t="s">
        <v>2572</v>
      </c>
      <c r="CB1408" s="120">
        <v>1</v>
      </c>
      <c r="CC1408" s="120">
        <v>0</v>
      </c>
    </row>
    <row r="1409" spans="78:81">
      <c r="BZ1409" t="s">
        <v>3581</v>
      </c>
      <c r="CB1409" s="120">
        <v>1</v>
      </c>
      <c r="CC1409" s="120">
        <v>0</v>
      </c>
    </row>
    <row r="1410" spans="78:81">
      <c r="BZ1410" t="s">
        <v>2573</v>
      </c>
      <c r="CB1410" s="120">
        <v>1</v>
      </c>
      <c r="CC1410" s="120">
        <v>0</v>
      </c>
    </row>
    <row r="1411" spans="78:81">
      <c r="BZ1411" t="s">
        <v>3582</v>
      </c>
      <c r="CB1411" s="120">
        <v>1</v>
      </c>
      <c r="CC1411" s="120">
        <v>0</v>
      </c>
    </row>
    <row r="1412" spans="78:81">
      <c r="BZ1412" t="s">
        <v>2574</v>
      </c>
      <c r="CB1412" s="120">
        <v>1</v>
      </c>
      <c r="CC1412" s="120">
        <v>0</v>
      </c>
    </row>
    <row r="1413" spans="78:81">
      <c r="BZ1413" t="s">
        <v>3583</v>
      </c>
      <c r="CB1413" s="120">
        <v>1</v>
      </c>
      <c r="CC1413" s="120">
        <v>0</v>
      </c>
    </row>
    <row r="1414" spans="78:81">
      <c r="BZ1414" t="s">
        <v>2575</v>
      </c>
      <c r="CB1414" s="120">
        <v>1</v>
      </c>
      <c r="CC1414" s="120">
        <v>0</v>
      </c>
    </row>
    <row r="1415" spans="78:81">
      <c r="BZ1415" t="s">
        <v>3584</v>
      </c>
      <c r="CB1415" s="120">
        <v>1</v>
      </c>
      <c r="CC1415" s="120">
        <v>0</v>
      </c>
    </row>
    <row r="1416" spans="78:81">
      <c r="BZ1416" t="s">
        <v>2576</v>
      </c>
      <c r="CB1416" s="120">
        <v>1</v>
      </c>
      <c r="CC1416" s="120">
        <v>0</v>
      </c>
    </row>
    <row r="1417" spans="78:81">
      <c r="BZ1417" t="s">
        <v>3585</v>
      </c>
      <c r="CB1417" s="120">
        <v>1</v>
      </c>
      <c r="CC1417" s="120">
        <v>0</v>
      </c>
    </row>
    <row r="1418" spans="78:81">
      <c r="BZ1418" t="s">
        <v>2577</v>
      </c>
      <c r="CB1418" s="120">
        <v>1</v>
      </c>
      <c r="CC1418" s="120">
        <v>0</v>
      </c>
    </row>
    <row r="1419" spans="78:81">
      <c r="BZ1419" t="s">
        <v>3586</v>
      </c>
      <c r="CB1419" s="120">
        <v>1</v>
      </c>
      <c r="CC1419" s="120">
        <v>0</v>
      </c>
    </row>
    <row r="1420" spans="78:81">
      <c r="BZ1420" t="s">
        <v>2578</v>
      </c>
      <c r="CB1420" s="120">
        <v>1</v>
      </c>
      <c r="CC1420" s="120">
        <v>0</v>
      </c>
    </row>
    <row r="1421" spans="78:81">
      <c r="BZ1421" t="s">
        <v>3587</v>
      </c>
      <c r="CB1421" s="120">
        <v>1</v>
      </c>
      <c r="CC1421" s="120">
        <v>0</v>
      </c>
    </row>
    <row r="1422" spans="78:81">
      <c r="BZ1422" t="s">
        <v>2579</v>
      </c>
      <c r="CB1422" s="120">
        <v>1</v>
      </c>
      <c r="CC1422" s="120">
        <v>0</v>
      </c>
    </row>
    <row r="1423" spans="78:81">
      <c r="BZ1423" t="s">
        <v>3588</v>
      </c>
      <c r="CB1423" s="120">
        <v>1</v>
      </c>
      <c r="CC1423" s="120">
        <v>0</v>
      </c>
    </row>
    <row r="1424" spans="78:81">
      <c r="BZ1424" t="s">
        <v>2580</v>
      </c>
      <c r="CB1424" s="120">
        <v>1</v>
      </c>
      <c r="CC1424" s="120">
        <v>0</v>
      </c>
    </row>
    <row r="1425" spans="78:81">
      <c r="BZ1425" t="s">
        <v>3589</v>
      </c>
      <c r="CB1425" s="120">
        <v>1</v>
      </c>
      <c r="CC1425" s="120">
        <v>0</v>
      </c>
    </row>
    <row r="1426" spans="78:81">
      <c r="BZ1426" t="s">
        <v>2581</v>
      </c>
      <c r="CB1426" s="120">
        <v>1</v>
      </c>
      <c r="CC1426" s="120">
        <v>0</v>
      </c>
    </row>
    <row r="1427" spans="78:81">
      <c r="BZ1427" t="s">
        <v>3590</v>
      </c>
      <c r="CB1427" s="120">
        <v>1</v>
      </c>
      <c r="CC1427" s="120">
        <v>0</v>
      </c>
    </row>
    <row r="1428" spans="78:81">
      <c r="BZ1428" t="s">
        <v>2582</v>
      </c>
      <c r="CB1428" s="120">
        <v>1</v>
      </c>
      <c r="CC1428" s="120">
        <v>0</v>
      </c>
    </row>
    <row r="1429" spans="78:81">
      <c r="BZ1429" t="s">
        <v>3591</v>
      </c>
      <c r="CB1429" s="120">
        <v>1</v>
      </c>
      <c r="CC1429" s="120">
        <v>0</v>
      </c>
    </row>
    <row r="1430" spans="78:81">
      <c r="BZ1430" t="s">
        <v>2583</v>
      </c>
      <c r="CB1430" s="120">
        <v>1</v>
      </c>
      <c r="CC1430" s="120">
        <v>0</v>
      </c>
    </row>
    <row r="1431" spans="78:81">
      <c r="BZ1431" t="s">
        <v>3592</v>
      </c>
      <c r="CB1431" s="120">
        <v>1</v>
      </c>
      <c r="CC1431" s="120">
        <v>0</v>
      </c>
    </row>
    <row r="1432" spans="78:81">
      <c r="BZ1432" t="s">
        <v>2584</v>
      </c>
      <c r="CB1432" s="120">
        <v>1</v>
      </c>
      <c r="CC1432" s="120">
        <v>0</v>
      </c>
    </row>
    <row r="1433" spans="78:81">
      <c r="BZ1433" t="s">
        <v>3593</v>
      </c>
      <c r="CB1433" s="120">
        <v>1</v>
      </c>
      <c r="CC1433" s="120">
        <v>0</v>
      </c>
    </row>
    <row r="1434" spans="78:81">
      <c r="BZ1434" t="s">
        <v>2585</v>
      </c>
      <c r="CB1434" s="120">
        <v>1</v>
      </c>
      <c r="CC1434" s="120">
        <v>0</v>
      </c>
    </row>
    <row r="1435" spans="78:81">
      <c r="BZ1435" t="s">
        <v>3594</v>
      </c>
      <c r="CB1435" s="120">
        <v>1</v>
      </c>
      <c r="CC1435" s="120">
        <v>0</v>
      </c>
    </row>
    <row r="1436" spans="78:81">
      <c r="BZ1436" t="s">
        <v>2586</v>
      </c>
      <c r="CB1436" s="120">
        <v>1</v>
      </c>
      <c r="CC1436" s="120">
        <v>0</v>
      </c>
    </row>
    <row r="1437" spans="78:81">
      <c r="BZ1437" t="s">
        <v>3595</v>
      </c>
      <c r="CB1437" s="120">
        <v>1</v>
      </c>
      <c r="CC1437" s="120">
        <v>0</v>
      </c>
    </row>
    <row r="1438" spans="78:81">
      <c r="BZ1438" t="s">
        <v>2587</v>
      </c>
      <c r="CB1438" s="120">
        <v>1</v>
      </c>
      <c r="CC1438" s="120">
        <v>0</v>
      </c>
    </row>
    <row r="1439" spans="78:81">
      <c r="BZ1439" t="s">
        <v>3596</v>
      </c>
      <c r="CB1439" s="120">
        <v>1</v>
      </c>
      <c r="CC1439" s="120">
        <v>0</v>
      </c>
    </row>
    <row r="1440" spans="78:81">
      <c r="BZ1440" t="s">
        <v>2588</v>
      </c>
      <c r="CB1440" s="120">
        <v>1</v>
      </c>
      <c r="CC1440" s="120">
        <v>0</v>
      </c>
    </row>
    <row r="1441" spans="78:81">
      <c r="BZ1441" t="s">
        <v>3597</v>
      </c>
      <c r="CB1441" s="120">
        <v>1</v>
      </c>
      <c r="CC1441" s="120">
        <v>0</v>
      </c>
    </row>
    <row r="1442" spans="78:81">
      <c r="BZ1442" t="s">
        <v>2589</v>
      </c>
      <c r="CB1442" s="120">
        <v>1</v>
      </c>
      <c r="CC1442" s="120">
        <v>0</v>
      </c>
    </row>
    <row r="1443" spans="78:81">
      <c r="BZ1443" t="s">
        <v>3598</v>
      </c>
      <c r="CB1443" s="120">
        <v>1</v>
      </c>
      <c r="CC1443" s="120">
        <v>0</v>
      </c>
    </row>
    <row r="1444" spans="78:81">
      <c r="BZ1444" t="s">
        <v>2590</v>
      </c>
      <c r="CB1444" s="120">
        <v>1</v>
      </c>
      <c r="CC1444" s="120">
        <v>0</v>
      </c>
    </row>
    <row r="1445" spans="78:81">
      <c r="BZ1445" t="s">
        <v>3599</v>
      </c>
      <c r="CB1445" s="120">
        <v>1</v>
      </c>
      <c r="CC1445" s="120">
        <v>0</v>
      </c>
    </row>
    <row r="1446" spans="78:81">
      <c r="BZ1446" t="s">
        <v>2591</v>
      </c>
      <c r="CB1446" s="120">
        <v>1</v>
      </c>
      <c r="CC1446" s="120">
        <v>0</v>
      </c>
    </row>
    <row r="1447" spans="78:81">
      <c r="BZ1447" t="s">
        <v>3600</v>
      </c>
      <c r="CB1447" s="120">
        <v>1</v>
      </c>
      <c r="CC1447" s="120">
        <v>0</v>
      </c>
    </row>
    <row r="1448" spans="78:81">
      <c r="BZ1448" t="s">
        <v>2592</v>
      </c>
      <c r="CB1448" s="120">
        <v>1</v>
      </c>
      <c r="CC1448" s="120">
        <v>0</v>
      </c>
    </row>
    <row r="1449" spans="78:81">
      <c r="BZ1449" t="s">
        <v>3601</v>
      </c>
      <c r="CB1449" s="120">
        <v>1</v>
      </c>
      <c r="CC1449" s="120">
        <v>0</v>
      </c>
    </row>
    <row r="1450" spans="78:81">
      <c r="BZ1450" t="s">
        <v>2593</v>
      </c>
      <c r="CB1450" s="120">
        <v>1</v>
      </c>
      <c r="CC1450" s="120">
        <v>0</v>
      </c>
    </row>
    <row r="1451" spans="78:81">
      <c r="BZ1451" t="s">
        <v>3602</v>
      </c>
      <c r="CB1451" s="120">
        <v>1</v>
      </c>
      <c r="CC1451" s="120">
        <v>0</v>
      </c>
    </row>
    <row r="1452" spans="78:81">
      <c r="BZ1452" t="s">
        <v>2594</v>
      </c>
      <c r="CB1452" s="120">
        <v>1</v>
      </c>
      <c r="CC1452" s="120">
        <v>0</v>
      </c>
    </row>
    <row r="1453" spans="78:81">
      <c r="BZ1453" t="s">
        <v>3603</v>
      </c>
      <c r="CB1453" s="120">
        <v>1</v>
      </c>
      <c r="CC1453" s="120">
        <v>0</v>
      </c>
    </row>
    <row r="1454" spans="78:81">
      <c r="BZ1454" t="s">
        <v>2595</v>
      </c>
      <c r="CB1454" s="120">
        <v>1</v>
      </c>
      <c r="CC1454" s="120">
        <v>0</v>
      </c>
    </row>
    <row r="1455" spans="78:81">
      <c r="BZ1455" t="s">
        <v>3604</v>
      </c>
      <c r="CB1455" s="120">
        <v>1</v>
      </c>
      <c r="CC1455" s="120">
        <v>0</v>
      </c>
    </row>
    <row r="1456" spans="78:81">
      <c r="BZ1456" t="s">
        <v>2596</v>
      </c>
      <c r="CB1456" s="120">
        <v>1</v>
      </c>
      <c r="CC1456" s="120">
        <v>0</v>
      </c>
    </row>
    <row r="1457" spans="78:81">
      <c r="BZ1457" t="s">
        <v>3605</v>
      </c>
      <c r="CB1457" s="120">
        <v>1</v>
      </c>
      <c r="CC1457" s="120">
        <v>0</v>
      </c>
    </row>
    <row r="1458" spans="78:81">
      <c r="BZ1458" t="s">
        <v>2597</v>
      </c>
      <c r="CB1458" s="120">
        <v>1</v>
      </c>
      <c r="CC1458" s="120">
        <v>0</v>
      </c>
    </row>
    <row r="1459" spans="78:81">
      <c r="BZ1459" t="s">
        <v>3606</v>
      </c>
      <c r="CB1459" s="120">
        <v>1</v>
      </c>
      <c r="CC1459" s="120">
        <v>0</v>
      </c>
    </row>
    <row r="1460" spans="78:81">
      <c r="BZ1460" t="s">
        <v>2598</v>
      </c>
      <c r="CB1460" s="120">
        <v>1</v>
      </c>
      <c r="CC1460" s="120">
        <v>0</v>
      </c>
    </row>
    <row r="1461" spans="78:81">
      <c r="BZ1461" t="s">
        <v>3607</v>
      </c>
      <c r="CB1461" s="120">
        <v>1</v>
      </c>
      <c r="CC1461" s="120">
        <v>0</v>
      </c>
    </row>
    <row r="1462" spans="78:81">
      <c r="BZ1462" t="s">
        <v>2599</v>
      </c>
      <c r="CB1462" s="120">
        <v>1</v>
      </c>
      <c r="CC1462" s="120">
        <v>0</v>
      </c>
    </row>
    <row r="1463" spans="78:81">
      <c r="BZ1463" t="s">
        <v>3608</v>
      </c>
      <c r="CB1463" s="120">
        <v>1</v>
      </c>
      <c r="CC1463" s="120">
        <v>0</v>
      </c>
    </row>
    <row r="1464" spans="78:81">
      <c r="BZ1464" t="s">
        <v>2600</v>
      </c>
      <c r="CB1464" s="120">
        <v>1</v>
      </c>
      <c r="CC1464" s="120">
        <v>0</v>
      </c>
    </row>
    <row r="1465" spans="78:81">
      <c r="BZ1465" t="s">
        <v>3609</v>
      </c>
      <c r="CB1465" s="120">
        <v>1</v>
      </c>
      <c r="CC1465" s="120">
        <v>0</v>
      </c>
    </row>
    <row r="1466" spans="78:81">
      <c r="BZ1466" t="s">
        <v>2601</v>
      </c>
      <c r="CB1466" s="120">
        <v>1</v>
      </c>
      <c r="CC1466" s="120">
        <v>0</v>
      </c>
    </row>
    <row r="1467" spans="78:81">
      <c r="BZ1467" t="s">
        <v>3610</v>
      </c>
      <c r="CB1467" s="120">
        <v>1</v>
      </c>
      <c r="CC1467" s="120">
        <v>0</v>
      </c>
    </row>
    <row r="1468" spans="78:81">
      <c r="BZ1468" t="s">
        <v>2602</v>
      </c>
      <c r="CB1468" s="120">
        <v>1</v>
      </c>
      <c r="CC1468" s="120">
        <v>0</v>
      </c>
    </row>
    <row r="1469" spans="78:81">
      <c r="BZ1469" t="s">
        <v>3611</v>
      </c>
      <c r="CB1469" s="120">
        <v>1</v>
      </c>
      <c r="CC1469" s="120">
        <v>0</v>
      </c>
    </row>
    <row r="1470" spans="78:81">
      <c r="BZ1470" t="s">
        <v>2603</v>
      </c>
      <c r="CB1470" s="120">
        <v>1</v>
      </c>
      <c r="CC1470" s="120">
        <v>0</v>
      </c>
    </row>
    <row r="1471" spans="78:81">
      <c r="BZ1471" t="s">
        <v>3612</v>
      </c>
      <c r="CB1471" s="120">
        <v>1</v>
      </c>
      <c r="CC1471" s="120">
        <v>0</v>
      </c>
    </row>
    <row r="1472" spans="78:81">
      <c r="BZ1472" t="s">
        <v>2604</v>
      </c>
      <c r="CB1472" s="120">
        <v>1</v>
      </c>
      <c r="CC1472" s="120">
        <v>0</v>
      </c>
    </row>
    <row r="1473" spans="78:81">
      <c r="BZ1473" t="s">
        <v>3613</v>
      </c>
      <c r="CB1473" s="120">
        <v>1</v>
      </c>
      <c r="CC1473" s="120">
        <v>0</v>
      </c>
    </row>
    <row r="1474" spans="78:81">
      <c r="BZ1474" t="s">
        <v>2605</v>
      </c>
      <c r="CB1474" s="120">
        <v>1</v>
      </c>
      <c r="CC1474" s="120">
        <v>0</v>
      </c>
    </row>
    <row r="1475" spans="78:81">
      <c r="BZ1475" t="s">
        <v>3614</v>
      </c>
      <c r="CB1475" s="120">
        <v>1</v>
      </c>
      <c r="CC1475" s="120">
        <v>0</v>
      </c>
    </row>
    <row r="1476" spans="78:81">
      <c r="BZ1476" t="s">
        <v>2606</v>
      </c>
      <c r="CB1476" s="120">
        <v>1</v>
      </c>
      <c r="CC1476" s="120">
        <v>0</v>
      </c>
    </row>
    <row r="1477" spans="78:81">
      <c r="BZ1477" t="s">
        <v>3615</v>
      </c>
      <c r="CB1477" s="120">
        <v>1</v>
      </c>
      <c r="CC1477" s="120">
        <v>0</v>
      </c>
    </row>
    <row r="1478" spans="78:81">
      <c r="BZ1478" t="s">
        <v>2607</v>
      </c>
      <c r="CB1478" s="120">
        <v>1</v>
      </c>
      <c r="CC1478" s="120">
        <v>0</v>
      </c>
    </row>
    <row r="1479" spans="78:81">
      <c r="BZ1479" t="s">
        <v>3616</v>
      </c>
      <c r="CB1479" s="120">
        <v>1</v>
      </c>
      <c r="CC1479" s="120">
        <v>0</v>
      </c>
    </row>
    <row r="1480" spans="78:81">
      <c r="BZ1480" t="s">
        <v>2608</v>
      </c>
      <c r="CB1480" s="120">
        <v>1</v>
      </c>
      <c r="CC1480" s="120">
        <v>0</v>
      </c>
    </row>
    <row r="1481" spans="78:81">
      <c r="BZ1481" t="s">
        <v>3617</v>
      </c>
      <c r="CB1481" s="120">
        <v>1</v>
      </c>
      <c r="CC1481" s="120">
        <v>0</v>
      </c>
    </row>
    <row r="1482" spans="78:81">
      <c r="BZ1482" t="s">
        <v>2609</v>
      </c>
      <c r="CB1482" s="120">
        <v>1</v>
      </c>
      <c r="CC1482" s="120">
        <v>0</v>
      </c>
    </row>
    <row r="1483" spans="78:81">
      <c r="BZ1483" t="s">
        <v>3618</v>
      </c>
      <c r="CB1483" s="120">
        <v>1</v>
      </c>
      <c r="CC1483" s="120">
        <v>0</v>
      </c>
    </row>
    <row r="1484" spans="78:81">
      <c r="BZ1484" t="s">
        <v>2610</v>
      </c>
      <c r="CB1484" s="120">
        <v>1</v>
      </c>
      <c r="CC1484" s="120">
        <v>0</v>
      </c>
    </row>
    <row r="1485" spans="78:81">
      <c r="BZ1485" t="s">
        <v>3619</v>
      </c>
      <c r="CB1485" s="120">
        <v>1</v>
      </c>
      <c r="CC1485" s="120">
        <v>0</v>
      </c>
    </row>
    <row r="1486" spans="78:81">
      <c r="BZ1486" t="s">
        <v>2611</v>
      </c>
      <c r="CB1486" s="120">
        <v>1</v>
      </c>
      <c r="CC1486" s="120">
        <v>0</v>
      </c>
    </row>
    <row r="1487" spans="78:81">
      <c r="BZ1487" t="s">
        <v>3620</v>
      </c>
      <c r="CB1487" s="120">
        <v>1</v>
      </c>
      <c r="CC1487" s="120">
        <v>0</v>
      </c>
    </row>
    <row r="1488" spans="78:81">
      <c r="BZ1488" t="s">
        <v>2612</v>
      </c>
      <c r="CB1488" s="120">
        <v>1</v>
      </c>
      <c r="CC1488" s="120">
        <v>0</v>
      </c>
    </row>
    <row r="1489" spans="78:81">
      <c r="BZ1489" t="s">
        <v>3621</v>
      </c>
      <c r="CB1489" s="120">
        <v>1</v>
      </c>
      <c r="CC1489" s="120">
        <v>0</v>
      </c>
    </row>
    <row r="1490" spans="78:81">
      <c r="BZ1490" t="s">
        <v>2613</v>
      </c>
      <c r="CB1490" s="120">
        <v>1</v>
      </c>
      <c r="CC1490" s="120">
        <v>0</v>
      </c>
    </row>
    <row r="1491" spans="78:81">
      <c r="BZ1491" t="s">
        <v>3622</v>
      </c>
      <c r="CB1491" s="120">
        <v>1</v>
      </c>
      <c r="CC1491" s="120">
        <v>0</v>
      </c>
    </row>
    <row r="1492" spans="78:81">
      <c r="BZ1492" t="s">
        <v>2614</v>
      </c>
      <c r="CB1492" s="120">
        <v>1</v>
      </c>
      <c r="CC1492" s="120">
        <v>0</v>
      </c>
    </row>
    <row r="1493" spans="78:81">
      <c r="BZ1493" t="s">
        <v>3623</v>
      </c>
      <c r="CB1493" s="120">
        <v>1</v>
      </c>
      <c r="CC1493" s="120">
        <v>0</v>
      </c>
    </row>
    <row r="1494" spans="78:81">
      <c r="BZ1494" t="s">
        <v>2615</v>
      </c>
      <c r="CB1494" s="120">
        <v>1</v>
      </c>
      <c r="CC1494" s="120">
        <v>0</v>
      </c>
    </row>
    <row r="1495" spans="78:81">
      <c r="BZ1495" t="s">
        <v>3624</v>
      </c>
      <c r="CB1495" s="120">
        <v>1</v>
      </c>
      <c r="CC1495" s="120">
        <v>0</v>
      </c>
    </row>
    <row r="1496" spans="78:81">
      <c r="BZ1496" t="s">
        <v>2616</v>
      </c>
      <c r="CB1496" s="120">
        <v>1</v>
      </c>
      <c r="CC1496" s="120">
        <v>0</v>
      </c>
    </row>
    <row r="1497" spans="78:81">
      <c r="BZ1497" t="s">
        <v>3625</v>
      </c>
      <c r="CB1497" s="120">
        <v>1</v>
      </c>
      <c r="CC1497" s="120">
        <v>0</v>
      </c>
    </row>
    <row r="1498" spans="78:81">
      <c r="BZ1498" t="s">
        <v>2617</v>
      </c>
      <c r="CB1498" s="120">
        <v>1</v>
      </c>
      <c r="CC1498" s="120">
        <v>0</v>
      </c>
    </row>
    <row r="1499" spans="78:81">
      <c r="BZ1499" t="s">
        <v>3626</v>
      </c>
      <c r="CB1499" s="120">
        <v>1</v>
      </c>
      <c r="CC1499" s="120">
        <v>0</v>
      </c>
    </row>
    <row r="1500" spans="78:81">
      <c r="BZ1500" t="s">
        <v>2618</v>
      </c>
      <c r="CB1500" s="120">
        <v>1</v>
      </c>
      <c r="CC1500" s="120">
        <v>0</v>
      </c>
    </row>
    <row r="1501" spans="78:81">
      <c r="BZ1501" t="s">
        <v>3627</v>
      </c>
      <c r="CB1501" s="120">
        <v>1</v>
      </c>
      <c r="CC1501" s="120">
        <v>0</v>
      </c>
    </row>
    <row r="1502" spans="78:81">
      <c r="BZ1502" t="s">
        <v>2619</v>
      </c>
      <c r="CB1502" s="120">
        <v>1</v>
      </c>
      <c r="CC1502" s="120">
        <v>0</v>
      </c>
    </row>
    <row r="1503" spans="78:81">
      <c r="BZ1503" t="s">
        <v>3628</v>
      </c>
      <c r="CB1503" s="120">
        <v>1</v>
      </c>
      <c r="CC1503" s="120">
        <v>0</v>
      </c>
    </row>
    <row r="1504" spans="78:81">
      <c r="BZ1504" t="s">
        <v>2620</v>
      </c>
      <c r="CB1504" s="120">
        <v>1</v>
      </c>
      <c r="CC1504" s="120">
        <v>0</v>
      </c>
    </row>
    <row r="1505" spans="78:81">
      <c r="BZ1505" t="s">
        <v>3629</v>
      </c>
      <c r="CB1505" s="120">
        <v>1</v>
      </c>
      <c r="CC1505" s="120">
        <v>0</v>
      </c>
    </row>
    <row r="1506" spans="78:81">
      <c r="BZ1506" t="s">
        <v>2621</v>
      </c>
      <c r="CB1506" s="120">
        <v>1</v>
      </c>
      <c r="CC1506" s="120">
        <v>0</v>
      </c>
    </row>
    <row r="1507" spans="78:81">
      <c r="BZ1507" t="s">
        <v>3630</v>
      </c>
      <c r="CB1507" s="120">
        <v>1</v>
      </c>
      <c r="CC1507" s="120">
        <v>0</v>
      </c>
    </row>
    <row r="1508" spans="78:81">
      <c r="BZ1508" t="s">
        <v>2622</v>
      </c>
      <c r="CB1508" s="120">
        <v>1</v>
      </c>
      <c r="CC1508" s="120">
        <v>0</v>
      </c>
    </row>
    <row r="1509" spans="78:81">
      <c r="BZ1509" t="s">
        <v>3631</v>
      </c>
      <c r="CB1509" s="120">
        <v>1</v>
      </c>
      <c r="CC1509" s="120">
        <v>0</v>
      </c>
    </row>
    <row r="1510" spans="78:81">
      <c r="BZ1510" t="s">
        <v>2623</v>
      </c>
      <c r="CB1510" s="120">
        <v>1</v>
      </c>
      <c r="CC1510" s="120">
        <v>0</v>
      </c>
    </row>
    <row r="1511" spans="78:81">
      <c r="BZ1511" t="s">
        <v>3632</v>
      </c>
      <c r="CB1511" s="120">
        <v>1</v>
      </c>
      <c r="CC1511" s="120">
        <v>0</v>
      </c>
    </row>
    <row r="1512" spans="78:81">
      <c r="BZ1512" t="s">
        <v>2624</v>
      </c>
      <c r="CB1512" s="120">
        <v>1</v>
      </c>
      <c r="CC1512" s="120">
        <v>0</v>
      </c>
    </row>
    <row r="1513" spans="78:81">
      <c r="BZ1513" t="s">
        <v>3633</v>
      </c>
      <c r="CB1513" s="120">
        <v>1</v>
      </c>
      <c r="CC1513" s="120">
        <v>0</v>
      </c>
    </row>
    <row r="1514" spans="78:81">
      <c r="BZ1514" t="s">
        <v>2625</v>
      </c>
      <c r="CB1514" s="120">
        <v>1</v>
      </c>
      <c r="CC1514" s="120">
        <v>0</v>
      </c>
    </row>
    <row r="1515" spans="78:81">
      <c r="BZ1515" t="s">
        <v>3634</v>
      </c>
      <c r="CB1515" s="120">
        <v>1</v>
      </c>
      <c r="CC1515" s="120">
        <v>0</v>
      </c>
    </row>
    <row r="1516" spans="78:81">
      <c r="BZ1516" t="s">
        <v>2626</v>
      </c>
      <c r="CB1516" s="120">
        <v>1</v>
      </c>
      <c r="CC1516" s="120">
        <v>0</v>
      </c>
    </row>
    <row r="1517" spans="78:81">
      <c r="BZ1517" t="s">
        <v>3635</v>
      </c>
      <c r="CB1517" s="120">
        <v>1</v>
      </c>
      <c r="CC1517" s="120">
        <v>0</v>
      </c>
    </row>
    <row r="1518" spans="78:81">
      <c r="BZ1518" t="s">
        <v>2627</v>
      </c>
      <c r="CB1518" s="120">
        <v>1</v>
      </c>
      <c r="CC1518" s="120">
        <v>0</v>
      </c>
    </row>
    <row r="1519" spans="78:81">
      <c r="BZ1519" t="s">
        <v>3636</v>
      </c>
      <c r="CB1519" s="120">
        <v>1</v>
      </c>
      <c r="CC1519" s="120">
        <v>0</v>
      </c>
    </row>
    <row r="1520" spans="78:81">
      <c r="BZ1520" t="s">
        <v>2628</v>
      </c>
      <c r="CB1520" s="120">
        <v>1</v>
      </c>
      <c r="CC1520" s="120">
        <v>0</v>
      </c>
    </row>
    <row r="1521" spans="78:81">
      <c r="BZ1521" t="s">
        <v>3637</v>
      </c>
      <c r="CB1521" s="120">
        <v>1</v>
      </c>
      <c r="CC1521" s="120">
        <v>0</v>
      </c>
    </row>
    <row r="1522" spans="78:81">
      <c r="BZ1522" t="s">
        <v>2629</v>
      </c>
      <c r="CB1522" s="120">
        <v>1</v>
      </c>
      <c r="CC1522" s="120">
        <v>0</v>
      </c>
    </row>
    <row r="1523" spans="78:81">
      <c r="BZ1523" t="s">
        <v>3638</v>
      </c>
      <c r="CB1523" s="120">
        <v>1</v>
      </c>
      <c r="CC1523" s="120">
        <v>0</v>
      </c>
    </row>
    <row r="1524" spans="78:81">
      <c r="BZ1524" t="s">
        <v>2630</v>
      </c>
      <c r="CB1524" s="120">
        <v>1</v>
      </c>
      <c r="CC1524" s="120">
        <v>0</v>
      </c>
    </row>
    <row r="1525" spans="78:81">
      <c r="BZ1525" t="s">
        <v>3639</v>
      </c>
      <c r="CB1525" s="120">
        <v>1</v>
      </c>
      <c r="CC1525" s="120">
        <v>0</v>
      </c>
    </row>
    <row r="1526" spans="78:81">
      <c r="BZ1526" t="s">
        <v>2631</v>
      </c>
      <c r="CB1526" s="120">
        <v>1</v>
      </c>
      <c r="CC1526" s="120">
        <v>0</v>
      </c>
    </row>
    <row r="1527" spans="78:81">
      <c r="BZ1527" t="s">
        <v>3640</v>
      </c>
      <c r="CB1527" s="120">
        <v>1</v>
      </c>
      <c r="CC1527" s="120">
        <v>0</v>
      </c>
    </row>
    <row r="1528" spans="78:81">
      <c r="BZ1528" t="s">
        <v>2632</v>
      </c>
      <c r="CB1528" s="120">
        <v>1</v>
      </c>
      <c r="CC1528" s="120">
        <v>0</v>
      </c>
    </row>
    <row r="1529" spans="78:81">
      <c r="BZ1529" t="s">
        <v>3641</v>
      </c>
      <c r="CB1529" s="120">
        <v>1</v>
      </c>
      <c r="CC1529" s="120">
        <v>0</v>
      </c>
    </row>
    <row r="1530" spans="78:81">
      <c r="BZ1530" t="s">
        <v>2633</v>
      </c>
      <c r="CB1530" s="120">
        <v>1</v>
      </c>
      <c r="CC1530" s="120">
        <v>0</v>
      </c>
    </row>
    <row r="1531" spans="78:81">
      <c r="BZ1531" t="s">
        <v>3642</v>
      </c>
      <c r="CB1531" s="120">
        <v>1</v>
      </c>
      <c r="CC1531" s="120">
        <v>0</v>
      </c>
    </row>
    <row r="1532" spans="78:81">
      <c r="BZ1532" t="s">
        <v>2634</v>
      </c>
      <c r="CB1532" s="120">
        <v>1</v>
      </c>
      <c r="CC1532" s="120">
        <v>0</v>
      </c>
    </row>
    <row r="1533" spans="78:81">
      <c r="BZ1533" t="s">
        <v>3643</v>
      </c>
      <c r="CB1533" s="120">
        <v>1</v>
      </c>
      <c r="CC1533" s="120">
        <v>0</v>
      </c>
    </row>
    <row r="1534" spans="78:81">
      <c r="BZ1534" t="s">
        <v>2635</v>
      </c>
      <c r="CB1534" s="120">
        <v>1</v>
      </c>
      <c r="CC1534" s="120">
        <v>0</v>
      </c>
    </row>
    <row r="1535" spans="78:81">
      <c r="BZ1535" t="s">
        <v>3644</v>
      </c>
      <c r="CB1535" s="120">
        <v>1</v>
      </c>
      <c r="CC1535" s="120">
        <v>0</v>
      </c>
    </row>
    <row r="1536" spans="78:81">
      <c r="BZ1536" t="s">
        <v>2636</v>
      </c>
      <c r="CB1536" s="120">
        <v>1</v>
      </c>
      <c r="CC1536" s="120">
        <v>0</v>
      </c>
    </row>
    <row r="1537" spans="78:81">
      <c r="BZ1537" t="s">
        <v>3645</v>
      </c>
      <c r="CB1537" s="120">
        <v>1</v>
      </c>
      <c r="CC1537" s="120">
        <v>0</v>
      </c>
    </row>
    <row r="1538" spans="78:81">
      <c r="BZ1538" t="s">
        <v>2637</v>
      </c>
      <c r="CB1538" s="120">
        <v>1</v>
      </c>
      <c r="CC1538" s="120">
        <v>0</v>
      </c>
    </row>
    <row r="1539" spans="78:81">
      <c r="BZ1539" t="s">
        <v>3646</v>
      </c>
      <c r="CB1539" s="120">
        <v>1</v>
      </c>
      <c r="CC1539" s="120">
        <v>0</v>
      </c>
    </row>
    <row r="1540" spans="78:81">
      <c r="BZ1540" t="s">
        <v>2638</v>
      </c>
      <c r="CB1540" s="120">
        <v>1</v>
      </c>
      <c r="CC1540" s="120">
        <v>0</v>
      </c>
    </row>
    <row r="1541" spans="78:81">
      <c r="BZ1541" t="s">
        <v>3647</v>
      </c>
      <c r="CB1541" s="120">
        <v>1</v>
      </c>
      <c r="CC1541" s="120">
        <v>0</v>
      </c>
    </row>
    <row r="1542" spans="78:81">
      <c r="BZ1542" t="s">
        <v>2639</v>
      </c>
      <c r="CB1542" s="120">
        <v>1</v>
      </c>
      <c r="CC1542" s="120">
        <v>0</v>
      </c>
    </row>
    <row r="1543" spans="78:81">
      <c r="BZ1543" t="s">
        <v>3648</v>
      </c>
      <c r="CB1543" s="120">
        <v>1</v>
      </c>
      <c r="CC1543" s="120">
        <v>0</v>
      </c>
    </row>
    <row r="1544" spans="78:81">
      <c r="BZ1544" t="s">
        <v>2640</v>
      </c>
      <c r="CB1544" s="120">
        <v>1</v>
      </c>
      <c r="CC1544" s="120">
        <v>0</v>
      </c>
    </row>
    <row r="1545" spans="78:81">
      <c r="BZ1545" t="s">
        <v>3649</v>
      </c>
      <c r="CB1545" s="120">
        <v>1</v>
      </c>
      <c r="CC1545" s="120">
        <v>0</v>
      </c>
    </row>
    <row r="1546" spans="78:81">
      <c r="BZ1546" t="s">
        <v>2641</v>
      </c>
      <c r="CB1546" s="120">
        <v>1</v>
      </c>
      <c r="CC1546" s="120">
        <v>0</v>
      </c>
    </row>
    <row r="1547" spans="78:81">
      <c r="BZ1547" t="s">
        <v>3650</v>
      </c>
      <c r="CB1547" s="120">
        <v>1</v>
      </c>
      <c r="CC1547" s="120">
        <v>0</v>
      </c>
    </row>
    <row r="1548" spans="78:81">
      <c r="BZ1548" t="s">
        <v>2642</v>
      </c>
      <c r="CB1548" s="120">
        <v>1</v>
      </c>
      <c r="CC1548" s="120">
        <v>0</v>
      </c>
    </row>
    <row r="1549" spans="78:81">
      <c r="BZ1549" t="s">
        <v>3651</v>
      </c>
      <c r="CB1549" s="120">
        <v>1</v>
      </c>
      <c r="CC1549" s="120">
        <v>0</v>
      </c>
    </row>
    <row r="1550" spans="78:81">
      <c r="BZ1550" t="s">
        <v>2643</v>
      </c>
      <c r="CB1550" s="120">
        <v>1</v>
      </c>
      <c r="CC1550" s="120">
        <v>0</v>
      </c>
    </row>
    <row r="1551" spans="78:81">
      <c r="BZ1551" t="s">
        <v>3652</v>
      </c>
      <c r="CB1551" s="120">
        <v>1</v>
      </c>
      <c r="CC1551" s="120">
        <v>0</v>
      </c>
    </row>
    <row r="1552" spans="78:81">
      <c r="BZ1552" t="s">
        <v>2644</v>
      </c>
      <c r="CB1552" s="120">
        <v>1</v>
      </c>
      <c r="CC1552" s="120">
        <v>0</v>
      </c>
    </row>
    <row r="1553" spans="78:81">
      <c r="BZ1553" t="s">
        <v>3653</v>
      </c>
      <c r="CB1553" s="120">
        <v>1</v>
      </c>
      <c r="CC1553" s="120">
        <v>0</v>
      </c>
    </row>
    <row r="1554" spans="78:81">
      <c r="BZ1554" t="s">
        <v>2645</v>
      </c>
      <c r="CB1554" s="120">
        <v>1</v>
      </c>
      <c r="CC1554" s="120">
        <v>0</v>
      </c>
    </row>
    <row r="1555" spans="78:81">
      <c r="BZ1555" t="s">
        <v>3654</v>
      </c>
      <c r="CB1555" s="120">
        <v>1</v>
      </c>
      <c r="CC1555" s="120">
        <v>0</v>
      </c>
    </row>
    <row r="1556" spans="78:81">
      <c r="BZ1556" t="s">
        <v>2646</v>
      </c>
      <c r="CB1556" s="120">
        <v>1</v>
      </c>
      <c r="CC1556" s="120">
        <v>0</v>
      </c>
    </row>
    <row r="1557" spans="78:81">
      <c r="BZ1557" t="s">
        <v>3655</v>
      </c>
      <c r="CB1557" s="120">
        <v>1</v>
      </c>
      <c r="CC1557" s="120">
        <v>0</v>
      </c>
    </row>
    <row r="1558" spans="78:81">
      <c r="BZ1558" t="s">
        <v>2647</v>
      </c>
      <c r="CB1558" s="120">
        <v>1</v>
      </c>
      <c r="CC1558" s="120">
        <v>0</v>
      </c>
    </row>
    <row r="1559" spans="78:81">
      <c r="BZ1559" t="s">
        <v>3656</v>
      </c>
      <c r="CB1559" s="120">
        <v>1</v>
      </c>
      <c r="CC1559" s="120">
        <v>0</v>
      </c>
    </row>
    <row r="1560" spans="78:81">
      <c r="BZ1560" t="s">
        <v>2648</v>
      </c>
      <c r="CB1560" s="120">
        <v>1</v>
      </c>
      <c r="CC1560" s="120">
        <v>0</v>
      </c>
    </row>
    <row r="1561" spans="78:81">
      <c r="BZ1561" t="s">
        <v>3657</v>
      </c>
      <c r="CB1561" s="120">
        <v>1</v>
      </c>
      <c r="CC1561" s="120">
        <v>0</v>
      </c>
    </row>
    <row r="1562" spans="78:81">
      <c r="BZ1562" t="s">
        <v>2649</v>
      </c>
      <c r="CB1562" s="120">
        <v>1</v>
      </c>
      <c r="CC1562" s="120">
        <v>0</v>
      </c>
    </row>
    <row r="1563" spans="78:81">
      <c r="BZ1563" t="s">
        <v>3658</v>
      </c>
      <c r="CB1563" s="120">
        <v>1</v>
      </c>
      <c r="CC1563" s="120">
        <v>0</v>
      </c>
    </row>
    <row r="1564" spans="78:81">
      <c r="BZ1564" t="s">
        <v>2650</v>
      </c>
      <c r="CB1564" s="120">
        <v>1</v>
      </c>
      <c r="CC1564" s="120">
        <v>0</v>
      </c>
    </row>
    <row r="1565" spans="78:81">
      <c r="BZ1565" t="s">
        <v>3659</v>
      </c>
      <c r="CB1565" s="120">
        <v>1</v>
      </c>
      <c r="CC1565" s="120">
        <v>0</v>
      </c>
    </row>
    <row r="1566" spans="78:81">
      <c r="BZ1566" t="s">
        <v>2651</v>
      </c>
      <c r="CB1566" s="120">
        <v>1</v>
      </c>
      <c r="CC1566" s="120">
        <v>0</v>
      </c>
    </row>
    <row r="1567" spans="78:81">
      <c r="BZ1567" t="s">
        <v>3660</v>
      </c>
      <c r="CB1567" s="120">
        <v>1</v>
      </c>
      <c r="CC1567" s="120">
        <v>0</v>
      </c>
    </row>
    <row r="1568" spans="78:81">
      <c r="BZ1568" t="s">
        <v>2652</v>
      </c>
      <c r="CB1568" s="120">
        <v>1</v>
      </c>
      <c r="CC1568" s="120">
        <v>0</v>
      </c>
    </row>
    <row r="1569" spans="78:81">
      <c r="BZ1569" t="s">
        <v>3661</v>
      </c>
      <c r="CB1569" s="120">
        <v>1</v>
      </c>
      <c r="CC1569" s="120">
        <v>0</v>
      </c>
    </row>
    <row r="1570" spans="78:81">
      <c r="BZ1570" t="s">
        <v>2653</v>
      </c>
      <c r="CB1570" s="120">
        <v>1</v>
      </c>
      <c r="CC1570" s="120">
        <v>0</v>
      </c>
    </row>
    <row r="1571" spans="78:81">
      <c r="BZ1571" t="s">
        <v>3662</v>
      </c>
      <c r="CB1571" s="120">
        <v>1</v>
      </c>
      <c r="CC1571" s="120">
        <v>0</v>
      </c>
    </row>
    <row r="1572" spans="78:81">
      <c r="BZ1572" t="s">
        <v>2654</v>
      </c>
      <c r="CB1572" s="120">
        <v>1</v>
      </c>
      <c r="CC1572" s="120">
        <v>0</v>
      </c>
    </row>
    <row r="1573" spans="78:81">
      <c r="BZ1573" t="s">
        <v>3663</v>
      </c>
      <c r="CB1573" s="120">
        <v>1</v>
      </c>
      <c r="CC1573" s="120">
        <v>0</v>
      </c>
    </row>
    <row r="1574" spans="78:81">
      <c r="BZ1574" t="s">
        <v>2655</v>
      </c>
      <c r="CB1574" s="120">
        <v>1</v>
      </c>
      <c r="CC1574" s="120">
        <v>0</v>
      </c>
    </row>
    <row r="1575" spans="78:81">
      <c r="BZ1575" t="s">
        <v>3664</v>
      </c>
      <c r="CB1575" s="120">
        <v>1</v>
      </c>
      <c r="CC1575" s="120">
        <v>0</v>
      </c>
    </row>
    <row r="1576" spans="78:81">
      <c r="BZ1576" t="s">
        <v>2656</v>
      </c>
      <c r="CB1576" s="120">
        <v>1</v>
      </c>
      <c r="CC1576" s="120">
        <v>0</v>
      </c>
    </row>
    <row r="1577" spans="78:81">
      <c r="BZ1577" t="s">
        <v>3665</v>
      </c>
      <c r="CB1577" s="120">
        <v>1</v>
      </c>
      <c r="CC1577" s="120">
        <v>0</v>
      </c>
    </row>
    <row r="1578" spans="78:81">
      <c r="BZ1578" t="s">
        <v>2657</v>
      </c>
      <c r="CB1578" s="120">
        <v>1</v>
      </c>
      <c r="CC1578" s="120">
        <v>0</v>
      </c>
    </row>
    <row r="1579" spans="78:81">
      <c r="BZ1579" t="s">
        <v>3666</v>
      </c>
      <c r="CB1579" s="120">
        <v>1</v>
      </c>
      <c r="CC1579" s="120">
        <v>0</v>
      </c>
    </row>
    <row r="1580" spans="78:81">
      <c r="BZ1580" t="s">
        <v>2658</v>
      </c>
      <c r="CB1580" s="120">
        <v>1</v>
      </c>
      <c r="CC1580" s="120">
        <v>0</v>
      </c>
    </row>
    <row r="1581" spans="78:81">
      <c r="BZ1581" t="s">
        <v>3667</v>
      </c>
      <c r="CB1581" s="120">
        <v>1</v>
      </c>
      <c r="CC1581" s="120">
        <v>0</v>
      </c>
    </row>
    <row r="1582" spans="78:81">
      <c r="BZ1582" t="s">
        <v>2659</v>
      </c>
      <c r="CB1582" s="120">
        <v>1</v>
      </c>
      <c r="CC1582" s="120">
        <v>0</v>
      </c>
    </row>
    <row r="1583" spans="78:81">
      <c r="BZ1583" t="s">
        <v>3668</v>
      </c>
      <c r="CB1583" s="120">
        <v>1</v>
      </c>
      <c r="CC1583" s="120">
        <v>0</v>
      </c>
    </row>
    <row r="1584" spans="78:81">
      <c r="BZ1584" t="s">
        <v>2660</v>
      </c>
      <c r="CB1584" s="120">
        <v>1</v>
      </c>
      <c r="CC1584" s="120">
        <v>0</v>
      </c>
    </row>
    <row r="1585" spans="78:81">
      <c r="BZ1585" t="s">
        <v>3669</v>
      </c>
      <c r="CB1585" s="120">
        <v>1</v>
      </c>
      <c r="CC1585" s="120">
        <v>0</v>
      </c>
    </row>
    <row r="1586" spans="78:81">
      <c r="BZ1586" t="s">
        <v>2661</v>
      </c>
      <c r="CB1586" s="120">
        <v>1</v>
      </c>
      <c r="CC1586" s="120">
        <v>0</v>
      </c>
    </row>
    <row r="1587" spans="78:81">
      <c r="BZ1587" t="s">
        <v>3670</v>
      </c>
      <c r="CB1587" s="120">
        <v>1</v>
      </c>
      <c r="CC1587" s="120">
        <v>0</v>
      </c>
    </row>
    <row r="1588" spans="78:81">
      <c r="BZ1588" t="s">
        <v>2662</v>
      </c>
      <c r="CB1588" s="120">
        <v>1</v>
      </c>
      <c r="CC1588" s="120">
        <v>0</v>
      </c>
    </row>
    <row r="1589" spans="78:81">
      <c r="BZ1589" t="s">
        <v>3671</v>
      </c>
      <c r="CB1589" s="120">
        <v>1</v>
      </c>
      <c r="CC1589" s="120">
        <v>0</v>
      </c>
    </row>
    <row r="1590" spans="78:81">
      <c r="BZ1590" t="s">
        <v>2663</v>
      </c>
      <c r="CB1590" s="120">
        <v>1</v>
      </c>
      <c r="CC1590" s="120">
        <v>0</v>
      </c>
    </row>
    <row r="1591" spans="78:81">
      <c r="BZ1591" t="s">
        <v>3672</v>
      </c>
      <c r="CB1591" s="120">
        <v>1</v>
      </c>
      <c r="CC1591" s="120">
        <v>0</v>
      </c>
    </row>
    <row r="1592" spans="78:81">
      <c r="BZ1592" t="s">
        <v>2664</v>
      </c>
      <c r="CB1592" s="120">
        <v>1</v>
      </c>
      <c r="CC1592" s="120">
        <v>0</v>
      </c>
    </row>
    <row r="1593" spans="78:81">
      <c r="BZ1593" t="s">
        <v>3673</v>
      </c>
      <c r="CB1593" s="120">
        <v>1</v>
      </c>
      <c r="CC1593" s="120">
        <v>0</v>
      </c>
    </row>
    <row r="1594" spans="78:81">
      <c r="BZ1594" t="s">
        <v>2665</v>
      </c>
      <c r="CB1594" s="120">
        <v>1</v>
      </c>
      <c r="CC1594" s="120">
        <v>0</v>
      </c>
    </row>
    <row r="1595" spans="78:81">
      <c r="BZ1595" t="s">
        <v>3674</v>
      </c>
      <c r="CB1595" s="120">
        <v>1</v>
      </c>
      <c r="CC1595" s="120">
        <v>0</v>
      </c>
    </row>
    <row r="1596" spans="78:81">
      <c r="BZ1596" t="s">
        <v>2666</v>
      </c>
      <c r="CB1596" s="120">
        <v>1</v>
      </c>
      <c r="CC1596" s="120">
        <v>0</v>
      </c>
    </row>
    <row r="1597" spans="78:81">
      <c r="BZ1597" t="s">
        <v>3675</v>
      </c>
      <c r="CB1597" s="120">
        <v>1</v>
      </c>
      <c r="CC1597" s="120">
        <v>0</v>
      </c>
    </row>
    <row r="1598" spans="78:81">
      <c r="BZ1598" t="s">
        <v>2667</v>
      </c>
      <c r="CB1598" s="120">
        <v>1</v>
      </c>
      <c r="CC1598" s="120">
        <v>0</v>
      </c>
    </row>
    <row r="1599" spans="78:81">
      <c r="BZ1599" t="s">
        <v>3676</v>
      </c>
      <c r="CB1599" s="120">
        <v>1</v>
      </c>
      <c r="CC1599" s="120">
        <v>0</v>
      </c>
    </row>
    <row r="1600" spans="78:81">
      <c r="BZ1600" t="s">
        <v>2668</v>
      </c>
      <c r="CB1600" s="120">
        <v>1</v>
      </c>
      <c r="CC1600" s="120">
        <v>0</v>
      </c>
    </row>
    <row r="1601" spans="78:81">
      <c r="BZ1601" t="s">
        <v>3677</v>
      </c>
      <c r="CB1601" s="120">
        <v>1</v>
      </c>
      <c r="CC1601" s="120">
        <v>0</v>
      </c>
    </row>
    <row r="1602" spans="78:81">
      <c r="BZ1602" t="s">
        <v>2669</v>
      </c>
      <c r="CB1602" s="120">
        <v>1</v>
      </c>
      <c r="CC1602" s="120">
        <v>0</v>
      </c>
    </row>
    <row r="1603" spans="78:81">
      <c r="BZ1603" t="s">
        <v>3678</v>
      </c>
      <c r="CB1603" s="120">
        <v>1</v>
      </c>
      <c r="CC1603" s="120">
        <v>0</v>
      </c>
    </row>
    <row r="1604" spans="78:81">
      <c r="BZ1604" t="s">
        <v>2670</v>
      </c>
      <c r="CB1604" s="120">
        <v>1</v>
      </c>
      <c r="CC1604" s="120">
        <v>0</v>
      </c>
    </row>
    <row r="1605" spans="78:81">
      <c r="BZ1605" t="s">
        <v>3679</v>
      </c>
      <c r="CB1605" s="120">
        <v>1</v>
      </c>
      <c r="CC1605" s="120">
        <v>0</v>
      </c>
    </row>
    <row r="1606" spans="78:81">
      <c r="BZ1606" t="s">
        <v>2671</v>
      </c>
      <c r="CB1606" s="120">
        <v>1</v>
      </c>
      <c r="CC1606" s="120">
        <v>0</v>
      </c>
    </row>
    <row r="1607" spans="78:81">
      <c r="BZ1607" t="s">
        <v>3680</v>
      </c>
      <c r="CB1607" s="120">
        <v>1</v>
      </c>
      <c r="CC1607" s="120">
        <v>0</v>
      </c>
    </row>
    <row r="1608" spans="78:81">
      <c r="BZ1608" t="s">
        <v>2672</v>
      </c>
      <c r="CB1608" s="120">
        <v>1</v>
      </c>
      <c r="CC1608" s="120">
        <v>0</v>
      </c>
    </row>
    <row r="1609" spans="78:81">
      <c r="BZ1609" t="s">
        <v>3681</v>
      </c>
      <c r="CB1609" s="120">
        <v>1</v>
      </c>
      <c r="CC1609" s="120">
        <v>0</v>
      </c>
    </row>
    <row r="1610" spans="78:81">
      <c r="BZ1610" t="s">
        <v>2673</v>
      </c>
      <c r="CB1610" s="120">
        <v>1</v>
      </c>
      <c r="CC1610" s="120">
        <v>0</v>
      </c>
    </row>
    <row r="1611" spans="78:81">
      <c r="BZ1611" t="s">
        <v>3682</v>
      </c>
      <c r="CB1611" s="120">
        <v>1</v>
      </c>
      <c r="CC1611" s="120">
        <v>0</v>
      </c>
    </row>
    <row r="1612" spans="78:81">
      <c r="BZ1612" t="s">
        <v>2674</v>
      </c>
      <c r="CB1612" s="120">
        <v>1</v>
      </c>
      <c r="CC1612" s="120">
        <v>0</v>
      </c>
    </row>
    <row r="1613" spans="78:81">
      <c r="BZ1613" t="s">
        <v>3683</v>
      </c>
      <c r="CB1613" s="120">
        <v>1</v>
      </c>
      <c r="CC1613" s="120">
        <v>0</v>
      </c>
    </row>
    <row r="1614" spans="78:81">
      <c r="BZ1614" t="s">
        <v>2675</v>
      </c>
      <c r="CB1614" s="120">
        <v>1</v>
      </c>
      <c r="CC1614" s="120">
        <v>0</v>
      </c>
    </row>
    <row r="1615" spans="78:81">
      <c r="BZ1615" t="s">
        <v>3684</v>
      </c>
      <c r="CB1615" s="120">
        <v>1</v>
      </c>
      <c r="CC1615" s="120">
        <v>0</v>
      </c>
    </row>
    <row r="1616" spans="78:81">
      <c r="BZ1616" t="s">
        <v>2676</v>
      </c>
      <c r="CB1616" s="120">
        <v>1</v>
      </c>
      <c r="CC1616" s="120">
        <v>0</v>
      </c>
    </row>
    <row r="1617" spans="78:81">
      <c r="BZ1617" t="s">
        <v>3685</v>
      </c>
      <c r="CB1617" s="120">
        <v>1</v>
      </c>
      <c r="CC1617" s="120">
        <v>0</v>
      </c>
    </row>
    <row r="1618" spans="78:81">
      <c r="BZ1618" t="s">
        <v>2677</v>
      </c>
      <c r="CB1618" s="120">
        <v>1</v>
      </c>
      <c r="CC1618" s="120">
        <v>0</v>
      </c>
    </row>
    <row r="1619" spans="78:81">
      <c r="BZ1619" t="s">
        <v>3686</v>
      </c>
      <c r="CB1619" s="120">
        <v>1</v>
      </c>
      <c r="CC1619" s="120">
        <v>0</v>
      </c>
    </row>
    <row r="1620" spans="78:81">
      <c r="BZ1620" t="s">
        <v>2678</v>
      </c>
      <c r="CB1620" s="120">
        <v>1</v>
      </c>
      <c r="CC1620" s="120">
        <v>0</v>
      </c>
    </row>
    <row r="1621" spans="78:81">
      <c r="BZ1621" t="s">
        <v>3687</v>
      </c>
      <c r="CB1621" s="120">
        <v>1</v>
      </c>
      <c r="CC1621" s="120">
        <v>0</v>
      </c>
    </row>
    <row r="1622" spans="78:81">
      <c r="BZ1622" t="s">
        <v>2679</v>
      </c>
      <c r="CB1622" s="120">
        <v>1</v>
      </c>
      <c r="CC1622" s="120">
        <v>0</v>
      </c>
    </row>
    <row r="1623" spans="78:81">
      <c r="BZ1623" t="s">
        <v>3688</v>
      </c>
      <c r="CB1623" s="120">
        <v>1</v>
      </c>
      <c r="CC1623" s="120">
        <v>0</v>
      </c>
    </row>
    <row r="1624" spans="78:81">
      <c r="BZ1624" t="s">
        <v>2680</v>
      </c>
      <c r="CB1624" s="120">
        <v>1</v>
      </c>
      <c r="CC1624" s="120">
        <v>0</v>
      </c>
    </row>
    <row r="1625" spans="78:81">
      <c r="BZ1625" t="s">
        <v>3689</v>
      </c>
      <c r="CB1625" s="120">
        <v>1</v>
      </c>
      <c r="CC1625" s="120">
        <v>0</v>
      </c>
    </row>
    <row r="1626" spans="78:81">
      <c r="BZ1626" t="s">
        <v>2681</v>
      </c>
      <c r="CB1626" s="120">
        <v>1</v>
      </c>
      <c r="CC1626" s="120">
        <v>0</v>
      </c>
    </row>
    <row r="1627" spans="78:81">
      <c r="BZ1627" t="s">
        <v>3690</v>
      </c>
      <c r="CB1627" s="120">
        <v>1</v>
      </c>
      <c r="CC1627" s="120">
        <v>0</v>
      </c>
    </row>
    <row r="1628" spans="78:81">
      <c r="BZ1628" t="s">
        <v>2682</v>
      </c>
      <c r="CB1628" s="120">
        <v>1</v>
      </c>
      <c r="CC1628" s="120">
        <v>0</v>
      </c>
    </row>
    <row r="1629" spans="78:81">
      <c r="BZ1629" t="s">
        <v>3691</v>
      </c>
      <c r="CB1629" s="120">
        <v>1</v>
      </c>
      <c r="CC1629" s="120">
        <v>0</v>
      </c>
    </row>
    <row r="1630" spans="78:81">
      <c r="BZ1630" t="s">
        <v>2683</v>
      </c>
      <c r="CB1630" s="120">
        <v>1</v>
      </c>
      <c r="CC1630" s="120">
        <v>0</v>
      </c>
    </row>
    <row r="1631" spans="78:81">
      <c r="BZ1631" t="s">
        <v>3692</v>
      </c>
      <c r="CB1631" s="120">
        <v>1</v>
      </c>
      <c r="CC1631" s="120">
        <v>0</v>
      </c>
    </row>
    <row r="1632" spans="78:81">
      <c r="BZ1632" t="s">
        <v>2684</v>
      </c>
      <c r="CB1632" s="120">
        <v>1</v>
      </c>
      <c r="CC1632" s="120">
        <v>0</v>
      </c>
    </row>
    <row r="1633" spans="78:81">
      <c r="BZ1633" t="s">
        <v>3693</v>
      </c>
      <c r="CB1633" s="120">
        <v>1</v>
      </c>
      <c r="CC1633" s="120">
        <v>0</v>
      </c>
    </row>
    <row r="1634" spans="78:81">
      <c r="BZ1634" t="s">
        <v>2685</v>
      </c>
      <c r="CB1634" s="120">
        <v>1</v>
      </c>
      <c r="CC1634" s="120">
        <v>0</v>
      </c>
    </row>
    <row r="1635" spans="78:81">
      <c r="BZ1635" t="s">
        <v>3694</v>
      </c>
      <c r="CB1635" s="120">
        <v>1</v>
      </c>
      <c r="CC1635" s="120">
        <v>0</v>
      </c>
    </row>
    <row r="1636" spans="78:81">
      <c r="BZ1636" t="s">
        <v>2686</v>
      </c>
      <c r="CB1636" s="120">
        <v>1</v>
      </c>
      <c r="CC1636" s="120">
        <v>0</v>
      </c>
    </row>
    <row r="1637" spans="78:81">
      <c r="BZ1637" t="s">
        <v>3695</v>
      </c>
      <c r="CB1637" s="120">
        <v>1</v>
      </c>
      <c r="CC1637" s="120">
        <v>0</v>
      </c>
    </row>
    <row r="1638" spans="78:81">
      <c r="BZ1638" t="s">
        <v>2687</v>
      </c>
      <c r="CB1638" s="120">
        <v>1</v>
      </c>
      <c r="CC1638" s="120">
        <v>0</v>
      </c>
    </row>
    <row r="1639" spans="78:81">
      <c r="BZ1639" t="s">
        <v>3696</v>
      </c>
      <c r="CB1639" s="120">
        <v>1</v>
      </c>
      <c r="CC1639" s="120">
        <v>0</v>
      </c>
    </row>
    <row r="1640" spans="78:81">
      <c r="BZ1640" t="s">
        <v>2688</v>
      </c>
      <c r="CB1640" s="120">
        <v>1</v>
      </c>
      <c r="CC1640" s="120">
        <v>0</v>
      </c>
    </row>
    <row r="1641" spans="78:81">
      <c r="BZ1641" t="s">
        <v>3697</v>
      </c>
      <c r="CB1641" s="120">
        <v>1</v>
      </c>
      <c r="CC1641" s="120">
        <v>0</v>
      </c>
    </row>
    <row r="1642" spans="78:81">
      <c r="BZ1642" t="s">
        <v>2689</v>
      </c>
      <c r="CB1642" s="120">
        <v>1</v>
      </c>
      <c r="CC1642" s="120">
        <v>0</v>
      </c>
    </row>
    <row r="1643" spans="78:81">
      <c r="BZ1643" t="s">
        <v>3698</v>
      </c>
      <c r="CB1643" s="120">
        <v>1</v>
      </c>
      <c r="CC1643" s="120">
        <v>0</v>
      </c>
    </row>
    <row r="1644" spans="78:81">
      <c r="BZ1644" t="s">
        <v>2690</v>
      </c>
      <c r="CB1644" s="120">
        <v>1</v>
      </c>
      <c r="CC1644" s="120">
        <v>0</v>
      </c>
    </row>
    <row r="1645" spans="78:81">
      <c r="BZ1645" t="s">
        <v>3699</v>
      </c>
      <c r="CB1645" s="120">
        <v>1</v>
      </c>
      <c r="CC1645" s="120">
        <v>0</v>
      </c>
    </row>
    <row r="1646" spans="78:81">
      <c r="BZ1646" t="s">
        <v>2691</v>
      </c>
      <c r="CB1646" s="120">
        <v>1</v>
      </c>
      <c r="CC1646" s="120">
        <v>0</v>
      </c>
    </row>
    <row r="1647" spans="78:81">
      <c r="BZ1647" t="s">
        <v>3700</v>
      </c>
      <c r="CB1647" s="120">
        <v>1</v>
      </c>
      <c r="CC1647" s="120">
        <v>0</v>
      </c>
    </row>
    <row r="1648" spans="78:81">
      <c r="BZ1648" t="s">
        <v>2692</v>
      </c>
      <c r="CB1648" s="120">
        <v>1</v>
      </c>
      <c r="CC1648" s="120">
        <v>0</v>
      </c>
    </row>
    <row r="1649" spans="78:81">
      <c r="BZ1649" t="s">
        <v>3701</v>
      </c>
      <c r="CB1649" s="120">
        <v>1</v>
      </c>
      <c r="CC1649" s="120">
        <v>0</v>
      </c>
    </row>
    <row r="1650" spans="78:81">
      <c r="BZ1650" t="s">
        <v>2693</v>
      </c>
      <c r="CB1650" s="120">
        <v>1</v>
      </c>
      <c r="CC1650" s="120">
        <v>0</v>
      </c>
    </row>
    <row r="1651" spans="78:81">
      <c r="BZ1651" t="s">
        <v>3702</v>
      </c>
      <c r="CB1651" s="120">
        <v>1</v>
      </c>
      <c r="CC1651" s="120">
        <v>0</v>
      </c>
    </row>
    <row r="1652" spans="78:81">
      <c r="BZ1652" t="s">
        <v>2694</v>
      </c>
      <c r="CB1652" s="120">
        <v>1</v>
      </c>
      <c r="CC1652" s="120">
        <v>0</v>
      </c>
    </row>
    <row r="1653" spans="78:81">
      <c r="BZ1653" t="s">
        <v>3703</v>
      </c>
      <c r="CB1653" s="120">
        <v>1</v>
      </c>
      <c r="CC1653" s="120">
        <v>0</v>
      </c>
    </row>
    <row r="1654" spans="78:81">
      <c r="BZ1654" t="s">
        <v>2695</v>
      </c>
      <c r="CB1654" s="120">
        <v>1</v>
      </c>
      <c r="CC1654" s="120">
        <v>0</v>
      </c>
    </row>
    <row r="1655" spans="78:81">
      <c r="BZ1655" t="s">
        <v>3704</v>
      </c>
      <c r="CB1655" s="120">
        <v>1</v>
      </c>
      <c r="CC1655" s="120">
        <v>0</v>
      </c>
    </row>
    <row r="1656" spans="78:81">
      <c r="BZ1656" t="s">
        <v>2696</v>
      </c>
      <c r="CB1656" s="120">
        <v>1</v>
      </c>
      <c r="CC1656" s="120">
        <v>0</v>
      </c>
    </row>
    <row r="1657" spans="78:81">
      <c r="BZ1657" t="s">
        <v>3705</v>
      </c>
      <c r="CB1657" s="120">
        <v>1</v>
      </c>
      <c r="CC1657" s="120">
        <v>0</v>
      </c>
    </row>
    <row r="1658" spans="78:81">
      <c r="BZ1658" t="s">
        <v>2697</v>
      </c>
      <c r="CB1658" s="120">
        <v>1</v>
      </c>
      <c r="CC1658" s="120">
        <v>0</v>
      </c>
    </row>
    <row r="1659" spans="78:81">
      <c r="BZ1659" t="s">
        <v>3706</v>
      </c>
      <c r="CB1659" s="120">
        <v>1</v>
      </c>
      <c r="CC1659" s="120">
        <v>0</v>
      </c>
    </row>
    <row r="1660" spans="78:81">
      <c r="BZ1660" t="s">
        <v>2698</v>
      </c>
      <c r="CB1660" s="120">
        <v>1</v>
      </c>
      <c r="CC1660" s="120">
        <v>0</v>
      </c>
    </row>
    <row r="1661" spans="78:81">
      <c r="BZ1661" t="s">
        <v>3707</v>
      </c>
      <c r="CB1661" s="120">
        <v>1</v>
      </c>
      <c r="CC1661" s="120">
        <v>0</v>
      </c>
    </row>
    <row r="1662" spans="78:81">
      <c r="BZ1662" t="s">
        <v>2699</v>
      </c>
      <c r="CB1662" s="120">
        <v>1</v>
      </c>
      <c r="CC1662" s="120">
        <v>0</v>
      </c>
    </row>
    <row r="1663" spans="78:81">
      <c r="BZ1663" t="s">
        <v>3708</v>
      </c>
      <c r="CB1663" s="120">
        <v>1</v>
      </c>
      <c r="CC1663" s="120">
        <v>0</v>
      </c>
    </row>
    <row r="1664" spans="78:81">
      <c r="BZ1664" t="s">
        <v>2700</v>
      </c>
      <c r="CB1664" s="120">
        <v>1</v>
      </c>
      <c r="CC1664" s="120">
        <v>0</v>
      </c>
    </row>
    <row r="1665" spans="78:81">
      <c r="BZ1665" t="s">
        <v>3709</v>
      </c>
      <c r="CB1665" s="120">
        <v>1</v>
      </c>
      <c r="CC1665" s="120">
        <v>0</v>
      </c>
    </row>
    <row r="1666" spans="78:81">
      <c r="BZ1666" t="s">
        <v>2701</v>
      </c>
      <c r="CB1666" s="120">
        <v>1</v>
      </c>
      <c r="CC1666" s="120">
        <v>0</v>
      </c>
    </row>
    <row r="1667" spans="78:81">
      <c r="BZ1667" t="s">
        <v>3710</v>
      </c>
      <c r="CB1667" s="120">
        <v>1</v>
      </c>
      <c r="CC1667" s="120">
        <v>0</v>
      </c>
    </row>
    <row r="1668" spans="78:81">
      <c r="BZ1668" t="s">
        <v>2702</v>
      </c>
      <c r="CB1668" s="120">
        <v>1</v>
      </c>
      <c r="CC1668" s="120">
        <v>0</v>
      </c>
    </row>
    <row r="1669" spans="78:81">
      <c r="BZ1669" t="s">
        <v>3711</v>
      </c>
      <c r="CB1669" s="120">
        <v>1</v>
      </c>
      <c r="CC1669" s="120">
        <v>0</v>
      </c>
    </row>
    <row r="1670" spans="78:81">
      <c r="BZ1670" t="s">
        <v>2703</v>
      </c>
      <c r="CB1670" s="120">
        <v>1</v>
      </c>
      <c r="CC1670" s="120">
        <v>0</v>
      </c>
    </row>
    <row r="1671" spans="78:81">
      <c r="BZ1671" t="s">
        <v>3712</v>
      </c>
      <c r="CB1671" s="120">
        <v>1</v>
      </c>
      <c r="CC1671" s="120">
        <v>0</v>
      </c>
    </row>
    <row r="1672" spans="78:81">
      <c r="BZ1672" t="s">
        <v>2704</v>
      </c>
      <c r="CB1672" s="120">
        <v>1</v>
      </c>
      <c r="CC1672" s="120">
        <v>0</v>
      </c>
    </row>
    <row r="1673" spans="78:81">
      <c r="BZ1673" t="s">
        <v>3713</v>
      </c>
      <c r="CB1673" s="120">
        <v>1</v>
      </c>
      <c r="CC1673" s="120">
        <v>0</v>
      </c>
    </row>
    <row r="1674" spans="78:81">
      <c r="BZ1674" t="s">
        <v>2705</v>
      </c>
      <c r="CB1674" s="120">
        <v>1</v>
      </c>
      <c r="CC1674" s="120">
        <v>0</v>
      </c>
    </row>
    <row r="1675" spans="78:81">
      <c r="BZ1675" t="s">
        <v>3714</v>
      </c>
      <c r="CB1675" s="120">
        <v>1</v>
      </c>
      <c r="CC1675" s="120">
        <v>0</v>
      </c>
    </row>
    <row r="1676" spans="78:81">
      <c r="BZ1676" t="s">
        <v>2706</v>
      </c>
      <c r="CB1676" s="120">
        <v>1</v>
      </c>
      <c r="CC1676" s="120">
        <v>0</v>
      </c>
    </row>
    <row r="1677" spans="78:81">
      <c r="BZ1677" t="s">
        <v>3715</v>
      </c>
      <c r="CB1677" s="120">
        <v>1</v>
      </c>
      <c r="CC1677" s="120">
        <v>0</v>
      </c>
    </row>
    <row r="1678" spans="78:81">
      <c r="BZ1678" t="s">
        <v>2707</v>
      </c>
      <c r="CB1678" s="120">
        <v>1</v>
      </c>
      <c r="CC1678" s="120">
        <v>0</v>
      </c>
    </row>
    <row r="1679" spans="78:81">
      <c r="BZ1679" t="s">
        <v>3716</v>
      </c>
      <c r="CB1679" s="120">
        <v>1</v>
      </c>
      <c r="CC1679" s="120">
        <v>0</v>
      </c>
    </row>
    <row r="1680" spans="78:81">
      <c r="BZ1680" t="s">
        <v>2708</v>
      </c>
      <c r="CB1680" s="120">
        <v>1</v>
      </c>
      <c r="CC1680" s="120">
        <v>0</v>
      </c>
    </row>
    <row r="1681" spans="78:81">
      <c r="BZ1681" t="s">
        <v>3717</v>
      </c>
      <c r="CB1681" s="120">
        <v>1</v>
      </c>
      <c r="CC1681" s="120">
        <v>0</v>
      </c>
    </row>
    <row r="1682" spans="78:81">
      <c r="BZ1682" t="s">
        <v>2709</v>
      </c>
      <c r="CB1682" s="120">
        <v>1</v>
      </c>
      <c r="CC1682" s="120">
        <v>0</v>
      </c>
    </row>
    <row r="1683" spans="78:81">
      <c r="BZ1683" t="s">
        <v>3718</v>
      </c>
      <c r="CB1683" s="120">
        <v>1</v>
      </c>
      <c r="CC1683" s="120">
        <v>0</v>
      </c>
    </row>
    <row r="1684" spans="78:81">
      <c r="BZ1684" t="s">
        <v>2710</v>
      </c>
      <c r="CB1684" s="120">
        <v>1</v>
      </c>
      <c r="CC1684" s="120">
        <v>0</v>
      </c>
    </row>
    <row r="1685" spans="78:81">
      <c r="BZ1685" t="s">
        <v>3719</v>
      </c>
      <c r="CB1685" s="120">
        <v>1</v>
      </c>
      <c r="CC1685" s="120">
        <v>0</v>
      </c>
    </row>
    <row r="1686" spans="78:81">
      <c r="BZ1686" t="s">
        <v>2711</v>
      </c>
      <c r="CB1686" s="120">
        <v>1</v>
      </c>
      <c r="CC1686" s="120">
        <v>0</v>
      </c>
    </row>
    <row r="1687" spans="78:81">
      <c r="BZ1687" t="s">
        <v>3720</v>
      </c>
      <c r="CB1687" s="120">
        <v>1</v>
      </c>
      <c r="CC1687" s="120">
        <v>0</v>
      </c>
    </row>
    <row r="1688" spans="78:81">
      <c r="BZ1688" t="s">
        <v>2712</v>
      </c>
      <c r="CB1688" s="120">
        <v>1</v>
      </c>
      <c r="CC1688" s="120">
        <v>0</v>
      </c>
    </row>
    <row r="1689" spans="78:81">
      <c r="BZ1689" t="s">
        <v>3721</v>
      </c>
      <c r="CB1689" s="120">
        <v>1</v>
      </c>
      <c r="CC1689" s="120">
        <v>0</v>
      </c>
    </row>
    <row r="1690" spans="78:81">
      <c r="BZ1690" t="s">
        <v>2713</v>
      </c>
      <c r="CB1690" s="120">
        <v>1</v>
      </c>
      <c r="CC1690" s="120">
        <v>0</v>
      </c>
    </row>
    <row r="1691" spans="78:81">
      <c r="BZ1691" t="s">
        <v>3722</v>
      </c>
      <c r="CB1691" s="120">
        <v>1</v>
      </c>
      <c r="CC1691" s="120">
        <v>0</v>
      </c>
    </row>
    <row r="1692" spans="78:81">
      <c r="BZ1692" t="s">
        <v>2714</v>
      </c>
      <c r="CB1692" s="120">
        <v>1</v>
      </c>
      <c r="CC1692" s="120">
        <v>0</v>
      </c>
    </row>
    <row r="1693" spans="78:81">
      <c r="BZ1693" t="s">
        <v>3723</v>
      </c>
      <c r="CB1693" s="120">
        <v>1</v>
      </c>
      <c r="CC1693" s="120">
        <v>0</v>
      </c>
    </row>
    <row r="1694" spans="78:81">
      <c r="BZ1694" t="s">
        <v>2715</v>
      </c>
      <c r="CB1694" s="120">
        <v>1</v>
      </c>
      <c r="CC1694" s="120">
        <v>0</v>
      </c>
    </row>
    <row r="1695" spans="78:81">
      <c r="BZ1695" t="s">
        <v>3724</v>
      </c>
      <c r="CB1695" s="120">
        <v>1</v>
      </c>
      <c r="CC1695" s="120">
        <v>0</v>
      </c>
    </row>
    <row r="1696" spans="78:81">
      <c r="BZ1696" t="s">
        <v>2716</v>
      </c>
      <c r="CB1696" s="120">
        <v>1</v>
      </c>
      <c r="CC1696" s="120">
        <v>0</v>
      </c>
    </row>
    <row r="1697" spans="78:81">
      <c r="BZ1697" t="s">
        <v>3725</v>
      </c>
      <c r="CB1697" s="120">
        <v>1</v>
      </c>
      <c r="CC1697" s="120">
        <v>0</v>
      </c>
    </row>
    <row r="1698" spans="78:81">
      <c r="BZ1698" t="s">
        <v>2717</v>
      </c>
      <c r="CB1698" s="120">
        <v>1</v>
      </c>
      <c r="CC1698" s="120">
        <v>0</v>
      </c>
    </row>
    <row r="1699" spans="78:81">
      <c r="BZ1699" t="s">
        <v>3726</v>
      </c>
      <c r="CB1699" s="120">
        <v>1</v>
      </c>
      <c r="CC1699" s="120">
        <v>0</v>
      </c>
    </row>
    <row r="1700" spans="78:81">
      <c r="BZ1700" t="s">
        <v>2718</v>
      </c>
      <c r="CB1700" s="120">
        <v>1</v>
      </c>
      <c r="CC1700" s="120">
        <v>0</v>
      </c>
    </row>
    <row r="1701" spans="78:81">
      <c r="BZ1701" t="s">
        <v>3727</v>
      </c>
      <c r="CB1701" s="120">
        <v>1</v>
      </c>
      <c r="CC1701" s="120">
        <v>0</v>
      </c>
    </row>
    <row r="1702" spans="78:81">
      <c r="BZ1702" t="s">
        <v>2719</v>
      </c>
      <c r="CB1702" s="120">
        <v>1</v>
      </c>
      <c r="CC1702" s="120">
        <v>0</v>
      </c>
    </row>
    <row r="1703" spans="78:81">
      <c r="BZ1703" t="s">
        <v>3728</v>
      </c>
      <c r="CB1703" s="120">
        <v>1</v>
      </c>
      <c r="CC1703" s="120">
        <v>0</v>
      </c>
    </row>
    <row r="1704" spans="78:81">
      <c r="BZ1704" t="s">
        <v>2720</v>
      </c>
      <c r="CB1704" s="120">
        <v>1</v>
      </c>
      <c r="CC1704" s="120">
        <v>0</v>
      </c>
    </row>
    <row r="1705" spans="78:81">
      <c r="BZ1705" t="s">
        <v>3729</v>
      </c>
      <c r="CB1705" s="120">
        <v>1</v>
      </c>
      <c r="CC1705" s="120">
        <v>0</v>
      </c>
    </row>
    <row r="1706" spans="78:81">
      <c r="BZ1706" t="s">
        <v>2721</v>
      </c>
      <c r="CB1706" s="120">
        <v>1</v>
      </c>
      <c r="CC1706" s="120">
        <v>0</v>
      </c>
    </row>
    <row r="1707" spans="78:81">
      <c r="BZ1707" t="s">
        <v>3730</v>
      </c>
      <c r="CB1707" s="120">
        <v>1</v>
      </c>
      <c r="CC1707" s="120">
        <v>0</v>
      </c>
    </row>
    <row r="1708" spans="78:81">
      <c r="BZ1708" t="s">
        <v>2722</v>
      </c>
      <c r="CB1708" s="120">
        <v>1</v>
      </c>
      <c r="CC1708" s="120">
        <v>0</v>
      </c>
    </row>
    <row r="1709" spans="78:81">
      <c r="BZ1709" t="s">
        <v>3731</v>
      </c>
      <c r="CB1709" s="120">
        <v>1</v>
      </c>
      <c r="CC1709" s="120">
        <v>0</v>
      </c>
    </row>
    <row r="1710" spans="78:81">
      <c r="BZ1710" t="s">
        <v>2723</v>
      </c>
      <c r="CB1710" s="120">
        <v>1</v>
      </c>
      <c r="CC1710" s="120">
        <v>0</v>
      </c>
    </row>
    <row r="1711" spans="78:81">
      <c r="BZ1711" t="s">
        <v>3732</v>
      </c>
      <c r="CB1711" s="120">
        <v>1</v>
      </c>
      <c r="CC1711" s="120">
        <v>0</v>
      </c>
    </row>
    <row r="1712" spans="78:81">
      <c r="BZ1712" t="s">
        <v>2724</v>
      </c>
      <c r="CB1712" s="120">
        <v>1</v>
      </c>
      <c r="CC1712" s="120">
        <v>0</v>
      </c>
    </row>
    <row r="1713" spans="78:81">
      <c r="BZ1713" t="s">
        <v>3733</v>
      </c>
      <c r="CB1713" s="120">
        <v>1</v>
      </c>
      <c r="CC1713" s="120">
        <v>0</v>
      </c>
    </row>
    <row r="1714" spans="78:81">
      <c r="BZ1714" t="s">
        <v>2725</v>
      </c>
      <c r="CB1714" s="120">
        <v>1</v>
      </c>
      <c r="CC1714" s="120">
        <v>0</v>
      </c>
    </row>
    <row r="1715" spans="78:81">
      <c r="BZ1715" t="s">
        <v>3734</v>
      </c>
      <c r="CB1715" s="120">
        <v>1</v>
      </c>
      <c r="CC1715" s="120">
        <v>0</v>
      </c>
    </row>
    <row r="1716" spans="78:81">
      <c r="BZ1716" t="s">
        <v>2726</v>
      </c>
      <c r="CB1716" s="120">
        <v>1</v>
      </c>
      <c r="CC1716" s="120">
        <v>0</v>
      </c>
    </row>
    <row r="1717" spans="78:81">
      <c r="BZ1717" t="s">
        <v>3735</v>
      </c>
      <c r="CB1717" s="120">
        <v>1</v>
      </c>
      <c r="CC1717" s="120">
        <v>0</v>
      </c>
    </row>
    <row r="1718" spans="78:81">
      <c r="BZ1718" t="s">
        <v>2727</v>
      </c>
      <c r="CB1718" s="120">
        <v>1</v>
      </c>
      <c r="CC1718" s="120">
        <v>0</v>
      </c>
    </row>
    <row r="1719" spans="78:81">
      <c r="BZ1719" t="s">
        <v>3736</v>
      </c>
      <c r="CB1719" s="120">
        <v>1</v>
      </c>
      <c r="CC1719" s="120">
        <v>0</v>
      </c>
    </row>
    <row r="1720" spans="78:81">
      <c r="BZ1720" t="s">
        <v>2728</v>
      </c>
      <c r="CB1720" s="120">
        <v>1</v>
      </c>
      <c r="CC1720" s="120">
        <v>0</v>
      </c>
    </row>
    <row r="1721" spans="78:81">
      <c r="BZ1721" t="s">
        <v>3737</v>
      </c>
      <c r="CB1721" s="120">
        <v>1</v>
      </c>
      <c r="CC1721" s="120">
        <v>0</v>
      </c>
    </row>
    <row r="1722" spans="78:81">
      <c r="BZ1722" t="s">
        <v>2729</v>
      </c>
      <c r="CB1722" s="120">
        <v>1</v>
      </c>
      <c r="CC1722" s="120">
        <v>0</v>
      </c>
    </row>
    <row r="1723" spans="78:81">
      <c r="BZ1723" t="s">
        <v>3738</v>
      </c>
      <c r="CB1723" s="120">
        <v>1</v>
      </c>
      <c r="CC1723" s="120">
        <v>0</v>
      </c>
    </row>
    <row r="1724" spans="78:81">
      <c r="BZ1724" t="s">
        <v>2730</v>
      </c>
      <c r="CB1724" s="120">
        <v>1</v>
      </c>
      <c r="CC1724" s="120">
        <v>0</v>
      </c>
    </row>
    <row r="1725" spans="78:81">
      <c r="BZ1725" t="s">
        <v>3739</v>
      </c>
      <c r="CB1725" s="120">
        <v>1</v>
      </c>
      <c r="CC1725" s="120">
        <v>0</v>
      </c>
    </row>
    <row r="1726" spans="78:81">
      <c r="BZ1726" t="s">
        <v>2731</v>
      </c>
      <c r="CB1726" s="120">
        <v>1</v>
      </c>
      <c r="CC1726" s="120">
        <v>0</v>
      </c>
    </row>
    <row r="1727" spans="78:81">
      <c r="BZ1727" t="s">
        <v>3740</v>
      </c>
      <c r="CB1727" s="120">
        <v>1</v>
      </c>
      <c r="CC1727" s="120">
        <v>0</v>
      </c>
    </row>
    <row r="1728" spans="78:81">
      <c r="BZ1728" t="s">
        <v>2732</v>
      </c>
      <c r="CB1728" s="120">
        <v>1</v>
      </c>
      <c r="CC1728" s="120">
        <v>0</v>
      </c>
    </row>
    <row r="1729" spans="78:81">
      <c r="BZ1729" t="s">
        <v>3741</v>
      </c>
      <c r="CB1729" s="120">
        <v>1</v>
      </c>
      <c r="CC1729" s="120">
        <v>0</v>
      </c>
    </row>
    <row r="1730" spans="78:81">
      <c r="BZ1730" t="s">
        <v>2733</v>
      </c>
      <c r="CB1730" s="120">
        <v>1</v>
      </c>
      <c r="CC1730" s="120">
        <v>0</v>
      </c>
    </row>
    <row r="1731" spans="78:81">
      <c r="BZ1731" t="s">
        <v>3742</v>
      </c>
      <c r="CB1731" s="120">
        <v>1</v>
      </c>
      <c r="CC1731" s="120">
        <v>0</v>
      </c>
    </row>
    <row r="1732" spans="78:81">
      <c r="BZ1732" t="s">
        <v>2734</v>
      </c>
      <c r="CB1732" s="120">
        <v>1</v>
      </c>
      <c r="CC1732" s="120">
        <v>0</v>
      </c>
    </row>
    <row r="1733" spans="78:81">
      <c r="BZ1733" t="s">
        <v>3743</v>
      </c>
      <c r="CB1733" s="120">
        <v>1</v>
      </c>
      <c r="CC1733" s="120">
        <v>0</v>
      </c>
    </row>
    <row r="1734" spans="78:81">
      <c r="BZ1734" t="s">
        <v>2735</v>
      </c>
      <c r="CB1734" s="120">
        <v>1</v>
      </c>
      <c r="CC1734" s="120">
        <v>0</v>
      </c>
    </row>
    <row r="1735" spans="78:81">
      <c r="BZ1735" t="s">
        <v>3744</v>
      </c>
      <c r="CB1735" s="120">
        <v>1</v>
      </c>
      <c r="CC1735" s="120">
        <v>0</v>
      </c>
    </row>
    <row r="1736" spans="78:81">
      <c r="BZ1736" t="s">
        <v>2736</v>
      </c>
      <c r="CB1736" s="120">
        <v>1</v>
      </c>
      <c r="CC1736" s="120">
        <v>0</v>
      </c>
    </row>
    <row r="1737" spans="78:81">
      <c r="BZ1737" t="s">
        <v>3745</v>
      </c>
      <c r="CB1737" s="120">
        <v>1</v>
      </c>
      <c r="CC1737" s="120">
        <v>0</v>
      </c>
    </row>
    <row r="1738" spans="78:81">
      <c r="BZ1738" t="s">
        <v>2737</v>
      </c>
      <c r="CB1738" s="120">
        <v>1</v>
      </c>
      <c r="CC1738" s="120">
        <v>0</v>
      </c>
    </row>
    <row r="1739" spans="78:81">
      <c r="BZ1739" t="s">
        <v>3746</v>
      </c>
      <c r="CB1739" s="120">
        <v>1</v>
      </c>
      <c r="CC1739" s="120">
        <v>0</v>
      </c>
    </row>
    <row r="1740" spans="78:81">
      <c r="BZ1740" t="s">
        <v>2738</v>
      </c>
      <c r="CB1740" s="120">
        <v>1</v>
      </c>
      <c r="CC1740" s="120">
        <v>0</v>
      </c>
    </row>
    <row r="1741" spans="78:81">
      <c r="BZ1741" t="s">
        <v>3747</v>
      </c>
      <c r="CB1741" s="120">
        <v>1</v>
      </c>
      <c r="CC1741" s="120">
        <v>0</v>
      </c>
    </row>
    <row r="1742" spans="78:81">
      <c r="BZ1742" t="s">
        <v>2739</v>
      </c>
      <c r="CB1742" s="120">
        <v>1</v>
      </c>
      <c r="CC1742" s="120">
        <v>0</v>
      </c>
    </row>
    <row r="1743" spans="78:81">
      <c r="BZ1743" t="s">
        <v>3748</v>
      </c>
      <c r="CB1743" s="120">
        <v>1</v>
      </c>
      <c r="CC1743" s="120">
        <v>0</v>
      </c>
    </row>
    <row r="1744" spans="78:81">
      <c r="BZ1744" t="s">
        <v>2740</v>
      </c>
      <c r="CB1744" s="120">
        <v>1</v>
      </c>
      <c r="CC1744" s="120">
        <v>0</v>
      </c>
    </row>
    <row r="1745" spans="78:81">
      <c r="BZ1745" t="s">
        <v>3749</v>
      </c>
      <c r="CB1745" s="120">
        <v>1</v>
      </c>
      <c r="CC1745" s="120">
        <v>0</v>
      </c>
    </row>
    <row r="1746" spans="78:81">
      <c r="BZ1746" t="s">
        <v>2741</v>
      </c>
      <c r="CB1746" s="120">
        <v>1</v>
      </c>
      <c r="CC1746" s="120">
        <v>0</v>
      </c>
    </row>
    <row r="1747" spans="78:81">
      <c r="BZ1747" t="s">
        <v>3750</v>
      </c>
      <c r="CB1747" s="120">
        <v>1</v>
      </c>
      <c r="CC1747" s="120">
        <v>0</v>
      </c>
    </row>
    <row r="1748" spans="78:81">
      <c r="BZ1748" t="s">
        <v>2742</v>
      </c>
      <c r="CB1748" s="120">
        <v>1</v>
      </c>
      <c r="CC1748" s="120">
        <v>0</v>
      </c>
    </row>
    <row r="1749" spans="78:81">
      <c r="BZ1749" t="s">
        <v>3751</v>
      </c>
      <c r="CB1749" s="120">
        <v>1</v>
      </c>
      <c r="CC1749" s="120">
        <v>0</v>
      </c>
    </row>
    <row r="1750" spans="78:81">
      <c r="BZ1750" t="s">
        <v>2743</v>
      </c>
      <c r="CB1750" s="120">
        <v>1</v>
      </c>
      <c r="CC1750" s="120">
        <v>0</v>
      </c>
    </row>
    <row r="1751" spans="78:81">
      <c r="BZ1751" t="s">
        <v>3752</v>
      </c>
      <c r="CB1751" s="120">
        <v>1</v>
      </c>
      <c r="CC1751" s="120">
        <v>0</v>
      </c>
    </row>
    <row r="1752" spans="78:81">
      <c r="BZ1752" t="s">
        <v>2744</v>
      </c>
      <c r="CB1752" s="120">
        <v>1</v>
      </c>
      <c r="CC1752" s="120">
        <v>0</v>
      </c>
    </row>
    <row r="1753" spans="78:81">
      <c r="BZ1753" t="s">
        <v>3753</v>
      </c>
      <c r="CB1753" s="120">
        <v>1</v>
      </c>
      <c r="CC1753" s="120">
        <v>0</v>
      </c>
    </row>
    <row r="1754" spans="78:81">
      <c r="BZ1754" t="s">
        <v>2745</v>
      </c>
      <c r="CB1754" s="120">
        <v>1</v>
      </c>
      <c r="CC1754" s="120">
        <v>0</v>
      </c>
    </row>
    <row r="1755" spans="78:81">
      <c r="BZ1755" t="s">
        <v>3754</v>
      </c>
      <c r="CB1755" s="120">
        <v>1</v>
      </c>
      <c r="CC1755" s="120">
        <v>0</v>
      </c>
    </row>
    <row r="1756" spans="78:81">
      <c r="BZ1756" t="s">
        <v>2746</v>
      </c>
      <c r="CB1756" s="120">
        <v>1</v>
      </c>
      <c r="CC1756" s="120">
        <v>0</v>
      </c>
    </row>
    <row r="1757" spans="78:81">
      <c r="BZ1757" t="s">
        <v>3755</v>
      </c>
      <c r="CB1757" s="120">
        <v>1</v>
      </c>
      <c r="CC1757" s="120">
        <v>0</v>
      </c>
    </row>
    <row r="1758" spans="78:81">
      <c r="BZ1758" t="s">
        <v>2747</v>
      </c>
      <c r="CB1758" s="120">
        <v>1</v>
      </c>
      <c r="CC1758" s="120">
        <v>0</v>
      </c>
    </row>
    <row r="1759" spans="78:81">
      <c r="BZ1759" t="s">
        <v>3756</v>
      </c>
      <c r="CB1759" s="120">
        <v>1</v>
      </c>
      <c r="CC1759" s="120">
        <v>0</v>
      </c>
    </row>
    <row r="1760" spans="78:81">
      <c r="BZ1760" t="s">
        <v>2748</v>
      </c>
      <c r="CB1760" s="120">
        <v>1</v>
      </c>
      <c r="CC1760" s="120">
        <v>0</v>
      </c>
    </row>
    <row r="1761" spans="78:81">
      <c r="BZ1761" t="s">
        <v>3757</v>
      </c>
      <c r="CB1761" s="120">
        <v>1</v>
      </c>
      <c r="CC1761" s="120">
        <v>0</v>
      </c>
    </row>
    <row r="1762" spans="78:81">
      <c r="BZ1762" t="s">
        <v>2749</v>
      </c>
      <c r="CB1762" s="120">
        <v>1</v>
      </c>
      <c r="CC1762" s="120">
        <v>0</v>
      </c>
    </row>
    <row r="1763" spans="78:81">
      <c r="BZ1763" t="s">
        <v>3758</v>
      </c>
      <c r="CB1763" s="120">
        <v>1</v>
      </c>
      <c r="CC1763" s="120">
        <v>0</v>
      </c>
    </row>
    <row r="1764" spans="78:81">
      <c r="BZ1764" t="s">
        <v>2750</v>
      </c>
      <c r="CB1764" s="120">
        <v>1</v>
      </c>
      <c r="CC1764" s="120">
        <v>0</v>
      </c>
    </row>
    <row r="1765" spans="78:81">
      <c r="BZ1765" t="s">
        <v>3759</v>
      </c>
      <c r="CB1765" s="120">
        <v>1</v>
      </c>
      <c r="CC1765" s="120">
        <v>0</v>
      </c>
    </row>
    <row r="1766" spans="78:81">
      <c r="BZ1766" t="s">
        <v>2751</v>
      </c>
      <c r="CB1766" s="120">
        <v>1</v>
      </c>
      <c r="CC1766" s="120">
        <v>0</v>
      </c>
    </row>
    <row r="1767" spans="78:81">
      <c r="BZ1767" t="s">
        <v>3760</v>
      </c>
      <c r="CB1767" s="120">
        <v>1</v>
      </c>
      <c r="CC1767" s="120">
        <v>0</v>
      </c>
    </row>
    <row r="1768" spans="78:81">
      <c r="BZ1768" t="s">
        <v>2752</v>
      </c>
      <c r="CB1768" s="120">
        <v>1</v>
      </c>
      <c r="CC1768" s="120">
        <v>0</v>
      </c>
    </row>
    <row r="1769" spans="78:81">
      <c r="BZ1769" t="s">
        <v>3761</v>
      </c>
      <c r="CB1769" s="120">
        <v>1</v>
      </c>
      <c r="CC1769" s="120">
        <v>0</v>
      </c>
    </row>
    <row r="1770" spans="78:81">
      <c r="BZ1770" t="s">
        <v>2753</v>
      </c>
      <c r="CB1770" s="120">
        <v>1</v>
      </c>
      <c r="CC1770" s="120">
        <v>0</v>
      </c>
    </row>
    <row r="1771" spans="78:81">
      <c r="BZ1771" t="s">
        <v>3762</v>
      </c>
      <c r="CB1771" s="120">
        <v>1</v>
      </c>
      <c r="CC1771" s="120">
        <v>0</v>
      </c>
    </row>
    <row r="1772" spans="78:81">
      <c r="BZ1772" t="s">
        <v>2754</v>
      </c>
      <c r="CB1772" s="120">
        <v>1</v>
      </c>
      <c r="CC1772" s="120">
        <v>0</v>
      </c>
    </row>
    <row r="1773" spans="78:81">
      <c r="BZ1773" t="s">
        <v>3763</v>
      </c>
      <c r="CB1773" s="120">
        <v>1</v>
      </c>
      <c r="CC1773" s="120">
        <v>0</v>
      </c>
    </row>
    <row r="1774" spans="78:81">
      <c r="BZ1774" t="s">
        <v>2755</v>
      </c>
      <c r="CB1774" s="120">
        <v>1</v>
      </c>
      <c r="CC1774" s="120">
        <v>0</v>
      </c>
    </row>
    <row r="1775" spans="78:81">
      <c r="BZ1775" t="s">
        <v>3764</v>
      </c>
      <c r="CB1775" s="120">
        <v>1</v>
      </c>
      <c r="CC1775" s="120">
        <v>0</v>
      </c>
    </row>
    <row r="1776" spans="78:81">
      <c r="BZ1776" t="s">
        <v>2756</v>
      </c>
      <c r="CB1776" s="120">
        <v>1</v>
      </c>
      <c r="CC1776" s="120">
        <v>0</v>
      </c>
    </row>
    <row r="1777" spans="78:81">
      <c r="BZ1777" t="s">
        <v>3765</v>
      </c>
      <c r="CB1777" s="120">
        <v>1</v>
      </c>
      <c r="CC1777" s="120">
        <v>0</v>
      </c>
    </row>
    <row r="1778" spans="78:81">
      <c r="BZ1778" t="s">
        <v>2757</v>
      </c>
      <c r="CB1778" s="120">
        <v>1</v>
      </c>
      <c r="CC1778" s="120">
        <v>0</v>
      </c>
    </row>
    <row r="1779" spans="78:81">
      <c r="BZ1779" t="s">
        <v>3766</v>
      </c>
      <c r="CB1779" s="120">
        <v>1</v>
      </c>
      <c r="CC1779" s="120">
        <v>0</v>
      </c>
    </row>
    <row r="1780" spans="78:81">
      <c r="BZ1780" t="s">
        <v>2758</v>
      </c>
      <c r="CB1780" s="120">
        <v>1</v>
      </c>
      <c r="CC1780" s="120">
        <v>0</v>
      </c>
    </row>
    <row r="1781" spans="78:81">
      <c r="BZ1781" t="s">
        <v>3767</v>
      </c>
      <c r="CB1781" s="120">
        <v>1</v>
      </c>
      <c r="CC1781" s="120">
        <v>0</v>
      </c>
    </row>
    <row r="1782" spans="78:81">
      <c r="BZ1782" t="s">
        <v>2759</v>
      </c>
      <c r="CB1782" s="120">
        <v>1</v>
      </c>
      <c r="CC1782" s="120">
        <v>0</v>
      </c>
    </row>
    <row r="1783" spans="78:81">
      <c r="BZ1783" t="s">
        <v>3768</v>
      </c>
      <c r="CB1783" s="120">
        <v>1</v>
      </c>
      <c r="CC1783" s="120">
        <v>0</v>
      </c>
    </row>
    <row r="1784" spans="78:81">
      <c r="BZ1784" t="s">
        <v>2760</v>
      </c>
      <c r="CB1784" s="120">
        <v>1</v>
      </c>
      <c r="CC1784" s="120">
        <v>0</v>
      </c>
    </row>
    <row r="1785" spans="78:81">
      <c r="BZ1785" t="s">
        <v>3769</v>
      </c>
      <c r="CB1785" s="120">
        <v>1</v>
      </c>
      <c r="CC1785" s="120">
        <v>0</v>
      </c>
    </row>
    <row r="1786" spans="78:81">
      <c r="BZ1786" t="s">
        <v>2761</v>
      </c>
      <c r="CB1786" s="120">
        <v>1</v>
      </c>
      <c r="CC1786" s="120">
        <v>0</v>
      </c>
    </row>
    <row r="1787" spans="78:81">
      <c r="BZ1787" t="s">
        <v>3770</v>
      </c>
      <c r="CB1787" s="120">
        <v>1</v>
      </c>
      <c r="CC1787" s="120">
        <v>0</v>
      </c>
    </row>
    <row r="1788" spans="78:81">
      <c r="BZ1788" t="s">
        <v>2762</v>
      </c>
      <c r="CB1788" s="120">
        <v>1</v>
      </c>
      <c r="CC1788" s="120">
        <v>0</v>
      </c>
    </row>
    <row r="1789" spans="78:81">
      <c r="BZ1789" t="s">
        <v>3771</v>
      </c>
      <c r="CB1789" s="120">
        <v>1</v>
      </c>
      <c r="CC1789" s="120">
        <v>0</v>
      </c>
    </row>
    <row r="1790" spans="78:81">
      <c r="BZ1790" t="s">
        <v>2763</v>
      </c>
      <c r="CB1790" s="120">
        <v>1</v>
      </c>
      <c r="CC1790" s="120">
        <v>0</v>
      </c>
    </row>
    <row r="1791" spans="78:81">
      <c r="BZ1791" t="s">
        <v>3772</v>
      </c>
      <c r="CB1791" s="120">
        <v>1</v>
      </c>
      <c r="CC1791" s="120">
        <v>0</v>
      </c>
    </row>
    <row r="1792" spans="78:81">
      <c r="BZ1792" t="s">
        <v>2764</v>
      </c>
      <c r="CB1792" s="120">
        <v>1</v>
      </c>
      <c r="CC1792" s="120">
        <v>0</v>
      </c>
    </row>
    <row r="1793" spans="78:81">
      <c r="BZ1793" t="s">
        <v>3773</v>
      </c>
      <c r="CB1793" s="120">
        <v>1</v>
      </c>
      <c r="CC1793" s="120">
        <v>0</v>
      </c>
    </row>
    <row r="1794" spans="78:81">
      <c r="BZ1794" t="s">
        <v>2765</v>
      </c>
      <c r="CB1794" s="120">
        <v>1</v>
      </c>
      <c r="CC1794" s="120">
        <v>0</v>
      </c>
    </row>
    <row r="1795" spans="78:81">
      <c r="BZ1795" t="s">
        <v>3774</v>
      </c>
      <c r="CB1795" s="120">
        <v>1</v>
      </c>
      <c r="CC1795" s="120">
        <v>0</v>
      </c>
    </row>
    <row r="1796" spans="78:81">
      <c r="BZ1796" t="s">
        <v>2766</v>
      </c>
      <c r="CB1796" s="120">
        <v>1</v>
      </c>
      <c r="CC1796" s="120">
        <v>0</v>
      </c>
    </row>
    <row r="1797" spans="78:81">
      <c r="BZ1797" t="s">
        <v>3775</v>
      </c>
      <c r="CB1797" s="120">
        <v>1</v>
      </c>
      <c r="CC1797" s="120">
        <v>0</v>
      </c>
    </row>
    <row r="1798" spans="78:81">
      <c r="BZ1798" t="s">
        <v>2767</v>
      </c>
      <c r="CB1798" s="120">
        <v>1</v>
      </c>
      <c r="CC1798" s="120">
        <v>0</v>
      </c>
    </row>
    <row r="1799" spans="78:81">
      <c r="BZ1799" t="s">
        <v>3776</v>
      </c>
      <c r="CB1799" s="120">
        <v>1</v>
      </c>
      <c r="CC1799" s="120">
        <v>0</v>
      </c>
    </row>
    <row r="1800" spans="78:81">
      <c r="BZ1800" t="s">
        <v>2768</v>
      </c>
      <c r="CB1800" s="120">
        <v>1</v>
      </c>
      <c r="CC1800" s="120">
        <v>0</v>
      </c>
    </row>
    <row r="1801" spans="78:81">
      <c r="BZ1801" t="s">
        <v>3777</v>
      </c>
      <c r="CB1801" s="120">
        <v>1</v>
      </c>
      <c r="CC1801" s="120">
        <v>0</v>
      </c>
    </row>
    <row r="1802" spans="78:81">
      <c r="BZ1802" t="s">
        <v>2769</v>
      </c>
      <c r="CB1802" s="120">
        <v>1</v>
      </c>
      <c r="CC1802" s="120">
        <v>0</v>
      </c>
    </row>
    <row r="1803" spans="78:81">
      <c r="BZ1803" t="s">
        <v>3778</v>
      </c>
      <c r="CB1803" s="120">
        <v>1</v>
      </c>
      <c r="CC1803" s="120">
        <v>0</v>
      </c>
    </row>
    <row r="1804" spans="78:81">
      <c r="BZ1804" t="s">
        <v>2770</v>
      </c>
      <c r="CB1804" s="120">
        <v>1</v>
      </c>
      <c r="CC1804" s="120">
        <v>0</v>
      </c>
    </row>
    <row r="1805" spans="78:81">
      <c r="BZ1805" t="s">
        <v>3779</v>
      </c>
      <c r="CB1805" s="120">
        <v>1</v>
      </c>
      <c r="CC1805" s="120">
        <v>0</v>
      </c>
    </row>
    <row r="1806" spans="78:81">
      <c r="BZ1806" t="s">
        <v>2771</v>
      </c>
      <c r="CB1806" s="120">
        <v>1</v>
      </c>
      <c r="CC1806" s="120">
        <v>0</v>
      </c>
    </row>
    <row r="1807" spans="78:81">
      <c r="BZ1807" t="s">
        <v>3780</v>
      </c>
      <c r="CB1807" s="120">
        <v>1</v>
      </c>
      <c r="CC1807" s="120">
        <v>0</v>
      </c>
    </row>
    <row r="1808" spans="78:81">
      <c r="BZ1808" t="s">
        <v>2772</v>
      </c>
      <c r="CB1808" s="120">
        <v>1</v>
      </c>
      <c r="CC1808" s="120">
        <v>0</v>
      </c>
    </row>
    <row r="1809" spans="78:81">
      <c r="BZ1809" t="s">
        <v>3781</v>
      </c>
      <c r="CB1809" s="120">
        <v>1</v>
      </c>
      <c r="CC1809" s="120">
        <v>0</v>
      </c>
    </row>
    <row r="1810" spans="78:81">
      <c r="BZ1810" t="s">
        <v>2773</v>
      </c>
      <c r="CB1810" s="120">
        <v>1</v>
      </c>
      <c r="CC1810" s="120">
        <v>0</v>
      </c>
    </row>
    <row r="1811" spans="78:81">
      <c r="BZ1811" t="s">
        <v>3782</v>
      </c>
      <c r="CB1811" s="120">
        <v>1</v>
      </c>
      <c r="CC1811" s="120">
        <v>0</v>
      </c>
    </row>
    <row r="1812" spans="78:81">
      <c r="BZ1812" t="s">
        <v>2774</v>
      </c>
      <c r="CB1812" s="120">
        <v>1</v>
      </c>
      <c r="CC1812" s="120">
        <v>0</v>
      </c>
    </row>
    <row r="1813" spans="78:81">
      <c r="BZ1813" t="s">
        <v>3783</v>
      </c>
      <c r="CB1813" s="120">
        <v>1</v>
      </c>
      <c r="CC1813" s="120">
        <v>0</v>
      </c>
    </row>
    <row r="1814" spans="78:81">
      <c r="BZ1814" t="s">
        <v>2775</v>
      </c>
      <c r="CB1814" s="120">
        <v>1</v>
      </c>
      <c r="CC1814" s="120">
        <v>0</v>
      </c>
    </row>
    <row r="1815" spans="78:81">
      <c r="BZ1815" t="s">
        <v>3784</v>
      </c>
      <c r="CB1815" s="120">
        <v>1</v>
      </c>
      <c r="CC1815" s="120">
        <v>0</v>
      </c>
    </row>
    <row r="1816" spans="78:81">
      <c r="BZ1816" t="s">
        <v>2776</v>
      </c>
      <c r="CB1816" s="120">
        <v>1</v>
      </c>
      <c r="CC1816" s="120">
        <v>0</v>
      </c>
    </row>
    <row r="1817" spans="78:81">
      <c r="BZ1817" t="s">
        <v>3785</v>
      </c>
      <c r="CB1817" s="120">
        <v>1</v>
      </c>
      <c r="CC1817" s="120">
        <v>0</v>
      </c>
    </row>
    <row r="1818" spans="78:81">
      <c r="BZ1818" t="s">
        <v>2777</v>
      </c>
      <c r="CB1818" s="120">
        <v>1</v>
      </c>
      <c r="CC1818" s="120">
        <v>0</v>
      </c>
    </row>
    <row r="1819" spans="78:81">
      <c r="BZ1819" t="s">
        <v>3786</v>
      </c>
      <c r="CB1819" s="120">
        <v>1</v>
      </c>
      <c r="CC1819" s="120">
        <v>0</v>
      </c>
    </row>
    <row r="1820" spans="78:81">
      <c r="BZ1820" t="s">
        <v>2778</v>
      </c>
      <c r="CB1820" s="120">
        <v>1</v>
      </c>
      <c r="CC1820" s="120">
        <v>0</v>
      </c>
    </row>
    <row r="1821" spans="78:81">
      <c r="BZ1821" t="s">
        <v>3787</v>
      </c>
      <c r="CB1821" s="120">
        <v>1</v>
      </c>
      <c r="CC1821" s="120">
        <v>0</v>
      </c>
    </row>
    <row r="1822" spans="78:81">
      <c r="BZ1822" t="s">
        <v>2779</v>
      </c>
      <c r="CB1822" s="120">
        <v>1</v>
      </c>
      <c r="CC1822" s="120">
        <v>0</v>
      </c>
    </row>
    <row r="1823" spans="78:81">
      <c r="BZ1823" t="s">
        <v>3788</v>
      </c>
      <c r="CB1823" s="120">
        <v>1</v>
      </c>
      <c r="CC1823" s="120">
        <v>0</v>
      </c>
    </row>
    <row r="1824" spans="78:81">
      <c r="BZ1824" t="s">
        <v>2780</v>
      </c>
      <c r="CB1824" s="120">
        <v>1</v>
      </c>
      <c r="CC1824" s="120">
        <v>0</v>
      </c>
    </row>
    <row r="1825" spans="78:81">
      <c r="BZ1825" t="s">
        <v>3789</v>
      </c>
      <c r="CB1825" s="120">
        <v>1</v>
      </c>
      <c r="CC1825" s="120">
        <v>0</v>
      </c>
    </row>
    <row r="1826" spans="78:81">
      <c r="BZ1826" t="s">
        <v>2781</v>
      </c>
      <c r="CB1826" s="120">
        <v>1</v>
      </c>
      <c r="CC1826" s="120">
        <v>0</v>
      </c>
    </row>
    <row r="1827" spans="78:81">
      <c r="BZ1827" t="s">
        <v>3790</v>
      </c>
      <c r="CB1827" s="120">
        <v>1</v>
      </c>
      <c r="CC1827" s="120">
        <v>0</v>
      </c>
    </row>
    <row r="1828" spans="78:81">
      <c r="BZ1828" t="s">
        <v>2782</v>
      </c>
      <c r="CB1828" s="120">
        <v>1</v>
      </c>
      <c r="CC1828" s="120">
        <v>0</v>
      </c>
    </row>
    <row r="1829" spans="78:81">
      <c r="BZ1829" t="s">
        <v>3791</v>
      </c>
      <c r="CB1829" s="120">
        <v>1</v>
      </c>
      <c r="CC1829" s="120">
        <v>0</v>
      </c>
    </row>
    <row r="1830" spans="78:81">
      <c r="BZ1830" t="s">
        <v>2783</v>
      </c>
      <c r="CB1830" s="120">
        <v>1</v>
      </c>
      <c r="CC1830" s="120">
        <v>0</v>
      </c>
    </row>
    <row r="1831" spans="78:81">
      <c r="BZ1831" t="s">
        <v>3792</v>
      </c>
      <c r="CB1831" s="120">
        <v>1</v>
      </c>
      <c r="CC1831" s="120">
        <v>0</v>
      </c>
    </row>
    <row r="1832" spans="78:81">
      <c r="BZ1832" t="s">
        <v>2784</v>
      </c>
      <c r="CB1832" s="120">
        <v>1</v>
      </c>
      <c r="CC1832" s="120">
        <v>0</v>
      </c>
    </row>
    <row r="1833" spans="78:81">
      <c r="BZ1833" t="s">
        <v>3793</v>
      </c>
      <c r="CB1833" s="120">
        <v>1</v>
      </c>
      <c r="CC1833" s="120">
        <v>0</v>
      </c>
    </row>
    <row r="1834" spans="78:81">
      <c r="BZ1834" t="s">
        <v>2785</v>
      </c>
      <c r="CB1834" s="120">
        <v>1</v>
      </c>
      <c r="CC1834" s="120">
        <v>0</v>
      </c>
    </row>
    <row r="1835" spans="78:81">
      <c r="BZ1835" t="s">
        <v>3794</v>
      </c>
      <c r="CB1835" s="120">
        <v>1</v>
      </c>
      <c r="CC1835" s="120">
        <v>0</v>
      </c>
    </row>
    <row r="1836" spans="78:81">
      <c r="BZ1836" t="s">
        <v>2786</v>
      </c>
      <c r="CB1836" s="120">
        <v>1</v>
      </c>
      <c r="CC1836" s="120">
        <v>0</v>
      </c>
    </row>
    <row r="1837" spans="78:81">
      <c r="BZ1837" t="s">
        <v>3795</v>
      </c>
      <c r="CB1837" s="120">
        <v>1</v>
      </c>
      <c r="CC1837" s="120">
        <v>0</v>
      </c>
    </row>
    <row r="1838" spans="78:81">
      <c r="BZ1838" t="s">
        <v>2787</v>
      </c>
      <c r="CB1838" s="120">
        <v>1</v>
      </c>
      <c r="CC1838" s="120">
        <v>0</v>
      </c>
    </row>
    <row r="1839" spans="78:81">
      <c r="BZ1839" t="s">
        <v>3796</v>
      </c>
      <c r="CB1839" s="120">
        <v>1</v>
      </c>
      <c r="CC1839" s="120">
        <v>0</v>
      </c>
    </row>
    <row r="1840" spans="78:81">
      <c r="BZ1840" t="s">
        <v>2788</v>
      </c>
      <c r="CB1840" s="120">
        <v>1</v>
      </c>
      <c r="CC1840" s="120">
        <v>0</v>
      </c>
    </row>
    <row r="1841" spans="78:81">
      <c r="BZ1841" t="s">
        <v>3797</v>
      </c>
      <c r="CB1841" s="120">
        <v>1</v>
      </c>
      <c r="CC1841" s="120">
        <v>0</v>
      </c>
    </row>
    <row r="1842" spans="78:81">
      <c r="BZ1842" t="s">
        <v>2789</v>
      </c>
      <c r="CB1842" s="120">
        <v>1</v>
      </c>
      <c r="CC1842" s="120">
        <v>0</v>
      </c>
    </row>
    <row r="1843" spans="78:81">
      <c r="BZ1843" t="s">
        <v>3798</v>
      </c>
      <c r="CB1843" s="120">
        <v>1</v>
      </c>
      <c r="CC1843" s="120">
        <v>0</v>
      </c>
    </row>
    <row r="1844" spans="78:81">
      <c r="BZ1844" t="s">
        <v>2790</v>
      </c>
      <c r="CB1844" s="120">
        <v>1</v>
      </c>
      <c r="CC1844" s="120">
        <v>0</v>
      </c>
    </row>
    <row r="1845" spans="78:81">
      <c r="BZ1845" t="s">
        <v>3799</v>
      </c>
      <c r="CB1845" s="120">
        <v>1</v>
      </c>
      <c r="CC1845" s="120">
        <v>0</v>
      </c>
    </row>
    <row r="1846" spans="78:81">
      <c r="BZ1846" t="s">
        <v>2791</v>
      </c>
      <c r="CB1846" s="120">
        <v>1</v>
      </c>
      <c r="CC1846" s="120">
        <v>0</v>
      </c>
    </row>
    <row r="1847" spans="78:81">
      <c r="BZ1847" t="s">
        <v>3800</v>
      </c>
      <c r="CB1847" s="120">
        <v>1</v>
      </c>
      <c r="CC1847" s="120">
        <v>0</v>
      </c>
    </row>
    <row r="1848" spans="78:81">
      <c r="BZ1848" t="s">
        <v>2792</v>
      </c>
      <c r="CB1848" s="120">
        <v>1</v>
      </c>
      <c r="CC1848" s="120">
        <v>0</v>
      </c>
    </row>
    <row r="1849" spans="78:81">
      <c r="BZ1849" t="s">
        <v>3801</v>
      </c>
      <c r="CB1849" s="120">
        <v>1</v>
      </c>
      <c r="CC1849" s="120">
        <v>0</v>
      </c>
    </row>
    <row r="1850" spans="78:81">
      <c r="BZ1850" t="s">
        <v>2793</v>
      </c>
      <c r="CB1850" s="120">
        <v>1</v>
      </c>
      <c r="CC1850" s="120">
        <v>0</v>
      </c>
    </row>
    <row r="1851" spans="78:81">
      <c r="BZ1851" t="s">
        <v>3802</v>
      </c>
      <c r="CB1851" s="120">
        <v>1</v>
      </c>
      <c r="CC1851" s="120">
        <v>0</v>
      </c>
    </row>
    <row r="1852" spans="78:81">
      <c r="BZ1852" t="s">
        <v>2794</v>
      </c>
      <c r="CB1852" s="120">
        <v>1</v>
      </c>
      <c r="CC1852" s="120">
        <v>0</v>
      </c>
    </row>
    <row r="1853" spans="78:81">
      <c r="BZ1853" t="s">
        <v>3803</v>
      </c>
      <c r="CB1853" s="120">
        <v>1</v>
      </c>
      <c r="CC1853" s="120">
        <v>0</v>
      </c>
    </row>
    <row r="1854" spans="78:81">
      <c r="BZ1854" t="s">
        <v>2795</v>
      </c>
      <c r="CB1854" s="120">
        <v>1</v>
      </c>
      <c r="CC1854" s="120">
        <v>0</v>
      </c>
    </row>
    <row r="1855" spans="78:81">
      <c r="BZ1855" t="s">
        <v>3804</v>
      </c>
      <c r="CB1855" s="120">
        <v>1</v>
      </c>
      <c r="CC1855" s="120">
        <v>0</v>
      </c>
    </row>
    <row r="1856" spans="78:81">
      <c r="BZ1856" t="s">
        <v>2796</v>
      </c>
      <c r="CB1856" s="120">
        <v>1</v>
      </c>
      <c r="CC1856" s="120">
        <v>0</v>
      </c>
    </row>
    <row r="1857" spans="78:81">
      <c r="BZ1857" t="s">
        <v>3805</v>
      </c>
      <c r="CB1857" s="120">
        <v>1</v>
      </c>
      <c r="CC1857" s="120">
        <v>0</v>
      </c>
    </row>
    <row r="1858" spans="78:81">
      <c r="BZ1858" t="s">
        <v>2797</v>
      </c>
      <c r="CB1858" s="120">
        <v>1</v>
      </c>
      <c r="CC1858" s="120">
        <v>0</v>
      </c>
    </row>
    <row r="1859" spans="78:81">
      <c r="BZ1859" t="s">
        <v>3806</v>
      </c>
      <c r="CB1859" s="120">
        <v>1</v>
      </c>
      <c r="CC1859" s="120">
        <v>0</v>
      </c>
    </row>
    <row r="1860" spans="78:81">
      <c r="BZ1860" t="s">
        <v>2798</v>
      </c>
      <c r="CB1860" s="120">
        <v>1</v>
      </c>
      <c r="CC1860" s="120">
        <v>0</v>
      </c>
    </row>
    <row r="1861" spans="78:81">
      <c r="BZ1861" t="s">
        <v>3807</v>
      </c>
      <c r="CB1861" s="120">
        <v>1</v>
      </c>
      <c r="CC1861" s="120">
        <v>0</v>
      </c>
    </row>
    <row r="1862" spans="78:81">
      <c r="BZ1862" t="s">
        <v>2799</v>
      </c>
      <c r="CB1862" s="120">
        <v>1</v>
      </c>
      <c r="CC1862" s="120">
        <v>0</v>
      </c>
    </row>
    <row r="1863" spans="78:81">
      <c r="BZ1863" t="s">
        <v>3808</v>
      </c>
      <c r="CB1863" s="120">
        <v>1</v>
      </c>
      <c r="CC1863" s="120">
        <v>0</v>
      </c>
    </row>
    <row r="1864" spans="78:81">
      <c r="BZ1864" t="s">
        <v>2800</v>
      </c>
      <c r="CB1864" s="120">
        <v>1</v>
      </c>
      <c r="CC1864" s="120">
        <v>0</v>
      </c>
    </row>
    <row r="1865" spans="78:81">
      <c r="BZ1865" t="s">
        <v>3809</v>
      </c>
      <c r="CB1865" s="120">
        <v>1</v>
      </c>
      <c r="CC1865" s="120">
        <v>0</v>
      </c>
    </row>
    <row r="1866" spans="78:81">
      <c r="BZ1866" t="s">
        <v>2801</v>
      </c>
      <c r="CB1866" s="120">
        <v>1</v>
      </c>
      <c r="CC1866" s="120">
        <v>0</v>
      </c>
    </row>
    <row r="1867" spans="78:81">
      <c r="BZ1867" t="s">
        <v>3810</v>
      </c>
      <c r="CB1867" s="120">
        <v>1</v>
      </c>
      <c r="CC1867" s="120">
        <v>0</v>
      </c>
    </row>
    <row r="1868" spans="78:81">
      <c r="BZ1868" t="s">
        <v>2802</v>
      </c>
      <c r="CB1868" s="120">
        <v>1</v>
      </c>
      <c r="CC1868" s="120">
        <v>0</v>
      </c>
    </row>
    <row r="1869" spans="78:81">
      <c r="BZ1869" t="s">
        <v>3811</v>
      </c>
      <c r="CB1869" s="120">
        <v>1</v>
      </c>
      <c r="CC1869" s="120">
        <v>0</v>
      </c>
    </row>
    <row r="1870" spans="78:81">
      <c r="BZ1870" t="s">
        <v>2803</v>
      </c>
      <c r="CB1870" s="120">
        <v>1</v>
      </c>
      <c r="CC1870" s="120">
        <v>0</v>
      </c>
    </row>
    <row r="1871" spans="78:81">
      <c r="BZ1871" t="s">
        <v>3812</v>
      </c>
      <c r="CB1871" s="120">
        <v>1</v>
      </c>
      <c r="CC1871" s="120">
        <v>0</v>
      </c>
    </row>
    <row r="1872" spans="78:81">
      <c r="BZ1872" t="s">
        <v>2804</v>
      </c>
      <c r="CB1872" s="120">
        <v>1</v>
      </c>
      <c r="CC1872" s="120">
        <v>0</v>
      </c>
    </row>
    <row r="1873" spans="78:81">
      <c r="BZ1873" t="s">
        <v>3813</v>
      </c>
      <c r="CB1873" s="120">
        <v>1</v>
      </c>
      <c r="CC1873" s="120">
        <v>0</v>
      </c>
    </row>
    <row r="1874" spans="78:81">
      <c r="BZ1874" t="s">
        <v>2805</v>
      </c>
      <c r="CB1874" s="120">
        <v>1</v>
      </c>
      <c r="CC1874" s="120">
        <v>0</v>
      </c>
    </row>
    <row r="1875" spans="78:81">
      <c r="BZ1875" t="s">
        <v>3814</v>
      </c>
      <c r="CB1875" s="120">
        <v>1</v>
      </c>
      <c r="CC1875" s="120">
        <v>0</v>
      </c>
    </row>
    <row r="1876" spans="78:81">
      <c r="BZ1876" t="s">
        <v>2806</v>
      </c>
      <c r="CB1876" s="120">
        <v>1</v>
      </c>
      <c r="CC1876" s="120">
        <v>0</v>
      </c>
    </row>
    <row r="1877" spans="78:81">
      <c r="BZ1877" t="s">
        <v>3815</v>
      </c>
      <c r="CB1877" s="120">
        <v>1</v>
      </c>
      <c r="CC1877" s="120">
        <v>0</v>
      </c>
    </row>
    <row r="1878" spans="78:81">
      <c r="BZ1878" t="s">
        <v>2807</v>
      </c>
      <c r="CB1878" s="120">
        <v>1</v>
      </c>
      <c r="CC1878" s="120">
        <v>0</v>
      </c>
    </row>
    <row r="1879" spans="78:81">
      <c r="BZ1879" t="s">
        <v>3816</v>
      </c>
      <c r="CB1879" s="120">
        <v>1</v>
      </c>
      <c r="CC1879" s="120">
        <v>0</v>
      </c>
    </row>
    <row r="1880" spans="78:81">
      <c r="BZ1880" t="s">
        <v>2808</v>
      </c>
      <c r="CB1880" s="120">
        <v>1</v>
      </c>
      <c r="CC1880" s="120">
        <v>0</v>
      </c>
    </row>
    <row r="1881" spans="78:81">
      <c r="BZ1881" t="s">
        <v>3817</v>
      </c>
      <c r="CB1881" s="120">
        <v>1</v>
      </c>
      <c r="CC1881" s="120">
        <v>0</v>
      </c>
    </row>
    <row r="1882" spans="78:81">
      <c r="BZ1882" t="s">
        <v>2809</v>
      </c>
      <c r="CB1882" s="120">
        <v>1</v>
      </c>
      <c r="CC1882" s="120">
        <v>0</v>
      </c>
    </row>
    <row r="1883" spans="78:81">
      <c r="BZ1883" t="s">
        <v>3818</v>
      </c>
      <c r="CB1883" s="120">
        <v>1</v>
      </c>
      <c r="CC1883" s="120">
        <v>0</v>
      </c>
    </row>
    <row r="1884" spans="78:81">
      <c r="BZ1884" t="s">
        <v>2810</v>
      </c>
      <c r="CB1884" s="120">
        <v>1</v>
      </c>
      <c r="CC1884" s="120">
        <v>0</v>
      </c>
    </row>
    <row r="1885" spans="78:81">
      <c r="BZ1885" t="s">
        <v>3819</v>
      </c>
      <c r="CB1885" s="120">
        <v>1</v>
      </c>
      <c r="CC1885" s="120">
        <v>0</v>
      </c>
    </row>
    <row r="1886" spans="78:81">
      <c r="BZ1886" t="s">
        <v>2811</v>
      </c>
      <c r="CB1886" s="120">
        <v>1</v>
      </c>
      <c r="CC1886" s="120">
        <v>0</v>
      </c>
    </row>
    <row r="1887" spans="78:81">
      <c r="BZ1887" t="s">
        <v>3820</v>
      </c>
      <c r="CB1887" s="120">
        <v>1</v>
      </c>
      <c r="CC1887" s="120">
        <v>0</v>
      </c>
    </row>
    <row r="1888" spans="78:81">
      <c r="BZ1888" t="s">
        <v>2812</v>
      </c>
      <c r="CB1888" s="120">
        <v>1</v>
      </c>
      <c r="CC1888" s="120">
        <v>0</v>
      </c>
    </row>
    <row r="1889" spans="78:81">
      <c r="BZ1889" t="s">
        <v>3821</v>
      </c>
      <c r="CB1889" s="120">
        <v>1</v>
      </c>
      <c r="CC1889" s="120">
        <v>0</v>
      </c>
    </row>
    <row r="1890" spans="78:81">
      <c r="BZ1890" t="s">
        <v>2813</v>
      </c>
      <c r="CB1890" s="120">
        <v>1</v>
      </c>
      <c r="CC1890" s="120">
        <v>0</v>
      </c>
    </row>
    <row r="1891" spans="78:81">
      <c r="BZ1891" t="s">
        <v>3822</v>
      </c>
      <c r="CB1891" s="120">
        <v>1</v>
      </c>
      <c r="CC1891" s="120">
        <v>0</v>
      </c>
    </row>
    <row r="1892" spans="78:81">
      <c r="BZ1892" t="s">
        <v>2814</v>
      </c>
      <c r="CB1892" s="120">
        <v>1</v>
      </c>
      <c r="CC1892" s="120">
        <v>0</v>
      </c>
    </row>
    <row r="1893" spans="78:81">
      <c r="BZ1893" t="s">
        <v>3823</v>
      </c>
      <c r="CB1893" s="120">
        <v>1</v>
      </c>
      <c r="CC1893" s="120">
        <v>0</v>
      </c>
    </row>
    <row r="1894" spans="78:81">
      <c r="BZ1894" t="s">
        <v>2815</v>
      </c>
      <c r="CB1894" s="120">
        <v>1</v>
      </c>
      <c r="CC1894" s="120">
        <v>0</v>
      </c>
    </row>
    <row r="1895" spans="78:81">
      <c r="BZ1895" t="s">
        <v>3824</v>
      </c>
      <c r="CB1895" s="120">
        <v>1</v>
      </c>
      <c r="CC1895" s="120">
        <v>0</v>
      </c>
    </row>
    <row r="1896" spans="78:81">
      <c r="BZ1896" t="s">
        <v>2816</v>
      </c>
      <c r="CB1896" s="120">
        <v>1</v>
      </c>
      <c r="CC1896" s="120">
        <v>0</v>
      </c>
    </row>
    <row r="1897" spans="78:81">
      <c r="BZ1897" t="s">
        <v>3825</v>
      </c>
      <c r="CB1897" s="120">
        <v>1</v>
      </c>
      <c r="CC1897" s="120">
        <v>0</v>
      </c>
    </row>
    <row r="1898" spans="78:81">
      <c r="BZ1898" t="s">
        <v>2817</v>
      </c>
      <c r="CB1898" s="120">
        <v>1</v>
      </c>
      <c r="CC1898" s="120">
        <v>0</v>
      </c>
    </row>
    <row r="1899" spans="78:81">
      <c r="BZ1899" t="s">
        <v>3826</v>
      </c>
      <c r="CB1899" s="120">
        <v>1</v>
      </c>
      <c r="CC1899" s="120">
        <v>0</v>
      </c>
    </row>
    <row r="1900" spans="78:81">
      <c r="BZ1900" t="s">
        <v>2818</v>
      </c>
      <c r="CB1900" s="120">
        <v>1</v>
      </c>
      <c r="CC1900" s="120">
        <v>0</v>
      </c>
    </row>
    <row r="1901" spans="78:81">
      <c r="BZ1901" t="s">
        <v>3827</v>
      </c>
      <c r="CB1901" s="120">
        <v>1</v>
      </c>
      <c r="CC1901" s="120">
        <v>0</v>
      </c>
    </row>
    <row r="1902" spans="78:81">
      <c r="BZ1902" t="s">
        <v>2819</v>
      </c>
      <c r="CB1902" s="120">
        <v>1</v>
      </c>
      <c r="CC1902" s="120">
        <v>0</v>
      </c>
    </row>
    <row r="1903" spans="78:81">
      <c r="BZ1903" t="s">
        <v>3828</v>
      </c>
      <c r="CB1903" s="120">
        <v>1</v>
      </c>
      <c r="CC1903" s="120">
        <v>0</v>
      </c>
    </row>
    <row r="1904" spans="78:81">
      <c r="BZ1904" t="s">
        <v>2820</v>
      </c>
      <c r="CB1904" s="120">
        <v>1</v>
      </c>
      <c r="CC1904" s="120">
        <v>0</v>
      </c>
    </row>
    <row r="1905" spans="78:81">
      <c r="BZ1905" t="s">
        <v>3829</v>
      </c>
      <c r="CB1905" s="120">
        <v>1</v>
      </c>
      <c r="CC1905" s="120">
        <v>0</v>
      </c>
    </row>
    <row r="1906" spans="78:81">
      <c r="BZ1906" t="s">
        <v>2821</v>
      </c>
      <c r="CB1906" s="120">
        <v>1</v>
      </c>
      <c r="CC1906" s="120">
        <v>0</v>
      </c>
    </row>
    <row r="1907" spans="78:81">
      <c r="BZ1907" t="s">
        <v>3830</v>
      </c>
      <c r="CB1907" s="120">
        <v>1</v>
      </c>
      <c r="CC1907" s="120">
        <v>0</v>
      </c>
    </row>
    <row r="1908" spans="78:81">
      <c r="BZ1908" t="s">
        <v>2822</v>
      </c>
      <c r="CB1908" s="120">
        <v>1</v>
      </c>
      <c r="CC1908" s="120">
        <v>0</v>
      </c>
    </row>
    <row r="1909" spans="78:81">
      <c r="BZ1909" t="s">
        <v>3831</v>
      </c>
      <c r="CB1909" s="120">
        <v>1</v>
      </c>
      <c r="CC1909" s="120">
        <v>0</v>
      </c>
    </row>
    <row r="1910" spans="78:81">
      <c r="BZ1910" t="s">
        <v>2823</v>
      </c>
      <c r="CB1910" s="120">
        <v>1</v>
      </c>
      <c r="CC1910" s="120">
        <v>0</v>
      </c>
    </row>
    <row r="1911" spans="78:81">
      <c r="BZ1911" t="s">
        <v>3832</v>
      </c>
      <c r="CB1911" s="120">
        <v>1</v>
      </c>
      <c r="CC1911" s="120">
        <v>0</v>
      </c>
    </row>
    <row r="1912" spans="78:81">
      <c r="BZ1912" t="s">
        <v>2824</v>
      </c>
      <c r="CB1912" s="120">
        <v>1</v>
      </c>
      <c r="CC1912" s="120">
        <v>0</v>
      </c>
    </row>
    <row r="1913" spans="78:81">
      <c r="BZ1913" t="s">
        <v>3833</v>
      </c>
      <c r="CB1913" s="120">
        <v>1</v>
      </c>
      <c r="CC1913" s="120">
        <v>0</v>
      </c>
    </row>
    <row r="1914" spans="78:81">
      <c r="BZ1914" t="s">
        <v>2825</v>
      </c>
      <c r="CB1914" s="120">
        <v>1</v>
      </c>
      <c r="CC1914" s="120">
        <v>0</v>
      </c>
    </row>
    <row r="1915" spans="78:81">
      <c r="BZ1915" t="s">
        <v>3834</v>
      </c>
      <c r="CB1915" s="120">
        <v>1</v>
      </c>
      <c r="CC1915" s="120">
        <v>0</v>
      </c>
    </row>
    <row r="1916" spans="78:81">
      <c r="BZ1916" t="s">
        <v>2826</v>
      </c>
      <c r="CB1916" s="120">
        <v>1</v>
      </c>
      <c r="CC1916" s="120">
        <v>0</v>
      </c>
    </row>
    <row r="1917" spans="78:81">
      <c r="BZ1917" t="s">
        <v>3835</v>
      </c>
      <c r="CB1917" s="120">
        <v>1</v>
      </c>
      <c r="CC1917" s="120">
        <v>0</v>
      </c>
    </row>
    <row r="1918" spans="78:81">
      <c r="BZ1918" t="s">
        <v>2827</v>
      </c>
      <c r="CB1918" s="120">
        <v>1</v>
      </c>
      <c r="CC1918" s="120">
        <v>0</v>
      </c>
    </row>
    <row r="1919" spans="78:81">
      <c r="BZ1919" t="s">
        <v>3836</v>
      </c>
      <c r="CB1919" s="120">
        <v>1</v>
      </c>
      <c r="CC1919" s="120">
        <v>0</v>
      </c>
    </row>
    <row r="1920" spans="78:81">
      <c r="BZ1920" t="s">
        <v>2828</v>
      </c>
      <c r="CB1920" s="120">
        <v>1</v>
      </c>
      <c r="CC1920" s="120">
        <v>0</v>
      </c>
    </row>
    <row r="1921" spans="78:81">
      <c r="BZ1921" t="s">
        <v>3837</v>
      </c>
      <c r="CB1921" s="120">
        <v>1</v>
      </c>
      <c r="CC1921" s="120">
        <v>0</v>
      </c>
    </row>
    <row r="1922" spans="78:81">
      <c r="BZ1922" t="s">
        <v>2829</v>
      </c>
      <c r="CB1922" s="120">
        <v>1</v>
      </c>
      <c r="CC1922" s="120">
        <v>0</v>
      </c>
    </row>
    <row r="1923" spans="78:81">
      <c r="BZ1923" t="s">
        <v>3838</v>
      </c>
      <c r="CB1923" s="120">
        <v>1</v>
      </c>
      <c r="CC1923" s="120">
        <v>0</v>
      </c>
    </row>
    <row r="1924" spans="78:81">
      <c r="BZ1924" t="s">
        <v>2830</v>
      </c>
      <c r="CB1924" s="120">
        <v>1</v>
      </c>
      <c r="CC1924" s="120">
        <v>0</v>
      </c>
    </row>
    <row r="1925" spans="78:81">
      <c r="BZ1925" t="s">
        <v>3839</v>
      </c>
      <c r="CB1925" s="120">
        <v>1</v>
      </c>
      <c r="CC1925" s="120">
        <v>0</v>
      </c>
    </row>
    <row r="1926" spans="78:81">
      <c r="BZ1926" t="s">
        <v>2831</v>
      </c>
      <c r="CB1926" s="120">
        <v>1</v>
      </c>
      <c r="CC1926" s="120">
        <v>0</v>
      </c>
    </row>
    <row r="1927" spans="78:81">
      <c r="BZ1927" t="s">
        <v>3840</v>
      </c>
      <c r="CB1927" s="120">
        <v>1</v>
      </c>
      <c r="CC1927" s="120">
        <v>0</v>
      </c>
    </row>
    <row r="1928" spans="78:81">
      <c r="BZ1928" t="s">
        <v>2832</v>
      </c>
      <c r="CB1928" s="120">
        <v>1</v>
      </c>
      <c r="CC1928" s="120">
        <v>0</v>
      </c>
    </row>
    <row r="1929" spans="78:81">
      <c r="BZ1929" t="s">
        <v>3841</v>
      </c>
      <c r="CB1929" s="120">
        <v>1</v>
      </c>
      <c r="CC1929" s="120">
        <v>0</v>
      </c>
    </row>
    <row r="1930" spans="78:81">
      <c r="BZ1930" t="s">
        <v>2833</v>
      </c>
      <c r="CB1930" s="120">
        <v>1</v>
      </c>
      <c r="CC1930" s="120">
        <v>0</v>
      </c>
    </row>
    <row r="1931" spans="78:81">
      <c r="BZ1931" t="s">
        <v>3842</v>
      </c>
      <c r="CB1931" s="120">
        <v>1</v>
      </c>
      <c r="CC1931" s="120">
        <v>0</v>
      </c>
    </row>
    <row r="1932" spans="78:81">
      <c r="BZ1932" t="s">
        <v>2834</v>
      </c>
      <c r="CB1932" s="120">
        <v>1</v>
      </c>
      <c r="CC1932" s="120">
        <v>0</v>
      </c>
    </row>
    <row r="1933" spans="78:81">
      <c r="BZ1933" t="s">
        <v>3843</v>
      </c>
      <c r="CB1933" s="120">
        <v>1</v>
      </c>
      <c r="CC1933" s="120">
        <v>0</v>
      </c>
    </row>
    <row r="1934" spans="78:81">
      <c r="BZ1934" t="s">
        <v>2835</v>
      </c>
      <c r="CB1934" s="120">
        <v>1</v>
      </c>
      <c r="CC1934" s="120">
        <v>0</v>
      </c>
    </row>
    <row r="1935" spans="78:81">
      <c r="BZ1935" t="s">
        <v>3844</v>
      </c>
      <c r="CB1935" s="120">
        <v>1</v>
      </c>
      <c r="CC1935" s="120">
        <v>0</v>
      </c>
    </row>
    <row r="1936" spans="78:81">
      <c r="BZ1936" t="s">
        <v>2836</v>
      </c>
      <c r="CB1936" s="120">
        <v>1</v>
      </c>
      <c r="CC1936" s="120">
        <v>0</v>
      </c>
    </row>
    <row r="1937" spans="78:81">
      <c r="BZ1937" t="s">
        <v>3845</v>
      </c>
      <c r="CB1937" s="120">
        <v>1</v>
      </c>
      <c r="CC1937" s="120">
        <v>0</v>
      </c>
    </row>
    <row r="1938" spans="78:81">
      <c r="BZ1938" t="s">
        <v>2837</v>
      </c>
      <c r="CB1938" s="120">
        <v>1</v>
      </c>
      <c r="CC1938" s="120">
        <v>0</v>
      </c>
    </row>
    <row r="1939" spans="78:81">
      <c r="BZ1939" t="s">
        <v>3846</v>
      </c>
      <c r="CB1939" s="120">
        <v>1</v>
      </c>
      <c r="CC1939" s="120">
        <v>0</v>
      </c>
    </row>
    <row r="1940" spans="78:81">
      <c r="BZ1940" t="s">
        <v>2838</v>
      </c>
      <c r="CB1940" s="120">
        <v>1</v>
      </c>
      <c r="CC1940" s="120">
        <v>0</v>
      </c>
    </row>
    <row r="1941" spans="78:81">
      <c r="BZ1941" t="s">
        <v>3847</v>
      </c>
      <c r="CB1941" s="120">
        <v>1</v>
      </c>
      <c r="CC1941" s="120">
        <v>0</v>
      </c>
    </row>
    <row r="1942" spans="78:81">
      <c r="BZ1942" t="s">
        <v>2839</v>
      </c>
      <c r="CB1942" s="120">
        <v>1</v>
      </c>
      <c r="CC1942" s="120">
        <v>0</v>
      </c>
    </row>
    <row r="1943" spans="78:81">
      <c r="BZ1943" t="s">
        <v>3848</v>
      </c>
      <c r="CB1943" s="120">
        <v>1</v>
      </c>
      <c r="CC1943" s="120">
        <v>0</v>
      </c>
    </row>
    <row r="1944" spans="78:81">
      <c r="BZ1944" t="s">
        <v>2840</v>
      </c>
      <c r="CB1944" s="120">
        <v>1</v>
      </c>
      <c r="CC1944" s="120">
        <v>0</v>
      </c>
    </row>
    <row r="1945" spans="78:81">
      <c r="BZ1945" t="s">
        <v>3849</v>
      </c>
      <c r="CB1945" s="120">
        <v>1</v>
      </c>
      <c r="CC1945" s="120">
        <v>0</v>
      </c>
    </row>
    <row r="1946" spans="78:81">
      <c r="BZ1946" t="s">
        <v>2841</v>
      </c>
      <c r="CB1946" s="120">
        <v>1</v>
      </c>
      <c r="CC1946" s="120">
        <v>0</v>
      </c>
    </row>
    <row r="1947" spans="78:81">
      <c r="BZ1947" t="s">
        <v>3850</v>
      </c>
      <c r="CB1947" s="120">
        <v>1</v>
      </c>
      <c r="CC1947" s="120">
        <v>0</v>
      </c>
    </row>
    <row r="1948" spans="78:81">
      <c r="BZ1948" t="s">
        <v>2842</v>
      </c>
      <c r="CB1948" s="120">
        <v>1</v>
      </c>
      <c r="CC1948" s="120">
        <v>0</v>
      </c>
    </row>
    <row r="1949" spans="78:81">
      <c r="BZ1949" t="s">
        <v>3851</v>
      </c>
      <c r="CB1949" s="120">
        <v>1</v>
      </c>
      <c r="CC1949" s="120">
        <v>0</v>
      </c>
    </row>
    <row r="1950" spans="78:81">
      <c r="BZ1950" t="s">
        <v>2843</v>
      </c>
      <c r="CB1950" s="120">
        <v>1</v>
      </c>
      <c r="CC1950" s="120">
        <v>0</v>
      </c>
    </row>
    <row r="1951" spans="78:81">
      <c r="BZ1951" t="s">
        <v>3852</v>
      </c>
      <c r="CB1951" s="120">
        <v>1</v>
      </c>
      <c r="CC1951" s="120">
        <v>0</v>
      </c>
    </row>
    <row r="1952" spans="78:81">
      <c r="BZ1952" t="s">
        <v>2844</v>
      </c>
      <c r="CB1952" s="120">
        <v>1</v>
      </c>
      <c r="CC1952" s="120">
        <v>0</v>
      </c>
    </row>
    <row r="1953" spans="78:81">
      <c r="BZ1953" t="s">
        <v>3853</v>
      </c>
      <c r="CB1953" s="120">
        <v>1</v>
      </c>
      <c r="CC1953" s="120">
        <v>0</v>
      </c>
    </row>
    <row r="1954" spans="78:81">
      <c r="BZ1954" t="s">
        <v>2845</v>
      </c>
      <c r="CB1954" s="120">
        <v>1</v>
      </c>
      <c r="CC1954" s="120">
        <v>0</v>
      </c>
    </row>
    <row r="1955" spans="78:81">
      <c r="BZ1955" t="s">
        <v>3854</v>
      </c>
      <c r="CB1955" s="120">
        <v>1</v>
      </c>
      <c r="CC1955" s="120">
        <v>0</v>
      </c>
    </row>
    <row r="1956" spans="78:81">
      <c r="BZ1956" t="s">
        <v>2846</v>
      </c>
      <c r="CB1956" s="120">
        <v>1</v>
      </c>
      <c r="CC1956" s="120">
        <v>0</v>
      </c>
    </row>
    <row r="1957" spans="78:81">
      <c r="BZ1957" t="s">
        <v>3855</v>
      </c>
      <c r="CB1957" s="120">
        <v>1</v>
      </c>
      <c r="CC1957" s="120">
        <v>0</v>
      </c>
    </row>
    <row r="1958" spans="78:81">
      <c r="BZ1958" t="s">
        <v>2847</v>
      </c>
      <c r="CB1958" s="120">
        <v>1</v>
      </c>
      <c r="CC1958" s="120">
        <v>0</v>
      </c>
    </row>
    <row r="1959" spans="78:81">
      <c r="BZ1959" t="s">
        <v>3856</v>
      </c>
      <c r="CB1959" s="120">
        <v>1</v>
      </c>
      <c r="CC1959" s="120">
        <v>0</v>
      </c>
    </row>
    <row r="1960" spans="78:81">
      <c r="BZ1960" t="s">
        <v>2848</v>
      </c>
      <c r="CB1960" s="120">
        <v>1</v>
      </c>
      <c r="CC1960" s="120">
        <v>0</v>
      </c>
    </row>
    <row r="1961" spans="78:81">
      <c r="BZ1961" t="s">
        <v>3857</v>
      </c>
      <c r="CB1961" s="120">
        <v>1</v>
      </c>
      <c r="CC1961" s="120">
        <v>0</v>
      </c>
    </row>
    <row r="1962" spans="78:81">
      <c r="BZ1962" t="s">
        <v>2849</v>
      </c>
      <c r="CB1962" s="120">
        <v>1</v>
      </c>
      <c r="CC1962" s="120">
        <v>0</v>
      </c>
    </row>
    <row r="1963" spans="78:81">
      <c r="BZ1963" t="s">
        <v>3858</v>
      </c>
      <c r="CB1963" s="120">
        <v>1</v>
      </c>
      <c r="CC1963" s="120">
        <v>0</v>
      </c>
    </row>
    <row r="1964" spans="78:81">
      <c r="BZ1964" t="s">
        <v>2850</v>
      </c>
      <c r="CB1964" s="120">
        <v>1</v>
      </c>
      <c r="CC1964" s="120">
        <v>0</v>
      </c>
    </row>
    <row r="1965" spans="78:81">
      <c r="BZ1965" t="s">
        <v>3859</v>
      </c>
      <c r="CB1965" s="120">
        <v>1</v>
      </c>
      <c r="CC1965" s="120">
        <v>0</v>
      </c>
    </row>
    <row r="1966" spans="78:81">
      <c r="BZ1966" t="s">
        <v>2851</v>
      </c>
      <c r="CB1966" s="120">
        <v>1</v>
      </c>
      <c r="CC1966" s="120">
        <v>0</v>
      </c>
    </row>
    <row r="1967" spans="78:81">
      <c r="BZ1967" t="s">
        <v>3860</v>
      </c>
      <c r="CB1967" s="120">
        <v>1</v>
      </c>
      <c r="CC1967" s="120">
        <v>0</v>
      </c>
    </row>
    <row r="1968" spans="78:81">
      <c r="BZ1968" t="s">
        <v>2852</v>
      </c>
      <c r="CB1968" s="120">
        <v>1</v>
      </c>
      <c r="CC1968" s="120">
        <v>0</v>
      </c>
    </row>
    <row r="1969" spans="78:81">
      <c r="BZ1969" t="s">
        <v>3861</v>
      </c>
      <c r="CB1969" s="120">
        <v>1</v>
      </c>
      <c r="CC1969" s="120">
        <v>0</v>
      </c>
    </row>
    <row r="1970" spans="78:81">
      <c r="BZ1970" t="s">
        <v>2853</v>
      </c>
      <c r="CB1970" s="120">
        <v>1</v>
      </c>
      <c r="CC1970" s="120">
        <v>0</v>
      </c>
    </row>
    <row r="1971" spans="78:81">
      <c r="BZ1971" t="s">
        <v>3862</v>
      </c>
      <c r="CB1971" s="120">
        <v>1</v>
      </c>
      <c r="CC1971" s="120">
        <v>0</v>
      </c>
    </row>
    <row r="1972" spans="78:81">
      <c r="BZ1972" t="s">
        <v>2854</v>
      </c>
      <c r="CB1972" s="120">
        <v>1</v>
      </c>
      <c r="CC1972" s="120">
        <v>0</v>
      </c>
    </row>
    <row r="1973" spans="78:81">
      <c r="BZ1973" t="s">
        <v>3863</v>
      </c>
      <c r="CB1973" s="120">
        <v>1</v>
      </c>
      <c r="CC1973" s="120">
        <v>0</v>
      </c>
    </row>
    <row r="1974" spans="78:81">
      <c r="BZ1974" t="s">
        <v>2855</v>
      </c>
      <c r="CB1974" s="120">
        <v>1</v>
      </c>
      <c r="CC1974" s="120">
        <v>0</v>
      </c>
    </row>
    <row r="1975" spans="78:81">
      <c r="BZ1975" t="s">
        <v>3864</v>
      </c>
      <c r="CB1975" s="120">
        <v>1</v>
      </c>
      <c r="CC1975" s="120">
        <v>0</v>
      </c>
    </row>
    <row r="1976" spans="78:81">
      <c r="BZ1976" t="s">
        <v>2856</v>
      </c>
      <c r="CB1976" s="120">
        <v>1</v>
      </c>
      <c r="CC1976" s="120">
        <v>0</v>
      </c>
    </row>
    <row r="1977" spans="78:81">
      <c r="BZ1977" t="s">
        <v>3865</v>
      </c>
      <c r="CB1977" s="120">
        <v>1</v>
      </c>
      <c r="CC1977" s="120">
        <v>0</v>
      </c>
    </row>
    <row r="1978" spans="78:81">
      <c r="BZ1978" t="s">
        <v>2857</v>
      </c>
      <c r="CB1978" s="120">
        <v>1</v>
      </c>
      <c r="CC1978" s="120">
        <v>0</v>
      </c>
    </row>
    <row r="1979" spans="78:81">
      <c r="BZ1979" t="s">
        <v>3866</v>
      </c>
      <c r="CB1979" s="120">
        <v>1</v>
      </c>
      <c r="CC1979" s="120">
        <v>0</v>
      </c>
    </row>
    <row r="1980" spans="78:81">
      <c r="BZ1980" t="s">
        <v>2858</v>
      </c>
      <c r="CB1980" s="120">
        <v>1</v>
      </c>
      <c r="CC1980" s="120">
        <v>0</v>
      </c>
    </row>
    <row r="1981" spans="78:81">
      <c r="BZ1981" t="s">
        <v>3867</v>
      </c>
      <c r="CB1981" s="120">
        <v>1</v>
      </c>
      <c r="CC1981" s="120">
        <v>0</v>
      </c>
    </row>
    <row r="1982" spans="78:81">
      <c r="BZ1982" t="s">
        <v>2859</v>
      </c>
      <c r="CB1982" s="120">
        <v>1</v>
      </c>
      <c r="CC1982" s="120">
        <v>0</v>
      </c>
    </row>
    <row r="1983" spans="78:81">
      <c r="BZ1983" t="s">
        <v>3868</v>
      </c>
      <c r="CB1983" s="120">
        <v>1</v>
      </c>
      <c r="CC1983" s="120">
        <v>0</v>
      </c>
    </row>
    <row r="1984" spans="78:81">
      <c r="BZ1984" t="s">
        <v>2860</v>
      </c>
      <c r="CB1984" s="120">
        <v>1</v>
      </c>
      <c r="CC1984" s="120">
        <v>0</v>
      </c>
    </row>
    <row r="1985" spans="78:81">
      <c r="BZ1985" t="s">
        <v>3869</v>
      </c>
      <c r="CB1985" s="120">
        <v>1</v>
      </c>
      <c r="CC1985" s="120">
        <v>0</v>
      </c>
    </row>
    <row r="1986" spans="78:81">
      <c r="BZ1986" t="s">
        <v>2861</v>
      </c>
      <c r="CB1986" s="120">
        <v>1</v>
      </c>
      <c r="CC1986" s="120">
        <v>0</v>
      </c>
    </row>
    <row r="1987" spans="78:81">
      <c r="BZ1987" t="s">
        <v>3870</v>
      </c>
      <c r="CB1987" s="120">
        <v>1</v>
      </c>
      <c r="CC1987" s="120">
        <v>0</v>
      </c>
    </row>
    <row r="1988" spans="78:81">
      <c r="BZ1988" t="s">
        <v>2862</v>
      </c>
      <c r="CB1988" s="120">
        <v>1</v>
      </c>
      <c r="CC1988" s="120">
        <v>0</v>
      </c>
    </row>
    <row r="1989" spans="78:81">
      <c r="BZ1989" t="s">
        <v>3871</v>
      </c>
      <c r="CB1989" s="120">
        <v>1</v>
      </c>
      <c r="CC1989" s="120">
        <v>0</v>
      </c>
    </row>
    <row r="1990" spans="78:81">
      <c r="BZ1990" t="s">
        <v>2863</v>
      </c>
      <c r="CB1990" s="120">
        <v>1</v>
      </c>
      <c r="CC1990" s="120">
        <v>0</v>
      </c>
    </row>
    <row r="1991" spans="78:81">
      <c r="BZ1991" t="s">
        <v>3872</v>
      </c>
      <c r="CB1991" s="120">
        <v>1</v>
      </c>
      <c r="CC1991" s="120">
        <v>0</v>
      </c>
    </row>
    <row r="1992" spans="78:81">
      <c r="BZ1992" t="s">
        <v>2864</v>
      </c>
      <c r="CB1992" s="120">
        <v>1</v>
      </c>
      <c r="CC1992" s="120">
        <v>0</v>
      </c>
    </row>
    <row r="1993" spans="78:81">
      <c r="BZ1993" t="s">
        <v>3873</v>
      </c>
      <c r="CB1993" s="120">
        <v>1</v>
      </c>
      <c r="CC1993" s="120">
        <v>0</v>
      </c>
    </row>
    <row r="1994" spans="78:81">
      <c r="BZ1994" t="s">
        <v>2865</v>
      </c>
      <c r="CB1994" s="120">
        <v>1</v>
      </c>
      <c r="CC1994" s="120">
        <v>0</v>
      </c>
    </row>
    <row r="1995" spans="78:81">
      <c r="BZ1995" t="s">
        <v>3874</v>
      </c>
      <c r="CB1995" s="120">
        <v>1</v>
      </c>
      <c r="CC1995" s="120">
        <v>0</v>
      </c>
    </row>
    <row r="1996" spans="78:81">
      <c r="BZ1996" t="s">
        <v>2866</v>
      </c>
      <c r="CB1996" s="120">
        <v>1</v>
      </c>
      <c r="CC1996" s="120">
        <v>0</v>
      </c>
    </row>
    <row r="1997" spans="78:81">
      <c r="BZ1997" t="s">
        <v>3875</v>
      </c>
      <c r="CB1997" s="120">
        <v>1</v>
      </c>
      <c r="CC1997" s="120">
        <v>0</v>
      </c>
    </row>
    <row r="1998" spans="78:81">
      <c r="BZ1998" t="s">
        <v>2867</v>
      </c>
      <c r="CB1998" s="120">
        <v>1</v>
      </c>
      <c r="CC1998" s="120">
        <v>0</v>
      </c>
    </row>
    <row r="1999" spans="78:81">
      <c r="BZ1999" t="s">
        <v>3876</v>
      </c>
      <c r="CB1999" s="120">
        <v>1</v>
      </c>
      <c r="CC1999" s="120">
        <v>0</v>
      </c>
    </row>
    <row r="2000" spans="78:81">
      <c r="BZ2000" t="s">
        <v>2868</v>
      </c>
      <c r="CB2000" s="120">
        <v>1</v>
      </c>
      <c r="CC2000" s="120">
        <v>0</v>
      </c>
    </row>
    <row r="2001" spans="76:81">
      <c r="BZ2001" t="s">
        <v>3877</v>
      </c>
      <c r="CB2001" s="120">
        <v>1</v>
      </c>
      <c r="CC2001" s="120">
        <v>0</v>
      </c>
    </row>
    <row r="2002" spans="76:81">
      <c r="BZ2002" t="s">
        <v>2869</v>
      </c>
      <c r="CB2002" s="120">
        <v>1</v>
      </c>
      <c r="CC2002" s="120">
        <v>0</v>
      </c>
    </row>
    <row r="2003" spans="76:81">
      <c r="BZ2003" t="s">
        <v>3878</v>
      </c>
      <c r="CB2003" s="120">
        <v>1</v>
      </c>
      <c r="CC2003" s="120">
        <v>0</v>
      </c>
    </row>
    <row r="2004" spans="76:81">
      <c r="BY2004" t="s">
        <v>2880</v>
      </c>
      <c r="CB2004" s="120">
        <v>1000</v>
      </c>
      <c r="CC2004" s="120">
        <v>0</v>
      </c>
    </row>
    <row r="2005" spans="76:81">
      <c r="BX2005" t="s">
        <v>2877</v>
      </c>
      <c r="CB2005" s="120">
        <v>1000</v>
      </c>
      <c r="CC2005" s="120">
        <v>0</v>
      </c>
    </row>
    <row r="2006" spans="76:81">
      <c r="BX2006" t="s">
        <v>2874</v>
      </c>
      <c r="CB2006" s="120">
        <v>1000</v>
      </c>
      <c r="CC2006" s="120">
        <v>0</v>
      </c>
    </row>
  </sheetData>
  <printOptions horizontalCentered="1" verticalCentered="1"/>
  <pageMargins left="0.25" right="0.25" top="0.75" bottom="0.75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EDF0F-A905-4E82-971F-82C1ABAC31EC}">
  <dimension ref="B2:D17"/>
  <sheetViews>
    <sheetView workbookViewId="0">
      <selection activeCell="B21" sqref="B21"/>
    </sheetView>
  </sheetViews>
  <sheetFormatPr defaultRowHeight="14.45"/>
  <cols>
    <col min="2" max="2" width="55" customWidth="1"/>
    <col min="3" max="3" width="48.28515625" customWidth="1"/>
    <col min="4" max="4" width="45.85546875" customWidth="1"/>
  </cols>
  <sheetData>
    <row r="2" spans="2:4" ht="18">
      <c r="B2" s="122" t="s">
        <v>3879</v>
      </c>
      <c r="C2" s="122" t="s">
        <v>3880</v>
      </c>
      <c r="D2" s="122"/>
    </row>
    <row r="3" spans="2:4" ht="18">
      <c r="B3" s="122" t="s">
        <v>3881</v>
      </c>
      <c r="C3" s="122" t="s">
        <v>3882</v>
      </c>
      <c r="D3" s="122"/>
    </row>
    <row r="4" spans="2:4" ht="18">
      <c r="B4" s="122" t="s">
        <v>3883</v>
      </c>
      <c r="D4" s="105" t="s">
        <v>3884</v>
      </c>
    </row>
    <row r="5" spans="2:4" ht="18">
      <c r="B5" s="122" t="s">
        <v>3885</v>
      </c>
      <c r="D5" s="105" t="s">
        <v>3886</v>
      </c>
    </row>
    <row r="9" spans="2:4" ht="18">
      <c r="B9" s="122" t="s">
        <v>3887</v>
      </c>
    </row>
    <row r="10" spans="2:4" ht="18">
      <c r="B10" s="122"/>
    </row>
    <row r="11" spans="2:4" ht="18">
      <c r="B11" s="122" t="s">
        <v>3888</v>
      </c>
    </row>
    <row r="12" spans="2:4" ht="18">
      <c r="B12" s="122" t="s">
        <v>3889</v>
      </c>
    </row>
    <row r="13" spans="2:4" ht="18">
      <c r="B13" s="122" t="s">
        <v>3890</v>
      </c>
    </row>
    <row r="14" spans="2:4" ht="18">
      <c r="B14" s="122" t="s">
        <v>3883</v>
      </c>
    </row>
    <row r="15" spans="2:4" ht="18">
      <c r="B15" s="122" t="s">
        <v>3885</v>
      </c>
    </row>
    <row r="16" spans="2:4" ht="18">
      <c r="B16" s="122" t="s">
        <v>3891</v>
      </c>
    </row>
    <row r="17" spans="2:2" ht="18">
      <c r="B17" s="122" t="s">
        <v>3892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78299-2CF6-4A81-86C5-66D554B3C374}">
  <dimension ref="D3:I102"/>
  <sheetViews>
    <sheetView workbookViewId="0">
      <selection activeCell="F25" sqref="F25"/>
    </sheetView>
  </sheetViews>
  <sheetFormatPr defaultRowHeight="14.45"/>
  <cols>
    <col min="4" max="4" width="9.85546875" bestFit="1" customWidth="1"/>
    <col min="5" max="5" width="13.28515625" bestFit="1" customWidth="1"/>
    <col min="6" max="6" width="44" bestFit="1" customWidth="1"/>
  </cols>
  <sheetData>
    <row r="3" spans="4:9">
      <c r="D3" t="s">
        <v>53</v>
      </c>
      <c r="E3" t="s">
        <v>54</v>
      </c>
      <c r="F3" t="s">
        <v>55</v>
      </c>
      <c r="I3" t="s">
        <v>88</v>
      </c>
    </row>
    <row r="4" spans="4:9">
      <c r="D4" s="119">
        <v>45748</v>
      </c>
      <c r="E4" s="119">
        <v>45750</v>
      </c>
      <c r="F4" t="s">
        <v>88</v>
      </c>
      <c r="I4" t="s">
        <v>116</v>
      </c>
    </row>
    <row r="5" spans="4:9">
      <c r="D5" s="119">
        <v>45751</v>
      </c>
      <c r="E5" s="119">
        <v>45753</v>
      </c>
      <c r="F5" t="s">
        <v>116</v>
      </c>
      <c r="I5" t="s">
        <v>142</v>
      </c>
    </row>
    <row r="6" spans="4:9">
      <c r="D6" s="119">
        <v>45754</v>
      </c>
      <c r="E6" s="119">
        <v>45756</v>
      </c>
      <c r="F6" t="s">
        <v>88</v>
      </c>
      <c r="I6" t="s">
        <v>165</v>
      </c>
    </row>
    <row r="7" spans="4:9">
      <c r="D7" s="119">
        <v>45757</v>
      </c>
      <c r="E7" s="119">
        <v>45760</v>
      </c>
      <c r="F7" t="s">
        <v>3893</v>
      </c>
      <c r="I7" t="s">
        <v>187</v>
      </c>
    </row>
    <row r="8" spans="4:9">
      <c r="D8" s="119">
        <v>45761</v>
      </c>
      <c r="E8" s="119">
        <v>45763</v>
      </c>
      <c r="F8" t="s">
        <v>88</v>
      </c>
      <c r="I8" t="s">
        <v>212</v>
      </c>
    </row>
    <row r="9" spans="4:9">
      <c r="D9" s="119">
        <v>45764</v>
      </c>
      <c r="E9" s="119">
        <v>45767</v>
      </c>
      <c r="F9" t="s">
        <v>114</v>
      </c>
      <c r="I9" t="s">
        <v>232</v>
      </c>
    </row>
    <row r="10" spans="4:9">
      <c r="D10" s="119">
        <v>45768</v>
      </c>
      <c r="E10" s="119">
        <v>45771</v>
      </c>
      <c r="F10" t="s">
        <v>88</v>
      </c>
    </row>
    <row r="11" spans="4:9">
      <c r="D11" s="119">
        <v>45772</v>
      </c>
      <c r="E11" s="119">
        <v>45774</v>
      </c>
      <c r="F11" t="s">
        <v>116</v>
      </c>
    </row>
    <row r="12" spans="4:9">
      <c r="D12" s="119">
        <v>45775</v>
      </c>
      <c r="E12" s="119">
        <v>45778</v>
      </c>
      <c r="F12" t="s">
        <v>88</v>
      </c>
    </row>
    <row r="13" spans="4:9">
      <c r="D13" s="119">
        <v>45779</v>
      </c>
      <c r="E13" s="119">
        <v>45781</v>
      </c>
      <c r="F13" t="s">
        <v>116</v>
      </c>
    </row>
    <row r="14" spans="4:9">
      <c r="D14" s="119">
        <v>45782</v>
      </c>
      <c r="E14" s="119">
        <v>45785</v>
      </c>
      <c r="F14" t="s">
        <v>88</v>
      </c>
    </row>
    <row r="15" spans="4:9">
      <c r="D15" s="119">
        <v>45786</v>
      </c>
      <c r="E15" s="119">
        <v>45789</v>
      </c>
      <c r="F15" t="s">
        <v>3894</v>
      </c>
    </row>
    <row r="16" spans="4:9">
      <c r="D16" s="119">
        <v>45790</v>
      </c>
      <c r="E16" s="119">
        <v>45792</v>
      </c>
      <c r="F16" t="s">
        <v>88</v>
      </c>
    </row>
    <row r="17" spans="4:6">
      <c r="D17" s="119">
        <v>45793</v>
      </c>
      <c r="E17" s="119">
        <v>45795</v>
      </c>
      <c r="F17" t="s">
        <v>116</v>
      </c>
    </row>
    <row r="18" spans="4:6">
      <c r="D18" s="119">
        <v>45796</v>
      </c>
      <c r="E18" s="119">
        <v>45799</v>
      </c>
      <c r="F18" t="s">
        <v>88</v>
      </c>
    </row>
    <row r="19" spans="4:6">
      <c r="D19" s="119">
        <v>45800</v>
      </c>
      <c r="E19" s="119">
        <v>45802</v>
      </c>
      <c r="F19" t="s">
        <v>116</v>
      </c>
    </row>
    <row r="20" spans="4:6">
      <c r="D20" s="119">
        <v>45803</v>
      </c>
      <c r="E20" s="119">
        <v>45806</v>
      </c>
      <c r="F20" t="s">
        <v>88</v>
      </c>
    </row>
    <row r="21" spans="4:6">
      <c r="D21" s="119">
        <v>45808</v>
      </c>
      <c r="E21" s="119">
        <v>45809</v>
      </c>
      <c r="F21" t="s">
        <v>116</v>
      </c>
    </row>
    <row r="22" spans="4:6">
      <c r="D22" s="119">
        <v>45810</v>
      </c>
      <c r="E22" s="119">
        <v>45813</v>
      </c>
      <c r="F22" t="s">
        <v>88</v>
      </c>
    </row>
    <row r="23" spans="4:6">
      <c r="D23" s="119">
        <v>45814</v>
      </c>
      <c r="E23" s="119">
        <v>45816</v>
      </c>
      <c r="F23" t="s">
        <v>116</v>
      </c>
    </row>
    <row r="24" spans="4:6">
      <c r="D24" s="119">
        <v>45817</v>
      </c>
      <c r="E24" s="119">
        <v>45820</v>
      </c>
      <c r="F24" t="s">
        <v>88</v>
      </c>
    </row>
    <row r="25" spans="4:6">
      <c r="D25" s="119">
        <v>45821</v>
      </c>
      <c r="E25" s="119">
        <v>45823</v>
      </c>
      <c r="F25" t="s">
        <v>116</v>
      </c>
    </row>
    <row r="26" spans="4:6">
      <c r="D26" s="119">
        <v>45824</v>
      </c>
      <c r="E26" s="119">
        <v>45827</v>
      </c>
      <c r="F26" t="s">
        <v>88</v>
      </c>
    </row>
    <row r="27" spans="4:6">
      <c r="D27" s="119">
        <v>45828</v>
      </c>
      <c r="E27" s="119">
        <v>45830</v>
      </c>
      <c r="F27" t="s">
        <v>116</v>
      </c>
    </row>
    <row r="28" spans="4:6">
      <c r="D28" s="119">
        <v>45831</v>
      </c>
      <c r="E28" s="119">
        <v>45834</v>
      </c>
      <c r="F28" t="s">
        <v>88</v>
      </c>
    </row>
    <row r="29" spans="4:6">
      <c r="D29" s="119">
        <v>45835</v>
      </c>
      <c r="E29" s="119">
        <v>45837</v>
      </c>
      <c r="F29" t="s">
        <v>116</v>
      </c>
    </row>
    <row r="30" spans="4:6">
      <c r="D30" s="119">
        <v>45838</v>
      </c>
      <c r="E30" s="119">
        <v>45841</v>
      </c>
      <c r="F30" t="s">
        <v>88</v>
      </c>
    </row>
    <row r="31" spans="4:6">
      <c r="D31" s="119">
        <v>45842</v>
      </c>
      <c r="E31" s="119">
        <v>45844</v>
      </c>
      <c r="F31" t="s">
        <v>116</v>
      </c>
    </row>
    <row r="32" spans="4:6">
      <c r="D32" s="119">
        <v>45845</v>
      </c>
      <c r="E32" s="119">
        <v>45848</v>
      </c>
      <c r="F32" t="s">
        <v>88</v>
      </c>
    </row>
    <row r="33" spans="4:6">
      <c r="D33" s="119">
        <v>45849</v>
      </c>
      <c r="E33" s="119">
        <v>45851</v>
      </c>
      <c r="F33" t="s">
        <v>116</v>
      </c>
    </row>
    <row r="34" spans="4:6">
      <c r="D34" s="119">
        <v>45852</v>
      </c>
      <c r="E34" s="119">
        <v>45855</v>
      </c>
      <c r="F34" t="s">
        <v>88</v>
      </c>
    </row>
    <row r="35" spans="4:6">
      <c r="D35" s="119">
        <v>45856</v>
      </c>
      <c r="E35" s="119">
        <v>45858</v>
      </c>
      <c r="F35" t="s">
        <v>116</v>
      </c>
    </row>
    <row r="36" spans="4:6">
      <c r="D36" s="119">
        <v>45859</v>
      </c>
      <c r="E36" s="119">
        <v>45862</v>
      </c>
      <c r="F36" t="s">
        <v>88</v>
      </c>
    </row>
    <row r="37" spans="4:6">
      <c r="D37" s="119">
        <v>45863</v>
      </c>
      <c r="E37" s="119">
        <v>45865</v>
      </c>
      <c r="F37" t="s">
        <v>116</v>
      </c>
    </row>
    <row r="38" spans="4:6">
      <c r="D38" s="119">
        <v>45866</v>
      </c>
      <c r="E38" s="119">
        <v>45869</v>
      </c>
      <c r="F38" t="s">
        <v>88</v>
      </c>
    </row>
    <row r="39" spans="4:6">
      <c r="D39" s="119">
        <v>45870</v>
      </c>
      <c r="E39" s="119">
        <v>45872</v>
      </c>
      <c r="F39" t="s">
        <v>116</v>
      </c>
    </row>
    <row r="40" spans="4:6">
      <c r="D40" s="119">
        <v>45873</v>
      </c>
      <c r="E40" s="119">
        <v>45876</v>
      </c>
      <c r="F40" t="s">
        <v>88</v>
      </c>
    </row>
    <row r="41" spans="4:6">
      <c r="D41" s="119">
        <v>45877</v>
      </c>
      <c r="E41" s="119">
        <v>45879</v>
      </c>
      <c r="F41" t="s">
        <v>116</v>
      </c>
    </row>
    <row r="42" spans="4:6">
      <c r="D42" s="119">
        <v>45880</v>
      </c>
      <c r="E42" s="119">
        <v>45882</v>
      </c>
      <c r="F42" t="s">
        <v>88</v>
      </c>
    </row>
    <row r="43" spans="4:6">
      <c r="D43" s="119">
        <v>45883</v>
      </c>
      <c r="E43" s="119">
        <v>45886</v>
      </c>
      <c r="F43" t="s">
        <v>3895</v>
      </c>
    </row>
    <row r="44" spans="4:6">
      <c r="D44" s="119">
        <v>45887</v>
      </c>
      <c r="E44" s="119">
        <v>45900</v>
      </c>
      <c r="F44" t="s">
        <v>88</v>
      </c>
    </row>
    <row r="45" spans="4:6">
      <c r="D45" s="119">
        <v>45891</v>
      </c>
      <c r="E45" s="119">
        <v>45893</v>
      </c>
      <c r="F45" t="s">
        <v>116</v>
      </c>
    </row>
    <row r="46" spans="4:6">
      <c r="D46" s="119">
        <v>45894</v>
      </c>
      <c r="E46" s="119">
        <v>45897</v>
      </c>
      <c r="F46" t="s">
        <v>88</v>
      </c>
    </row>
    <row r="47" spans="4:6">
      <c r="D47" s="119">
        <v>45898</v>
      </c>
      <c r="E47" s="119">
        <v>45900</v>
      </c>
      <c r="F47" t="s">
        <v>116</v>
      </c>
    </row>
    <row r="48" spans="4:6">
      <c r="D48" s="119">
        <v>45901</v>
      </c>
      <c r="E48" s="119">
        <v>45903</v>
      </c>
      <c r="F48" t="s">
        <v>88</v>
      </c>
    </row>
    <row r="49" spans="4:6">
      <c r="D49" s="119">
        <v>45904</v>
      </c>
      <c r="E49" s="119">
        <v>45907</v>
      </c>
      <c r="F49" t="s">
        <v>3896</v>
      </c>
    </row>
    <row r="50" spans="4:6">
      <c r="D50" s="119">
        <v>45908</v>
      </c>
      <c r="E50" s="119">
        <v>45911</v>
      </c>
      <c r="F50" t="s">
        <v>88</v>
      </c>
    </row>
    <row r="51" spans="4:6">
      <c r="D51" s="119">
        <v>45912</v>
      </c>
      <c r="E51" s="119">
        <v>45914</v>
      </c>
      <c r="F51" t="s">
        <v>116</v>
      </c>
    </row>
    <row r="52" spans="4:6">
      <c r="D52" s="119">
        <v>45915</v>
      </c>
      <c r="E52" s="119">
        <v>45918</v>
      </c>
      <c r="F52" t="s">
        <v>88</v>
      </c>
    </row>
    <row r="53" spans="4:6">
      <c r="D53" s="119">
        <v>45919</v>
      </c>
      <c r="E53" s="119">
        <v>45921</v>
      </c>
      <c r="F53" t="s">
        <v>116</v>
      </c>
    </row>
    <row r="54" spans="4:6">
      <c r="D54" s="119">
        <v>45922</v>
      </c>
      <c r="E54" s="119">
        <v>45926</v>
      </c>
      <c r="F54" t="s">
        <v>88</v>
      </c>
    </row>
    <row r="55" spans="4:6">
      <c r="D55" s="119">
        <v>45927</v>
      </c>
      <c r="E55" s="119">
        <v>45935</v>
      </c>
      <c r="F55" t="s">
        <v>187</v>
      </c>
    </row>
    <row r="56" spans="4:6">
      <c r="D56" s="119">
        <v>45936</v>
      </c>
      <c r="E56" s="119">
        <v>45939</v>
      </c>
      <c r="F56" t="s">
        <v>88</v>
      </c>
    </row>
    <row r="57" spans="4:6">
      <c r="D57" s="119">
        <v>45940</v>
      </c>
      <c r="E57" s="119">
        <v>45942</v>
      </c>
      <c r="F57" t="s">
        <v>116</v>
      </c>
    </row>
    <row r="58" spans="4:6">
      <c r="D58" s="119">
        <v>45943</v>
      </c>
      <c r="E58" s="119">
        <v>45946</v>
      </c>
      <c r="F58" t="s">
        <v>88</v>
      </c>
    </row>
    <row r="59" spans="4:6">
      <c r="D59" s="119">
        <v>45947</v>
      </c>
      <c r="E59" s="119">
        <v>45956</v>
      </c>
      <c r="F59" t="s">
        <v>212</v>
      </c>
    </row>
    <row r="60" spans="4:6">
      <c r="D60" s="119">
        <v>45957</v>
      </c>
      <c r="E60" s="119">
        <v>45960</v>
      </c>
      <c r="F60" t="s">
        <v>88</v>
      </c>
    </row>
    <row r="61" spans="4:6">
      <c r="D61" s="119">
        <v>45961</v>
      </c>
      <c r="E61" s="119">
        <v>45963</v>
      </c>
      <c r="F61" t="s">
        <v>116</v>
      </c>
    </row>
    <row r="62" spans="4:6">
      <c r="D62" s="119">
        <v>45964</v>
      </c>
      <c r="E62" s="119">
        <v>45967</v>
      </c>
      <c r="F62" t="s">
        <v>88</v>
      </c>
    </row>
    <row r="63" spans="4:6">
      <c r="D63" s="119">
        <v>45968</v>
      </c>
      <c r="E63" s="119">
        <v>45970</v>
      </c>
      <c r="F63" t="s">
        <v>116</v>
      </c>
    </row>
    <row r="64" spans="4:6">
      <c r="D64" s="119">
        <v>45971</v>
      </c>
      <c r="E64" s="119">
        <v>45974</v>
      </c>
      <c r="F64" t="s">
        <v>88</v>
      </c>
    </row>
    <row r="65" spans="4:6">
      <c r="D65" s="119">
        <v>45975</v>
      </c>
      <c r="E65" s="119">
        <v>45977</v>
      </c>
      <c r="F65" t="s">
        <v>116</v>
      </c>
    </row>
    <row r="66" spans="4:6">
      <c r="D66" s="119">
        <v>45978</v>
      </c>
      <c r="E66" s="119">
        <v>45981</v>
      </c>
      <c r="F66" t="s">
        <v>88</v>
      </c>
    </row>
    <row r="67" spans="4:6">
      <c r="D67" s="119">
        <v>45982</v>
      </c>
      <c r="E67" s="119">
        <v>45984</v>
      </c>
      <c r="F67" t="s">
        <v>116</v>
      </c>
    </row>
    <row r="68" spans="4:6">
      <c r="D68" s="119">
        <v>45985</v>
      </c>
      <c r="E68" s="119">
        <v>45988</v>
      </c>
      <c r="F68" t="s">
        <v>88</v>
      </c>
    </row>
    <row r="69" spans="4:6">
      <c r="D69" s="119">
        <v>45989</v>
      </c>
      <c r="E69" s="119">
        <v>45991</v>
      </c>
      <c r="F69" t="s">
        <v>116</v>
      </c>
    </row>
    <row r="70" spans="4:6">
      <c r="D70" s="119">
        <v>45992</v>
      </c>
      <c r="E70" s="119">
        <v>45995</v>
      </c>
      <c r="F70" t="s">
        <v>88</v>
      </c>
    </row>
    <row r="71" spans="4:6">
      <c r="D71" s="119">
        <v>45996</v>
      </c>
      <c r="E71" s="119">
        <v>45998</v>
      </c>
      <c r="F71" t="s">
        <v>116</v>
      </c>
    </row>
    <row r="72" spans="4:6">
      <c r="D72" s="119">
        <v>45999</v>
      </c>
      <c r="E72" s="119">
        <v>46002</v>
      </c>
      <c r="F72" t="s">
        <v>88</v>
      </c>
    </row>
    <row r="73" spans="4:6">
      <c r="D73" s="119">
        <v>46003</v>
      </c>
      <c r="E73" s="119">
        <v>46005</v>
      </c>
      <c r="F73" t="s">
        <v>116</v>
      </c>
    </row>
    <row r="74" spans="4:6">
      <c r="D74" s="119">
        <v>46006</v>
      </c>
      <c r="E74" s="119">
        <v>46009</v>
      </c>
      <c r="F74" t="s">
        <v>88</v>
      </c>
    </row>
    <row r="75" spans="4:6">
      <c r="D75" s="119">
        <v>46010</v>
      </c>
      <c r="E75" s="119">
        <v>46026</v>
      </c>
      <c r="F75" t="s">
        <v>3897</v>
      </c>
    </row>
    <row r="76" spans="4:6">
      <c r="D76" s="119">
        <v>46027</v>
      </c>
      <c r="E76" s="119">
        <v>46030</v>
      </c>
      <c r="F76" t="s">
        <v>88</v>
      </c>
    </row>
    <row r="77" spans="4:6">
      <c r="D77" s="119">
        <v>46031</v>
      </c>
      <c r="E77" s="119">
        <v>46033</v>
      </c>
      <c r="F77" t="s">
        <v>116</v>
      </c>
    </row>
    <row r="78" spans="4:6">
      <c r="D78" s="119">
        <v>46034</v>
      </c>
      <c r="E78" s="119">
        <v>46037</v>
      </c>
      <c r="F78" t="s">
        <v>88</v>
      </c>
    </row>
    <row r="79" spans="4:6">
      <c r="D79" s="119">
        <v>46038</v>
      </c>
      <c r="E79" s="119">
        <v>46040</v>
      </c>
      <c r="F79" t="s">
        <v>116</v>
      </c>
    </row>
    <row r="80" spans="4:6">
      <c r="D80" s="119">
        <v>46041</v>
      </c>
      <c r="E80" s="119">
        <v>46043</v>
      </c>
      <c r="F80" t="s">
        <v>88</v>
      </c>
    </row>
    <row r="81" spans="4:6">
      <c r="D81" s="119">
        <v>46044</v>
      </c>
      <c r="E81" s="119">
        <v>46048</v>
      </c>
      <c r="F81" t="s">
        <v>3898</v>
      </c>
    </row>
    <row r="82" spans="4:6">
      <c r="D82" s="119">
        <v>46049</v>
      </c>
      <c r="E82" s="119">
        <v>46051</v>
      </c>
      <c r="F82" t="s">
        <v>88</v>
      </c>
    </row>
    <row r="83" spans="4:6">
      <c r="D83" s="119">
        <v>46052</v>
      </c>
      <c r="E83" s="119">
        <v>46054</v>
      </c>
      <c r="F83" t="s">
        <v>116</v>
      </c>
    </row>
    <row r="84" spans="4:6">
      <c r="D84" s="119">
        <v>46055</v>
      </c>
      <c r="E84" s="119">
        <v>46058</v>
      </c>
      <c r="F84" t="s">
        <v>88</v>
      </c>
    </row>
    <row r="85" spans="4:6">
      <c r="D85" s="119">
        <v>46059</v>
      </c>
      <c r="E85" s="119">
        <v>46061</v>
      </c>
      <c r="F85" t="s">
        <v>116</v>
      </c>
    </row>
    <row r="86" spans="4:6">
      <c r="D86" s="119">
        <v>46062</v>
      </c>
      <c r="E86" s="119">
        <v>46065</v>
      </c>
      <c r="F86" t="s">
        <v>88</v>
      </c>
    </row>
    <row r="87" spans="4:6">
      <c r="D87" s="119">
        <v>46066</v>
      </c>
      <c r="E87" s="119">
        <v>46068</v>
      </c>
      <c r="F87" t="s">
        <v>116</v>
      </c>
    </row>
    <row r="88" spans="4:6">
      <c r="D88" s="119">
        <v>46069</v>
      </c>
      <c r="E88" s="119">
        <v>46071</v>
      </c>
      <c r="F88" t="s">
        <v>88</v>
      </c>
    </row>
    <row r="89" spans="4:6">
      <c r="D89" s="119">
        <v>46072</v>
      </c>
      <c r="E89" s="119">
        <v>46075</v>
      </c>
      <c r="F89" t="s">
        <v>3899</v>
      </c>
    </row>
    <row r="90" spans="4:6">
      <c r="D90" s="119">
        <v>46076</v>
      </c>
      <c r="E90" s="119">
        <v>46079</v>
      </c>
      <c r="F90" t="s">
        <v>88</v>
      </c>
    </row>
    <row r="91" spans="4:6">
      <c r="D91" s="119">
        <v>46080</v>
      </c>
      <c r="E91" s="119">
        <v>46082</v>
      </c>
      <c r="F91" t="s">
        <v>116</v>
      </c>
    </row>
    <row r="92" spans="4:6">
      <c r="D92" s="119">
        <v>46083</v>
      </c>
      <c r="E92" s="119">
        <v>46084</v>
      </c>
      <c r="F92" t="s">
        <v>88</v>
      </c>
    </row>
    <row r="93" spans="4:6">
      <c r="D93" s="119">
        <v>46085</v>
      </c>
      <c r="E93" s="119">
        <v>46089</v>
      </c>
      <c r="F93" t="s">
        <v>165</v>
      </c>
    </row>
    <row r="94" spans="4:6">
      <c r="D94" s="119">
        <v>46090</v>
      </c>
      <c r="E94" s="119">
        <v>46093</v>
      </c>
      <c r="F94" t="s">
        <v>88</v>
      </c>
    </row>
    <row r="95" spans="4:6">
      <c r="D95" s="119">
        <v>46094</v>
      </c>
      <c r="E95" s="119">
        <v>46096</v>
      </c>
      <c r="F95" t="s">
        <v>116</v>
      </c>
    </row>
    <row r="96" spans="4:6">
      <c r="D96" s="119">
        <v>46097</v>
      </c>
      <c r="E96" s="119">
        <v>46099</v>
      </c>
      <c r="F96" t="s">
        <v>88</v>
      </c>
    </row>
    <row r="97" spans="4:6">
      <c r="D97" s="119">
        <v>46100</v>
      </c>
      <c r="E97" s="119">
        <v>46103</v>
      </c>
      <c r="F97" t="s">
        <v>3900</v>
      </c>
    </row>
    <row r="98" spans="4:6">
      <c r="D98" s="119">
        <v>46104</v>
      </c>
      <c r="E98" s="119">
        <v>46107</v>
      </c>
      <c r="F98" t="s">
        <v>88</v>
      </c>
    </row>
    <row r="99" spans="4:6">
      <c r="D99" s="119">
        <v>46108</v>
      </c>
      <c r="E99" s="119">
        <v>46110</v>
      </c>
      <c r="F99" t="s">
        <v>116</v>
      </c>
    </row>
    <row r="100" spans="4:6">
      <c r="D100" s="119">
        <v>46111</v>
      </c>
      <c r="E100" s="119">
        <v>46112</v>
      </c>
      <c r="F100" t="s">
        <v>88</v>
      </c>
    </row>
    <row r="101" spans="4:6">
      <c r="D101" s="119"/>
      <c r="E101" s="119"/>
    </row>
    <row r="102" spans="4:6">
      <c r="D102" s="119"/>
      <c r="E102" s="1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Rajendra Prajapati</dc:creator>
  <cp:keywords/>
  <dc:description/>
  <cp:lastModifiedBy>Enchanting MP</cp:lastModifiedBy>
  <cp:revision/>
  <dcterms:created xsi:type="dcterms:W3CDTF">2021-09-05T05:15:14Z</dcterms:created>
  <dcterms:modified xsi:type="dcterms:W3CDTF">2026-09-16T13:33:57Z</dcterms:modified>
  <cp:category/>
  <cp:contentStatus/>
</cp:coreProperties>
</file>